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lichens/lichen_licor/"/>
    </mc:Choice>
  </mc:AlternateContent>
  <xr:revisionPtr revIDLastSave="8" documentId="11_ACE07100C8231EED2BCF6DF77553F95636263ADA" xr6:coauthVersionLast="47" xr6:coauthVersionMax="47" xr10:uidLastSave="{B772E77F-954B-0846-BE37-80CE08EA824D}"/>
  <bookViews>
    <workbookView xWindow="11840" yWindow="500" windowWidth="2614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16" i="1"/>
  <c r="W307" i="1"/>
  <c r="V307" i="1"/>
  <c r="T307" i="1"/>
  <c r="U307" i="1" s="1"/>
  <c r="S307" i="1"/>
  <c r="Q307" i="1" s="1"/>
  <c r="H307" i="1" s="1"/>
  <c r="N307" i="1"/>
  <c r="M307" i="1"/>
  <c r="W306" i="1"/>
  <c r="V306" i="1"/>
  <c r="T306" i="1"/>
  <c r="S306" i="1"/>
  <c r="Q306" i="1" s="1"/>
  <c r="K306" i="1" s="1"/>
  <c r="N306" i="1"/>
  <c r="M306" i="1"/>
  <c r="L306" i="1" s="1"/>
  <c r="W305" i="1"/>
  <c r="V305" i="1"/>
  <c r="T305" i="1"/>
  <c r="S305" i="1"/>
  <c r="Q305" i="1" s="1"/>
  <c r="R305" i="1"/>
  <c r="N305" i="1"/>
  <c r="M305" i="1"/>
  <c r="W304" i="1"/>
  <c r="V304" i="1"/>
  <c r="T304" i="1"/>
  <c r="S304" i="1"/>
  <c r="Q304" i="1" s="1"/>
  <c r="H304" i="1" s="1"/>
  <c r="N304" i="1"/>
  <c r="M304" i="1"/>
  <c r="L304" i="1"/>
  <c r="W303" i="1"/>
  <c r="V303" i="1"/>
  <c r="T303" i="1"/>
  <c r="U303" i="1" s="1"/>
  <c r="S303" i="1"/>
  <c r="Q303" i="1"/>
  <c r="N303" i="1"/>
  <c r="M303" i="1"/>
  <c r="W302" i="1"/>
  <c r="V302" i="1"/>
  <c r="T302" i="1"/>
  <c r="S302" i="1"/>
  <c r="Q302" i="1" s="1"/>
  <c r="H302" i="1" s="1"/>
  <c r="N302" i="1"/>
  <c r="M302" i="1"/>
  <c r="L302" i="1" s="1"/>
  <c r="W301" i="1"/>
  <c r="V301" i="1"/>
  <c r="T301" i="1"/>
  <c r="S301" i="1"/>
  <c r="Q301" i="1" s="1"/>
  <c r="N301" i="1"/>
  <c r="M301" i="1"/>
  <c r="W300" i="1"/>
  <c r="V300" i="1"/>
  <c r="T300" i="1"/>
  <c r="U300" i="1" s="1"/>
  <c r="S300" i="1"/>
  <c r="Q300" i="1" s="1"/>
  <c r="N300" i="1"/>
  <c r="M300" i="1"/>
  <c r="W299" i="1"/>
  <c r="V299" i="1"/>
  <c r="T299" i="1"/>
  <c r="S299" i="1"/>
  <c r="Q299" i="1"/>
  <c r="N299" i="1"/>
  <c r="M299" i="1"/>
  <c r="W298" i="1"/>
  <c r="V298" i="1"/>
  <c r="T298" i="1"/>
  <c r="S298" i="1"/>
  <c r="Q298" i="1" s="1"/>
  <c r="R298" i="1"/>
  <c r="N298" i="1"/>
  <c r="M298" i="1"/>
  <c r="K298" i="1"/>
  <c r="H298" i="1"/>
  <c r="W297" i="1"/>
  <c r="V297" i="1"/>
  <c r="T297" i="1"/>
  <c r="S297" i="1"/>
  <c r="Q297" i="1"/>
  <c r="K297" i="1" s="1"/>
  <c r="N297" i="1"/>
  <c r="M297" i="1"/>
  <c r="W296" i="1"/>
  <c r="V296" i="1"/>
  <c r="T296" i="1"/>
  <c r="S296" i="1"/>
  <c r="Q296" i="1" s="1"/>
  <c r="K296" i="1" s="1"/>
  <c r="N296" i="1"/>
  <c r="M296" i="1"/>
  <c r="H296" i="1"/>
  <c r="W295" i="1"/>
  <c r="V295" i="1"/>
  <c r="T295" i="1"/>
  <c r="U295" i="1" s="1"/>
  <c r="S295" i="1"/>
  <c r="Q295" i="1" s="1"/>
  <c r="H295" i="1" s="1"/>
  <c r="N295" i="1"/>
  <c r="M295" i="1"/>
  <c r="W294" i="1"/>
  <c r="V294" i="1"/>
  <c r="T294" i="1"/>
  <c r="S294" i="1"/>
  <c r="Q294" i="1" s="1"/>
  <c r="H294" i="1" s="1"/>
  <c r="R294" i="1"/>
  <c r="N294" i="1"/>
  <c r="M294" i="1"/>
  <c r="L294" i="1" s="1"/>
  <c r="W293" i="1"/>
  <c r="V293" i="1"/>
  <c r="T293" i="1"/>
  <c r="S293" i="1"/>
  <c r="Q293" i="1" s="1"/>
  <c r="N293" i="1"/>
  <c r="L293" i="1" s="1"/>
  <c r="M293" i="1"/>
  <c r="W292" i="1"/>
  <c r="V292" i="1"/>
  <c r="T292" i="1"/>
  <c r="U292" i="1" s="1"/>
  <c r="S292" i="1"/>
  <c r="Q292" i="1" s="1"/>
  <c r="N292" i="1"/>
  <c r="L292" i="1" s="1"/>
  <c r="M292" i="1"/>
  <c r="W291" i="1"/>
  <c r="V291" i="1"/>
  <c r="T291" i="1"/>
  <c r="S291" i="1"/>
  <c r="Q291" i="1"/>
  <c r="N291" i="1"/>
  <c r="M291" i="1"/>
  <c r="W290" i="1"/>
  <c r="V290" i="1"/>
  <c r="T290" i="1"/>
  <c r="S290" i="1"/>
  <c r="Q290" i="1" s="1"/>
  <c r="K290" i="1" s="1"/>
  <c r="N290" i="1"/>
  <c r="M290" i="1"/>
  <c r="W289" i="1"/>
  <c r="V289" i="1"/>
  <c r="T289" i="1"/>
  <c r="S289" i="1"/>
  <c r="Q289" i="1" s="1"/>
  <c r="R289" i="1" s="1"/>
  <c r="N289" i="1"/>
  <c r="M289" i="1"/>
  <c r="L289" i="1"/>
  <c r="W288" i="1"/>
  <c r="V288" i="1"/>
  <c r="T288" i="1"/>
  <c r="S288" i="1"/>
  <c r="Q288" i="1" s="1"/>
  <c r="R288" i="1" s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R286" i="1" s="1"/>
  <c r="N286" i="1"/>
  <c r="M286" i="1"/>
  <c r="L286" i="1" s="1"/>
  <c r="W285" i="1"/>
  <c r="V285" i="1"/>
  <c r="T285" i="1"/>
  <c r="U285" i="1" s="1"/>
  <c r="S285" i="1"/>
  <c r="Q285" i="1" s="1"/>
  <c r="N285" i="1"/>
  <c r="M285" i="1"/>
  <c r="L285" i="1" s="1"/>
  <c r="W284" i="1"/>
  <c r="V284" i="1"/>
  <c r="T284" i="1"/>
  <c r="U284" i="1" s="1"/>
  <c r="S284" i="1"/>
  <c r="Q284" i="1" s="1"/>
  <c r="N284" i="1"/>
  <c r="M284" i="1"/>
  <c r="L284" i="1"/>
  <c r="W283" i="1"/>
  <c r="V283" i="1"/>
  <c r="T283" i="1"/>
  <c r="S283" i="1"/>
  <c r="Q283" i="1" s="1"/>
  <c r="H283" i="1" s="1"/>
  <c r="N283" i="1"/>
  <c r="M283" i="1"/>
  <c r="L283" i="1" s="1"/>
  <c r="W282" i="1"/>
  <c r="V282" i="1"/>
  <c r="T282" i="1"/>
  <c r="S282" i="1"/>
  <c r="Q282" i="1" s="1"/>
  <c r="R282" i="1" s="1"/>
  <c r="N282" i="1"/>
  <c r="M282" i="1"/>
  <c r="L282" i="1" s="1"/>
  <c r="K282" i="1"/>
  <c r="W281" i="1"/>
  <c r="V281" i="1"/>
  <c r="T281" i="1"/>
  <c r="S281" i="1"/>
  <c r="Q281" i="1"/>
  <c r="K281" i="1" s="1"/>
  <c r="N281" i="1"/>
  <c r="M281" i="1"/>
  <c r="W280" i="1"/>
  <c r="V280" i="1"/>
  <c r="U280" i="1"/>
  <c r="T280" i="1"/>
  <c r="S280" i="1"/>
  <c r="Q280" i="1" s="1"/>
  <c r="R280" i="1"/>
  <c r="N280" i="1"/>
  <c r="M280" i="1"/>
  <c r="W279" i="1"/>
  <c r="V279" i="1"/>
  <c r="T279" i="1"/>
  <c r="S279" i="1"/>
  <c r="Q279" i="1" s="1"/>
  <c r="N279" i="1"/>
  <c r="M279" i="1"/>
  <c r="L279" i="1" s="1"/>
  <c r="W278" i="1"/>
  <c r="V278" i="1"/>
  <c r="T278" i="1"/>
  <c r="U278" i="1" s="1"/>
  <c r="S278" i="1"/>
  <c r="Q278" i="1" s="1"/>
  <c r="H278" i="1" s="1"/>
  <c r="N278" i="1"/>
  <c r="M278" i="1"/>
  <c r="W277" i="1"/>
  <c r="V277" i="1"/>
  <c r="T277" i="1"/>
  <c r="U277" i="1" s="1"/>
  <c r="S277" i="1"/>
  <c r="Q277" i="1" s="1"/>
  <c r="N277" i="1"/>
  <c r="M277" i="1"/>
  <c r="W276" i="1"/>
  <c r="V276" i="1"/>
  <c r="T276" i="1"/>
  <c r="S276" i="1"/>
  <c r="Q276" i="1" s="1"/>
  <c r="N276" i="1"/>
  <c r="M276" i="1"/>
  <c r="L276" i="1" s="1"/>
  <c r="W275" i="1"/>
  <c r="V275" i="1"/>
  <c r="T275" i="1"/>
  <c r="S275" i="1"/>
  <c r="Q275" i="1" s="1"/>
  <c r="N275" i="1"/>
  <c r="M275" i="1"/>
  <c r="L275" i="1" s="1"/>
  <c r="W274" i="1"/>
  <c r="V274" i="1"/>
  <c r="T274" i="1"/>
  <c r="S274" i="1"/>
  <c r="Q274" i="1" s="1"/>
  <c r="K274" i="1" s="1"/>
  <c r="N274" i="1"/>
  <c r="M274" i="1"/>
  <c r="W273" i="1"/>
  <c r="V273" i="1"/>
  <c r="T273" i="1"/>
  <c r="U273" i="1" s="1"/>
  <c r="S273" i="1"/>
  <c r="Q273" i="1" s="1"/>
  <c r="N273" i="1"/>
  <c r="L273" i="1" s="1"/>
  <c r="M273" i="1"/>
  <c r="W272" i="1"/>
  <c r="V272" i="1"/>
  <c r="T272" i="1"/>
  <c r="U272" i="1" s="1"/>
  <c r="S272" i="1"/>
  <c r="Q272" i="1" s="1"/>
  <c r="N272" i="1"/>
  <c r="M272" i="1"/>
  <c r="L272" i="1" s="1"/>
  <c r="W271" i="1"/>
  <c r="V271" i="1"/>
  <c r="T271" i="1"/>
  <c r="S271" i="1"/>
  <c r="Q271" i="1"/>
  <c r="N271" i="1"/>
  <c r="M271" i="1"/>
  <c r="W270" i="1"/>
  <c r="V270" i="1"/>
  <c r="T270" i="1"/>
  <c r="S270" i="1"/>
  <c r="Q270" i="1" s="1"/>
  <c r="H270" i="1" s="1"/>
  <c r="R270" i="1"/>
  <c r="N270" i="1"/>
  <c r="M270" i="1"/>
  <c r="W269" i="1"/>
  <c r="V269" i="1"/>
  <c r="T269" i="1"/>
  <c r="S269" i="1"/>
  <c r="Q269" i="1"/>
  <c r="N269" i="1"/>
  <c r="M269" i="1"/>
  <c r="W268" i="1"/>
  <c r="V268" i="1"/>
  <c r="T268" i="1"/>
  <c r="U268" i="1" s="1"/>
  <c r="S268" i="1"/>
  <c r="Q268" i="1" s="1"/>
  <c r="N268" i="1"/>
  <c r="M268" i="1"/>
  <c r="W267" i="1"/>
  <c r="V267" i="1"/>
  <c r="T267" i="1"/>
  <c r="S267" i="1"/>
  <c r="Q267" i="1" s="1"/>
  <c r="N267" i="1"/>
  <c r="L267" i="1" s="1"/>
  <c r="M267" i="1"/>
  <c r="W266" i="1"/>
  <c r="V266" i="1"/>
  <c r="T266" i="1"/>
  <c r="U266" i="1" s="1"/>
  <c r="S266" i="1"/>
  <c r="Q266" i="1" s="1"/>
  <c r="K266" i="1" s="1"/>
  <c r="R266" i="1"/>
  <c r="N266" i="1"/>
  <c r="M266" i="1"/>
  <c r="L266" i="1" s="1"/>
  <c r="W265" i="1"/>
  <c r="V265" i="1"/>
  <c r="T265" i="1"/>
  <c r="U265" i="1" s="1"/>
  <c r="S265" i="1"/>
  <c r="Q265" i="1" s="1"/>
  <c r="N265" i="1"/>
  <c r="M265" i="1"/>
  <c r="L265" i="1" s="1"/>
  <c r="W264" i="1"/>
  <c r="V264" i="1"/>
  <c r="U264" i="1" s="1"/>
  <c r="T264" i="1"/>
  <c r="S264" i="1"/>
  <c r="Q264" i="1" s="1"/>
  <c r="N264" i="1"/>
  <c r="M264" i="1"/>
  <c r="W263" i="1"/>
  <c r="V263" i="1"/>
  <c r="T263" i="1"/>
  <c r="S263" i="1"/>
  <c r="Q263" i="1" s="1"/>
  <c r="N263" i="1"/>
  <c r="M263" i="1"/>
  <c r="L263" i="1" s="1"/>
  <c r="W262" i="1"/>
  <c r="V262" i="1"/>
  <c r="T262" i="1"/>
  <c r="S262" i="1"/>
  <c r="Q262" i="1" s="1"/>
  <c r="R262" i="1"/>
  <c r="N262" i="1"/>
  <c r="L262" i="1" s="1"/>
  <c r="M262" i="1"/>
  <c r="W261" i="1"/>
  <c r="V261" i="1"/>
  <c r="T261" i="1"/>
  <c r="U261" i="1" s="1"/>
  <c r="S261" i="1"/>
  <c r="Q261" i="1" s="1"/>
  <c r="N261" i="1"/>
  <c r="M261" i="1"/>
  <c r="W260" i="1"/>
  <c r="V260" i="1"/>
  <c r="T260" i="1"/>
  <c r="S260" i="1"/>
  <c r="Q260" i="1" s="1"/>
  <c r="H260" i="1" s="1"/>
  <c r="N260" i="1"/>
  <c r="M260" i="1"/>
  <c r="W259" i="1"/>
  <c r="V259" i="1"/>
  <c r="T259" i="1"/>
  <c r="S259" i="1"/>
  <c r="Q259" i="1" s="1"/>
  <c r="H259" i="1" s="1"/>
  <c r="N259" i="1"/>
  <c r="M259" i="1"/>
  <c r="W258" i="1"/>
  <c r="V258" i="1"/>
  <c r="T258" i="1"/>
  <c r="S258" i="1"/>
  <c r="Q258" i="1" s="1"/>
  <c r="K258" i="1" s="1"/>
  <c r="N258" i="1"/>
  <c r="M258" i="1"/>
  <c r="W257" i="1"/>
  <c r="V257" i="1"/>
  <c r="T257" i="1"/>
  <c r="S257" i="1"/>
  <c r="Q257" i="1" s="1"/>
  <c r="R257" i="1" s="1"/>
  <c r="N257" i="1"/>
  <c r="M257" i="1"/>
  <c r="W256" i="1"/>
  <c r="V256" i="1"/>
  <c r="U256" i="1"/>
  <c r="T256" i="1"/>
  <c r="S256" i="1"/>
  <c r="Q256" i="1" s="1"/>
  <c r="R256" i="1" s="1"/>
  <c r="N256" i="1"/>
  <c r="M256" i="1"/>
  <c r="W255" i="1"/>
  <c r="V255" i="1"/>
  <c r="T255" i="1"/>
  <c r="U255" i="1" s="1"/>
  <c r="S255" i="1"/>
  <c r="Q255" i="1" s="1"/>
  <c r="N255" i="1"/>
  <c r="M255" i="1"/>
  <c r="W254" i="1"/>
  <c r="V254" i="1"/>
  <c r="T254" i="1"/>
  <c r="U254" i="1" s="1"/>
  <c r="S254" i="1"/>
  <c r="Q254" i="1" s="1"/>
  <c r="H254" i="1" s="1"/>
  <c r="R254" i="1"/>
  <c r="N254" i="1"/>
  <c r="M254" i="1"/>
  <c r="L254" i="1" s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N251" i="1"/>
  <c r="L251" i="1" s="1"/>
  <c r="M251" i="1"/>
  <c r="W250" i="1"/>
  <c r="V250" i="1"/>
  <c r="T250" i="1"/>
  <c r="S250" i="1"/>
  <c r="Q250" i="1" s="1"/>
  <c r="N250" i="1"/>
  <c r="M250" i="1"/>
  <c r="W249" i="1"/>
  <c r="V249" i="1"/>
  <c r="T249" i="1"/>
  <c r="U249" i="1" s="1"/>
  <c r="S249" i="1"/>
  <c r="Q249" i="1"/>
  <c r="N249" i="1"/>
  <c r="M249" i="1"/>
  <c r="L249" i="1" s="1"/>
  <c r="W248" i="1"/>
  <c r="V248" i="1"/>
  <c r="T248" i="1"/>
  <c r="S248" i="1"/>
  <c r="Q248" i="1" s="1"/>
  <c r="N248" i="1"/>
  <c r="M248" i="1"/>
  <c r="L248" i="1" s="1"/>
  <c r="W247" i="1"/>
  <c r="V247" i="1"/>
  <c r="T247" i="1"/>
  <c r="S247" i="1"/>
  <c r="Q247" i="1" s="1"/>
  <c r="N247" i="1"/>
  <c r="M247" i="1"/>
  <c r="L247" i="1" s="1"/>
  <c r="W246" i="1"/>
  <c r="V246" i="1"/>
  <c r="U246" i="1"/>
  <c r="T246" i="1"/>
  <c r="S246" i="1"/>
  <c r="Q246" i="1"/>
  <c r="N246" i="1"/>
  <c r="M246" i="1"/>
  <c r="K246" i="1"/>
  <c r="W245" i="1"/>
  <c r="V245" i="1"/>
  <c r="T245" i="1"/>
  <c r="S245" i="1"/>
  <c r="Q245" i="1"/>
  <c r="H245" i="1" s="1"/>
  <c r="N245" i="1"/>
  <c r="M245" i="1"/>
  <c r="L245" i="1" s="1"/>
  <c r="W244" i="1"/>
  <c r="V244" i="1"/>
  <c r="T244" i="1"/>
  <c r="S244" i="1"/>
  <c r="Q244" i="1"/>
  <c r="N244" i="1"/>
  <c r="M244" i="1"/>
  <c r="L244" i="1" s="1"/>
  <c r="W243" i="1"/>
  <c r="V243" i="1"/>
  <c r="U243" i="1"/>
  <c r="T243" i="1"/>
  <c r="S243" i="1"/>
  <c r="Q243" i="1" s="1"/>
  <c r="K243" i="1" s="1"/>
  <c r="N243" i="1"/>
  <c r="M243" i="1"/>
  <c r="L243" i="1" s="1"/>
  <c r="W242" i="1"/>
  <c r="V242" i="1"/>
  <c r="U242" i="1" s="1"/>
  <c r="T242" i="1"/>
  <c r="S242" i="1"/>
  <c r="Q242" i="1" s="1"/>
  <c r="K242" i="1" s="1"/>
  <c r="N242" i="1"/>
  <c r="M242" i="1"/>
  <c r="W241" i="1"/>
  <c r="V241" i="1"/>
  <c r="T241" i="1"/>
  <c r="U241" i="1" s="1"/>
  <c r="S241" i="1"/>
  <c r="Q241" i="1" s="1"/>
  <c r="N241" i="1"/>
  <c r="M241" i="1"/>
  <c r="L241" i="1" s="1"/>
  <c r="W240" i="1"/>
  <c r="V240" i="1"/>
  <c r="T240" i="1"/>
  <c r="U240" i="1" s="1"/>
  <c r="S240" i="1"/>
  <c r="Q240" i="1" s="1"/>
  <c r="K240" i="1" s="1"/>
  <c r="N240" i="1"/>
  <c r="M240" i="1"/>
  <c r="W239" i="1"/>
  <c r="V239" i="1"/>
  <c r="T239" i="1"/>
  <c r="U239" i="1" s="1"/>
  <c r="S239" i="1"/>
  <c r="Q239" i="1" s="1"/>
  <c r="K239" i="1" s="1"/>
  <c r="N239" i="1"/>
  <c r="M239" i="1"/>
  <c r="L239" i="1" s="1"/>
  <c r="W238" i="1"/>
  <c r="V238" i="1"/>
  <c r="T238" i="1"/>
  <c r="U238" i="1" s="1"/>
  <c r="S238" i="1"/>
  <c r="Q238" i="1"/>
  <c r="N238" i="1"/>
  <c r="M238" i="1"/>
  <c r="W237" i="1"/>
  <c r="V237" i="1"/>
  <c r="T237" i="1"/>
  <c r="U237" i="1" s="1"/>
  <c r="S237" i="1"/>
  <c r="Q237" i="1" s="1"/>
  <c r="R237" i="1" s="1"/>
  <c r="N237" i="1"/>
  <c r="M237" i="1"/>
  <c r="L237" i="1" s="1"/>
  <c r="W236" i="1"/>
  <c r="V236" i="1"/>
  <c r="T236" i="1"/>
  <c r="S236" i="1"/>
  <c r="Q236" i="1" s="1"/>
  <c r="N236" i="1"/>
  <c r="M236" i="1"/>
  <c r="L236" i="1"/>
  <c r="W235" i="1"/>
  <c r="V235" i="1"/>
  <c r="T235" i="1"/>
  <c r="U235" i="1" s="1"/>
  <c r="S235" i="1"/>
  <c r="Q235" i="1" s="1"/>
  <c r="N235" i="1"/>
  <c r="M235" i="1"/>
  <c r="L235" i="1" s="1"/>
  <c r="W234" i="1"/>
  <c r="V234" i="1"/>
  <c r="T234" i="1"/>
  <c r="S234" i="1"/>
  <c r="Q234" i="1"/>
  <c r="N234" i="1"/>
  <c r="M234" i="1"/>
  <c r="L234" i="1" s="1"/>
  <c r="K234" i="1"/>
  <c r="W233" i="1"/>
  <c r="V233" i="1"/>
  <c r="T233" i="1"/>
  <c r="S233" i="1"/>
  <c r="Q233" i="1" s="1"/>
  <c r="N233" i="1"/>
  <c r="M233" i="1"/>
  <c r="L233" i="1" s="1"/>
  <c r="W232" i="1"/>
  <c r="V232" i="1"/>
  <c r="U232" i="1"/>
  <c r="T232" i="1"/>
  <c r="S232" i="1"/>
  <c r="Q232" i="1" s="1"/>
  <c r="K232" i="1" s="1"/>
  <c r="N232" i="1"/>
  <c r="M232" i="1"/>
  <c r="L232" i="1"/>
  <c r="W231" i="1"/>
  <c r="V231" i="1"/>
  <c r="T231" i="1"/>
  <c r="S231" i="1"/>
  <c r="Q231" i="1" s="1"/>
  <c r="N231" i="1"/>
  <c r="M231" i="1"/>
  <c r="L231" i="1"/>
  <c r="W230" i="1"/>
  <c r="V230" i="1"/>
  <c r="T230" i="1"/>
  <c r="S230" i="1"/>
  <c r="Q230" i="1" s="1"/>
  <c r="N230" i="1"/>
  <c r="M230" i="1"/>
  <c r="W229" i="1"/>
  <c r="V229" i="1"/>
  <c r="T229" i="1"/>
  <c r="U229" i="1" s="1"/>
  <c r="S229" i="1"/>
  <c r="Q229" i="1" s="1"/>
  <c r="N229" i="1"/>
  <c r="L229" i="1" s="1"/>
  <c r="M229" i="1"/>
  <c r="W228" i="1"/>
  <c r="V228" i="1"/>
  <c r="T228" i="1"/>
  <c r="U228" i="1" s="1"/>
  <c r="S228" i="1"/>
  <c r="Q228" i="1"/>
  <c r="N228" i="1"/>
  <c r="M228" i="1"/>
  <c r="W227" i="1"/>
  <c r="V227" i="1"/>
  <c r="T227" i="1"/>
  <c r="U227" i="1" s="1"/>
  <c r="S227" i="1"/>
  <c r="Q227" i="1" s="1"/>
  <c r="N227" i="1"/>
  <c r="M227" i="1"/>
  <c r="W226" i="1"/>
  <c r="V226" i="1"/>
  <c r="T226" i="1"/>
  <c r="S226" i="1"/>
  <c r="Q226" i="1"/>
  <c r="K226" i="1" s="1"/>
  <c r="N226" i="1"/>
  <c r="M226" i="1"/>
  <c r="W225" i="1"/>
  <c r="V225" i="1"/>
  <c r="T225" i="1"/>
  <c r="S225" i="1"/>
  <c r="Q225" i="1"/>
  <c r="N225" i="1"/>
  <c r="L225" i="1" s="1"/>
  <c r="M225" i="1"/>
  <c r="W224" i="1"/>
  <c r="V224" i="1"/>
  <c r="T224" i="1"/>
  <c r="S224" i="1"/>
  <c r="Q224" i="1"/>
  <c r="N224" i="1"/>
  <c r="M224" i="1"/>
  <c r="L224" i="1" s="1"/>
  <c r="K224" i="1"/>
  <c r="W223" i="1"/>
  <c r="V223" i="1"/>
  <c r="T223" i="1"/>
  <c r="S223" i="1"/>
  <c r="Q223" i="1"/>
  <c r="N223" i="1"/>
  <c r="M223" i="1"/>
  <c r="K223" i="1"/>
  <c r="W222" i="1"/>
  <c r="V222" i="1"/>
  <c r="T222" i="1"/>
  <c r="S222" i="1"/>
  <c r="Q222" i="1"/>
  <c r="N222" i="1"/>
  <c r="M222" i="1"/>
  <c r="W221" i="1"/>
  <c r="V221" i="1"/>
  <c r="T221" i="1"/>
  <c r="S221" i="1"/>
  <c r="Q221" i="1" s="1"/>
  <c r="R221" i="1" s="1"/>
  <c r="N221" i="1"/>
  <c r="M221" i="1"/>
  <c r="L221" i="1"/>
  <c r="K221" i="1"/>
  <c r="H221" i="1"/>
  <c r="W220" i="1"/>
  <c r="V220" i="1"/>
  <c r="T220" i="1"/>
  <c r="S220" i="1"/>
  <c r="Q220" i="1"/>
  <c r="N220" i="1"/>
  <c r="M220" i="1"/>
  <c r="W219" i="1"/>
  <c r="V219" i="1"/>
  <c r="U219" i="1" s="1"/>
  <c r="T219" i="1"/>
  <c r="S219" i="1"/>
  <c r="Q219" i="1"/>
  <c r="N219" i="1"/>
  <c r="L219" i="1" s="1"/>
  <c r="M219" i="1"/>
  <c r="W218" i="1"/>
  <c r="V218" i="1"/>
  <c r="T218" i="1"/>
  <c r="S218" i="1"/>
  <c r="Q218" i="1"/>
  <c r="N218" i="1"/>
  <c r="M218" i="1"/>
  <c r="L218" i="1" s="1"/>
  <c r="K218" i="1"/>
  <c r="W217" i="1"/>
  <c r="V217" i="1"/>
  <c r="T217" i="1"/>
  <c r="S217" i="1"/>
  <c r="Q217" i="1" s="1"/>
  <c r="N217" i="1"/>
  <c r="M217" i="1"/>
  <c r="L217" i="1" s="1"/>
  <c r="W216" i="1"/>
  <c r="V216" i="1"/>
  <c r="U216" i="1" s="1"/>
  <c r="T216" i="1"/>
  <c r="S216" i="1"/>
  <c r="Q216" i="1" s="1"/>
  <c r="K216" i="1" s="1"/>
  <c r="N216" i="1"/>
  <c r="M216" i="1"/>
  <c r="L216" i="1" s="1"/>
  <c r="W215" i="1"/>
  <c r="V215" i="1"/>
  <c r="U215" i="1" s="1"/>
  <c r="T215" i="1"/>
  <c r="S215" i="1"/>
  <c r="Q215" i="1"/>
  <c r="N215" i="1"/>
  <c r="M215" i="1"/>
  <c r="L215" i="1"/>
  <c r="W214" i="1"/>
  <c r="V214" i="1"/>
  <c r="T214" i="1"/>
  <c r="S214" i="1"/>
  <c r="Q214" i="1"/>
  <c r="N214" i="1"/>
  <c r="M214" i="1"/>
  <c r="W213" i="1"/>
  <c r="V213" i="1"/>
  <c r="T213" i="1"/>
  <c r="S213" i="1"/>
  <c r="Q213" i="1" s="1"/>
  <c r="N213" i="1"/>
  <c r="M213" i="1"/>
  <c r="L213" i="1"/>
  <c r="W212" i="1"/>
  <c r="V212" i="1"/>
  <c r="T212" i="1"/>
  <c r="S212" i="1"/>
  <c r="Q212" i="1"/>
  <c r="N212" i="1"/>
  <c r="M212" i="1"/>
  <c r="L212" i="1"/>
  <c r="W211" i="1"/>
  <c r="V211" i="1"/>
  <c r="T211" i="1"/>
  <c r="S211" i="1"/>
  <c r="Q211" i="1" s="1"/>
  <c r="N211" i="1"/>
  <c r="M211" i="1"/>
  <c r="L211" i="1"/>
  <c r="W210" i="1"/>
  <c r="V210" i="1"/>
  <c r="T210" i="1"/>
  <c r="S210" i="1"/>
  <c r="Q210" i="1" s="1"/>
  <c r="K210" i="1" s="1"/>
  <c r="N210" i="1"/>
  <c r="M210" i="1"/>
  <c r="L210" i="1"/>
  <c r="W209" i="1"/>
  <c r="V209" i="1"/>
  <c r="T209" i="1"/>
  <c r="S209" i="1"/>
  <c r="Q209" i="1" s="1"/>
  <c r="N209" i="1"/>
  <c r="M209" i="1"/>
  <c r="L209" i="1"/>
  <c r="W208" i="1"/>
  <c r="V208" i="1"/>
  <c r="T208" i="1"/>
  <c r="U208" i="1" s="1"/>
  <c r="S208" i="1"/>
  <c r="Q208" i="1" s="1"/>
  <c r="K208" i="1" s="1"/>
  <c r="N208" i="1"/>
  <c r="M208" i="1"/>
  <c r="W207" i="1"/>
  <c r="V207" i="1"/>
  <c r="T207" i="1"/>
  <c r="S207" i="1"/>
  <c r="Q207" i="1" s="1"/>
  <c r="K207" i="1" s="1"/>
  <c r="N207" i="1"/>
  <c r="L207" i="1" s="1"/>
  <c r="M207" i="1"/>
  <c r="W206" i="1"/>
  <c r="V206" i="1"/>
  <c r="U206" i="1"/>
  <c r="T206" i="1"/>
  <c r="S206" i="1"/>
  <c r="Q206" i="1" s="1"/>
  <c r="N206" i="1"/>
  <c r="M206" i="1"/>
  <c r="W205" i="1"/>
  <c r="V205" i="1"/>
  <c r="U205" i="1"/>
  <c r="T205" i="1"/>
  <c r="S205" i="1"/>
  <c r="Q205" i="1" s="1"/>
  <c r="R205" i="1" s="1"/>
  <c r="N205" i="1"/>
  <c r="L205" i="1" s="1"/>
  <c r="M205" i="1"/>
  <c r="W204" i="1"/>
  <c r="V204" i="1"/>
  <c r="T204" i="1"/>
  <c r="U204" i="1" s="1"/>
  <c r="S204" i="1"/>
  <c r="Q204" i="1" s="1"/>
  <c r="N204" i="1"/>
  <c r="M204" i="1"/>
  <c r="W203" i="1"/>
  <c r="V203" i="1"/>
  <c r="T203" i="1"/>
  <c r="S203" i="1"/>
  <c r="Q203" i="1" s="1"/>
  <c r="N203" i="1"/>
  <c r="L203" i="1" s="1"/>
  <c r="M203" i="1"/>
  <c r="W202" i="1"/>
  <c r="V202" i="1"/>
  <c r="T202" i="1"/>
  <c r="U202" i="1" s="1"/>
  <c r="S202" i="1"/>
  <c r="Q202" i="1"/>
  <c r="K202" i="1" s="1"/>
  <c r="N202" i="1"/>
  <c r="M202" i="1"/>
  <c r="W201" i="1"/>
  <c r="V201" i="1"/>
  <c r="T201" i="1"/>
  <c r="S201" i="1"/>
  <c r="Q201" i="1" s="1"/>
  <c r="N201" i="1"/>
  <c r="M201" i="1"/>
  <c r="W200" i="1"/>
  <c r="V200" i="1"/>
  <c r="U200" i="1"/>
  <c r="T200" i="1"/>
  <c r="S200" i="1"/>
  <c r="Q200" i="1" s="1"/>
  <c r="K200" i="1" s="1"/>
  <c r="N200" i="1"/>
  <c r="L200" i="1" s="1"/>
  <c r="M200" i="1"/>
  <c r="W199" i="1"/>
  <c r="V199" i="1"/>
  <c r="T199" i="1"/>
  <c r="U199" i="1" s="1"/>
  <c r="S199" i="1"/>
  <c r="Q199" i="1" s="1"/>
  <c r="N199" i="1"/>
  <c r="M199" i="1"/>
  <c r="L199" i="1" s="1"/>
  <c r="W198" i="1"/>
  <c r="V198" i="1"/>
  <c r="T198" i="1"/>
  <c r="U198" i="1" s="1"/>
  <c r="S198" i="1"/>
  <c r="Q198" i="1"/>
  <c r="N198" i="1"/>
  <c r="M198" i="1"/>
  <c r="W197" i="1"/>
  <c r="V197" i="1"/>
  <c r="T197" i="1"/>
  <c r="U197" i="1" s="1"/>
  <c r="S197" i="1"/>
  <c r="Q197" i="1" s="1"/>
  <c r="N197" i="1"/>
  <c r="M197" i="1"/>
  <c r="L197" i="1" s="1"/>
  <c r="W196" i="1"/>
  <c r="V196" i="1"/>
  <c r="T196" i="1"/>
  <c r="U196" i="1" s="1"/>
  <c r="S196" i="1"/>
  <c r="Q196" i="1"/>
  <c r="N196" i="1"/>
  <c r="M196" i="1"/>
  <c r="W195" i="1"/>
  <c r="V195" i="1"/>
  <c r="T195" i="1"/>
  <c r="S195" i="1"/>
  <c r="Q195" i="1" s="1"/>
  <c r="R195" i="1" s="1"/>
  <c r="N195" i="1"/>
  <c r="M195" i="1"/>
  <c r="L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N193" i="1"/>
  <c r="M193" i="1"/>
  <c r="L193" i="1" s="1"/>
  <c r="W192" i="1"/>
  <c r="V192" i="1"/>
  <c r="U192" i="1" s="1"/>
  <c r="T192" i="1"/>
  <c r="S192" i="1"/>
  <c r="Q192" i="1" s="1"/>
  <c r="N192" i="1"/>
  <c r="M192" i="1"/>
  <c r="W191" i="1"/>
  <c r="V191" i="1"/>
  <c r="T191" i="1"/>
  <c r="U191" i="1" s="1"/>
  <c r="S191" i="1"/>
  <c r="Q191" i="1"/>
  <c r="R191" i="1" s="1"/>
  <c r="N191" i="1"/>
  <c r="L191" i="1" s="1"/>
  <c r="M191" i="1"/>
  <c r="W190" i="1"/>
  <c r="V190" i="1"/>
  <c r="T190" i="1"/>
  <c r="U190" i="1" s="1"/>
  <c r="S190" i="1"/>
  <c r="Q190" i="1"/>
  <c r="H190" i="1" s="1"/>
  <c r="N190" i="1"/>
  <c r="L190" i="1" s="1"/>
  <c r="M190" i="1"/>
  <c r="W189" i="1"/>
  <c r="V189" i="1"/>
  <c r="T189" i="1"/>
  <c r="U189" i="1" s="1"/>
  <c r="S189" i="1"/>
  <c r="Q189" i="1" s="1"/>
  <c r="N189" i="1"/>
  <c r="M189" i="1"/>
  <c r="W188" i="1"/>
  <c r="V188" i="1"/>
  <c r="T188" i="1"/>
  <c r="S188" i="1"/>
  <c r="Q188" i="1" s="1"/>
  <c r="N188" i="1"/>
  <c r="M188" i="1"/>
  <c r="K188" i="1"/>
  <c r="W187" i="1"/>
  <c r="V187" i="1"/>
  <c r="T187" i="1"/>
  <c r="S187" i="1"/>
  <c r="Q187" i="1"/>
  <c r="N187" i="1"/>
  <c r="M187" i="1"/>
  <c r="L187" i="1"/>
  <c r="W186" i="1"/>
  <c r="V186" i="1"/>
  <c r="T186" i="1"/>
  <c r="S186" i="1"/>
  <c r="Q186" i="1" s="1"/>
  <c r="R186" i="1" s="1"/>
  <c r="N186" i="1"/>
  <c r="M186" i="1"/>
  <c r="L186" i="1" s="1"/>
  <c r="W185" i="1"/>
  <c r="V185" i="1"/>
  <c r="U185" i="1" s="1"/>
  <c r="T185" i="1"/>
  <c r="S185" i="1"/>
  <c r="Q185" i="1" s="1"/>
  <c r="K185" i="1" s="1"/>
  <c r="N185" i="1"/>
  <c r="M185" i="1"/>
  <c r="L185" i="1" s="1"/>
  <c r="W184" i="1"/>
  <c r="V184" i="1"/>
  <c r="T184" i="1"/>
  <c r="U184" i="1" s="1"/>
  <c r="S184" i="1"/>
  <c r="Q184" i="1" s="1"/>
  <c r="N184" i="1"/>
  <c r="M184" i="1"/>
  <c r="L184" i="1" s="1"/>
  <c r="W183" i="1"/>
  <c r="V183" i="1"/>
  <c r="T183" i="1"/>
  <c r="S183" i="1"/>
  <c r="Q183" i="1" s="1"/>
  <c r="N183" i="1"/>
  <c r="M183" i="1"/>
  <c r="L183" i="1" s="1"/>
  <c r="W182" i="1"/>
  <c r="V182" i="1"/>
  <c r="T182" i="1"/>
  <c r="U182" i="1" s="1"/>
  <c r="S182" i="1"/>
  <c r="Q182" i="1" s="1"/>
  <c r="R182" i="1" s="1"/>
  <c r="N182" i="1"/>
  <c r="M182" i="1"/>
  <c r="W181" i="1"/>
  <c r="V181" i="1"/>
  <c r="U181" i="1" s="1"/>
  <c r="T181" i="1"/>
  <c r="S181" i="1"/>
  <c r="Q181" i="1" s="1"/>
  <c r="N181" i="1"/>
  <c r="M181" i="1"/>
  <c r="L181" i="1" s="1"/>
  <c r="H181" i="1"/>
  <c r="W180" i="1"/>
  <c r="V180" i="1"/>
  <c r="U180" i="1" s="1"/>
  <c r="T180" i="1"/>
  <c r="S180" i="1"/>
  <c r="Q180" i="1" s="1"/>
  <c r="N180" i="1"/>
  <c r="M180" i="1"/>
  <c r="L180" i="1" s="1"/>
  <c r="W179" i="1"/>
  <c r="V179" i="1"/>
  <c r="T179" i="1"/>
  <c r="S179" i="1"/>
  <c r="Q179" i="1" s="1"/>
  <c r="K179" i="1" s="1"/>
  <c r="N179" i="1"/>
  <c r="M179" i="1"/>
  <c r="L179" i="1"/>
  <c r="W178" i="1"/>
  <c r="V178" i="1"/>
  <c r="T178" i="1"/>
  <c r="S178" i="1"/>
  <c r="Q178" i="1" s="1"/>
  <c r="H178" i="1" s="1"/>
  <c r="N178" i="1"/>
  <c r="M178" i="1"/>
  <c r="W177" i="1"/>
  <c r="V177" i="1"/>
  <c r="U177" i="1"/>
  <c r="T177" i="1"/>
  <c r="S177" i="1"/>
  <c r="Q177" i="1" s="1"/>
  <c r="N177" i="1"/>
  <c r="L177" i="1" s="1"/>
  <c r="M177" i="1"/>
  <c r="W176" i="1"/>
  <c r="V176" i="1"/>
  <c r="T176" i="1"/>
  <c r="S176" i="1"/>
  <c r="Q176" i="1"/>
  <c r="K176" i="1" s="1"/>
  <c r="N176" i="1"/>
  <c r="L176" i="1" s="1"/>
  <c r="M176" i="1"/>
  <c r="W175" i="1"/>
  <c r="V175" i="1"/>
  <c r="T175" i="1"/>
  <c r="S175" i="1"/>
  <c r="Q175" i="1" s="1"/>
  <c r="N175" i="1"/>
  <c r="M175" i="1"/>
  <c r="W174" i="1"/>
  <c r="V174" i="1"/>
  <c r="T174" i="1"/>
  <c r="U174" i="1" s="1"/>
  <c r="S174" i="1"/>
  <c r="Q174" i="1" s="1"/>
  <c r="N174" i="1"/>
  <c r="L174" i="1" s="1"/>
  <c r="M174" i="1"/>
  <c r="W173" i="1"/>
  <c r="V173" i="1"/>
  <c r="T173" i="1"/>
  <c r="S173" i="1"/>
  <c r="Q173" i="1" s="1"/>
  <c r="N173" i="1"/>
  <c r="M173" i="1"/>
  <c r="L173" i="1" s="1"/>
  <c r="W172" i="1"/>
  <c r="V172" i="1"/>
  <c r="T172" i="1"/>
  <c r="U172" i="1" s="1"/>
  <c r="S172" i="1"/>
  <c r="Q172" i="1" s="1"/>
  <c r="N172" i="1"/>
  <c r="M172" i="1"/>
  <c r="L172" i="1" s="1"/>
  <c r="W171" i="1"/>
  <c r="V171" i="1"/>
  <c r="T171" i="1"/>
  <c r="S171" i="1"/>
  <c r="Q171" i="1" s="1"/>
  <c r="R171" i="1" s="1"/>
  <c r="N171" i="1"/>
  <c r="M171" i="1"/>
  <c r="L171" i="1" s="1"/>
  <c r="W170" i="1"/>
  <c r="V170" i="1"/>
  <c r="T170" i="1"/>
  <c r="S170" i="1"/>
  <c r="Q170" i="1" s="1"/>
  <c r="H170" i="1" s="1"/>
  <c r="N170" i="1"/>
  <c r="M170" i="1"/>
  <c r="K170" i="1"/>
  <c r="W169" i="1"/>
  <c r="V169" i="1"/>
  <c r="T169" i="1"/>
  <c r="S169" i="1"/>
  <c r="Q169" i="1" s="1"/>
  <c r="K169" i="1" s="1"/>
  <c r="N169" i="1"/>
  <c r="L169" i="1" s="1"/>
  <c r="M169" i="1"/>
  <c r="W168" i="1"/>
  <c r="V168" i="1"/>
  <c r="T168" i="1"/>
  <c r="U168" i="1" s="1"/>
  <c r="S168" i="1"/>
  <c r="Q168" i="1" s="1"/>
  <c r="N168" i="1"/>
  <c r="M168" i="1"/>
  <c r="W167" i="1"/>
  <c r="V167" i="1"/>
  <c r="T167" i="1"/>
  <c r="S167" i="1"/>
  <c r="Q167" i="1" s="1"/>
  <c r="N167" i="1"/>
  <c r="M167" i="1"/>
  <c r="L167" i="1" s="1"/>
  <c r="W166" i="1"/>
  <c r="V166" i="1"/>
  <c r="T166" i="1"/>
  <c r="U166" i="1" s="1"/>
  <c r="S166" i="1"/>
  <c r="Q166" i="1" s="1"/>
  <c r="R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N164" i="1"/>
  <c r="M164" i="1"/>
  <c r="L164" i="1" s="1"/>
  <c r="W163" i="1"/>
  <c r="V163" i="1"/>
  <c r="T163" i="1"/>
  <c r="U163" i="1" s="1"/>
  <c r="S163" i="1"/>
  <c r="Q163" i="1" s="1"/>
  <c r="H163" i="1" s="1"/>
  <c r="N163" i="1"/>
  <c r="L163" i="1" s="1"/>
  <c r="M163" i="1"/>
  <c r="W162" i="1"/>
  <c r="V162" i="1"/>
  <c r="U162" i="1" s="1"/>
  <c r="T162" i="1"/>
  <c r="S162" i="1"/>
  <c r="Q162" i="1" s="1"/>
  <c r="R162" i="1" s="1"/>
  <c r="N162" i="1"/>
  <c r="M162" i="1"/>
  <c r="L162" i="1" s="1"/>
  <c r="W161" i="1"/>
  <c r="V161" i="1"/>
  <c r="T161" i="1"/>
  <c r="S161" i="1"/>
  <c r="Q161" i="1" s="1"/>
  <c r="K161" i="1" s="1"/>
  <c r="N161" i="1"/>
  <c r="M161" i="1"/>
  <c r="L161" i="1" s="1"/>
  <c r="W160" i="1"/>
  <c r="V160" i="1"/>
  <c r="T160" i="1"/>
  <c r="S160" i="1"/>
  <c r="Q160" i="1" s="1"/>
  <c r="K160" i="1" s="1"/>
  <c r="N160" i="1"/>
  <c r="M160" i="1"/>
  <c r="W159" i="1"/>
  <c r="V159" i="1"/>
  <c r="T159" i="1"/>
  <c r="S159" i="1"/>
  <c r="Q159" i="1" s="1"/>
  <c r="N159" i="1"/>
  <c r="M159" i="1"/>
  <c r="L159" i="1" s="1"/>
  <c r="H159" i="1"/>
  <c r="W158" i="1"/>
  <c r="V158" i="1"/>
  <c r="T158" i="1"/>
  <c r="S158" i="1"/>
  <c r="Q158" i="1" s="1"/>
  <c r="H158" i="1" s="1"/>
  <c r="N158" i="1"/>
  <c r="M158" i="1"/>
  <c r="L158" i="1" s="1"/>
  <c r="K158" i="1"/>
  <c r="W157" i="1"/>
  <c r="V157" i="1"/>
  <c r="T157" i="1"/>
  <c r="S157" i="1"/>
  <c r="Q157" i="1"/>
  <c r="N157" i="1"/>
  <c r="M157" i="1"/>
  <c r="W156" i="1"/>
  <c r="V156" i="1"/>
  <c r="T156" i="1"/>
  <c r="S156" i="1"/>
  <c r="Q156" i="1" s="1"/>
  <c r="N156" i="1"/>
  <c r="M156" i="1"/>
  <c r="L156" i="1" s="1"/>
  <c r="W155" i="1"/>
  <c r="V155" i="1"/>
  <c r="T155" i="1"/>
  <c r="U155" i="1" s="1"/>
  <c r="S155" i="1"/>
  <c r="Q155" i="1"/>
  <c r="N155" i="1"/>
  <c r="L155" i="1" s="1"/>
  <c r="M155" i="1"/>
  <c r="W154" i="1"/>
  <c r="V154" i="1"/>
  <c r="T154" i="1"/>
  <c r="S154" i="1"/>
  <c r="Q154" i="1" s="1"/>
  <c r="N154" i="1"/>
  <c r="M154" i="1"/>
  <c r="L154" i="1" s="1"/>
  <c r="W153" i="1"/>
  <c r="V153" i="1"/>
  <c r="T153" i="1"/>
  <c r="S153" i="1"/>
  <c r="Q153" i="1" s="1"/>
  <c r="R153" i="1" s="1"/>
  <c r="N153" i="1"/>
  <c r="L153" i="1" s="1"/>
  <c r="M153" i="1"/>
  <c r="W152" i="1"/>
  <c r="V152" i="1"/>
  <c r="U152" i="1" s="1"/>
  <c r="T152" i="1"/>
  <c r="S152" i="1"/>
  <c r="Q152" i="1" s="1"/>
  <c r="N152" i="1"/>
  <c r="M152" i="1"/>
  <c r="L152" i="1" s="1"/>
  <c r="W151" i="1"/>
  <c r="V151" i="1"/>
  <c r="T151" i="1"/>
  <c r="S151" i="1"/>
  <c r="Q151" i="1" s="1"/>
  <c r="N151" i="1"/>
  <c r="M151" i="1"/>
  <c r="L151" i="1" s="1"/>
  <c r="W150" i="1"/>
  <c r="V150" i="1"/>
  <c r="U150" i="1"/>
  <c r="T150" i="1"/>
  <c r="S150" i="1"/>
  <c r="Q150" i="1" s="1"/>
  <c r="N150" i="1"/>
  <c r="M150" i="1"/>
  <c r="W149" i="1"/>
  <c r="V149" i="1"/>
  <c r="T149" i="1"/>
  <c r="S149" i="1"/>
  <c r="Q149" i="1" s="1"/>
  <c r="N149" i="1"/>
  <c r="M149" i="1"/>
  <c r="W148" i="1"/>
  <c r="V148" i="1"/>
  <c r="T148" i="1"/>
  <c r="S148" i="1"/>
  <c r="Q148" i="1"/>
  <c r="N148" i="1"/>
  <c r="M148" i="1"/>
  <c r="W147" i="1"/>
  <c r="V147" i="1"/>
  <c r="T147" i="1"/>
  <c r="S147" i="1"/>
  <c r="Q147" i="1" s="1"/>
  <c r="N147" i="1"/>
  <c r="M147" i="1"/>
  <c r="L147" i="1" s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H145" i="1" s="1"/>
  <c r="N145" i="1"/>
  <c r="M145" i="1"/>
  <c r="W144" i="1"/>
  <c r="V144" i="1"/>
  <c r="T144" i="1"/>
  <c r="S144" i="1"/>
  <c r="Q144" i="1" s="1"/>
  <c r="H144" i="1" s="1"/>
  <c r="N144" i="1"/>
  <c r="M144" i="1"/>
  <c r="W143" i="1"/>
  <c r="V143" i="1"/>
  <c r="T143" i="1"/>
  <c r="U143" i="1" s="1"/>
  <c r="S143" i="1"/>
  <c r="Q143" i="1" s="1"/>
  <c r="R143" i="1" s="1"/>
  <c r="N143" i="1"/>
  <c r="M143" i="1"/>
  <c r="L143" i="1" s="1"/>
  <c r="W142" i="1"/>
  <c r="V142" i="1"/>
  <c r="T142" i="1"/>
  <c r="S142" i="1"/>
  <c r="Q142" i="1" s="1"/>
  <c r="N142" i="1"/>
  <c r="M142" i="1"/>
  <c r="W141" i="1"/>
  <c r="V141" i="1"/>
  <c r="T141" i="1"/>
  <c r="S141" i="1"/>
  <c r="Q141" i="1" s="1"/>
  <c r="K141" i="1" s="1"/>
  <c r="N141" i="1"/>
  <c r="M141" i="1"/>
  <c r="W140" i="1"/>
  <c r="V140" i="1"/>
  <c r="T140" i="1"/>
  <c r="U140" i="1" s="1"/>
  <c r="S140" i="1"/>
  <c r="Q140" i="1" s="1"/>
  <c r="H140" i="1" s="1"/>
  <c r="N140" i="1"/>
  <c r="M140" i="1"/>
  <c r="W139" i="1"/>
  <c r="V139" i="1"/>
  <c r="T139" i="1"/>
  <c r="U139" i="1" s="1"/>
  <c r="S139" i="1"/>
  <c r="Q139" i="1" s="1"/>
  <c r="N139" i="1"/>
  <c r="M139" i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N137" i="1"/>
  <c r="M137" i="1"/>
  <c r="W136" i="1"/>
  <c r="V136" i="1"/>
  <c r="T136" i="1"/>
  <c r="U136" i="1" s="1"/>
  <c r="S136" i="1"/>
  <c r="Q136" i="1" s="1"/>
  <c r="K136" i="1" s="1"/>
  <c r="N136" i="1"/>
  <c r="M136" i="1"/>
  <c r="W135" i="1"/>
  <c r="V135" i="1"/>
  <c r="T135" i="1"/>
  <c r="S135" i="1"/>
  <c r="Q135" i="1" s="1"/>
  <c r="R135" i="1" s="1"/>
  <c r="N135" i="1"/>
  <c r="M135" i="1"/>
  <c r="W134" i="1"/>
  <c r="V134" i="1"/>
  <c r="T134" i="1"/>
  <c r="S134" i="1"/>
  <c r="Q134" i="1" s="1"/>
  <c r="H134" i="1" s="1"/>
  <c r="N134" i="1"/>
  <c r="M134" i="1"/>
  <c r="L134" i="1" s="1"/>
  <c r="W133" i="1"/>
  <c r="V133" i="1"/>
  <c r="T133" i="1"/>
  <c r="S133" i="1"/>
  <c r="Q133" i="1" s="1"/>
  <c r="K133" i="1" s="1"/>
  <c r="N133" i="1"/>
  <c r="M133" i="1"/>
  <c r="W132" i="1"/>
  <c r="V132" i="1"/>
  <c r="T132" i="1"/>
  <c r="S132" i="1"/>
  <c r="Q132" i="1" s="1"/>
  <c r="K132" i="1" s="1"/>
  <c r="N132" i="1"/>
  <c r="L132" i="1" s="1"/>
  <c r="M132" i="1"/>
  <c r="W131" i="1"/>
  <c r="V131" i="1"/>
  <c r="T131" i="1"/>
  <c r="U131" i="1" s="1"/>
  <c r="S131" i="1"/>
  <c r="Q131" i="1" s="1"/>
  <c r="R131" i="1" s="1"/>
  <c r="N131" i="1"/>
  <c r="M131" i="1"/>
  <c r="W130" i="1"/>
  <c r="V130" i="1"/>
  <c r="T130" i="1"/>
  <c r="S130" i="1"/>
  <c r="Q130" i="1" s="1"/>
  <c r="N130" i="1"/>
  <c r="M130" i="1"/>
  <c r="H130" i="1"/>
  <c r="W129" i="1"/>
  <c r="V129" i="1"/>
  <c r="T129" i="1"/>
  <c r="S129" i="1"/>
  <c r="Q129" i="1" s="1"/>
  <c r="R129" i="1" s="1"/>
  <c r="N129" i="1"/>
  <c r="M129" i="1"/>
  <c r="L129" i="1"/>
  <c r="H129" i="1"/>
  <c r="W128" i="1"/>
  <c r="V128" i="1"/>
  <c r="T128" i="1"/>
  <c r="S128" i="1"/>
  <c r="Q128" i="1"/>
  <c r="K128" i="1" s="1"/>
  <c r="N128" i="1"/>
  <c r="L128" i="1" s="1"/>
  <c r="M128" i="1"/>
  <c r="H128" i="1"/>
  <c r="W127" i="1"/>
  <c r="V127" i="1"/>
  <c r="T127" i="1"/>
  <c r="S127" i="1"/>
  <c r="Q127" i="1" s="1"/>
  <c r="R127" i="1" s="1"/>
  <c r="N127" i="1"/>
  <c r="M127" i="1"/>
  <c r="L127" i="1" s="1"/>
  <c r="K127" i="1"/>
  <c r="W126" i="1"/>
  <c r="V126" i="1"/>
  <c r="T126" i="1"/>
  <c r="S126" i="1"/>
  <c r="Q126" i="1" s="1"/>
  <c r="K126" i="1" s="1"/>
  <c r="N126" i="1"/>
  <c r="M126" i="1"/>
  <c r="W125" i="1"/>
  <c r="V125" i="1"/>
  <c r="T125" i="1"/>
  <c r="S125" i="1"/>
  <c r="Q125" i="1" s="1"/>
  <c r="R125" i="1" s="1"/>
  <c r="N125" i="1"/>
  <c r="M125" i="1"/>
  <c r="W124" i="1"/>
  <c r="V124" i="1"/>
  <c r="T124" i="1"/>
  <c r="S124" i="1"/>
  <c r="Q124" i="1" s="1"/>
  <c r="N124" i="1"/>
  <c r="M124" i="1"/>
  <c r="L124" i="1" s="1"/>
  <c r="W123" i="1"/>
  <c r="V123" i="1"/>
  <c r="U123" i="1" s="1"/>
  <c r="T123" i="1"/>
  <c r="S123" i="1"/>
  <c r="Q123" i="1" s="1"/>
  <c r="R123" i="1" s="1"/>
  <c r="N123" i="1"/>
  <c r="L123" i="1" s="1"/>
  <c r="M123" i="1"/>
  <c r="W122" i="1"/>
  <c r="V122" i="1"/>
  <c r="T122" i="1"/>
  <c r="U122" i="1" s="1"/>
  <c r="S122" i="1"/>
  <c r="Q122" i="1" s="1"/>
  <c r="K122" i="1" s="1"/>
  <c r="N122" i="1"/>
  <c r="M122" i="1"/>
  <c r="W121" i="1"/>
  <c r="V121" i="1"/>
  <c r="T121" i="1"/>
  <c r="S121" i="1"/>
  <c r="Q121" i="1" s="1"/>
  <c r="R121" i="1" s="1"/>
  <c r="N121" i="1"/>
  <c r="L121" i="1" s="1"/>
  <c r="M121" i="1"/>
  <c r="W120" i="1"/>
  <c r="V120" i="1"/>
  <c r="T120" i="1"/>
  <c r="U120" i="1" s="1"/>
  <c r="S120" i="1"/>
  <c r="Q120" i="1"/>
  <c r="K120" i="1" s="1"/>
  <c r="N120" i="1"/>
  <c r="M120" i="1"/>
  <c r="W119" i="1"/>
  <c r="V119" i="1"/>
  <c r="T119" i="1"/>
  <c r="U119" i="1" s="1"/>
  <c r="S119" i="1"/>
  <c r="Q119" i="1" s="1"/>
  <c r="R119" i="1" s="1"/>
  <c r="N119" i="1"/>
  <c r="M119" i="1"/>
  <c r="L119" i="1" s="1"/>
  <c r="W118" i="1"/>
  <c r="V118" i="1"/>
  <c r="T118" i="1"/>
  <c r="S118" i="1"/>
  <c r="Q118" i="1"/>
  <c r="K118" i="1" s="1"/>
  <c r="N118" i="1"/>
  <c r="M118" i="1"/>
  <c r="W117" i="1"/>
  <c r="V117" i="1"/>
  <c r="T117" i="1"/>
  <c r="S117" i="1"/>
  <c r="Q117" i="1" s="1"/>
  <c r="R117" i="1" s="1"/>
  <c r="N117" i="1"/>
  <c r="M117" i="1"/>
  <c r="L117" i="1"/>
  <c r="K117" i="1"/>
  <c r="W116" i="1"/>
  <c r="V116" i="1"/>
  <c r="T116" i="1"/>
  <c r="U116" i="1" s="1"/>
  <c r="S116" i="1"/>
  <c r="Q116" i="1" s="1"/>
  <c r="K116" i="1" s="1"/>
  <c r="N116" i="1"/>
  <c r="M116" i="1"/>
  <c r="W115" i="1"/>
  <c r="V115" i="1"/>
  <c r="T115" i="1"/>
  <c r="S115" i="1"/>
  <c r="Q115" i="1" s="1"/>
  <c r="R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U113" i="1" s="1"/>
  <c r="S113" i="1"/>
  <c r="Q113" i="1" s="1"/>
  <c r="R113" i="1" s="1"/>
  <c r="N113" i="1"/>
  <c r="M113" i="1"/>
  <c r="L113" i="1" s="1"/>
  <c r="W112" i="1"/>
  <c r="V112" i="1"/>
  <c r="T112" i="1"/>
  <c r="S112" i="1"/>
  <c r="Q112" i="1" s="1"/>
  <c r="N112" i="1"/>
  <c r="M112" i="1"/>
  <c r="L112" i="1" s="1"/>
  <c r="W111" i="1"/>
  <c r="V111" i="1"/>
  <c r="U111" i="1" s="1"/>
  <c r="T111" i="1"/>
  <c r="S111" i="1"/>
  <c r="Q111" i="1" s="1"/>
  <c r="R111" i="1" s="1"/>
  <c r="N111" i="1"/>
  <c r="M111" i="1"/>
  <c r="W110" i="1"/>
  <c r="V110" i="1"/>
  <c r="T110" i="1"/>
  <c r="S110" i="1"/>
  <c r="Q110" i="1"/>
  <c r="N110" i="1"/>
  <c r="M110" i="1"/>
  <c r="W109" i="1"/>
  <c r="V109" i="1"/>
  <c r="T109" i="1"/>
  <c r="U109" i="1" s="1"/>
  <c r="S109" i="1"/>
  <c r="Q109" i="1" s="1"/>
  <c r="R109" i="1" s="1"/>
  <c r="N109" i="1"/>
  <c r="M109" i="1"/>
  <c r="W108" i="1"/>
  <c r="V108" i="1"/>
  <c r="T108" i="1"/>
  <c r="U108" i="1" s="1"/>
  <c r="S108" i="1"/>
  <c r="Q108" i="1" s="1"/>
  <c r="N108" i="1"/>
  <c r="M108" i="1"/>
  <c r="W107" i="1"/>
  <c r="V107" i="1"/>
  <c r="T107" i="1"/>
  <c r="S107" i="1"/>
  <c r="Q107" i="1" s="1"/>
  <c r="N107" i="1"/>
  <c r="M107" i="1"/>
  <c r="H107" i="1"/>
  <c r="W106" i="1"/>
  <c r="V106" i="1"/>
  <c r="T106" i="1"/>
  <c r="U106" i="1" s="1"/>
  <c r="S106" i="1"/>
  <c r="Q106" i="1" s="1"/>
  <c r="N106" i="1"/>
  <c r="M106" i="1"/>
  <c r="W105" i="1"/>
  <c r="V105" i="1"/>
  <c r="T105" i="1"/>
  <c r="U105" i="1" s="1"/>
  <c r="S105" i="1"/>
  <c r="Q105" i="1" s="1"/>
  <c r="R105" i="1" s="1"/>
  <c r="N105" i="1"/>
  <c r="M105" i="1"/>
  <c r="L105" i="1" s="1"/>
  <c r="W104" i="1"/>
  <c r="V104" i="1"/>
  <c r="T104" i="1"/>
  <c r="S104" i="1"/>
  <c r="Q104" i="1" s="1"/>
  <c r="K104" i="1" s="1"/>
  <c r="N104" i="1"/>
  <c r="M104" i="1"/>
  <c r="W103" i="1"/>
  <c r="V103" i="1"/>
  <c r="T103" i="1"/>
  <c r="U103" i="1" s="1"/>
  <c r="S103" i="1"/>
  <c r="Q103" i="1" s="1"/>
  <c r="R103" i="1" s="1"/>
  <c r="N103" i="1"/>
  <c r="M103" i="1"/>
  <c r="W102" i="1"/>
  <c r="V102" i="1"/>
  <c r="T102" i="1"/>
  <c r="S102" i="1"/>
  <c r="Q102" i="1"/>
  <c r="N102" i="1"/>
  <c r="M102" i="1"/>
  <c r="W101" i="1"/>
  <c r="V101" i="1"/>
  <c r="T101" i="1"/>
  <c r="U101" i="1" s="1"/>
  <c r="S101" i="1"/>
  <c r="Q101" i="1" s="1"/>
  <c r="N101" i="1"/>
  <c r="M101" i="1"/>
  <c r="L101" i="1" s="1"/>
  <c r="H101" i="1"/>
  <c r="W100" i="1"/>
  <c r="V100" i="1"/>
  <c r="T100" i="1"/>
  <c r="U100" i="1" s="1"/>
  <c r="S100" i="1"/>
  <c r="Q100" i="1"/>
  <c r="K100" i="1" s="1"/>
  <c r="N100" i="1"/>
  <c r="M100" i="1"/>
  <c r="W99" i="1"/>
  <c r="V99" i="1"/>
  <c r="T99" i="1"/>
  <c r="S99" i="1"/>
  <c r="Q99" i="1" s="1"/>
  <c r="R99" i="1" s="1"/>
  <c r="N99" i="1"/>
  <c r="M99" i="1"/>
  <c r="L99" i="1" s="1"/>
  <c r="W98" i="1"/>
  <c r="V98" i="1"/>
  <c r="T98" i="1"/>
  <c r="U98" i="1" s="1"/>
  <c r="S98" i="1"/>
  <c r="Q98" i="1" s="1"/>
  <c r="N98" i="1"/>
  <c r="M98" i="1"/>
  <c r="W97" i="1"/>
  <c r="V97" i="1"/>
  <c r="T97" i="1"/>
  <c r="U97" i="1" s="1"/>
  <c r="S97" i="1"/>
  <c r="Q97" i="1" s="1"/>
  <c r="R97" i="1" s="1"/>
  <c r="N97" i="1"/>
  <c r="M97" i="1"/>
  <c r="L97" i="1" s="1"/>
  <c r="W96" i="1"/>
  <c r="V96" i="1"/>
  <c r="T96" i="1"/>
  <c r="U96" i="1" s="1"/>
  <c r="S96" i="1"/>
  <c r="Q96" i="1" s="1"/>
  <c r="N96" i="1"/>
  <c r="M96" i="1"/>
  <c r="W95" i="1"/>
  <c r="V95" i="1"/>
  <c r="T95" i="1"/>
  <c r="U95" i="1" s="1"/>
  <c r="S95" i="1"/>
  <c r="Q95" i="1" s="1"/>
  <c r="R95" i="1" s="1"/>
  <c r="N95" i="1"/>
  <c r="M95" i="1"/>
  <c r="W94" i="1"/>
  <c r="V94" i="1"/>
  <c r="T94" i="1"/>
  <c r="S94" i="1"/>
  <c r="Q94" i="1"/>
  <c r="K94" i="1" s="1"/>
  <c r="N94" i="1"/>
  <c r="M94" i="1"/>
  <c r="W93" i="1"/>
  <c r="V93" i="1"/>
  <c r="T93" i="1"/>
  <c r="U93" i="1" s="1"/>
  <c r="S93" i="1"/>
  <c r="Q93" i="1" s="1"/>
  <c r="R93" i="1" s="1"/>
  <c r="N93" i="1"/>
  <c r="M93" i="1"/>
  <c r="W92" i="1"/>
  <c r="V92" i="1"/>
  <c r="T92" i="1"/>
  <c r="U92" i="1" s="1"/>
  <c r="S92" i="1"/>
  <c r="Q92" i="1" s="1"/>
  <c r="N92" i="1"/>
  <c r="M92" i="1"/>
  <c r="W91" i="1"/>
  <c r="V91" i="1"/>
  <c r="T91" i="1"/>
  <c r="S91" i="1"/>
  <c r="Q91" i="1" s="1"/>
  <c r="R91" i="1" s="1"/>
  <c r="N91" i="1"/>
  <c r="M91" i="1"/>
  <c r="K91" i="1"/>
  <c r="H91" i="1"/>
  <c r="W90" i="1"/>
  <c r="V90" i="1"/>
  <c r="T90" i="1"/>
  <c r="S90" i="1"/>
  <c r="Q90" i="1"/>
  <c r="K90" i="1" s="1"/>
  <c r="N90" i="1"/>
  <c r="M90" i="1"/>
  <c r="W89" i="1"/>
  <c r="V89" i="1"/>
  <c r="T89" i="1"/>
  <c r="S89" i="1"/>
  <c r="Q89" i="1" s="1"/>
  <c r="R89" i="1" s="1"/>
  <c r="N89" i="1"/>
  <c r="M89" i="1"/>
  <c r="W88" i="1"/>
  <c r="V88" i="1"/>
  <c r="T88" i="1"/>
  <c r="S88" i="1"/>
  <c r="Q88" i="1" s="1"/>
  <c r="K88" i="1" s="1"/>
  <c r="N88" i="1"/>
  <c r="M88" i="1"/>
  <c r="L88" i="1" s="1"/>
  <c r="W87" i="1"/>
  <c r="V87" i="1"/>
  <c r="T87" i="1"/>
  <c r="S87" i="1"/>
  <c r="Q87" i="1" s="1"/>
  <c r="R87" i="1" s="1"/>
  <c r="N87" i="1"/>
  <c r="M87" i="1"/>
  <c r="W86" i="1"/>
  <c r="V86" i="1"/>
  <c r="T86" i="1"/>
  <c r="S86" i="1"/>
  <c r="Q86" i="1" s="1"/>
  <c r="N86" i="1"/>
  <c r="M86" i="1"/>
  <c r="W85" i="1"/>
  <c r="V85" i="1"/>
  <c r="T85" i="1"/>
  <c r="S85" i="1"/>
  <c r="Q85" i="1" s="1"/>
  <c r="R85" i="1" s="1"/>
  <c r="N85" i="1"/>
  <c r="L85" i="1" s="1"/>
  <c r="M85" i="1"/>
  <c r="W84" i="1"/>
  <c r="V84" i="1"/>
  <c r="T84" i="1"/>
  <c r="U84" i="1" s="1"/>
  <c r="S84" i="1"/>
  <c r="Q84" i="1" s="1"/>
  <c r="K84" i="1" s="1"/>
  <c r="N84" i="1"/>
  <c r="M84" i="1"/>
  <c r="W83" i="1"/>
  <c r="V83" i="1"/>
  <c r="T83" i="1"/>
  <c r="S83" i="1"/>
  <c r="Q83" i="1" s="1"/>
  <c r="R83" i="1" s="1"/>
  <c r="N83" i="1"/>
  <c r="M83" i="1"/>
  <c r="W82" i="1"/>
  <c r="V82" i="1"/>
  <c r="T82" i="1"/>
  <c r="U82" i="1" s="1"/>
  <c r="S82" i="1"/>
  <c r="Q82" i="1" s="1"/>
  <c r="N82" i="1"/>
  <c r="M82" i="1"/>
  <c r="L82" i="1" s="1"/>
  <c r="W81" i="1"/>
  <c r="V81" i="1"/>
  <c r="T81" i="1"/>
  <c r="U81" i="1" s="1"/>
  <c r="S81" i="1"/>
  <c r="Q81" i="1" s="1"/>
  <c r="R81" i="1" s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 s="1"/>
  <c r="R79" i="1" s="1"/>
  <c r="N79" i="1"/>
  <c r="M79" i="1"/>
  <c r="W78" i="1"/>
  <c r="V78" i="1"/>
  <c r="T78" i="1"/>
  <c r="U78" i="1" s="1"/>
  <c r="S78" i="1"/>
  <c r="Q78" i="1" s="1"/>
  <c r="N78" i="1"/>
  <c r="M78" i="1"/>
  <c r="W77" i="1"/>
  <c r="V77" i="1"/>
  <c r="U77" i="1"/>
  <c r="T77" i="1"/>
  <c r="S77" i="1"/>
  <c r="Q77" i="1" s="1"/>
  <c r="R77" i="1" s="1"/>
  <c r="N77" i="1"/>
  <c r="M77" i="1"/>
  <c r="L77" i="1"/>
  <c r="W76" i="1"/>
  <c r="V76" i="1"/>
  <c r="T76" i="1"/>
  <c r="S76" i="1"/>
  <c r="Q76" i="1"/>
  <c r="K76" i="1" s="1"/>
  <c r="N76" i="1"/>
  <c r="M76" i="1"/>
  <c r="W75" i="1"/>
  <c r="V75" i="1"/>
  <c r="T75" i="1"/>
  <c r="S75" i="1"/>
  <c r="Q75" i="1" s="1"/>
  <c r="K75" i="1" s="1"/>
  <c r="N75" i="1"/>
  <c r="M75" i="1"/>
  <c r="L75" i="1" s="1"/>
  <c r="W74" i="1"/>
  <c r="V74" i="1"/>
  <c r="T74" i="1"/>
  <c r="S74" i="1"/>
  <c r="Q74" i="1" s="1"/>
  <c r="N74" i="1"/>
  <c r="M74" i="1"/>
  <c r="W73" i="1"/>
  <c r="V73" i="1"/>
  <c r="T73" i="1"/>
  <c r="S73" i="1"/>
  <c r="Q73" i="1" s="1"/>
  <c r="R73" i="1" s="1"/>
  <c r="N73" i="1"/>
  <c r="M73" i="1"/>
  <c r="W72" i="1"/>
  <c r="V72" i="1"/>
  <c r="T72" i="1"/>
  <c r="S72" i="1"/>
  <c r="Q72" i="1" s="1"/>
  <c r="K72" i="1" s="1"/>
  <c r="N72" i="1"/>
  <c r="M72" i="1"/>
  <c r="W71" i="1"/>
  <c r="V71" i="1"/>
  <c r="T71" i="1"/>
  <c r="S71" i="1"/>
  <c r="Q71" i="1" s="1"/>
  <c r="K71" i="1" s="1"/>
  <c r="N71" i="1"/>
  <c r="M71" i="1"/>
  <c r="W70" i="1"/>
  <c r="V70" i="1"/>
  <c r="T70" i="1"/>
  <c r="S70" i="1"/>
  <c r="Q70" i="1" s="1"/>
  <c r="N70" i="1"/>
  <c r="L70" i="1" s="1"/>
  <c r="M70" i="1"/>
  <c r="W69" i="1"/>
  <c r="V69" i="1"/>
  <c r="T69" i="1"/>
  <c r="U69" i="1" s="1"/>
  <c r="S69" i="1"/>
  <c r="Q69" i="1" s="1"/>
  <c r="K69" i="1" s="1"/>
  <c r="N69" i="1"/>
  <c r="M69" i="1"/>
  <c r="L69" i="1" s="1"/>
  <c r="W68" i="1"/>
  <c r="V68" i="1"/>
  <c r="T68" i="1"/>
  <c r="S68" i="1"/>
  <c r="Q68" i="1" s="1"/>
  <c r="K68" i="1" s="1"/>
  <c r="N68" i="1"/>
  <c r="M68" i="1"/>
  <c r="L68" i="1" s="1"/>
  <c r="W67" i="1"/>
  <c r="V67" i="1"/>
  <c r="T67" i="1"/>
  <c r="S67" i="1"/>
  <c r="Q67" i="1" s="1"/>
  <c r="K67" i="1" s="1"/>
  <c r="N67" i="1"/>
  <c r="M67" i="1"/>
  <c r="W66" i="1"/>
  <c r="V66" i="1"/>
  <c r="T66" i="1"/>
  <c r="S66" i="1"/>
  <c r="Q66" i="1" s="1"/>
  <c r="N66" i="1"/>
  <c r="L66" i="1" s="1"/>
  <c r="M66" i="1"/>
  <c r="W65" i="1"/>
  <c r="V65" i="1"/>
  <c r="T65" i="1"/>
  <c r="U65" i="1" s="1"/>
  <c r="S65" i="1"/>
  <c r="Q65" i="1" s="1"/>
  <c r="H65" i="1" s="1"/>
  <c r="R65" i="1"/>
  <c r="N65" i="1"/>
  <c r="M65" i="1"/>
  <c r="W64" i="1"/>
  <c r="V64" i="1"/>
  <c r="T64" i="1"/>
  <c r="S64" i="1"/>
  <c r="Q64" i="1" s="1"/>
  <c r="N64" i="1"/>
  <c r="M64" i="1"/>
  <c r="L64" i="1" s="1"/>
  <c r="W63" i="1"/>
  <c r="V63" i="1"/>
  <c r="T63" i="1"/>
  <c r="U63" i="1" s="1"/>
  <c r="S63" i="1"/>
  <c r="Q63" i="1" s="1"/>
  <c r="H63" i="1" s="1"/>
  <c r="N63" i="1"/>
  <c r="M63" i="1"/>
  <c r="W62" i="1"/>
  <c r="V62" i="1"/>
  <c r="T62" i="1"/>
  <c r="S62" i="1"/>
  <c r="Q62" i="1"/>
  <c r="K62" i="1" s="1"/>
  <c r="N62" i="1"/>
  <c r="M62" i="1"/>
  <c r="W61" i="1"/>
  <c r="V61" i="1"/>
  <c r="T61" i="1"/>
  <c r="U61" i="1" s="1"/>
  <c r="S61" i="1"/>
  <c r="Q61" i="1" s="1"/>
  <c r="R61" i="1" s="1"/>
  <c r="N61" i="1"/>
  <c r="M61" i="1"/>
  <c r="L61" i="1" s="1"/>
  <c r="W60" i="1"/>
  <c r="V60" i="1"/>
  <c r="T60" i="1"/>
  <c r="S60" i="1"/>
  <c r="Q60" i="1"/>
  <c r="K60" i="1" s="1"/>
  <c r="N60" i="1"/>
  <c r="M60" i="1"/>
  <c r="W59" i="1"/>
  <c r="V59" i="1"/>
  <c r="T59" i="1"/>
  <c r="U59" i="1" s="1"/>
  <c r="S59" i="1"/>
  <c r="Q59" i="1" s="1"/>
  <c r="K59" i="1" s="1"/>
  <c r="N59" i="1"/>
  <c r="M59" i="1"/>
  <c r="W58" i="1"/>
  <c r="V58" i="1"/>
  <c r="T58" i="1"/>
  <c r="U58" i="1" s="1"/>
  <c r="S58" i="1"/>
  <c r="Q58" i="1" s="1"/>
  <c r="N58" i="1"/>
  <c r="M58" i="1"/>
  <c r="L58" i="1" s="1"/>
  <c r="W57" i="1"/>
  <c r="V57" i="1"/>
  <c r="T57" i="1"/>
  <c r="S57" i="1"/>
  <c r="Q57" i="1" s="1"/>
  <c r="R57" i="1" s="1"/>
  <c r="N57" i="1"/>
  <c r="M57" i="1"/>
  <c r="L57" i="1"/>
  <c r="W56" i="1"/>
  <c r="V56" i="1"/>
  <c r="T56" i="1"/>
  <c r="S56" i="1"/>
  <c r="Q56" i="1" s="1"/>
  <c r="K56" i="1" s="1"/>
  <c r="N56" i="1"/>
  <c r="M56" i="1"/>
  <c r="W55" i="1"/>
  <c r="V55" i="1"/>
  <c r="T55" i="1"/>
  <c r="S55" i="1"/>
  <c r="Q55" i="1" s="1"/>
  <c r="K55" i="1" s="1"/>
  <c r="N55" i="1"/>
  <c r="M55" i="1"/>
  <c r="L55" i="1" s="1"/>
  <c r="W54" i="1"/>
  <c r="V54" i="1"/>
  <c r="T54" i="1"/>
  <c r="U54" i="1" s="1"/>
  <c r="S54" i="1"/>
  <c r="Q54" i="1"/>
  <c r="K54" i="1" s="1"/>
  <c r="N54" i="1"/>
  <c r="L54" i="1" s="1"/>
  <c r="M54" i="1"/>
  <c r="W53" i="1"/>
  <c r="V53" i="1"/>
  <c r="T53" i="1"/>
  <c r="U53" i="1" s="1"/>
  <c r="S53" i="1"/>
  <c r="Q53" i="1" s="1"/>
  <c r="K53" i="1" s="1"/>
  <c r="N53" i="1"/>
  <c r="M53" i="1"/>
  <c r="L53" i="1" s="1"/>
  <c r="W52" i="1"/>
  <c r="V52" i="1"/>
  <c r="T52" i="1"/>
  <c r="S52" i="1"/>
  <c r="Q52" i="1" s="1"/>
  <c r="K52" i="1" s="1"/>
  <c r="N52" i="1"/>
  <c r="M52" i="1"/>
  <c r="L52" i="1" s="1"/>
  <c r="W51" i="1"/>
  <c r="V51" i="1"/>
  <c r="T51" i="1"/>
  <c r="U51" i="1" s="1"/>
  <c r="S51" i="1"/>
  <c r="Q51" i="1" s="1"/>
  <c r="H51" i="1" s="1"/>
  <c r="N51" i="1"/>
  <c r="M51" i="1"/>
  <c r="W50" i="1"/>
  <c r="V50" i="1"/>
  <c r="T50" i="1"/>
  <c r="U50" i="1" s="1"/>
  <c r="S50" i="1"/>
  <c r="Q50" i="1"/>
  <c r="K50" i="1" s="1"/>
  <c r="N50" i="1"/>
  <c r="L50" i="1" s="1"/>
  <c r="M50" i="1"/>
  <c r="W49" i="1"/>
  <c r="V49" i="1"/>
  <c r="T49" i="1"/>
  <c r="U49" i="1" s="1"/>
  <c r="S49" i="1"/>
  <c r="Q49" i="1" s="1"/>
  <c r="K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H47" i="1" s="1"/>
  <c r="N47" i="1"/>
  <c r="M47" i="1"/>
  <c r="L47" i="1" s="1"/>
  <c r="W46" i="1"/>
  <c r="V46" i="1"/>
  <c r="T46" i="1"/>
  <c r="S46" i="1"/>
  <c r="Q46" i="1" s="1"/>
  <c r="K46" i="1" s="1"/>
  <c r="N46" i="1"/>
  <c r="M46" i="1"/>
  <c r="W45" i="1"/>
  <c r="V45" i="1"/>
  <c r="T45" i="1"/>
  <c r="S45" i="1"/>
  <c r="Q45" i="1" s="1"/>
  <c r="R45" i="1" s="1"/>
  <c r="N45" i="1"/>
  <c r="M45" i="1"/>
  <c r="W44" i="1"/>
  <c r="V44" i="1"/>
  <c r="T44" i="1"/>
  <c r="S44" i="1"/>
  <c r="Q44" i="1" s="1"/>
  <c r="N44" i="1"/>
  <c r="M44" i="1"/>
  <c r="L44" i="1" s="1"/>
  <c r="W43" i="1"/>
  <c r="V43" i="1"/>
  <c r="T43" i="1"/>
  <c r="S43" i="1"/>
  <c r="Q43" i="1" s="1"/>
  <c r="K43" i="1" s="1"/>
  <c r="N43" i="1"/>
  <c r="M43" i="1"/>
  <c r="W42" i="1"/>
  <c r="V42" i="1"/>
  <c r="T42" i="1"/>
  <c r="U42" i="1" s="1"/>
  <c r="S42" i="1"/>
  <c r="Q42" i="1" s="1"/>
  <c r="N42" i="1"/>
  <c r="M42" i="1"/>
  <c r="W41" i="1"/>
  <c r="V41" i="1"/>
  <c r="T41" i="1"/>
  <c r="S41" i="1"/>
  <c r="Q41" i="1"/>
  <c r="K41" i="1" s="1"/>
  <c r="N41" i="1"/>
  <c r="M41" i="1"/>
  <c r="L41" i="1" s="1"/>
  <c r="W40" i="1"/>
  <c r="V40" i="1"/>
  <c r="T40" i="1"/>
  <c r="S40" i="1"/>
  <c r="Q40" i="1" s="1"/>
  <c r="N40" i="1"/>
  <c r="M40" i="1"/>
  <c r="L40" i="1" s="1"/>
  <c r="W39" i="1"/>
  <c r="V39" i="1"/>
  <c r="T39" i="1"/>
  <c r="S39" i="1"/>
  <c r="Q39" i="1" s="1"/>
  <c r="K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U37" i="1" s="1"/>
  <c r="S37" i="1"/>
  <c r="Q37" i="1" s="1"/>
  <c r="K37" i="1" s="1"/>
  <c r="N37" i="1"/>
  <c r="M37" i="1"/>
  <c r="W36" i="1"/>
  <c r="V36" i="1"/>
  <c r="T36" i="1"/>
  <c r="S36" i="1"/>
  <c r="Q36" i="1" s="1"/>
  <c r="N36" i="1"/>
  <c r="M36" i="1"/>
  <c r="W35" i="1"/>
  <c r="V35" i="1"/>
  <c r="T35" i="1"/>
  <c r="S35" i="1"/>
  <c r="Q35" i="1" s="1"/>
  <c r="K35" i="1" s="1"/>
  <c r="N35" i="1"/>
  <c r="M35" i="1"/>
  <c r="L35" i="1" s="1"/>
  <c r="W34" i="1"/>
  <c r="V34" i="1"/>
  <c r="T34" i="1"/>
  <c r="U34" i="1" s="1"/>
  <c r="S34" i="1"/>
  <c r="Q34" i="1" s="1"/>
  <c r="N34" i="1"/>
  <c r="M34" i="1"/>
  <c r="W33" i="1"/>
  <c r="V33" i="1"/>
  <c r="T33" i="1"/>
  <c r="U33" i="1" s="1"/>
  <c r="S33" i="1"/>
  <c r="Q33" i="1"/>
  <c r="K33" i="1" s="1"/>
  <c r="N33" i="1"/>
  <c r="M33" i="1"/>
  <c r="W32" i="1"/>
  <c r="V32" i="1"/>
  <c r="T32" i="1"/>
  <c r="U32" i="1" s="1"/>
  <c r="S32" i="1"/>
  <c r="Q32" i="1" s="1"/>
  <c r="N32" i="1"/>
  <c r="M32" i="1"/>
  <c r="L32" i="1" s="1"/>
  <c r="W31" i="1"/>
  <c r="V31" i="1"/>
  <c r="T31" i="1"/>
  <c r="S31" i="1"/>
  <c r="Q31" i="1"/>
  <c r="K31" i="1" s="1"/>
  <c r="N31" i="1"/>
  <c r="M31" i="1"/>
  <c r="W30" i="1"/>
  <c r="V30" i="1"/>
  <c r="T30" i="1"/>
  <c r="S30" i="1"/>
  <c r="Q30" i="1" s="1"/>
  <c r="N30" i="1"/>
  <c r="M30" i="1"/>
  <c r="L30" i="1" s="1"/>
  <c r="W29" i="1"/>
  <c r="V29" i="1"/>
  <c r="T29" i="1"/>
  <c r="U29" i="1" s="1"/>
  <c r="S29" i="1"/>
  <c r="Q29" i="1" s="1"/>
  <c r="K29" i="1" s="1"/>
  <c r="N29" i="1"/>
  <c r="M29" i="1"/>
  <c r="W28" i="1"/>
  <c r="V28" i="1"/>
  <c r="T28" i="1"/>
  <c r="S28" i="1"/>
  <c r="Q28" i="1" s="1"/>
  <c r="N28" i="1"/>
  <c r="M28" i="1"/>
  <c r="W27" i="1"/>
  <c r="V27" i="1"/>
  <c r="T27" i="1"/>
  <c r="U27" i="1" s="1"/>
  <c r="S27" i="1"/>
  <c r="Q27" i="1" s="1"/>
  <c r="K27" i="1" s="1"/>
  <c r="N27" i="1"/>
  <c r="M27" i="1"/>
  <c r="W26" i="1"/>
  <c r="V26" i="1"/>
  <c r="T26" i="1"/>
  <c r="S26" i="1"/>
  <c r="Q26" i="1" s="1"/>
  <c r="N26" i="1"/>
  <c r="M26" i="1"/>
  <c r="W25" i="1"/>
  <c r="V25" i="1"/>
  <c r="T25" i="1"/>
  <c r="S25" i="1"/>
  <c r="Q25" i="1" s="1"/>
  <c r="K25" i="1" s="1"/>
  <c r="N25" i="1"/>
  <c r="M25" i="1"/>
  <c r="L25" i="1" s="1"/>
  <c r="W24" i="1"/>
  <c r="V24" i="1"/>
  <c r="T24" i="1"/>
  <c r="S24" i="1"/>
  <c r="Q24" i="1" s="1"/>
  <c r="N24" i="1"/>
  <c r="M24" i="1"/>
  <c r="W23" i="1"/>
  <c r="V23" i="1"/>
  <c r="T23" i="1"/>
  <c r="S23" i="1"/>
  <c r="Q23" i="1" s="1"/>
  <c r="K23" i="1" s="1"/>
  <c r="N23" i="1"/>
  <c r="M23" i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/>
  <c r="K21" i="1" s="1"/>
  <c r="N21" i="1"/>
  <c r="M21" i="1"/>
  <c r="W20" i="1"/>
  <c r="V20" i="1"/>
  <c r="T20" i="1"/>
  <c r="S20" i="1"/>
  <c r="Q20" i="1" s="1"/>
  <c r="N20" i="1"/>
  <c r="M20" i="1"/>
  <c r="L20" i="1" s="1"/>
  <c r="W19" i="1"/>
  <c r="V19" i="1"/>
  <c r="T19" i="1"/>
  <c r="S19" i="1"/>
  <c r="Q19" i="1" s="1"/>
  <c r="K19" i="1" s="1"/>
  <c r="N19" i="1"/>
  <c r="M19" i="1"/>
  <c r="L19" i="1" s="1"/>
  <c r="W18" i="1"/>
  <c r="V18" i="1"/>
  <c r="T18" i="1"/>
  <c r="U18" i="1" s="1"/>
  <c r="S18" i="1"/>
  <c r="Q18" i="1" s="1"/>
  <c r="N18" i="1"/>
  <c r="M18" i="1"/>
  <c r="W17" i="1"/>
  <c r="V17" i="1"/>
  <c r="T17" i="1"/>
  <c r="S17" i="1"/>
  <c r="Q17" i="1" s="1"/>
  <c r="H17" i="1" s="1"/>
  <c r="N17" i="1"/>
  <c r="M17" i="1"/>
  <c r="W16" i="1"/>
  <c r="V16" i="1"/>
  <c r="T16" i="1"/>
  <c r="S16" i="1"/>
  <c r="Q16" i="1" s="1"/>
  <c r="N16" i="1"/>
  <c r="M16" i="1"/>
  <c r="L16" i="1"/>
  <c r="H174" i="1" l="1"/>
  <c r="K174" i="1"/>
  <c r="K44" i="1"/>
  <c r="H44" i="1"/>
  <c r="K112" i="1"/>
  <c r="H112" i="1"/>
  <c r="H193" i="1"/>
  <c r="K193" i="1"/>
  <c r="K106" i="1"/>
  <c r="H106" i="1"/>
  <c r="K70" i="1"/>
  <c r="R70" i="1"/>
  <c r="K86" i="1"/>
  <c r="H86" i="1"/>
  <c r="K124" i="1"/>
  <c r="H124" i="1"/>
  <c r="L21" i="1"/>
  <c r="U23" i="1"/>
  <c r="L26" i="1"/>
  <c r="U28" i="1"/>
  <c r="L31" i="1"/>
  <c r="L36" i="1"/>
  <c r="U38" i="1"/>
  <c r="U43" i="1"/>
  <c r="L48" i="1"/>
  <c r="R49" i="1"/>
  <c r="R50" i="1"/>
  <c r="R51" i="1"/>
  <c r="U55" i="1"/>
  <c r="U66" i="1"/>
  <c r="U73" i="1"/>
  <c r="L76" i="1"/>
  <c r="U83" i="1"/>
  <c r="U86" i="1"/>
  <c r="L89" i="1"/>
  <c r="L91" i="1"/>
  <c r="U104" i="1"/>
  <c r="L109" i="1"/>
  <c r="L115" i="1"/>
  <c r="U121" i="1"/>
  <c r="K129" i="1"/>
  <c r="U134" i="1"/>
  <c r="L142" i="1"/>
  <c r="U145" i="1"/>
  <c r="U161" i="1"/>
  <c r="L165" i="1"/>
  <c r="U167" i="1"/>
  <c r="U169" i="1"/>
  <c r="U178" i="1"/>
  <c r="U193" i="1"/>
  <c r="U203" i="1"/>
  <c r="L223" i="1"/>
  <c r="U257" i="1"/>
  <c r="L260" i="1"/>
  <c r="U274" i="1"/>
  <c r="U288" i="1"/>
  <c r="U302" i="1"/>
  <c r="U304" i="1"/>
  <c r="U293" i="1"/>
  <c r="U294" i="1"/>
  <c r="L297" i="1"/>
  <c r="L307" i="1"/>
  <c r="H123" i="1"/>
  <c r="U158" i="1"/>
  <c r="H205" i="1"/>
  <c r="L253" i="1"/>
  <c r="H288" i="1"/>
  <c r="K304" i="1"/>
  <c r="L18" i="1"/>
  <c r="L63" i="1"/>
  <c r="L81" i="1"/>
  <c r="H85" i="1"/>
  <c r="U17" i="1"/>
  <c r="L24" i="1"/>
  <c r="U26" i="1"/>
  <c r="L29" i="1"/>
  <c r="U41" i="1"/>
  <c r="L45" i="1"/>
  <c r="R47" i="1"/>
  <c r="U48" i="1"/>
  <c r="U71" i="1"/>
  <c r="L74" i="1"/>
  <c r="R75" i="1"/>
  <c r="L80" i="1"/>
  <c r="L84" i="1"/>
  <c r="K85" i="1"/>
  <c r="L87" i="1"/>
  <c r="U89" i="1"/>
  <c r="U90" i="1"/>
  <c r="U91" i="1"/>
  <c r="U102" i="1"/>
  <c r="L107" i="1"/>
  <c r="U115" i="1"/>
  <c r="U117" i="1"/>
  <c r="K123" i="1"/>
  <c r="H135" i="1"/>
  <c r="H136" i="1"/>
  <c r="U138" i="1"/>
  <c r="L146" i="1"/>
  <c r="U148" i="1"/>
  <c r="U165" i="1"/>
  <c r="L168" i="1"/>
  <c r="L170" i="1"/>
  <c r="U188" i="1"/>
  <c r="L194" i="1"/>
  <c r="L204" i="1"/>
  <c r="K205" i="1"/>
  <c r="L208" i="1"/>
  <c r="L269" i="1"/>
  <c r="L280" i="1"/>
  <c r="K288" i="1"/>
  <c r="L299" i="1"/>
  <c r="K135" i="1"/>
  <c r="U220" i="1"/>
  <c r="U222" i="1"/>
  <c r="U223" i="1"/>
  <c r="R245" i="1"/>
  <c r="L287" i="1"/>
  <c r="R290" i="1"/>
  <c r="K294" i="1"/>
  <c r="L295" i="1"/>
  <c r="R297" i="1"/>
  <c r="L305" i="1"/>
  <c r="R306" i="1"/>
  <c r="K111" i="1"/>
  <c r="U16" i="1"/>
  <c r="U25" i="1"/>
  <c r="L28" i="1"/>
  <c r="U30" i="1"/>
  <c r="L33" i="1"/>
  <c r="U46" i="1"/>
  <c r="U47" i="1"/>
  <c r="K51" i="1"/>
  <c r="U57" i="1"/>
  <c r="L60" i="1"/>
  <c r="U70" i="1"/>
  <c r="L73" i="1"/>
  <c r="U75" i="1"/>
  <c r="L79" i="1"/>
  <c r="L83" i="1"/>
  <c r="U88" i="1"/>
  <c r="U99" i="1"/>
  <c r="L111" i="1"/>
  <c r="H117" i="1"/>
  <c r="U126" i="1"/>
  <c r="U129" i="1"/>
  <c r="L135" i="1"/>
  <c r="U137" i="1"/>
  <c r="L145" i="1"/>
  <c r="L157" i="1"/>
  <c r="L160" i="1"/>
  <c r="R163" i="1"/>
  <c r="U164" i="1"/>
  <c r="R170" i="1"/>
  <c r="U171" i="1"/>
  <c r="U183" i="1"/>
  <c r="U195" i="1"/>
  <c r="L202" i="1"/>
  <c r="U213" i="1"/>
  <c r="U218" i="1"/>
  <c r="U221" i="1"/>
  <c r="U231" i="1"/>
  <c r="U234" i="1"/>
  <c r="L242" i="1"/>
  <c r="U247" i="1"/>
  <c r="L256" i="1"/>
  <c r="R258" i="1"/>
  <c r="L268" i="1"/>
  <c r="L37" i="1"/>
  <c r="U39" i="1"/>
  <c r="L42" i="1"/>
  <c r="R43" i="1"/>
  <c r="U45" i="1"/>
  <c r="R55" i="1"/>
  <c r="U62" i="1"/>
  <c r="U67" i="1"/>
  <c r="L72" i="1"/>
  <c r="U74" i="1"/>
  <c r="U87" i="1"/>
  <c r="H90" i="1"/>
  <c r="L92" i="1"/>
  <c r="U94" i="1"/>
  <c r="L103" i="1"/>
  <c r="U107" i="1"/>
  <c r="H118" i="1"/>
  <c r="U125" i="1"/>
  <c r="L139" i="1"/>
  <c r="L144" i="1"/>
  <c r="U146" i="1"/>
  <c r="L149" i="1"/>
  <c r="R161" i="1"/>
  <c r="L175" i="1"/>
  <c r="L189" i="1"/>
  <c r="U209" i="1"/>
  <c r="U211" i="1"/>
  <c r="L227" i="1"/>
  <c r="U230" i="1"/>
  <c r="L240" i="1"/>
  <c r="U244" i="1"/>
  <c r="L250" i="1"/>
  <c r="R274" i="1"/>
  <c r="L278" i="1"/>
  <c r="U281" i="1"/>
  <c r="U290" i="1"/>
  <c r="U296" i="1"/>
  <c r="U297" i="1"/>
  <c r="R304" i="1"/>
  <c r="U306" i="1"/>
  <c r="K66" i="1"/>
  <c r="R66" i="1"/>
  <c r="K267" i="1"/>
  <c r="H267" i="1"/>
  <c r="K78" i="1"/>
  <c r="R78" i="1"/>
  <c r="K96" i="1"/>
  <c r="H96" i="1"/>
  <c r="K253" i="1"/>
  <c r="H253" i="1"/>
  <c r="K80" i="1"/>
  <c r="H80" i="1"/>
  <c r="U19" i="1"/>
  <c r="L22" i="1"/>
  <c r="U24" i="1"/>
  <c r="L27" i="1"/>
  <c r="U35" i="1"/>
  <c r="L38" i="1"/>
  <c r="U40" i="1"/>
  <c r="L43" i="1"/>
  <c r="L46" i="1"/>
  <c r="L51" i="1"/>
  <c r="R59" i="1"/>
  <c r="R63" i="1"/>
  <c r="U64" i="1"/>
  <c r="R67" i="1"/>
  <c r="R71" i="1"/>
  <c r="U79" i="1"/>
  <c r="U80" i="1"/>
  <c r="L93" i="1"/>
  <c r="R94" i="1"/>
  <c r="U110" i="1"/>
  <c r="U112" i="1"/>
  <c r="L116" i="1"/>
  <c r="L120" i="1"/>
  <c r="U141" i="1"/>
  <c r="U156" i="1"/>
  <c r="U175" i="1"/>
  <c r="U207" i="1"/>
  <c r="L220" i="1"/>
  <c r="L226" i="1"/>
  <c r="U236" i="1"/>
  <c r="L257" i="1"/>
  <c r="K265" i="1"/>
  <c r="R265" i="1"/>
  <c r="L270" i="1"/>
  <c r="L125" i="1"/>
  <c r="R126" i="1"/>
  <c r="U176" i="1"/>
  <c r="K175" i="1"/>
  <c r="R175" i="1"/>
  <c r="H153" i="1"/>
  <c r="K153" i="1"/>
  <c r="H194" i="1"/>
  <c r="R194" i="1"/>
  <c r="K272" i="1"/>
  <c r="H272" i="1"/>
  <c r="R272" i="1"/>
  <c r="R90" i="1"/>
  <c r="R106" i="1"/>
  <c r="R107" i="1"/>
  <c r="K107" i="1"/>
  <c r="H113" i="1"/>
  <c r="K130" i="1"/>
  <c r="R130" i="1"/>
  <c r="R139" i="1"/>
  <c r="K139" i="1"/>
  <c r="H139" i="1"/>
  <c r="K144" i="1"/>
  <c r="R144" i="1"/>
  <c r="U154" i="1"/>
  <c r="U194" i="1"/>
  <c r="L238" i="1"/>
  <c r="H249" i="1"/>
  <c r="K249" i="1"/>
  <c r="K256" i="1"/>
  <c r="H256" i="1"/>
  <c r="K269" i="1"/>
  <c r="H269" i="1"/>
  <c r="H154" i="1"/>
  <c r="K154" i="1"/>
  <c r="K285" i="1"/>
  <c r="H285" i="1"/>
  <c r="R145" i="1"/>
  <c r="K145" i="1"/>
  <c r="K63" i="1"/>
  <c r="L65" i="1"/>
  <c r="H67" i="1"/>
  <c r="H70" i="1"/>
  <c r="H73" i="1"/>
  <c r="H76" i="1"/>
  <c r="K79" i="1"/>
  <c r="K81" i="1"/>
  <c r="K102" i="1"/>
  <c r="H102" i="1"/>
  <c r="K113" i="1"/>
  <c r="R118" i="1"/>
  <c r="U127" i="1"/>
  <c r="U130" i="1"/>
  <c r="L137" i="1"/>
  <c r="U144" i="1"/>
  <c r="U151" i="1"/>
  <c r="U170" i="1"/>
  <c r="K187" i="1"/>
  <c r="R187" i="1"/>
  <c r="L201" i="1"/>
  <c r="U214" i="1"/>
  <c r="U217" i="1"/>
  <c r="H247" i="1"/>
  <c r="R247" i="1"/>
  <c r="H266" i="1"/>
  <c r="L274" i="1"/>
  <c r="R167" i="1"/>
  <c r="K167" i="1"/>
  <c r="H167" i="1"/>
  <c r="K301" i="1"/>
  <c r="H301" i="1"/>
  <c r="H57" i="1"/>
  <c r="H60" i="1"/>
  <c r="K73" i="1"/>
  <c r="L78" i="1"/>
  <c r="R86" i="1"/>
  <c r="K95" i="1"/>
  <c r="H97" i="1"/>
  <c r="R102" i="1"/>
  <c r="R181" i="1"/>
  <c r="K181" i="1"/>
  <c r="R183" i="1"/>
  <c r="K183" i="1"/>
  <c r="H183" i="1"/>
  <c r="L230" i="1"/>
  <c r="H262" i="1"/>
  <c r="K262" i="1"/>
  <c r="R122" i="1"/>
  <c r="H81" i="1"/>
  <c r="L17" i="1"/>
  <c r="U20" i="1"/>
  <c r="L23" i="1"/>
  <c r="U31" i="1"/>
  <c r="L34" i="1"/>
  <c r="U36" i="1"/>
  <c r="L39" i="1"/>
  <c r="K47" i="1"/>
  <c r="L49" i="1"/>
  <c r="H54" i="1"/>
  <c r="L56" i="1"/>
  <c r="K57" i="1"/>
  <c r="L59" i="1"/>
  <c r="L62" i="1"/>
  <c r="L67" i="1"/>
  <c r="L71" i="1"/>
  <c r="U85" i="1"/>
  <c r="L95" i="1"/>
  <c r="L96" i="1"/>
  <c r="K97" i="1"/>
  <c r="R101" i="1"/>
  <c r="K101" i="1"/>
  <c r="K110" i="1"/>
  <c r="R110" i="1"/>
  <c r="H122" i="1"/>
  <c r="U124" i="1"/>
  <c r="L133" i="1"/>
  <c r="U142" i="1"/>
  <c r="U149" i="1"/>
  <c r="U157" i="1"/>
  <c r="U159" i="1"/>
  <c r="U160" i="1"/>
  <c r="R178" i="1"/>
  <c r="K190" i="1"/>
  <c r="U212" i="1"/>
  <c r="U224" i="1"/>
  <c r="L228" i="1"/>
  <c r="U245" i="1"/>
  <c r="U248" i="1"/>
  <c r="R278" i="1"/>
  <c r="U282" i="1"/>
  <c r="U286" i="1"/>
  <c r="U289" i="1"/>
  <c r="L296" i="1"/>
  <c r="L301" i="1"/>
  <c r="L188" i="1"/>
  <c r="L192" i="1"/>
  <c r="U201" i="1"/>
  <c r="L214" i="1"/>
  <c r="L222" i="1"/>
  <c r="U225" i="1"/>
  <c r="L246" i="1"/>
  <c r="U252" i="1"/>
  <c r="U253" i="1"/>
  <c r="U258" i="1"/>
  <c r="U260" i="1"/>
  <c r="U262" i="1"/>
  <c r="U271" i="1"/>
  <c r="U276" i="1"/>
  <c r="L281" i="1"/>
  <c r="H282" i="1"/>
  <c r="L291" i="1"/>
  <c r="L298" i="1"/>
  <c r="L300" i="1"/>
  <c r="R302" i="1"/>
  <c r="L130" i="1"/>
  <c r="L131" i="1"/>
  <c r="U153" i="1"/>
  <c r="L166" i="1"/>
  <c r="L198" i="1"/>
  <c r="L206" i="1"/>
  <c r="U226" i="1"/>
  <c r="L264" i="1"/>
  <c r="K278" i="1"/>
  <c r="L288" i="1"/>
  <c r="L178" i="1"/>
  <c r="L182" i="1"/>
  <c r="H237" i="1"/>
  <c r="U250" i="1"/>
  <c r="K254" i="1"/>
  <c r="K270" i="1"/>
  <c r="R281" i="1"/>
  <c r="L100" i="1"/>
  <c r="L104" i="1"/>
  <c r="L108" i="1"/>
  <c r="U114" i="1"/>
  <c r="U118" i="1"/>
  <c r="U128" i="1"/>
  <c r="U132" i="1"/>
  <c r="U133" i="1"/>
  <c r="U135" i="1"/>
  <c r="L141" i="1"/>
  <c r="L150" i="1"/>
  <c r="U173" i="1"/>
  <c r="U186" i="1"/>
  <c r="U187" i="1"/>
  <c r="U210" i="1"/>
  <c r="U233" i="1"/>
  <c r="K237" i="1"/>
  <c r="L259" i="1"/>
  <c r="L261" i="1"/>
  <c r="L277" i="1"/>
  <c r="U287" i="1"/>
  <c r="U298" i="1"/>
  <c r="U305" i="1"/>
  <c r="R42" i="1"/>
  <c r="K42" i="1"/>
  <c r="H42" i="1"/>
  <c r="R24" i="1"/>
  <c r="K24" i="1"/>
  <c r="H24" i="1"/>
  <c r="R40" i="1"/>
  <c r="K40" i="1"/>
  <c r="H40" i="1"/>
  <c r="K64" i="1"/>
  <c r="R64" i="1"/>
  <c r="H64" i="1"/>
  <c r="K98" i="1"/>
  <c r="H98" i="1"/>
  <c r="R98" i="1"/>
  <c r="K108" i="1"/>
  <c r="R108" i="1"/>
  <c r="H108" i="1"/>
  <c r="R30" i="1"/>
  <c r="K30" i="1"/>
  <c r="H30" i="1"/>
  <c r="R28" i="1"/>
  <c r="H28" i="1"/>
  <c r="K28" i="1"/>
  <c r="K48" i="1"/>
  <c r="R48" i="1"/>
  <c r="H48" i="1"/>
  <c r="K74" i="1"/>
  <c r="H74" i="1"/>
  <c r="R74" i="1"/>
  <c r="R26" i="1"/>
  <c r="K26" i="1"/>
  <c r="H26" i="1"/>
  <c r="H164" i="1"/>
  <c r="K164" i="1"/>
  <c r="R164" i="1"/>
  <c r="R18" i="1"/>
  <c r="H18" i="1"/>
  <c r="K18" i="1"/>
  <c r="R34" i="1"/>
  <c r="K34" i="1"/>
  <c r="H34" i="1"/>
  <c r="R38" i="1"/>
  <c r="H38" i="1"/>
  <c r="K38" i="1"/>
  <c r="K58" i="1"/>
  <c r="R58" i="1"/>
  <c r="H58" i="1"/>
  <c r="K114" i="1"/>
  <c r="H114" i="1"/>
  <c r="R114" i="1"/>
  <c r="K173" i="1"/>
  <c r="H173" i="1"/>
  <c r="R173" i="1"/>
  <c r="R20" i="1"/>
  <c r="K20" i="1"/>
  <c r="H20" i="1"/>
  <c r="R36" i="1"/>
  <c r="K36" i="1"/>
  <c r="H36" i="1"/>
  <c r="K82" i="1"/>
  <c r="H82" i="1"/>
  <c r="R82" i="1"/>
  <c r="K138" i="1"/>
  <c r="H138" i="1"/>
  <c r="R138" i="1"/>
  <c r="R16" i="1"/>
  <c r="K16" i="1"/>
  <c r="H16" i="1"/>
  <c r="R22" i="1"/>
  <c r="K22" i="1"/>
  <c r="H22" i="1"/>
  <c r="R32" i="1"/>
  <c r="K32" i="1"/>
  <c r="H32" i="1"/>
  <c r="K92" i="1"/>
  <c r="R92" i="1"/>
  <c r="H92" i="1"/>
  <c r="K148" i="1"/>
  <c r="H148" i="1"/>
  <c r="H177" i="1"/>
  <c r="K177" i="1"/>
  <c r="H211" i="1"/>
  <c r="R211" i="1"/>
  <c r="H230" i="1"/>
  <c r="R230" i="1"/>
  <c r="K230" i="1"/>
  <c r="R68" i="1"/>
  <c r="R88" i="1"/>
  <c r="L90" i="1"/>
  <c r="R104" i="1"/>
  <c r="L106" i="1"/>
  <c r="R120" i="1"/>
  <c r="L122" i="1"/>
  <c r="L138" i="1"/>
  <c r="R148" i="1"/>
  <c r="H150" i="1"/>
  <c r="R150" i="1"/>
  <c r="R197" i="1"/>
  <c r="K197" i="1"/>
  <c r="H197" i="1"/>
  <c r="R213" i="1"/>
  <c r="K213" i="1"/>
  <c r="H213" i="1"/>
  <c r="R229" i="1"/>
  <c r="K229" i="1"/>
  <c r="H229" i="1"/>
  <c r="K303" i="1"/>
  <c r="H303" i="1"/>
  <c r="R303" i="1"/>
  <c r="H214" i="1"/>
  <c r="R214" i="1"/>
  <c r="K214" i="1"/>
  <c r="H227" i="1"/>
  <c r="R227" i="1"/>
  <c r="K255" i="1"/>
  <c r="H255" i="1"/>
  <c r="R255" i="1"/>
  <c r="R46" i="1"/>
  <c r="H77" i="1"/>
  <c r="K142" i="1"/>
  <c r="H142" i="1"/>
  <c r="R147" i="1"/>
  <c r="K147" i="1"/>
  <c r="R149" i="1"/>
  <c r="H149" i="1"/>
  <c r="R151" i="1"/>
  <c r="H151" i="1"/>
  <c r="H152" i="1"/>
  <c r="K152" i="1"/>
  <c r="R152" i="1"/>
  <c r="R165" i="1"/>
  <c r="H165" i="1"/>
  <c r="K195" i="1"/>
  <c r="H195" i="1"/>
  <c r="H250" i="1"/>
  <c r="R250" i="1"/>
  <c r="K250" i="1"/>
  <c r="H251" i="1"/>
  <c r="K251" i="1"/>
  <c r="R251" i="1"/>
  <c r="K293" i="1"/>
  <c r="H293" i="1"/>
  <c r="R293" i="1"/>
  <c r="R19" i="1"/>
  <c r="R21" i="1"/>
  <c r="R23" i="1"/>
  <c r="R25" i="1"/>
  <c r="R27" i="1"/>
  <c r="R29" i="1"/>
  <c r="R31" i="1"/>
  <c r="R33" i="1"/>
  <c r="R35" i="1"/>
  <c r="R37" i="1"/>
  <c r="R39" i="1"/>
  <c r="R41" i="1"/>
  <c r="K45" i="1"/>
  <c r="U52" i="1"/>
  <c r="R53" i="1"/>
  <c r="H55" i="1"/>
  <c r="R56" i="1"/>
  <c r="K61" i="1"/>
  <c r="U68" i="1"/>
  <c r="R69" i="1"/>
  <c r="H71" i="1"/>
  <c r="R72" i="1"/>
  <c r="K77" i="1"/>
  <c r="R84" i="1"/>
  <c r="L86" i="1"/>
  <c r="H87" i="1"/>
  <c r="R100" i="1"/>
  <c r="L102" i="1"/>
  <c r="H103" i="1"/>
  <c r="R116" i="1"/>
  <c r="L118" i="1"/>
  <c r="H119" i="1"/>
  <c r="R132" i="1"/>
  <c r="K134" i="1"/>
  <c r="R134" i="1"/>
  <c r="R141" i="1"/>
  <c r="H141" i="1"/>
  <c r="R142" i="1"/>
  <c r="K146" i="1"/>
  <c r="R146" i="1"/>
  <c r="H146" i="1"/>
  <c r="U147" i="1"/>
  <c r="K273" i="1"/>
  <c r="H273" i="1"/>
  <c r="R273" i="1"/>
  <c r="H198" i="1"/>
  <c r="R198" i="1"/>
  <c r="K198" i="1"/>
  <c r="R52" i="1"/>
  <c r="H49" i="1"/>
  <c r="H109" i="1"/>
  <c r="K119" i="1"/>
  <c r="H125" i="1"/>
  <c r="R133" i="1"/>
  <c r="H133" i="1"/>
  <c r="R137" i="1"/>
  <c r="K137" i="1"/>
  <c r="H137" i="1"/>
  <c r="K140" i="1"/>
  <c r="R140" i="1"/>
  <c r="K157" i="1"/>
  <c r="H157" i="1"/>
  <c r="R157" i="1"/>
  <c r="K163" i="1"/>
  <c r="H172" i="1"/>
  <c r="R172" i="1"/>
  <c r="K172" i="1"/>
  <c r="H184" i="1"/>
  <c r="K184" i="1"/>
  <c r="K201" i="1"/>
  <c r="H201" i="1"/>
  <c r="R201" i="1"/>
  <c r="K211" i="1"/>
  <c r="K217" i="1"/>
  <c r="H217" i="1"/>
  <c r="R217" i="1"/>
  <c r="K227" i="1"/>
  <c r="K233" i="1"/>
  <c r="H233" i="1"/>
  <c r="R233" i="1"/>
  <c r="K291" i="1"/>
  <c r="R291" i="1"/>
  <c r="H291" i="1"/>
  <c r="K87" i="1"/>
  <c r="K103" i="1"/>
  <c r="H21" i="1"/>
  <c r="H23" i="1"/>
  <c r="H25" i="1"/>
  <c r="H27" i="1"/>
  <c r="H29" i="1"/>
  <c r="H31" i="1"/>
  <c r="H33" i="1"/>
  <c r="H35" i="1"/>
  <c r="H37" i="1"/>
  <c r="H39" i="1"/>
  <c r="H41" i="1"/>
  <c r="H43" i="1"/>
  <c r="R44" i="1"/>
  <c r="H46" i="1"/>
  <c r="U56" i="1"/>
  <c r="H59" i="1"/>
  <c r="R60" i="1"/>
  <c r="H62" i="1"/>
  <c r="K65" i="1"/>
  <c r="U72" i="1"/>
  <c r="H75" i="1"/>
  <c r="R76" i="1"/>
  <c r="H78" i="1"/>
  <c r="R80" i="1"/>
  <c r="H83" i="1"/>
  <c r="H88" i="1"/>
  <c r="K93" i="1"/>
  <c r="R96" i="1"/>
  <c r="L98" i="1"/>
  <c r="H99" i="1"/>
  <c r="H104" i="1"/>
  <c r="K109" i="1"/>
  <c r="R112" i="1"/>
  <c r="L114" i="1"/>
  <c r="H115" i="1"/>
  <c r="H120" i="1"/>
  <c r="K125" i="1"/>
  <c r="R128" i="1"/>
  <c r="H131" i="1"/>
  <c r="R136" i="1"/>
  <c r="R154" i="1"/>
  <c r="K155" i="1"/>
  <c r="H155" i="1"/>
  <c r="H160" i="1"/>
  <c r="R160" i="1"/>
  <c r="R184" i="1"/>
  <c r="H203" i="1"/>
  <c r="K203" i="1"/>
  <c r="H219" i="1"/>
  <c r="K219" i="1"/>
  <c r="H235" i="1"/>
  <c r="K235" i="1"/>
  <c r="K264" i="1"/>
  <c r="R264" i="1"/>
  <c r="H264" i="1"/>
  <c r="K17" i="1"/>
  <c r="H53" i="1"/>
  <c r="R54" i="1"/>
  <c r="H56" i="1"/>
  <c r="H69" i="1"/>
  <c r="H72" i="1"/>
  <c r="K83" i="1"/>
  <c r="H89" i="1"/>
  <c r="H94" i="1"/>
  <c r="K99" i="1"/>
  <c r="H105" i="1"/>
  <c r="H110" i="1"/>
  <c r="K115" i="1"/>
  <c r="H121" i="1"/>
  <c r="H126" i="1"/>
  <c r="K131" i="1"/>
  <c r="K149" i="1"/>
  <c r="K150" i="1"/>
  <c r="R155" i="1"/>
  <c r="K159" i="1"/>
  <c r="R159" i="1"/>
  <c r="K165" i="1"/>
  <c r="H168" i="1"/>
  <c r="K168" i="1"/>
  <c r="H180" i="1"/>
  <c r="K180" i="1"/>
  <c r="R180" i="1"/>
  <c r="K189" i="1"/>
  <c r="H189" i="1"/>
  <c r="R189" i="1"/>
  <c r="R203" i="1"/>
  <c r="K209" i="1"/>
  <c r="H209" i="1"/>
  <c r="R209" i="1"/>
  <c r="R219" i="1"/>
  <c r="K225" i="1"/>
  <c r="H225" i="1"/>
  <c r="R225" i="1"/>
  <c r="R235" i="1"/>
  <c r="H241" i="1"/>
  <c r="K241" i="1"/>
  <c r="R241" i="1"/>
  <c r="H45" i="1"/>
  <c r="H61" i="1"/>
  <c r="R62" i="1"/>
  <c r="R17" i="1"/>
  <c r="H52" i="1"/>
  <c r="H68" i="1"/>
  <c r="H93" i="1"/>
  <c r="H19" i="1"/>
  <c r="U44" i="1"/>
  <c r="H50" i="1"/>
  <c r="U60" i="1"/>
  <c r="H66" i="1"/>
  <c r="U76" i="1"/>
  <c r="H79" i="1"/>
  <c r="H84" i="1"/>
  <c r="K89" i="1"/>
  <c r="L94" i="1"/>
  <c r="H95" i="1"/>
  <c r="H100" i="1"/>
  <c r="K105" i="1"/>
  <c r="L110" i="1"/>
  <c r="H111" i="1"/>
  <c r="H116" i="1"/>
  <c r="K121" i="1"/>
  <c r="R124" i="1"/>
  <c r="L126" i="1"/>
  <c r="H127" i="1"/>
  <c r="H132" i="1"/>
  <c r="H147" i="1"/>
  <c r="K151" i="1"/>
  <c r="R168" i="1"/>
  <c r="R177" i="1"/>
  <c r="K191" i="1"/>
  <c r="H191" i="1"/>
  <c r="H192" i="1"/>
  <c r="R192" i="1"/>
  <c r="K192" i="1"/>
  <c r="L252" i="1"/>
  <c r="K263" i="1"/>
  <c r="R263" i="1"/>
  <c r="H263" i="1"/>
  <c r="L140" i="1"/>
  <c r="H156" i="1"/>
  <c r="R156" i="1"/>
  <c r="H166" i="1"/>
  <c r="K166" i="1"/>
  <c r="R179" i="1"/>
  <c r="H182" i="1"/>
  <c r="K182" i="1"/>
  <c r="H199" i="1"/>
  <c r="R199" i="1"/>
  <c r="H215" i="1"/>
  <c r="R215" i="1"/>
  <c r="H231" i="1"/>
  <c r="R231" i="1"/>
  <c r="U263" i="1"/>
  <c r="K280" i="1"/>
  <c r="H280" i="1"/>
  <c r="K287" i="1"/>
  <c r="H287" i="1"/>
  <c r="R287" i="1"/>
  <c r="K299" i="1"/>
  <c r="H299" i="1"/>
  <c r="K300" i="1"/>
  <c r="H300" i="1"/>
  <c r="R300" i="1"/>
  <c r="H169" i="1"/>
  <c r="R169" i="1"/>
  <c r="H185" i="1"/>
  <c r="R185" i="1"/>
  <c r="K277" i="1"/>
  <c r="H277" i="1"/>
  <c r="K279" i="1"/>
  <c r="R279" i="1"/>
  <c r="H279" i="1"/>
  <c r="R299" i="1"/>
  <c r="L136" i="1"/>
  <c r="H162" i="1"/>
  <c r="K162" i="1"/>
  <c r="H176" i="1"/>
  <c r="R176" i="1"/>
  <c r="U179" i="1"/>
  <c r="R193" i="1"/>
  <c r="L196" i="1"/>
  <c r="H206" i="1"/>
  <c r="R206" i="1"/>
  <c r="K206" i="1"/>
  <c r="H222" i="1"/>
  <c r="R222" i="1"/>
  <c r="K222" i="1"/>
  <c r="H238" i="1"/>
  <c r="R238" i="1"/>
  <c r="K238" i="1"/>
  <c r="H242" i="1"/>
  <c r="R242" i="1"/>
  <c r="R277" i="1"/>
  <c r="K283" i="1"/>
  <c r="R283" i="1"/>
  <c r="H286" i="1"/>
  <c r="K286" i="1"/>
  <c r="H143" i="1"/>
  <c r="H161" i="1"/>
  <c r="H186" i="1"/>
  <c r="K186" i="1"/>
  <c r="H188" i="1"/>
  <c r="R188" i="1"/>
  <c r="H243" i="1"/>
  <c r="R243" i="1"/>
  <c r="H244" i="1"/>
  <c r="R244" i="1"/>
  <c r="K244" i="1"/>
  <c r="K275" i="1"/>
  <c r="R275" i="1"/>
  <c r="H275" i="1"/>
  <c r="R276" i="1"/>
  <c r="K276" i="1"/>
  <c r="H276" i="1"/>
  <c r="K143" i="1"/>
  <c r="L148" i="1"/>
  <c r="K156" i="1"/>
  <c r="K171" i="1"/>
  <c r="H171" i="1"/>
  <c r="H175" i="1"/>
  <c r="H179" i="1"/>
  <c r="H196" i="1"/>
  <c r="K196" i="1"/>
  <c r="R196" i="1"/>
  <c r="K199" i="1"/>
  <c r="H207" i="1"/>
  <c r="R207" i="1"/>
  <c r="K215" i="1"/>
  <c r="H223" i="1"/>
  <c r="R223" i="1"/>
  <c r="K231" i="1"/>
  <c r="H239" i="1"/>
  <c r="R239" i="1"/>
  <c r="K247" i="1"/>
  <c r="L255" i="1"/>
  <c r="U270" i="1"/>
  <c r="H204" i="1"/>
  <c r="R204" i="1"/>
  <c r="H212" i="1"/>
  <c r="R212" i="1"/>
  <c r="H220" i="1"/>
  <c r="R220" i="1"/>
  <c r="H228" i="1"/>
  <c r="R228" i="1"/>
  <c r="H236" i="1"/>
  <c r="R236" i="1"/>
  <c r="H248" i="1"/>
  <c r="R248" i="1"/>
  <c r="K252" i="1"/>
  <c r="H252" i="1"/>
  <c r="R252" i="1"/>
  <c r="L258" i="1"/>
  <c r="L271" i="1"/>
  <c r="U279" i="1"/>
  <c r="K289" i="1"/>
  <c r="H289" i="1"/>
  <c r="R292" i="1"/>
  <c r="K292" i="1"/>
  <c r="R296" i="1"/>
  <c r="U301" i="1"/>
  <c r="K295" i="1"/>
  <c r="R295" i="1"/>
  <c r="H202" i="1"/>
  <c r="R202" i="1"/>
  <c r="H210" i="1"/>
  <c r="R210" i="1"/>
  <c r="H218" i="1"/>
  <c r="R218" i="1"/>
  <c r="H226" i="1"/>
  <c r="R226" i="1"/>
  <c r="H234" i="1"/>
  <c r="R234" i="1"/>
  <c r="R267" i="1"/>
  <c r="K268" i="1"/>
  <c r="H268" i="1"/>
  <c r="R268" i="1"/>
  <c r="K271" i="1"/>
  <c r="H271" i="1"/>
  <c r="R271" i="1"/>
  <c r="K305" i="1"/>
  <c r="H305" i="1"/>
  <c r="R158" i="1"/>
  <c r="R174" i="1"/>
  <c r="H187" i="1"/>
  <c r="R190" i="1"/>
  <c r="H246" i="1"/>
  <c r="R246" i="1"/>
  <c r="R249" i="1"/>
  <c r="K259" i="1"/>
  <c r="R259" i="1"/>
  <c r="K261" i="1"/>
  <c r="H261" i="1"/>
  <c r="K302" i="1"/>
  <c r="K178" i="1"/>
  <c r="K194" i="1"/>
  <c r="H200" i="1"/>
  <c r="R200" i="1"/>
  <c r="K204" i="1"/>
  <c r="H208" i="1"/>
  <c r="R208" i="1"/>
  <c r="K212" i="1"/>
  <c r="H216" i="1"/>
  <c r="R216" i="1"/>
  <c r="K220" i="1"/>
  <c r="H224" i="1"/>
  <c r="R224" i="1"/>
  <c r="K228" i="1"/>
  <c r="H232" i="1"/>
  <c r="R232" i="1"/>
  <c r="K236" i="1"/>
  <c r="H240" i="1"/>
  <c r="R240" i="1"/>
  <c r="K245" i="1"/>
  <c r="K248" i="1"/>
  <c r="K257" i="1"/>
  <c r="H257" i="1"/>
  <c r="R260" i="1"/>
  <c r="K260" i="1"/>
  <c r="R261" i="1"/>
  <c r="U269" i="1"/>
  <c r="K284" i="1"/>
  <c r="H284" i="1"/>
  <c r="R284" i="1"/>
  <c r="L290" i="1"/>
  <c r="H292" i="1"/>
  <c r="L303" i="1"/>
  <c r="U251" i="1"/>
  <c r="U267" i="1"/>
  <c r="U283" i="1"/>
  <c r="U299" i="1"/>
  <c r="K307" i="1"/>
  <c r="R307" i="1"/>
  <c r="H258" i="1"/>
  <c r="H274" i="1"/>
  <c r="H290" i="1"/>
  <c r="H306" i="1"/>
  <c r="R253" i="1"/>
  <c r="R269" i="1"/>
  <c r="R285" i="1"/>
  <c r="R301" i="1"/>
  <c r="U259" i="1"/>
  <c r="H265" i="1"/>
  <c r="U275" i="1"/>
  <c r="H281" i="1"/>
  <c r="U291" i="1"/>
  <c r="H297" i="1"/>
</calcChain>
</file>

<file path=xl/sharedStrings.xml><?xml version="1.0" encoding="utf-8"?>
<sst xmlns="http://schemas.openxmlformats.org/spreadsheetml/2006/main" count="3384" uniqueCount="889">
  <si>
    <t>File opened</t>
  </si>
  <si>
    <t>2026-02-14 11:05:18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</si>
  <si>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</si>
  <si>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</si>
  <si>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</si>
  <si>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</si>
  <si>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</si>
  <si>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</si>
  <si>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</si>
  <si>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</si>
  <si>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</si>
  <si>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</si>
  <si>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</si>
  <si>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{"co2aspan2": "-0.033915", "h2oaspanconc2": "0", "co2azero": "0.922307", "co2bspan2": "-0.0359676", "flowbzero": "0.30857", "co2bspan2a": "0.295418", "ssa_ref": "39976.8", "h2oaspan2b": "0.0721966", "tazero": "0.0117626", "h2obspanconc2": "0", "co2bzero": "0.99384", "h2oaspanconc1": "12.29", "co2aspan2a": "0.299679", "co2aspanconc1": "2473", "h2obspan2": "0", "h2obspan2b": "0.0728367", "h2oaspan1": "1.01335", "co2bspanconc2": "301.4", "co2bspan2b": "0.292556", "co2bspan1": "1.00094", "ssb_ref": "38888.9", "h2obspanconc1": "12.29", "co2aspanconc2": "301.4", "flowmeterzero": "1.00472", "h2obspan1": "1.03315", "h2oazero": "1.07438", "co2aspan1": "1.00052", "chamberpressurezero": "2.63782", "tbzero": "0.0726261", "oxygen": "21", "co2aspan2b": "0.296788", "h2obzero": "1.08151", "h2oaspan2": "0", "h2obspan2a": "0.0704999", "co2bspanconc1": "2473", "h2oaspan2a": "0.0712457", "flowazero": "0.34786"}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</si>
  <si>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</si>
  <si>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</si>
  <si>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</si>
  <si>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</si>
  <si>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</si>
  <si>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</si>
  <si>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</si>
  <si>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</si>
  <si>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</si>
  <si>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</si>
  <si>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</si>
  <si>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</si>
  <si>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</si>
  <si>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</si>
  <si>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</si>
  <si>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</si>
  <si>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</si>
  <si>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</si>
  <si>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</si>
  <si>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</si>
  <si>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11:05:18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</si>
  <si>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</si>
  <si>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</si>
  <si>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</si>
  <si>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</si>
  <si>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</si>
  <si>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</si>
  <si>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</si>
  <si>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</si>
  <si>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</si>
  <si>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</si>
  <si>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</si>
  <si>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</si>
  <si>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</si>
  <si>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</si>
  <si>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</si>
  <si>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</si>
  <si>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</si>
  <si>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</si>
  <si>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</si>
  <si>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</si>
  <si>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</si>
  <si>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</si>
  <si>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</si>
  <si>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</si>
  <si>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</si>
  <si>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</si>
  <si>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</si>
  <si>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</si>
  <si>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</si>
  <si>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</si>
  <si>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</si>
  <si>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</si>
  <si>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</si>
  <si>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</si>
  <si>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</si>
  <si>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</si>
  <si>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</si>
  <si>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</si>
  <si>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</si>
  <si>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</si>
  <si>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</si>
  <si>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</si>
  <si>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</si>
  <si>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</si>
  <si>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</si>
  <si>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</si>
  <si>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</si>
  <si>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</si>
  <si>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</si>
  <si>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</si>
  <si>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</si>
  <si>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</si>
  <si>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7.98471 88.6412 371.09 612.926 841.001 1047.69 1232.45 1404.81</t>
  </si>
  <si>
    <t>Fs_true</t>
  </si>
  <si>
    <t>0.100785 102.006 401.481 601.259 801.592 1000.68 1201.59 1400.72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</si>
  <si>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</si>
  <si>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</si>
  <si>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</si>
  <si>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</si>
  <si>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</si>
  <si>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</si>
  <si>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</si>
  <si>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</si>
  <si>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</si>
  <si>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</si>
  <si>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</si>
  <si>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</si>
  <si>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</si>
  <si>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</si>
  <si>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</si>
  <si>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</si>
  <si>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</si>
  <si>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</si>
  <si>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</si>
  <si>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</si>
  <si>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</si>
  <si>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</si>
  <si>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</si>
  <si>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</si>
  <si>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</si>
  <si>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</si>
  <si>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</si>
  <si>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</si>
  <si>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</si>
  <si>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</si>
  <si>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</si>
  <si>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</si>
  <si>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</si>
  <si>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</si>
  <si>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</si>
  <si>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</si>
  <si>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</si>
  <si>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</si>
  <si>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</si>
  <si>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</si>
  <si>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</si>
  <si>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</si>
  <si>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</si>
  <si>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</si>
  <si>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</si>
  <si>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</si>
  <si>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</si>
  <si>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</si>
  <si>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</si>
  <si>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</si>
  <si>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</si>
  <si>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</si>
  <si>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</si>
  <si>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</si>
  <si>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</si>
  <si>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</si>
  <si>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</si>
  <si>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</si>
  <si>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</si>
  <si>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</si>
  <si>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</si>
  <si>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</si>
  <si>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</si>
  <si>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</si>
  <si>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</si>
  <si>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</si>
  <si>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</si>
  <si>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</si>
  <si>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</si>
  <si>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</si>
  <si>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</si>
  <si>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</si>
  <si>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</si>
  <si>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</si>
  <si>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</si>
  <si>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</si>
  <si>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</si>
  <si>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</si>
  <si>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</si>
  <si>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</si>
  <si>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</si>
  <si>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</si>
  <si>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</si>
  <si>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</si>
  <si>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</si>
  <si>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</si>
  <si>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</si>
  <si>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</si>
  <si>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</si>
  <si>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</si>
  <si>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</si>
  <si>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</si>
  <si>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</si>
  <si>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</si>
  <si>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</si>
  <si>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</si>
  <si>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</si>
  <si>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</si>
  <si>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</si>
  <si>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</si>
  <si>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</si>
  <si>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</si>
  <si>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</si>
  <si>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</si>
  <si>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</si>
  <si>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</si>
  <si>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</si>
  <si>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</si>
  <si>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</si>
  <si>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</si>
  <si>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</si>
  <si>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</si>
  <si>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</si>
  <si>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</si>
  <si>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</si>
  <si>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</si>
  <si>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</si>
  <si>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</si>
  <si>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</si>
  <si>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</si>
  <si>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</si>
  <si>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</si>
  <si>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</si>
  <si>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</si>
  <si>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</si>
  <si>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</si>
  <si>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</si>
  <si>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</si>
  <si>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</si>
  <si>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</si>
  <si>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</si>
  <si>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</si>
  <si>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</si>
  <si>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</si>
  <si>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</si>
  <si>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</si>
  <si>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</si>
  <si>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</si>
  <si>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</si>
  <si>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</si>
  <si>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</si>
  <si>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</si>
  <si>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</si>
  <si>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</si>
  <si>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</si>
  <si>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</si>
  <si>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</si>
  <si>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</si>
  <si>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</si>
  <si>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</si>
  <si>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</si>
  <si>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</si>
  <si>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</si>
  <si>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</si>
  <si>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</si>
  <si>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</si>
  <si>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</si>
  <si>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</si>
  <si>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</si>
  <si>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</si>
  <si>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</si>
  <si>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</si>
  <si>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</si>
  <si>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</si>
  <si>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</si>
  <si>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</si>
  <si>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</si>
  <si>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</si>
  <si>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</si>
  <si>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</si>
  <si>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</si>
  <si>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</si>
  <si>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</si>
  <si>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</si>
  <si>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</si>
  <si>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</si>
  <si>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</si>
  <si>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</si>
  <si>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</si>
  <si>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</si>
  <si>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</si>
  <si>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</si>
  <si>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</si>
  <si>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</si>
  <si>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</si>
  <si>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</si>
  <si>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</si>
  <si>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</si>
  <si>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</si>
  <si>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</si>
  <si>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</si>
  <si>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</si>
  <si>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</si>
  <si>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</si>
  <si>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</si>
  <si>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</si>
  <si>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</si>
  <si>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20260214 11:08:40</t>
  </si>
  <si>
    <t>11:08:40</t>
  </si>
  <si>
    <t>11:09:00</t>
  </si>
  <si>
    <t>0/2</t>
  </si>
  <si>
    <t>10111111</t>
  </si>
  <si>
    <t>oioooooo</t>
  </si>
  <si>
    <t>off</t>
  </si>
  <si>
    <t>on</t>
  </si>
  <si>
    <t>20260214 11:09:02</t>
  </si>
  <si>
    <t>11:09:02</t>
  </si>
  <si>
    <t>20260214 11:09:17</t>
  </si>
  <si>
    <t>11:09:17</t>
  </si>
  <si>
    <t>1/2</t>
  </si>
  <si>
    <t>20260214 11:09:32</t>
  </si>
  <si>
    <t>11:09:32</t>
  </si>
  <si>
    <t>20260214 11:09:47</t>
  </si>
  <si>
    <t>11:09:47</t>
  </si>
  <si>
    <t>20260214 11:10:02</t>
  </si>
  <si>
    <t>11:10:02</t>
  </si>
  <si>
    <t>20260214 11:10:17</t>
  </si>
  <si>
    <t>11:10:17</t>
  </si>
  <si>
    <t>20260214 11:10:32</t>
  </si>
  <si>
    <t>11:10:32</t>
  </si>
  <si>
    <t>2/2</t>
  </si>
  <si>
    <t>20260214 11:10:47</t>
  </si>
  <si>
    <t>11:10:47</t>
  </si>
  <si>
    <t>20260214 11:11:02</t>
  </si>
  <si>
    <t>11:11:02</t>
  </si>
  <si>
    <t>20260214 11:11:17</t>
  </si>
  <si>
    <t>11:11:17</t>
  </si>
  <si>
    <t>20260214 11:11:32</t>
  </si>
  <si>
    <t>11:11:32</t>
  </si>
  <si>
    <t>20260214 11:11:47</t>
  </si>
  <si>
    <t>11:11:47</t>
  </si>
  <si>
    <t>20260214 11:12:02</t>
  </si>
  <si>
    <t>11:12:02</t>
  </si>
  <si>
    <t>20260214 11:12:17</t>
  </si>
  <si>
    <t>11:12:17</t>
  </si>
  <si>
    <t>20260214 11:12:32</t>
  </si>
  <si>
    <t>11:12:32</t>
  </si>
  <si>
    <t>20260214 11:12:47</t>
  </si>
  <si>
    <t>11:12:47</t>
  </si>
  <si>
    <t>20260214 11:13:02</t>
  </si>
  <si>
    <t>11:13:02</t>
  </si>
  <si>
    <t>20260214 11:13:17</t>
  </si>
  <si>
    <t>11:13:17</t>
  </si>
  <si>
    <t>20260214 11:13:32</t>
  </si>
  <si>
    <t>11:13:32</t>
  </si>
  <si>
    <t>20260214 11:13:47</t>
  </si>
  <si>
    <t>11:13:47</t>
  </si>
  <si>
    <t>20260214 11:14:02</t>
  </si>
  <si>
    <t>11:14:02</t>
  </si>
  <si>
    <t>20260214 11:14:17</t>
  </si>
  <si>
    <t>11:14:17</t>
  </si>
  <si>
    <t>20260214 11:14:32</t>
  </si>
  <si>
    <t>11:14:32</t>
  </si>
  <si>
    <t>20260214 11:14:47</t>
  </si>
  <si>
    <t>11:14:47</t>
  </si>
  <si>
    <t>20260214 11:15:02</t>
  </si>
  <si>
    <t>11:15:02</t>
  </si>
  <si>
    <t>20260214 11:15:17</t>
  </si>
  <si>
    <t>11:15:17</t>
  </si>
  <si>
    <t>20260214 11:15:32</t>
  </si>
  <si>
    <t>11:15:32</t>
  </si>
  <si>
    <t>20260214 11:20:00</t>
  </si>
  <si>
    <t>11:20:00</t>
  </si>
  <si>
    <t>11:20:26</t>
  </si>
  <si>
    <t>20260214 11:20:28</t>
  </si>
  <si>
    <t>11:20:28</t>
  </si>
  <si>
    <t>20260214 11:20:43</t>
  </si>
  <si>
    <t>11:20:43</t>
  </si>
  <si>
    <t>20260214 11:20:58</t>
  </si>
  <si>
    <t>11:20:58</t>
  </si>
  <si>
    <t>20260214 11:21:13</t>
  </si>
  <si>
    <t>11:21:13</t>
  </si>
  <si>
    <t>20260214 11:21:28</t>
  </si>
  <si>
    <t>11:21:28</t>
  </si>
  <si>
    <t>20260214 11:21:43</t>
  </si>
  <si>
    <t>11:21:43</t>
  </si>
  <si>
    <t>20260214 11:21:58</t>
  </si>
  <si>
    <t>11:21:58</t>
  </si>
  <si>
    <t>20260214 11:22:13</t>
  </si>
  <si>
    <t>11:22:13</t>
  </si>
  <si>
    <t>20260214 11:22:28</t>
  </si>
  <si>
    <t>11:22:28</t>
  </si>
  <si>
    <t>20260214 11:22:43</t>
  </si>
  <si>
    <t>11:22:43</t>
  </si>
  <si>
    <t>20260214 11:22:58</t>
  </si>
  <si>
    <t>11:22:58</t>
  </si>
  <si>
    <t>20260214 11:23:13</t>
  </si>
  <si>
    <t>11:23:13</t>
  </si>
  <si>
    <t>20260214 11:23:28</t>
  </si>
  <si>
    <t>11:23:28</t>
  </si>
  <si>
    <t>20260214 11:23:43</t>
  </si>
  <si>
    <t>11:23:43</t>
  </si>
  <si>
    <t>20260214 11:23:58</t>
  </si>
  <si>
    <t>11:23:58</t>
  </si>
  <si>
    <t>20260214 11:24:13</t>
  </si>
  <si>
    <t>11:24:13</t>
  </si>
  <si>
    <t>20260214 11:24:28</t>
  </si>
  <si>
    <t>11:24:28</t>
  </si>
  <si>
    <t>20260214 11:24:43</t>
  </si>
  <si>
    <t>11:24:43</t>
  </si>
  <si>
    <t>20260214 11:24:58</t>
  </si>
  <si>
    <t>11:24:58</t>
  </si>
  <si>
    <t>20260214 11:25:13</t>
  </si>
  <si>
    <t>11:25:13</t>
  </si>
  <si>
    <t>20260214 11:25:28</t>
  </si>
  <si>
    <t>11:25:28</t>
  </si>
  <si>
    <t>20260214 11:25:43</t>
  </si>
  <si>
    <t>11:25:43</t>
  </si>
  <si>
    <t>20260214 11:25:58</t>
  </si>
  <si>
    <t>11:25:58</t>
  </si>
  <si>
    <t>20260214 11:26:13</t>
  </si>
  <si>
    <t>11:26:13</t>
  </si>
  <si>
    <t>20260214 11:26:28</t>
  </si>
  <si>
    <t>11:26:28</t>
  </si>
  <si>
    <t>20260214 11:26:43</t>
  </si>
  <si>
    <t>11:26:43</t>
  </si>
  <si>
    <t>20260214 11:29:30</t>
  </si>
  <si>
    <t>11:29:30</t>
  </si>
  <si>
    <t>20260214 11:29:45</t>
  </si>
  <si>
    <t>11:29:45</t>
  </si>
  <si>
    <t>20260214 11:30:00</t>
  </si>
  <si>
    <t>11:30:00</t>
  </si>
  <si>
    <t>20260214 11:30:15</t>
  </si>
  <si>
    <t>11:30:15</t>
  </si>
  <si>
    <t>20260214 11:30:30</t>
  </si>
  <si>
    <t>11:30:30</t>
  </si>
  <si>
    <t>11:30:52</t>
  </si>
  <si>
    <t>20260214 11:30:54</t>
  </si>
  <si>
    <t>11:30:54</t>
  </si>
  <si>
    <t>20260214 11:31:09</t>
  </si>
  <si>
    <t>11:31:09</t>
  </si>
  <si>
    <t>20260214 11:31:24</t>
  </si>
  <si>
    <t>11:31:24</t>
  </si>
  <si>
    <t>20260214 11:31:39</t>
  </si>
  <si>
    <t>11:31:39</t>
  </si>
  <si>
    <t>20260214 11:31:54</t>
  </si>
  <si>
    <t>11:31:54</t>
  </si>
  <si>
    <t>20260214 11:32:09</t>
  </si>
  <si>
    <t>11:32:09</t>
  </si>
  <si>
    <t>20260214 11:32:24</t>
  </si>
  <si>
    <t>11:32:24</t>
  </si>
  <si>
    <t>20260214 11:32:39</t>
  </si>
  <si>
    <t>11:32:39</t>
  </si>
  <si>
    <t>20260214 11:32:54</t>
  </si>
  <si>
    <t>11:32:54</t>
  </si>
  <si>
    <t>20260214 11:33:09</t>
  </si>
  <si>
    <t>11:33:09</t>
  </si>
  <si>
    <t>20260214 11:33:24</t>
  </si>
  <si>
    <t>11:33:24</t>
  </si>
  <si>
    <t>20260214 11:33:39</t>
  </si>
  <si>
    <t>11:33:39</t>
  </si>
  <si>
    <t>20260214 11:33:54</t>
  </si>
  <si>
    <t>11:33:54</t>
  </si>
  <si>
    <t>20260214 11:34:09</t>
  </si>
  <si>
    <t>11:34:09</t>
  </si>
  <si>
    <t>20260214 11:34:24</t>
  </si>
  <si>
    <t>11:34:24</t>
  </si>
  <si>
    <t>20260214 11:34:39</t>
  </si>
  <si>
    <t>11:34:39</t>
  </si>
  <si>
    <t>20260214 11:34:54</t>
  </si>
  <si>
    <t>11:34:54</t>
  </si>
  <si>
    <t>20260214 11:35:09</t>
  </si>
  <si>
    <t>11:35:09</t>
  </si>
  <si>
    <t>20260214 11:35:24</t>
  </si>
  <si>
    <t>11:35:24</t>
  </si>
  <si>
    <t>20260214 11:35:39</t>
  </si>
  <si>
    <t>11:35:39</t>
  </si>
  <si>
    <t>20260214 11:35:54</t>
  </si>
  <si>
    <t>11:35:54</t>
  </si>
  <si>
    <t>20260214 11:36:09</t>
  </si>
  <si>
    <t>11:36:09</t>
  </si>
  <si>
    <t>20260214 11:36:24</t>
  </si>
  <si>
    <t>11:36:24</t>
  </si>
  <si>
    <t>20260214 11:36:39</t>
  </si>
  <si>
    <t>11:36:39</t>
  </si>
  <si>
    <t>20260214 11:36:54</t>
  </si>
  <si>
    <t>11:36:54</t>
  </si>
  <si>
    <t>20260214 11:37:09</t>
  </si>
  <si>
    <t>11:37:09</t>
  </si>
  <si>
    <t>20260214 11:39:37</t>
  </si>
  <si>
    <t>11:39:37</t>
  </si>
  <si>
    <t>20260214 11:39:52</t>
  </si>
  <si>
    <t>11:39:52</t>
  </si>
  <si>
    <t>20260214 11:40:07</t>
  </si>
  <si>
    <t>11:40:07</t>
  </si>
  <si>
    <t>20260214 11:40:22</t>
  </si>
  <si>
    <t>11:40:22</t>
  </si>
  <si>
    <t>20260214 11:40:37</t>
  </si>
  <si>
    <t>11:40:37</t>
  </si>
  <si>
    <t>20260214 11:40:52</t>
  </si>
  <si>
    <t>11:40:52</t>
  </si>
  <si>
    <t>20260214 11:41:07</t>
  </si>
  <si>
    <t>11:41:07</t>
  </si>
  <si>
    <t>11:41:29</t>
  </si>
  <si>
    <t>20260214 11:41:31</t>
  </si>
  <si>
    <t>11:41:31</t>
  </si>
  <si>
    <t>20260214 11:41:46</t>
  </si>
  <si>
    <t>11:41:46</t>
  </si>
  <si>
    <t>20260214 11:42:01</t>
  </si>
  <si>
    <t>11:42:01</t>
  </si>
  <si>
    <t>20260214 11:42:16</t>
  </si>
  <si>
    <t>11:42:16</t>
  </si>
  <si>
    <t>20260214 11:42:31</t>
  </si>
  <si>
    <t>11:42:31</t>
  </si>
  <si>
    <t>20260214 11:42:46</t>
  </si>
  <si>
    <t>11:42:46</t>
  </si>
  <si>
    <t>20260214 11:43:01</t>
  </si>
  <si>
    <t>11:43:01</t>
  </si>
  <si>
    <t>20260214 11:43:16</t>
  </si>
  <si>
    <t>11:43:16</t>
  </si>
  <si>
    <t>20260214 11:43:31</t>
  </si>
  <si>
    <t>11:43:31</t>
  </si>
  <si>
    <t>20260214 11:43:46</t>
  </si>
  <si>
    <t>11:43:46</t>
  </si>
  <si>
    <t>20260214 11:44:01</t>
  </si>
  <si>
    <t>11:44:01</t>
  </si>
  <si>
    <t>20260214 11:44:16</t>
  </si>
  <si>
    <t>11:44:16</t>
  </si>
  <si>
    <t>20260214 11:44:31</t>
  </si>
  <si>
    <t>11:44:31</t>
  </si>
  <si>
    <t>20260214 11:44:46</t>
  </si>
  <si>
    <t>11:44:46</t>
  </si>
  <si>
    <t>20260214 11:45:01</t>
  </si>
  <si>
    <t>11:45:01</t>
  </si>
  <si>
    <t>20260214 11:45:16</t>
  </si>
  <si>
    <t>11:45:16</t>
  </si>
  <si>
    <t>20260214 11:45:31</t>
  </si>
  <si>
    <t>11:45:31</t>
  </si>
  <si>
    <t>20260214 11:45:46</t>
  </si>
  <si>
    <t>11:45:46</t>
  </si>
  <si>
    <t>20260214 11:46:01</t>
  </si>
  <si>
    <t>11:46:01</t>
  </si>
  <si>
    <t>20260214 11:48:23</t>
  </si>
  <si>
    <t>11:48:23</t>
  </si>
  <si>
    <t>20260214 11:48:38</t>
  </si>
  <si>
    <t>11:48:38</t>
  </si>
  <si>
    <t>20260214 11:48:53</t>
  </si>
  <si>
    <t>11:48:53</t>
  </si>
  <si>
    <t>20260214 11:49:08</t>
  </si>
  <si>
    <t>11:49:08</t>
  </si>
  <si>
    <t>20260214 11:49:23</t>
  </si>
  <si>
    <t>11:49:23</t>
  </si>
  <si>
    <t>20260214 11:49:38</t>
  </si>
  <si>
    <t>11:49:38</t>
  </si>
  <si>
    <t>20260214 11:49:53</t>
  </si>
  <si>
    <t>11:49:53</t>
  </si>
  <si>
    <t>20260214 11:50:08</t>
  </si>
  <si>
    <t>11:50:08</t>
  </si>
  <si>
    <t>20260214 11:50:23</t>
  </si>
  <si>
    <t>11:50:23</t>
  </si>
  <si>
    <t>20260214 11:50:38</t>
  </si>
  <si>
    <t>11:50:38</t>
  </si>
  <si>
    <t>20260214 11:50:53</t>
  </si>
  <si>
    <t>11:50:53</t>
  </si>
  <si>
    <t>20260214 11:51:08</t>
  </si>
  <si>
    <t>11:51:08</t>
  </si>
  <si>
    <t>20260214 11:51:23</t>
  </si>
  <si>
    <t>11:51:23</t>
  </si>
  <si>
    <t>20260214 11:51:38</t>
  </si>
  <si>
    <t>11:51:38</t>
  </si>
  <si>
    <t>11:51:58</t>
  </si>
  <si>
    <t>20260214 11:52:00</t>
  </si>
  <si>
    <t>11:52:00</t>
  </si>
  <si>
    <t>20260214 11:52:15</t>
  </si>
  <si>
    <t>11:52:15</t>
  </si>
  <si>
    <t>20260214 11:52:30</t>
  </si>
  <si>
    <t>11:52:30</t>
  </si>
  <si>
    <t>20260214 11:52:45</t>
  </si>
  <si>
    <t>11:52:45</t>
  </si>
  <si>
    <t>20260214 11:53:00</t>
  </si>
  <si>
    <t>11:53:00</t>
  </si>
  <si>
    <t>20260214 11:53:15</t>
  </si>
  <si>
    <t>11:53:15</t>
  </si>
  <si>
    <t>20260214 11:53:30</t>
  </si>
  <si>
    <t>11:53:30</t>
  </si>
  <si>
    <t>20260214 11:53:45</t>
  </si>
  <si>
    <t>11:53:45</t>
  </si>
  <si>
    <t>20260214 11:54:00</t>
  </si>
  <si>
    <t>11:54:00</t>
  </si>
  <si>
    <t>20260214 11:54:15</t>
  </si>
  <si>
    <t>11:54:15</t>
  </si>
  <si>
    <t>20260214 11:54:30</t>
  </si>
  <si>
    <t>11:54:30</t>
  </si>
  <si>
    <t>20260214 11:54:45</t>
  </si>
  <si>
    <t>11:54:45</t>
  </si>
  <si>
    <t>20260214 11:55:00</t>
  </si>
  <si>
    <t>11:55:00</t>
  </si>
  <si>
    <t>20260214 11:55:15</t>
  </si>
  <si>
    <t>11:55:15</t>
  </si>
  <si>
    <t>20260214 11:58:33</t>
  </si>
  <si>
    <t>11:58:33</t>
  </si>
  <si>
    <t>20260214 11:58:48</t>
  </si>
  <si>
    <t>11:58:48</t>
  </si>
  <si>
    <t>20260214 11:59:03</t>
  </si>
  <si>
    <t>11:59:03</t>
  </si>
  <si>
    <t>20260214 11:59:18</t>
  </si>
  <si>
    <t>11:59:18</t>
  </si>
  <si>
    <t>20260214 11:59:33</t>
  </si>
  <si>
    <t>11:59:33</t>
  </si>
  <si>
    <t>20260214 11:59:48</t>
  </si>
  <si>
    <t>11:59:48</t>
  </si>
  <si>
    <t>20260214 12:00:03</t>
  </si>
  <si>
    <t>12:00:03</t>
  </si>
  <si>
    <t>20260214 12:00:18</t>
  </si>
  <si>
    <t>12:00:18</t>
  </si>
  <si>
    <t>20260214 12:00:33</t>
  </si>
  <si>
    <t>12:00:33</t>
  </si>
  <si>
    <t>20260214 12:00:48</t>
  </si>
  <si>
    <t>12:00:48</t>
  </si>
  <si>
    <t>20260214 12:01:03</t>
  </si>
  <si>
    <t>12:01:03</t>
  </si>
  <si>
    <t>20260214 12:01:18</t>
  </si>
  <si>
    <t>12:01:18</t>
  </si>
  <si>
    <t>20260214 12:01:33</t>
  </si>
  <si>
    <t>12:01:33</t>
  </si>
  <si>
    <t>20260214 12:01:48</t>
  </si>
  <si>
    <t>12:01:48</t>
  </si>
  <si>
    <t>20260214 12:02:03</t>
  </si>
  <si>
    <t>12:02:03</t>
  </si>
  <si>
    <t>12:02:25</t>
  </si>
  <si>
    <t>20260214 12:02:27</t>
  </si>
  <si>
    <t>12:02:27</t>
  </si>
  <si>
    <t>20260214 12:02:42</t>
  </si>
  <si>
    <t>12:02:42</t>
  </si>
  <si>
    <t>20260214 12:02:57</t>
  </si>
  <si>
    <t>12:02:57</t>
  </si>
  <si>
    <t>20260214 12:03:12</t>
  </si>
  <si>
    <t>12:03:12</t>
  </si>
  <si>
    <t>20260214 12:03:27</t>
  </si>
  <si>
    <t>12:03:27</t>
  </si>
  <si>
    <t>20260214 12:03:42</t>
  </si>
  <si>
    <t>12:03:42</t>
  </si>
  <si>
    <t>20260214 12:03:57</t>
  </si>
  <si>
    <t>12:03:57</t>
  </si>
  <si>
    <t>20260214 12:04:12</t>
  </si>
  <si>
    <t>12:04:12</t>
  </si>
  <si>
    <t>20260214 12:04:27</t>
  </si>
  <si>
    <t>12:04:27</t>
  </si>
  <si>
    <t>20260214 12:04:42</t>
  </si>
  <si>
    <t>12:04:42</t>
  </si>
  <si>
    <t>20260214 12:04:57</t>
  </si>
  <si>
    <t>12:04:57</t>
  </si>
  <si>
    <t>20260214 12:05:12</t>
  </si>
  <si>
    <t>12:05:12</t>
  </si>
  <si>
    <t>20260214 12:05:27</t>
  </si>
  <si>
    <t>12:05:27</t>
  </si>
  <si>
    <t>20260214 12:05:42</t>
  </si>
  <si>
    <t>12:05:42</t>
  </si>
  <si>
    <t>20260214 12:05:57</t>
  </si>
  <si>
    <t>12:05:57</t>
  </si>
  <si>
    <t>20260214 12:06:12</t>
  </si>
  <si>
    <t>12:06:12</t>
  </si>
  <si>
    <t>20260214 12:06:27</t>
  </si>
  <si>
    <t>12:06:27</t>
  </si>
  <si>
    <t>20260214 12:06:42</t>
  </si>
  <si>
    <t>12:06:42</t>
  </si>
  <si>
    <t>20260214 12:06:57</t>
  </si>
  <si>
    <t>12:06:57</t>
  </si>
  <si>
    <t>20260214 12:07:12</t>
  </si>
  <si>
    <t>12:07:12</t>
  </si>
  <si>
    <t>20260214 12:07:27</t>
  </si>
  <si>
    <t>12:07:27</t>
  </si>
  <si>
    <t>20260214 12:07:42</t>
  </si>
  <si>
    <t>12:07:42</t>
  </si>
  <si>
    <t>20260214 12:07:57</t>
  </si>
  <si>
    <t>12:07:57</t>
  </si>
  <si>
    <t>20260214 12:08:12</t>
  </si>
  <si>
    <t>12:08:12</t>
  </si>
  <si>
    <t>20260214 12:08:27</t>
  </si>
  <si>
    <t>12:08:27</t>
  </si>
  <si>
    <t>20260214 12:08:42</t>
  </si>
  <si>
    <t>12:08:42</t>
  </si>
  <si>
    <t>20260214 12:11:39</t>
  </si>
  <si>
    <t>12:11:39</t>
  </si>
  <si>
    <t>20260214 12:11:54</t>
  </si>
  <si>
    <t>12:11:54</t>
  </si>
  <si>
    <t>20260214 12:12:09</t>
  </si>
  <si>
    <t>12:12:09</t>
  </si>
  <si>
    <t>20260214 12:12:24</t>
  </si>
  <si>
    <t>12:12:24</t>
  </si>
  <si>
    <t>12:12:47</t>
  </si>
  <si>
    <t>20260214 12:12:49</t>
  </si>
  <si>
    <t>12:12:49</t>
  </si>
  <si>
    <t>12:13:09</t>
  </si>
  <si>
    <t>20260214 12:13:11</t>
  </si>
  <si>
    <t>12:13:11</t>
  </si>
  <si>
    <t>20260214 12:13:26</t>
  </si>
  <si>
    <t>12:13:26</t>
  </si>
  <si>
    <t>20260214 12:13:41</t>
  </si>
  <si>
    <t>12:13:41</t>
  </si>
  <si>
    <t>20260214 12:13:56</t>
  </si>
  <si>
    <t>12:13:56</t>
  </si>
  <si>
    <t>20260214 12:14:11</t>
  </si>
  <si>
    <t>12:14:11</t>
  </si>
  <si>
    <t>20260214 12:14:26</t>
  </si>
  <si>
    <t>12:14:26</t>
  </si>
  <si>
    <t>20260214 12:14:41</t>
  </si>
  <si>
    <t>12:14:41</t>
  </si>
  <si>
    <t>20260214 12:14:56</t>
  </si>
  <si>
    <t>12:14:56</t>
  </si>
  <si>
    <t>20260214 12:15:11</t>
  </si>
  <si>
    <t>12:15:11</t>
  </si>
  <si>
    <t>20260214 12:15:26</t>
  </si>
  <si>
    <t>12:15:26</t>
  </si>
  <si>
    <t>20260214 12:15:41</t>
  </si>
  <si>
    <t>12:15:41</t>
  </si>
  <si>
    <t>20260214 12:15:56</t>
  </si>
  <si>
    <t>12:15:56</t>
  </si>
  <si>
    <t>20260214 12:16:11</t>
  </si>
  <si>
    <t>12:16:11</t>
  </si>
  <si>
    <t>20260214 12:16:26</t>
  </si>
  <si>
    <t>12:16:26</t>
  </si>
  <si>
    <t>20260214 12:16:41</t>
  </si>
  <si>
    <t>12:16:41</t>
  </si>
  <si>
    <t>20260214 12:16:56</t>
  </si>
  <si>
    <t>12:16:56</t>
  </si>
  <si>
    <t>20260214 12:17:11</t>
  </si>
  <si>
    <t>12:17:11</t>
  </si>
  <si>
    <t>20260214 12:17:26</t>
  </si>
  <si>
    <t>12:17:26</t>
  </si>
  <si>
    <t>20260214 12:17:41</t>
  </si>
  <si>
    <t>12:17:41</t>
  </si>
  <si>
    <t>20260214 12:17:56</t>
  </si>
  <si>
    <t>12:17:56</t>
  </si>
  <si>
    <t>20260214 12:18:11</t>
  </si>
  <si>
    <t>12:18:11</t>
  </si>
  <si>
    <t>20260214 12:18:26</t>
  </si>
  <si>
    <t>12:18:26</t>
  </si>
  <si>
    <t>20260214 12:18:41</t>
  </si>
  <si>
    <t>12:18:41</t>
  </si>
  <si>
    <t>20260214 12:18:56</t>
  </si>
  <si>
    <t>12:18:56</t>
  </si>
  <si>
    <t>20260214 12:19:11</t>
  </si>
  <si>
    <t>12:19:11</t>
  </si>
  <si>
    <t>20260214 12:19:26</t>
  </si>
  <si>
    <t>12:19:26</t>
  </si>
  <si>
    <t>20260214 12:19:41</t>
  </si>
  <si>
    <t>12:19:41</t>
  </si>
  <si>
    <t>20260214 12:19:56</t>
  </si>
  <si>
    <t>12:19:56</t>
  </si>
  <si>
    <t>20260214 12:20:11</t>
  </si>
  <si>
    <t>12:20:11</t>
  </si>
  <si>
    <t>20260214 12:20:26</t>
  </si>
  <si>
    <t>12:20:26</t>
  </si>
  <si>
    <t>20260214 12:20:41</t>
  </si>
  <si>
    <t>12:20:41</t>
  </si>
  <si>
    <t>20260214 12:20:56</t>
  </si>
  <si>
    <t>12:20:56</t>
  </si>
  <si>
    <t>20260214 12:21:11</t>
  </si>
  <si>
    <t>12:21:11</t>
  </si>
  <si>
    <t>20260214 12:21:26</t>
  </si>
  <si>
    <t>12:21:26</t>
  </si>
  <si>
    <t>20260214 12:21:41</t>
  </si>
  <si>
    <t>12:21:41</t>
  </si>
  <si>
    <t>20260214 12:21:56</t>
  </si>
  <si>
    <t>12:21:56</t>
  </si>
  <si>
    <t>20260214 12:22:11</t>
  </si>
  <si>
    <t>12:22:11</t>
  </si>
  <si>
    <t>20260214 12:25:28</t>
  </si>
  <si>
    <t>12:25:28</t>
  </si>
  <si>
    <t>12:25:57</t>
  </si>
  <si>
    <t>20260214 12:25:59</t>
  </si>
  <si>
    <t>12:25:59</t>
  </si>
  <si>
    <t>20260214 12:26:14</t>
  </si>
  <si>
    <t>12:26:14</t>
  </si>
  <si>
    <t>20260214 12:26:29</t>
  </si>
  <si>
    <t>12:26:29</t>
  </si>
  <si>
    <t>20260214 12:26:44</t>
  </si>
  <si>
    <t>12:26:44</t>
  </si>
  <si>
    <t>20260214 12:26:59</t>
  </si>
  <si>
    <t>12:26:59</t>
  </si>
  <si>
    <t>20260214 12:27:14</t>
  </si>
  <si>
    <t>12:27:14</t>
  </si>
  <si>
    <t>20260214 12:27:29</t>
  </si>
  <si>
    <t>12:27:29</t>
  </si>
  <si>
    <t>20260214 12:27:44</t>
  </si>
  <si>
    <t>12:27:44</t>
  </si>
  <si>
    <t>20260214 12:28:00</t>
  </si>
  <si>
    <t>12:28:00</t>
  </si>
  <si>
    <t>20260214 12:28:15</t>
  </si>
  <si>
    <t>12:28:15</t>
  </si>
  <si>
    <t>20260214 12:28:30</t>
  </si>
  <si>
    <t>12:28:30</t>
  </si>
  <si>
    <t>20260214 12:28:45</t>
  </si>
  <si>
    <t>12:28:45</t>
  </si>
  <si>
    <t>20260214 12:29:00</t>
  </si>
  <si>
    <t>12:29:00</t>
  </si>
  <si>
    <t>20260214 12:29:15</t>
  </si>
  <si>
    <t>12:29:15</t>
  </si>
  <si>
    <t>20260214 12:29:30</t>
  </si>
  <si>
    <t>12:29:30</t>
  </si>
  <si>
    <t>20260214 12:29:45</t>
  </si>
  <si>
    <t>12:29:45</t>
  </si>
  <si>
    <t>20260214 12:30:00</t>
  </si>
  <si>
    <t>12:30:00</t>
  </si>
  <si>
    <t>20260214 12:30:15</t>
  </si>
  <si>
    <t>12:30:15</t>
  </si>
  <si>
    <t>20260214 12:30:30</t>
  </si>
  <si>
    <t>12:30:30</t>
  </si>
  <si>
    <t>20260214 12:30:45</t>
  </si>
  <si>
    <t>12:30:45</t>
  </si>
  <si>
    <t>20260214 12:31:00</t>
  </si>
  <si>
    <t>12:31:00</t>
  </si>
  <si>
    <t>20260214 12:31:15</t>
  </si>
  <si>
    <t>12:31:15</t>
  </si>
  <si>
    <t>20260214 12:31:30</t>
  </si>
  <si>
    <t>12:31:30</t>
  </si>
  <si>
    <t>20260214 12:31:45</t>
  </si>
  <si>
    <t>12:31:45</t>
  </si>
  <si>
    <t>20260214 12:32:00</t>
  </si>
  <si>
    <t>12:32:00</t>
  </si>
  <si>
    <t>20260214 12:32:15</t>
  </si>
  <si>
    <t>12:32:15</t>
  </si>
  <si>
    <t>20260214 12:32:30</t>
  </si>
  <si>
    <t>12:32:30</t>
  </si>
  <si>
    <t>20260214 12:32:45</t>
  </si>
  <si>
    <t>12:32:45</t>
  </si>
  <si>
    <t>20260214 12:33:00</t>
  </si>
  <si>
    <t>12:33:00</t>
  </si>
  <si>
    <t>20260214 12:33:15</t>
  </si>
  <si>
    <t>12:33:15</t>
  </si>
  <si>
    <t>20260214 12:33:30</t>
  </si>
  <si>
    <t>12:33:30</t>
  </si>
  <si>
    <t>20260214 12:33:45</t>
  </si>
  <si>
    <t>12:33:45</t>
  </si>
  <si>
    <t>20260214 12:34:00</t>
  </si>
  <si>
    <t>12:34:00</t>
  </si>
  <si>
    <t>20260214 12:34:15</t>
  </si>
  <si>
    <t>12:34:15</t>
  </si>
  <si>
    <t>20260214 12:34:30</t>
  </si>
  <si>
    <t>12:34:30</t>
  </si>
  <si>
    <t>20260214 12:34:45</t>
  </si>
  <si>
    <t>12:34:45</t>
  </si>
  <si>
    <t>20260214 12:35:00</t>
  </si>
  <si>
    <t>12:35:00</t>
  </si>
  <si>
    <t>20260214 12:35:15</t>
  </si>
  <si>
    <t>12:35:15</t>
  </si>
  <si>
    <t>20260214 12:35:30</t>
  </si>
  <si>
    <t>12:35:30</t>
  </si>
  <si>
    <t>20260214 12:35:45</t>
  </si>
  <si>
    <t>12:35:45</t>
  </si>
  <si>
    <t>20260214 12:36:00</t>
  </si>
  <si>
    <t>12:36:00</t>
  </si>
  <si>
    <t>12:36:22</t>
  </si>
  <si>
    <t>20260214 12:36:24</t>
  </si>
  <si>
    <t>12:36:24</t>
  </si>
  <si>
    <t>20260214 12:36:39</t>
  </si>
  <si>
    <t>12:36:39</t>
  </si>
  <si>
    <t>20260214 12:36:54</t>
  </si>
  <si>
    <t>12:36:54</t>
  </si>
  <si>
    <t>20260214 12:37:09</t>
  </si>
  <si>
    <t>12:37:09</t>
  </si>
  <si>
    <t>20260214 12:37:24</t>
  </si>
  <si>
    <t>12:37:24</t>
  </si>
  <si>
    <t>20260214 12:37:39</t>
  </si>
  <si>
    <t>12:37:39</t>
  </si>
  <si>
    <t>20260214 12:37:54</t>
  </si>
  <si>
    <t>12:37:54</t>
  </si>
  <si>
    <t>20260214 12:38:09</t>
  </si>
  <si>
    <t>12:38:09</t>
  </si>
  <si>
    <t>20260214 12:38:24</t>
  </si>
  <si>
    <t>12:38:24</t>
  </si>
  <si>
    <t>20260214 12:38:39</t>
  </si>
  <si>
    <t>12:38:39</t>
  </si>
  <si>
    <t>20260214 12:38:54</t>
  </si>
  <si>
    <t>12:38:54</t>
  </si>
  <si>
    <t>20260214 12:39:09</t>
  </si>
  <si>
    <t>12:39:09</t>
  </si>
  <si>
    <t>20260214 12:39:24</t>
  </si>
  <si>
    <t>12:39:24</t>
  </si>
  <si>
    <t>20260214 12:39:39</t>
  </si>
  <si>
    <t>12:39:39</t>
  </si>
  <si>
    <t>20260214 12:39:54</t>
  </si>
  <si>
    <t>12:39:54</t>
  </si>
  <si>
    <t>20260214 12:40:09</t>
  </si>
  <si>
    <t>12:40:09</t>
  </si>
  <si>
    <t>20260214 12:40:24</t>
  </si>
  <si>
    <t>12:40:24</t>
  </si>
  <si>
    <t>20260214 12:40:39</t>
  </si>
  <si>
    <t>12:40:39</t>
  </si>
  <si>
    <t>20260214 12:40:54</t>
  </si>
  <si>
    <t>12:40:54</t>
  </si>
  <si>
    <t>20260214 12:41:09</t>
  </si>
  <si>
    <t>12:41:09</t>
  </si>
  <si>
    <t>20260214 12:41:24</t>
  </si>
  <si>
    <t>12:41:24</t>
  </si>
  <si>
    <t>20260214 12:41:39</t>
  </si>
  <si>
    <t>12:41:39</t>
  </si>
  <si>
    <t>20260214 12:41:54</t>
  </si>
  <si>
    <t>12:41:54</t>
  </si>
  <si>
    <t>20260214 12:42:09</t>
  </si>
  <si>
    <t>12:42:09</t>
  </si>
  <si>
    <t>20260214 12:42:24</t>
  </si>
  <si>
    <t>12:42:24</t>
  </si>
  <si>
    <t>20260214 12:42:39</t>
  </si>
  <si>
    <t>12:42:39</t>
  </si>
  <si>
    <t>20260214 12:42:54</t>
  </si>
  <si>
    <t>12:42:54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</si>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</sst>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07"/>
  <sheetViews>
    <sheetView tabSelected="1" topLeftCell="A297" workbookViewId="0">
      <selection activeCell="J16" sqref="J16:J30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888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1771085320</v>
      </c>
      <c r="C16">
        <v>0</v>
      </c>
      <c r="D16" t="s">
        <v>287</v>
      </c>
      <c r="E16" t="s">
        <v>288</v>
      </c>
      <c r="F16">
        <v>15</v>
      </c>
      <c r="G16">
        <v>1771085312</v>
      </c>
      <c r="H16">
        <f t="shared" ref="H16:H79" si="0">AF16*Q16*(AB16-AC16)/(1000*X16*(1000-Q16*AB16))</f>
        <v>6.0870608434433781E-4</v>
      </c>
      <c r="I16">
        <v>0</v>
      </c>
      <c r="J16">
        <f>K16*(0.0002898/0.0078553)</f>
        <v>-9.2584675455180357E-2</v>
      </c>
      <c r="K16">
        <f t="shared" ref="K16:K79" si="1">AF16*Q16*(AA16-Z16*(1000-Q16*AC16)/(1000-Q16*AB16))/(1000*X16)</f>
        <v>-2.509594206704894</v>
      </c>
      <c r="L16">
        <f t="shared" ref="L16:L79" si="2">(M16/N16*100)</f>
        <v>73.190276432912228</v>
      </c>
      <c r="M16">
        <f t="shared" ref="M16:M79" si="3">AB16*(AG16+AH16)/1000</f>
        <v>1.6035549282516743</v>
      </c>
      <c r="N16">
        <f t="shared" ref="N16:N79" si="4">0.61365*EXP(17.502*AI16/(240.97+AI16))</f>
        <v>2.1909398439306718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26257.063225030492</v>
      </c>
      <c r="T16">
        <f t="shared" ref="T16:T79" si="8">$B$11*AO16+$C$11*AP16+$D$11*BA16</f>
        <v>800.00040000000001</v>
      </c>
      <c r="U16">
        <f t="shared" ref="U16:U79" si="9">T16*V16</f>
        <v>674.39980167973226</v>
      </c>
      <c r="V16">
        <f t="shared" ref="V16:V79" si="10">($B$11*$D$9+$C$11*$D$9+$D$11*(BB16*$E$9+BC16*$F$9+BD16*$G$9+BE16*$H$9))/($B$11+$C$11+$D$11)</f>
        <v>0.84299933059999999</v>
      </c>
      <c r="W16">
        <f t="shared" ref="W16:W79" si="11">($B$11*$L$9+$C$11*$L$9+$D$11*(BB16*$M$9+BC16*$N$9+BD16*$O$9+BE16*$P$9))/($B$11+$C$11+$D$11)</f>
        <v>0.15869849539599998</v>
      </c>
      <c r="X16">
        <v>1</v>
      </c>
      <c r="Y16">
        <v>1771085312</v>
      </c>
      <c r="Z16">
        <v>377.89120000000003</v>
      </c>
      <c r="AA16">
        <v>375.04173333333301</v>
      </c>
      <c r="AB16">
        <v>16.0303133333333</v>
      </c>
      <c r="AC16">
        <v>15.2816266666667</v>
      </c>
      <c r="AD16">
        <v>379.00319999999999</v>
      </c>
      <c r="AE16">
        <v>15.903313333333299</v>
      </c>
      <c r="AF16">
        <v>799.99866666666696</v>
      </c>
      <c r="AG16">
        <v>99.967920000000007</v>
      </c>
      <c r="AH16">
        <v>6.4742800000000003E-2</v>
      </c>
      <c r="AI16">
        <v>18.89622</v>
      </c>
      <c r="AJ16">
        <v>999.9</v>
      </c>
      <c r="AK16">
        <v>999.9</v>
      </c>
      <c r="AL16">
        <v>0</v>
      </c>
      <c r="AM16">
        <v>0</v>
      </c>
      <c r="AN16">
        <v>5005.6000000000004</v>
      </c>
      <c r="AO16">
        <v>0</v>
      </c>
      <c r="AP16">
        <v>1.8841013333333301</v>
      </c>
      <c r="AQ16">
        <v>3.26630666666667</v>
      </c>
      <c r="AR16">
        <v>384.465466666667</v>
      </c>
      <c r="AS16">
        <v>380.86200000000002</v>
      </c>
      <c r="AT16">
        <v>0.73368033333333305</v>
      </c>
      <c r="AU16">
        <v>375.04173333333301</v>
      </c>
      <c r="AV16">
        <v>15.2816266666667</v>
      </c>
      <c r="AW16">
        <v>1.6010166666666701</v>
      </c>
      <c r="AX16">
        <v>1.5276733333333301</v>
      </c>
      <c r="AY16">
        <v>13.968593333333301</v>
      </c>
      <c r="AZ16">
        <v>13.247253333333299</v>
      </c>
      <c r="BA16">
        <v>800.00040000000001</v>
      </c>
      <c r="BB16">
        <v>0.90001980000000004</v>
      </c>
      <c r="BC16">
        <v>0</v>
      </c>
      <c r="BD16">
        <v>9.9980113333333301E-2</v>
      </c>
      <c r="BE16">
        <v>0</v>
      </c>
      <c r="BF16">
        <v>24</v>
      </c>
      <c r="BG16">
        <v>13191.1</v>
      </c>
      <c r="BH16">
        <v>1771085340</v>
      </c>
      <c r="BI16" t="s">
        <v>289</v>
      </c>
      <c r="BJ16">
        <v>1771085340</v>
      </c>
      <c r="BK16">
        <v>1771085340</v>
      </c>
      <c r="BL16">
        <v>1</v>
      </c>
      <c r="BM16">
        <v>-0.41699999999999998</v>
      </c>
      <c r="BN16">
        <v>1.4999999999999999E-2</v>
      </c>
      <c r="BO16">
        <v>-1.1120000000000001</v>
      </c>
      <c r="BP16">
        <v>0.127</v>
      </c>
      <c r="BQ16">
        <v>375</v>
      </c>
      <c r="BR16">
        <v>15</v>
      </c>
      <c r="BS16">
        <v>0.22</v>
      </c>
      <c r="BT16">
        <v>0.06</v>
      </c>
      <c r="BU16">
        <v>4.12872857142857</v>
      </c>
      <c r="BV16">
        <v>-15.594688051948101</v>
      </c>
      <c r="BW16">
        <v>1.6019982781819599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0.57974475238095202</v>
      </c>
      <c r="CD16">
        <v>2.8571128051948</v>
      </c>
      <c r="CE16">
        <v>0.290949785857952</v>
      </c>
      <c r="CF16">
        <v>0</v>
      </c>
      <c r="CG16">
        <v>0</v>
      </c>
      <c r="CH16">
        <v>2</v>
      </c>
      <c r="CI16" t="s">
        <v>290</v>
      </c>
      <c r="CJ16">
        <v>3.53241</v>
      </c>
      <c r="CK16">
        <v>2.7025600000000001</v>
      </c>
      <c r="CL16">
        <v>9.2096200000000003E-2</v>
      </c>
      <c r="CM16">
        <v>9.0488700000000005E-2</v>
      </c>
      <c r="CN16">
        <v>8.9904800000000007E-2</v>
      </c>
      <c r="CO16">
        <v>8.4762100000000007E-2</v>
      </c>
      <c r="CP16">
        <v>31890.9</v>
      </c>
      <c r="CQ16">
        <v>28008.400000000001</v>
      </c>
      <c r="CR16">
        <v>32504.1</v>
      </c>
      <c r="CS16">
        <v>30715.3</v>
      </c>
      <c r="CT16">
        <v>40024.400000000001</v>
      </c>
      <c r="CU16">
        <v>39506.199999999997</v>
      </c>
      <c r="CV16">
        <v>47443.6</v>
      </c>
      <c r="CW16">
        <v>46815.5</v>
      </c>
      <c r="CX16">
        <v>2.64588</v>
      </c>
      <c r="CY16">
        <v>2.20804</v>
      </c>
      <c r="CZ16">
        <v>0</v>
      </c>
      <c r="DA16">
        <v>0</v>
      </c>
      <c r="DB16">
        <v>999.9</v>
      </c>
      <c r="DC16">
        <v>999.9</v>
      </c>
      <c r="DD16">
        <v>75.912999999999997</v>
      </c>
      <c r="DE16">
        <v>22.335999999999999</v>
      </c>
      <c r="DF16">
        <v>20.565799999999999</v>
      </c>
      <c r="DG16">
        <v>27.327300000000001</v>
      </c>
      <c r="DH16">
        <v>14.3149</v>
      </c>
      <c r="DI16">
        <v>2</v>
      </c>
      <c r="DJ16">
        <v>-0.23877999999999999</v>
      </c>
      <c r="DK16">
        <v>1.52816</v>
      </c>
      <c r="DL16">
        <v>20.203700000000001</v>
      </c>
      <c r="DM16">
        <v>5.2515499999999999</v>
      </c>
      <c r="DN16">
        <v>12.033899999999999</v>
      </c>
      <c r="DO16">
        <v>4.9674399999999999</v>
      </c>
      <c r="DP16">
        <v>3.2909999999999999</v>
      </c>
      <c r="DQ16">
        <v>9999</v>
      </c>
      <c r="DR16">
        <v>9999</v>
      </c>
      <c r="DS16">
        <v>9999</v>
      </c>
      <c r="DT16">
        <v>603.79999999999995</v>
      </c>
      <c r="DU16">
        <v>1.8708800000000001</v>
      </c>
      <c r="DV16">
        <v>1.87601</v>
      </c>
      <c r="DW16">
        <v>1.87622</v>
      </c>
      <c r="DX16">
        <v>1.88269</v>
      </c>
      <c r="DY16">
        <v>1.8754599999999999</v>
      </c>
      <c r="DZ16">
        <v>1.8745400000000001</v>
      </c>
      <c r="EA16">
        <v>1.87059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-1.1120000000000001</v>
      </c>
      <c r="EQ16">
        <v>0.127</v>
      </c>
      <c r="ER16">
        <v>-0.69499999999999995</v>
      </c>
      <c r="ES16">
        <v>0</v>
      </c>
      <c r="ET16">
        <v>0</v>
      </c>
      <c r="EU16">
        <v>0</v>
      </c>
      <c r="EV16">
        <v>0.112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1031.2</v>
      </c>
      <c r="FE16">
        <v>1030.5999999999999</v>
      </c>
      <c r="FF16">
        <v>1.15723</v>
      </c>
      <c r="FG16">
        <v>2.5317400000000001</v>
      </c>
      <c r="FH16">
        <v>2.19604</v>
      </c>
      <c r="FI16">
        <v>2.5891099999999998</v>
      </c>
      <c r="FJ16">
        <v>2.4462899999999999</v>
      </c>
      <c r="FK16">
        <v>2.2436500000000001</v>
      </c>
      <c r="FL16">
        <v>27.724599999999999</v>
      </c>
      <c r="FM16">
        <v>24.157499999999999</v>
      </c>
      <c r="FN16">
        <v>19</v>
      </c>
      <c r="FO16">
        <v>860.51499999999999</v>
      </c>
      <c r="FP16">
        <v>618.69000000000005</v>
      </c>
      <c r="FQ16">
        <v>17.9359</v>
      </c>
      <c r="FR16">
        <v>23.963000000000001</v>
      </c>
      <c r="FS16">
        <v>30.000399999999999</v>
      </c>
      <c r="FT16">
        <v>23.893699999999999</v>
      </c>
      <c r="FU16">
        <v>23.888999999999999</v>
      </c>
      <c r="FV16">
        <v>23.2224</v>
      </c>
      <c r="FW16">
        <v>33.951099999999997</v>
      </c>
      <c r="FX16">
        <v>92.904200000000003</v>
      </c>
      <c r="FY16">
        <v>17.9482</v>
      </c>
      <c r="FZ16">
        <v>375</v>
      </c>
      <c r="GA16">
        <v>14.795199999999999</v>
      </c>
      <c r="GB16">
        <v>99.992699999999999</v>
      </c>
      <c r="GC16">
        <v>99.682400000000001</v>
      </c>
    </row>
    <row r="17" spans="1:185" x14ac:dyDescent="0.2">
      <c r="A17">
        <v>2</v>
      </c>
      <c r="B17">
        <v>1771085342</v>
      </c>
      <c r="C17">
        <v>22</v>
      </c>
      <c r="D17" t="s">
        <v>295</v>
      </c>
      <c r="E17" t="s">
        <v>296</v>
      </c>
      <c r="F17">
        <v>15</v>
      </c>
      <c r="G17">
        <v>1771085341</v>
      </c>
      <c r="H17">
        <f t="shared" si="0"/>
        <v>-3.2484253787242846E-7</v>
      </c>
      <c r="I17">
        <v>0</v>
      </c>
      <c r="J17">
        <f t="shared" ref="J17:J80" si="12">K17*(0.0002898/0.0078553)</f>
        <v>3.2915339445060992E-4</v>
      </c>
      <c r="K17">
        <f t="shared" si="1"/>
        <v>8.9220105570320084E-3</v>
      </c>
      <c r="L17">
        <f t="shared" si="2"/>
        <v>68.027787316720563</v>
      </c>
      <c r="M17">
        <f t="shared" si="3"/>
        <v>1.4896550197748699</v>
      </c>
      <c r="N17">
        <f t="shared" si="4"/>
        <v>2.1897743238941527</v>
      </c>
      <c r="O17">
        <v>500</v>
      </c>
      <c r="P17">
        <v>62</v>
      </c>
      <c r="Q17">
        <f t="shared" si="5"/>
        <v>1</v>
      </c>
      <c r="R17">
        <f t="shared" si="6"/>
        <v>0</v>
      </c>
      <c r="S17">
        <f t="shared" si="7"/>
        <v>26236.050542413133</v>
      </c>
      <c r="T17">
        <f t="shared" si="8"/>
        <v>800.00099999999998</v>
      </c>
      <c r="U17">
        <f t="shared" si="9"/>
        <v>674.40064619975396</v>
      </c>
      <c r="V17">
        <f t="shared" si="10"/>
        <v>0.84299975399999993</v>
      </c>
      <c r="W17">
        <f t="shared" si="11"/>
        <v>0.15869899523999997</v>
      </c>
      <c r="X17">
        <v>1</v>
      </c>
      <c r="Y17">
        <v>1771085341</v>
      </c>
      <c r="Z17">
        <v>375.125</v>
      </c>
      <c r="AA17">
        <v>375.13600000000002</v>
      </c>
      <c r="AB17">
        <v>14.8901</v>
      </c>
      <c r="AC17">
        <v>14.890499999999999</v>
      </c>
      <c r="AD17">
        <v>376.23599999999999</v>
      </c>
      <c r="AE17">
        <v>14.763500000000001</v>
      </c>
      <c r="AF17">
        <v>800.01400000000001</v>
      </c>
      <c r="AG17">
        <v>99.968100000000007</v>
      </c>
      <c r="AH17">
        <v>7.5218699999999999E-2</v>
      </c>
      <c r="AI17">
        <v>18.887699999999999</v>
      </c>
      <c r="AJ17">
        <v>999.9</v>
      </c>
      <c r="AK17">
        <v>999.9</v>
      </c>
      <c r="AL17">
        <v>0</v>
      </c>
      <c r="AM17">
        <v>0</v>
      </c>
      <c r="AN17">
        <v>5002</v>
      </c>
      <c r="AO17">
        <v>0</v>
      </c>
      <c r="AP17">
        <v>1.9196299999999999</v>
      </c>
      <c r="AQ17">
        <v>-1.17798E-2</v>
      </c>
      <c r="AR17">
        <v>380.79500000000002</v>
      </c>
      <c r="AS17">
        <v>380.80700000000002</v>
      </c>
      <c r="AT17">
        <v>-3.9291400000000001E-4</v>
      </c>
      <c r="AU17">
        <v>375.13600000000002</v>
      </c>
      <c r="AV17">
        <v>14.890499999999999</v>
      </c>
      <c r="AW17">
        <v>1.48854</v>
      </c>
      <c r="AX17">
        <v>1.48858</v>
      </c>
      <c r="AY17">
        <v>12.850899999999999</v>
      </c>
      <c r="AZ17">
        <v>12.8513</v>
      </c>
      <c r="BA17">
        <v>800.00099999999998</v>
      </c>
      <c r="BB17">
        <v>0.90001399999999998</v>
      </c>
      <c r="BC17">
        <v>0</v>
      </c>
      <c r="BD17">
        <v>9.9986199999999997E-2</v>
      </c>
      <c r="BE17">
        <v>0</v>
      </c>
      <c r="BF17">
        <v>24</v>
      </c>
      <c r="BG17">
        <v>13191.1</v>
      </c>
      <c r="BH17">
        <v>1771085340</v>
      </c>
      <c r="BI17" t="s">
        <v>289</v>
      </c>
      <c r="BJ17">
        <v>1771085340</v>
      </c>
      <c r="BK17">
        <v>1771085340</v>
      </c>
      <c r="BL17">
        <v>1</v>
      </c>
      <c r="BM17">
        <v>-0.41699999999999998</v>
      </c>
      <c r="BN17">
        <v>1.4999999999999999E-2</v>
      </c>
      <c r="BO17">
        <v>-1.1120000000000001</v>
      </c>
      <c r="BP17">
        <v>0.127</v>
      </c>
      <c r="BQ17">
        <v>375</v>
      </c>
      <c r="BR17">
        <v>15</v>
      </c>
      <c r="BS17">
        <v>0.22</v>
      </c>
      <c r="BT17">
        <v>0.06</v>
      </c>
      <c r="BU17">
        <v>0.66213262857142896</v>
      </c>
      <c r="BV17">
        <v>-3.8526526753246699</v>
      </c>
      <c r="BW17">
        <v>0.48060293261019599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0.19253588933333299</v>
      </c>
      <c r="CD17">
        <v>-2.7456530033766202</v>
      </c>
      <c r="CE17">
        <v>0.35913529950941098</v>
      </c>
      <c r="CF17">
        <v>0</v>
      </c>
      <c r="CG17">
        <v>0</v>
      </c>
      <c r="CH17">
        <v>2</v>
      </c>
      <c r="CI17" t="s">
        <v>290</v>
      </c>
      <c r="CJ17">
        <v>3.5331399999999999</v>
      </c>
      <c r="CK17">
        <v>2.7124199999999998</v>
      </c>
      <c r="CL17">
        <v>9.1797699999999996E-2</v>
      </c>
      <c r="CM17">
        <v>9.0488399999999997E-2</v>
      </c>
      <c r="CN17">
        <v>8.5018800000000005E-2</v>
      </c>
      <c r="CO17">
        <v>8.4284499999999998E-2</v>
      </c>
      <c r="CP17">
        <v>31900.5</v>
      </c>
      <c r="CQ17">
        <v>28008.6</v>
      </c>
      <c r="CR17">
        <v>32503.3</v>
      </c>
      <c r="CS17">
        <v>30715.599999999999</v>
      </c>
      <c r="CT17">
        <v>40246.800000000003</v>
      </c>
      <c r="CU17">
        <v>39528</v>
      </c>
      <c r="CV17">
        <v>47442.9</v>
      </c>
      <c r="CW17">
        <v>46816.2</v>
      </c>
      <c r="CX17">
        <v>1.68198</v>
      </c>
      <c r="CY17">
        <v>1.6214999999999999</v>
      </c>
      <c r="CZ17">
        <v>0</v>
      </c>
      <c r="DA17">
        <v>0</v>
      </c>
      <c r="DB17">
        <v>999.9</v>
      </c>
      <c r="DC17">
        <v>999.9</v>
      </c>
      <c r="DD17">
        <v>75.766000000000005</v>
      </c>
      <c r="DE17">
        <v>22.376000000000001</v>
      </c>
      <c r="DF17">
        <v>20.576899999999998</v>
      </c>
      <c r="DG17">
        <v>27.877300000000002</v>
      </c>
      <c r="DH17">
        <v>15.104200000000001</v>
      </c>
      <c r="DI17">
        <v>2</v>
      </c>
      <c r="DJ17">
        <v>-0.23793300000000001</v>
      </c>
      <c r="DK17">
        <v>1.2394799999999999</v>
      </c>
      <c r="DL17">
        <v>20.2041</v>
      </c>
      <c r="DM17">
        <v>5.2434099999999999</v>
      </c>
      <c r="DN17">
        <v>12.033899999999999</v>
      </c>
      <c r="DO17">
        <v>4.9659199999999997</v>
      </c>
      <c r="DP17">
        <v>3.2896800000000002</v>
      </c>
      <c r="DQ17">
        <v>9999</v>
      </c>
      <c r="DR17">
        <v>9999</v>
      </c>
      <c r="DS17">
        <v>9999</v>
      </c>
      <c r="DT17">
        <v>603.79999999999995</v>
      </c>
      <c r="DU17">
        <v>1.8708800000000001</v>
      </c>
      <c r="DV17">
        <v>1.8760300000000001</v>
      </c>
      <c r="DW17">
        <v>1.87622</v>
      </c>
      <c r="DX17">
        <v>1.8827400000000001</v>
      </c>
      <c r="DY17">
        <v>1.8754599999999999</v>
      </c>
      <c r="DZ17">
        <v>1.8745499999999999</v>
      </c>
      <c r="EA17">
        <v>1.87059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-1.1120000000000001</v>
      </c>
      <c r="EQ17">
        <v>0.1265</v>
      </c>
      <c r="ER17">
        <v>-1.1118999999999899</v>
      </c>
      <c r="ES17">
        <v>0</v>
      </c>
      <c r="ET17">
        <v>0</v>
      </c>
      <c r="EU17">
        <v>0</v>
      </c>
      <c r="EV17">
        <v>0.126579999999999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</v>
      </c>
      <c r="FF17">
        <v>1.15723</v>
      </c>
      <c r="FG17">
        <v>2.5317400000000001</v>
      </c>
      <c r="FH17">
        <v>2.19604</v>
      </c>
      <c r="FI17">
        <v>2.5891099999999998</v>
      </c>
      <c r="FJ17">
        <v>2.4462899999999999</v>
      </c>
      <c r="FK17">
        <v>2.3132299999999999</v>
      </c>
      <c r="FL17">
        <v>27.766400000000001</v>
      </c>
      <c r="FM17">
        <v>24.122499999999999</v>
      </c>
      <c r="FN17">
        <v>19</v>
      </c>
      <c r="FO17">
        <v>275.75900000000001</v>
      </c>
      <c r="FP17">
        <v>272.839</v>
      </c>
      <c r="FQ17">
        <v>18.2822</v>
      </c>
      <c r="FR17">
        <v>23.979099999999999</v>
      </c>
      <c r="FS17">
        <v>30.000299999999999</v>
      </c>
      <c r="FT17">
        <v>23.933</v>
      </c>
      <c r="FU17">
        <v>23.9255</v>
      </c>
      <c r="FV17">
        <v>23.220500000000001</v>
      </c>
      <c r="FW17">
        <v>32.733899999999998</v>
      </c>
      <c r="FX17">
        <v>92.904200000000003</v>
      </c>
      <c r="FY17">
        <v>18.363099999999999</v>
      </c>
      <c r="FZ17">
        <v>375</v>
      </c>
      <c r="GA17">
        <v>15.4322</v>
      </c>
      <c r="GB17">
        <v>99.990799999999993</v>
      </c>
      <c r="GC17">
        <v>99.683599999999998</v>
      </c>
    </row>
    <row r="18" spans="1:185" x14ac:dyDescent="0.2">
      <c r="A18">
        <v>3</v>
      </c>
      <c r="B18">
        <v>1771085357</v>
      </c>
      <c r="C18">
        <v>37</v>
      </c>
      <c r="D18" t="s">
        <v>297</v>
      </c>
      <c r="E18" t="s">
        <v>298</v>
      </c>
      <c r="F18">
        <v>15</v>
      </c>
      <c r="G18">
        <v>1771085348.9333301</v>
      </c>
      <c r="H18">
        <f t="shared" si="0"/>
        <v>7.0676339081852653E-4</v>
      </c>
      <c r="I18">
        <v>0</v>
      </c>
      <c r="J18">
        <f t="shared" si="12"/>
        <v>-1.6172917017405246E-2</v>
      </c>
      <c r="K18">
        <f t="shared" si="1"/>
        <v>-0.43838203949904569</v>
      </c>
      <c r="L18">
        <f t="shared" si="2"/>
        <v>71.691158188174313</v>
      </c>
      <c r="M18">
        <f t="shared" si="3"/>
        <v>1.5712006916669745</v>
      </c>
      <c r="N18">
        <f t="shared" si="4"/>
        <v>2.1916240877890423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26293.487550630107</v>
      </c>
      <c r="T18">
        <f t="shared" si="8"/>
        <v>799.99739999999997</v>
      </c>
      <c r="U18">
        <f t="shared" si="9"/>
        <v>674.39731348160797</v>
      </c>
      <c r="V18">
        <f t="shared" si="10"/>
        <v>0.84299938160000021</v>
      </c>
      <c r="W18">
        <f t="shared" si="11"/>
        <v>0.15869855793600007</v>
      </c>
      <c r="X18">
        <v>1</v>
      </c>
      <c r="Y18">
        <v>1771085348.9333301</v>
      </c>
      <c r="Z18">
        <v>375.34879999999998</v>
      </c>
      <c r="AA18">
        <v>375.13253333333301</v>
      </c>
      <c r="AB18">
        <v>15.706493333333301</v>
      </c>
      <c r="AC18">
        <v>14.837346666666701</v>
      </c>
      <c r="AD18">
        <v>376.46066666666701</v>
      </c>
      <c r="AE18">
        <v>15.5799066666667</v>
      </c>
      <c r="AF18">
        <v>800.39726666666695</v>
      </c>
      <c r="AG18">
        <v>99.968299999999999</v>
      </c>
      <c r="AH18">
        <v>6.6803846666666694E-2</v>
      </c>
      <c r="AI18">
        <v>18.901219999999999</v>
      </c>
      <c r="AJ18">
        <v>999.9</v>
      </c>
      <c r="AK18">
        <v>999.9</v>
      </c>
      <c r="AL18">
        <v>0</v>
      </c>
      <c r="AM18">
        <v>0</v>
      </c>
      <c r="AN18">
        <v>5011.6666666666697</v>
      </c>
      <c r="AO18">
        <v>0</v>
      </c>
      <c r="AP18">
        <v>1.9196299999999999</v>
      </c>
      <c r="AQ18">
        <v>0.216149906666667</v>
      </c>
      <c r="AR18">
        <v>381.33839999999998</v>
      </c>
      <c r="AS18">
        <v>380.78246666666701</v>
      </c>
      <c r="AT18">
        <v>0.86913940573333304</v>
      </c>
      <c r="AU18">
        <v>375.13253333333301</v>
      </c>
      <c r="AV18">
        <v>14.837346666666701</v>
      </c>
      <c r="AW18">
        <v>1.570152</v>
      </c>
      <c r="AX18">
        <v>1.48326466666667</v>
      </c>
      <c r="AY18">
        <v>13.665753333333299</v>
      </c>
      <c r="AZ18">
        <v>12.796473333333299</v>
      </c>
      <c r="BA18">
        <v>799.99739999999997</v>
      </c>
      <c r="BB18">
        <v>0.90001906666666698</v>
      </c>
      <c r="BC18">
        <v>0</v>
      </c>
      <c r="BD18">
        <v>9.9980879999999994E-2</v>
      </c>
      <c r="BE18">
        <v>0</v>
      </c>
      <c r="BF18">
        <v>24</v>
      </c>
      <c r="BG18">
        <v>13191.053333333301</v>
      </c>
      <c r="BH18">
        <v>1771085340</v>
      </c>
      <c r="BI18" t="s">
        <v>289</v>
      </c>
      <c r="BJ18">
        <v>1771085340</v>
      </c>
      <c r="BK18">
        <v>1771085340</v>
      </c>
      <c r="BL18">
        <v>1</v>
      </c>
      <c r="BM18">
        <v>-0.41699999999999998</v>
      </c>
      <c r="BN18">
        <v>1.4999999999999999E-2</v>
      </c>
      <c r="BO18">
        <v>-1.1120000000000001</v>
      </c>
      <c r="BP18">
        <v>0.127</v>
      </c>
      <c r="BQ18">
        <v>375</v>
      </c>
      <c r="BR18">
        <v>15</v>
      </c>
      <c r="BS18">
        <v>0.22</v>
      </c>
      <c r="BT18">
        <v>0.06</v>
      </c>
      <c r="BU18">
        <v>0.246714815</v>
      </c>
      <c r="BV18">
        <v>-0.25076816390977502</v>
      </c>
      <c r="BW18">
        <v>0.124589191078321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0.64907802879999998</v>
      </c>
      <c r="CD18">
        <v>5.02694153882707</v>
      </c>
      <c r="CE18">
        <v>0.50651815677878598</v>
      </c>
      <c r="CF18">
        <v>0</v>
      </c>
      <c r="CG18">
        <v>1</v>
      </c>
      <c r="CH18">
        <v>2</v>
      </c>
      <c r="CI18" t="s">
        <v>299</v>
      </c>
      <c r="CJ18">
        <v>3.53247</v>
      </c>
      <c r="CK18">
        <v>2.70262</v>
      </c>
      <c r="CL18">
        <v>9.1851799999999997E-2</v>
      </c>
      <c r="CM18">
        <v>9.0488100000000002E-2</v>
      </c>
      <c r="CN18">
        <v>8.9266200000000004E-2</v>
      </c>
      <c r="CO18">
        <v>8.32035E-2</v>
      </c>
      <c r="CP18">
        <v>31898.1</v>
      </c>
      <c r="CQ18">
        <v>28008.6</v>
      </c>
      <c r="CR18">
        <v>32502.799999999999</v>
      </c>
      <c r="CS18">
        <v>30715.5</v>
      </c>
      <c r="CT18">
        <v>40052.6</v>
      </c>
      <c r="CU18">
        <v>39576.5</v>
      </c>
      <c r="CV18">
        <v>47442.400000000001</v>
      </c>
      <c r="CW18">
        <v>46816.4</v>
      </c>
      <c r="CX18">
        <v>2.6431200000000001</v>
      </c>
      <c r="CY18">
        <v>2.20452</v>
      </c>
      <c r="CZ18">
        <v>0</v>
      </c>
      <c r="DA18">
        <v>0</v>
      </c>
      <c r="DB18">
        <v>999.9</v>
      </c>
      <c r="DC18">
        <v>999.9</v>
      </c>
      <c r="DD18">
        <v>75.650000000000006</v>
      </c>
      <c r="DE18">
        <v>22.396000000000001</v>
      </c>
      <c r="DF18">
        <v>20.57</v>
      </c>
      <c r="DG18">
        <v>27.337299999999999</v>
      </c>
      <c r="DH18">
        <v>14.338900000000001</v>
      </c>
      <c r="DI18">
        <v>2</v>
      </c>
      <c r="DJ18">
        <v>-0.23718700000000001</v>
      </c>
      <c r="DK18">
        <v>1.05616</v>
      </c>
      <c r="DL18">
        <v>20.207599999999999</v>
      </c>
      <c r="DM18">
        <v>5.2516699999999998</v>
      </c>
      <c r="DN18">
        <v>12.033899999999999</v>
      </c>
      <c r="DO18">
        <v>4.9675599999999998</v>
      </c>
      <c r="DP18">
        <v>3.2909999999999999</v>
      </c>
      <c r="DQ18">
        <v>9999</v>
      </c>
      <c r="DR18">
        <v>9999</v>
      </c>
      <c r="DS18">
        <v>9999</v>
      </c>
      <c r="DT18">
        <v>603.79999999999995</v>
      </c>
      <c r="DU18">
        <v>1.8708800000000001</v>
      </c>
      <c r="DV18">
        <v>1.87598</v>
      </c>
      <c r="DW18">
        <v>1.87619</v>
      </c>
      <c r="DX18">
        <v>1.8826799999999999</v>
      </c>
      <c r="DY18">
        <v>1.8754599999999999</v>
      </c>
      <c r="DZ18">
        <v>1.8745400000000001</v>
      </c>
      <c r="EA18">
        <v>1.8705700000000001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-1.1120000000000001</v>
      </c>
      <c r="EQ18">
        <v>0.12659999999999999</v>
      </c>
      <c r="ER18">
        <v>-1.1118999999999899</v>
      </c>
      <c r="ES18">
        <v>0</v>
      </c>
      <c r="ET18">
        <v>0</v>
      </c>
      <c r="EU18">
        <v>0</v>
      </c>
      <c r="EV18">
        <v>0.126579999999999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1.15601</v>
      </c>
      <c r="FG18">
        <v>2.5293000000000001</v>
      </c>
      <c r="FH18">
        <v>2.19604</v>
      </c>
      <c r="FI18">
        <v>2.5878899999999998</v>
      </c>
      <c r="FJ18">
        <v>2.4462899999999999</v>
      </c>
      <c r="FK18">
        <v>2.2583000000000002</v>
      </c>
      <c r="FL18">
        <v>27.808199999999999</v>
      </c>
      <c r="FM18">
        <v>24.157499999999999</v>
      </c>
      <c r="FN18">
        <v>19</v>
      </c>
      <c r="FO18">
        <v>858.45799999999997</v>
      </c>
      <c r="FP18">
        <v>616.20600000000002</v>
      </c>
      <c r="FQ18">
        <v>18.513400000000001</v>
      </c>
      <c r="FR18">
        <v>23.99</v>
      </c>
      <c r="FS18">
        <v>30.000399999999999</v>
      </c>
      <c r="FT18">
        <v>23.922999999999998</v>
      </c>
      <c r="FU18">
        <v>23.9175</v>
      </c>
      <c r="FV18">
        <v>23.205400000000001</v>
      </c>
      <c r="FW18">
        <v>35.378700000000002</v>
      </c>
      <c r="FX18">
        <v>92.524100000000004</v>
      </c>
      <c r="FY18">
        <v>18.570399999999999</v>
      </c>
      <c r="FZ18">
        <v>375</v>
      </c>
      <c r="GA18">
        <v>14.4633</v>
      </c>
      <c r="GB18">
        <v>99.989500000000007</v>
      </c>
      <c r="GC18">
        <v>99.683899999999994</v>
      </c>
    </row>
    <row r="19" spans="1:185" x14ac:dyDescent="0.2">
      <c r="A19">
        <v>4</v>
      </c>
      <c r="B19">
        <v>1771085372</v>
      </c>
      <c r="C19">
        <v>52</v>
      </c>
      <c r="D19" t="s">
        <v>300</v>
      </c>
      <c r="E19" t="s">
        <v>301</v>
      </c>
      <c r="F19">
        <v>15</v>
      </c>
      <c r="G19">
        <v>1771085363.9333301</v>
      </c>
      <c r="H19">
        <f t="shared" si="0"/>
        <v>1.044695469807371E-3</v>
      </c>
      <c r="I19">
        <v>0</v>
      </c>
      <c r="J19">
        <f t="shared" si="12"/>
        <v>-2.0247373668735972E-2</v>
      </c>
      <c r="K19">
        <f t="shared" si="1"/>
        <v>-0.5488239971705372</v>
      </c>
      <c r="L19">
        <f t="shared" si="2"/>
        <v>71.979371008441589</v>
      </c>
      <c r="M19">
        <f t="shared" si="3"/>
        <v>1.5810548166269662</v>
      </c>
      <c r="N19">
        <f t="shared" si="4"/>
        <v>2.1965388061553681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26182.673953486646</v>
      </c>
      <c r="T19">
        <f t="shared" si="8"/>
        <v>799.99966666666705</v>
      </c>
      <c r="U19">
        <f t="shared" si="9"/>
        <v>674.39920764021383</v>
      </c>
      <c r="V19">
        <f t="shared" si="10"/>
        <v>0.84299936080000049</v>
      </c>
      <c r="W19">
        <f t="shared" si="11"/>
        <v>0.15869845396800009</v>
      </c>
      <c r="X19">
        <v>1</v>
      </c>
      <c r="Y19">
        <v>1771085363.9333301</v>
      </c>
      <c r="Z19">
        <v>375.30419999999998</v>
      </c>
      <c r="AA19">
        <v>375.10826666666702</v>
      </c>
      <c r="AB19">
        <v>15.805353333333301</v>
      </c>
      <c r="AC19">
        <v>14.520113333333301</v>
      </c>
      <c r="AD19">
        <v>376.4162</v>
      </c>
      <c r="AE19">
        <v>15.6787666666667</v>
      </c>
      <c r="AF19">
        <v>799.99353333333295</v>
      </c>
      <c r="AG19">
        <v>99.967986666666704</v>
      </c>
      <c r="AH19">
        <v>6.4880886666666707E-2</v>
      </c>
      <c r="AI19">
        <v>18.937093333333301</v>
      </c>
      <c r="AJ19">
        <v>999.9</v>
      </c>
      <c r="AK19">
        <v>999.9</v>
      </c>
      <c r="AL19">
        <v>0</v>
      </c>
      <c r="AM19">
        <v>0</v>
      </c>
      <c r="AN19">
        <v>4993.9333333333298</v>
      </c>
      <c r="AO19">
        <v>0</v>
      </c>
      <c r="AP19">
        <v>1.9196299999999999</v>
      </c>
      <c r="AQ19">
        <v>0.19584333333333301</v>
      </c>
      <c r="AR19">
        <v>381.33139999999997</v>
      </c>
      <c r="AS19">
        <v>380.6352</v>
      </c>
      <c r="AT19">
        <v>1.2852346666666701</v>
      </c>
      <c r="AU19">
        <v>375.10826666666702</v>
      </c>
      <c r="AV19">
        <v>14.520113333333301</v>
      </c>
      <c r="AW19">
        <v>1.58003</v>
      </c>
      <c r="AX19">
        <v>1.451546</v>
      </c>
      <c r="AY19">
        <v>13.76534</v>
      </c>
      <c r="AZ19">
        <v>12.466946666666701</v>
      </c>
      <c r="BA19">
        <v>799.99966666666705</v>
      </c>
      <c r="BB19">
        <v>0.90002053333333398</v>
      </c>
      <c r="BC19">
        <v>0</v>
      </c>
      <c r="BD19">
        <v>9.9979440000000003E-2</v>
      </c>
      <c r="BE19">
        <v>0</v>
      </c>
      <c r="BF19">
        <v>24</v>
      </c>
      <c r="BG19">
        <v>13191.1133333333</v>
      </c>
      <c r="BH19">
        <v>1771085340</v>
      </c>
      <c r="BI19" t="s">
        <v>289</v>
      </c>
      <c r="BJ19">
        <v>1771085340</v>
      </c>
      <c r="BK19">
        <v>1771085340</v>
      </c>
      <c r="BL19">
        <v>1</v>
      </c>
      <c r="BM19">
        <v>-0.41699999999999998</v>
      </c>
      <c r="BN19">
        <v>1.4999999999999999E-2</v>
      </c>
      <c r="BO19">
        <v>-1.1120000000000001</v>
      </c>
      <c r="BP19">
        <v>0.127</v>
      </c>
      <c r="BQ19">
        <v>375</v>
      </c>
      <c r="BR19">
        <v>15</v>
      </c>
      <c r="BS19">
        <v>0.22</v>
      </c>
      <c r="BT19">
        <v>0.06</v>
      </c>
      <c r="BU19">
        <v>0.21217795</v>
      </c>
      <c r="BV19">
        <v>-0.30674323308270701</v>
      </c>
      <c r="BW19">
        <v>3.4427549945465201E-2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1.2499975000000001</v>
      </c>
      <c r="CD19">
        <v>0.56032285714285901</v>
      </c>
      <c r="CE19">
        <v>5.8548292364081801E-2</v>
      </c>
      <c r="CF19">
        <v>0</v>
      </c>
      <c r="CG19">
        <v>1</v>
      </c>
      <c r="CH19">
        <v>2</v>
      </c>
      <c r="CI19" t="s">
        <v>299</v>
      </c>
      <c r="CJ19">
        <v>3.5325000000000002</v>
      </c>
      <c r="CK19">
        <v>2.7029000000000001</v>
      </c>
      <c r="CL19">
        <v>9.18292E-2</v>
      </c>
      <c r="CM19">
        <v>9.0474899999999997E-2</v>
      </c>
      <c r="CN19">
        <v>8.8584499999999997E-2</v>
      </c>
      <c r="CO19">
        <v>8.2152299999999998E-2</v>
      </c>
      <c r="CP19">
        <v>31898.9</v>
      </c>
      <c r="CQ19">
        <v>28009.1</v>
      </c>
      <c r="CR19">
        <v>32502.799999999999</v>
      </c>
      <c r="CS19">
        <v>30715.8</v>
      </c>
      <c r="CT19">
        <v>40083.800000000003</v>
      </c>
      <c r="CU19">
        <v>39623.699999999997</v>
      </c>
      <c r="CV19">
        <v>47442.5</v>
      </c>
      <c r="CW19">
        <v>46816.800000000003</v>
      </c>
      <c r="CX19">
        <v>2.64506</v>
      </c>
      <c r="CY19">
        <v>2.2042600000000001</v>
      </c>
      <c r="CZ19">
        <v>0</v>
      </c>
      <c r="DA19">
        <v>0</v>
      </c>
      <c r="DB19">
        <v>999.9</v>
      </c>
      <c r="DC19">
        <v>999.9</v>
      </c>
      <c r="DD19">
        <v>75.516000000000005</v>
      </c>
      <c r="DE19">
        <v>22.425999999999998</v>
      </c>
      <c r="DF19">
        <v>20.5703</v>
      </c>
      <c r="DG19">
        <v>27.4573</v>
      </c>
      <c r="DH19">
        <v>14.375</v>
      </c>
      <c r="DI19">
        <v>2</v>
      </c>
      <c r="DJ19">
        <v>-0.236569</v>
      </c>
      <c r="DK19">
        <v>1.0605199999999999</v>
      </c>
      <c r="DL19">
        <v>20.2074</v>
      </c>
      <c r="DM19">
        <v>5.2510700000000003</v>
      </c>
      <c r="DN19">
        <v>12.033899999999999</v>
      </c>
      <c r="DO19">
        <v>4.9674399999999999</v>
      </c>
      <c r="DP19">
        <v>3.29088</v>
      </c>
      <c r="DQ19">
        <v>9999</v>
      </c>
      <c r="DR19">
        <v>9999</v>
      </c>
      <c r="DS19">
        <v>9999</v>
      </c>
      <c r="DT19">
        <v>603.79999999999995</v>
      </c>
      <c r="DU19">
        <v>1.8708800000000001</v>
      </c>
      <c r="DV19">
        <v>1.8759399999999999</v>
      </c>
      <c r="DW19">
        <v>1.87615</v>
      </c>
      <c r="DX19">
        <v>1.8826400000000001</v>
      </c>
      <c r="DY19">
        <v>1.8754599999999999</v>
      </c>
      <c r="DZ19">
        <v>1.87452</v>
      </c>
      <c r="EA19">
        <v>1.8705700000000001</v>
      </c>
      <c r="EB19">
        <v>1.87453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-1.1120000000000001</v>
      </c>
      <c r="EQ19">
        <v>0.12659999999999999</v>
      </c>
      <c r="ER19">
        <v>-1.1118999999999899</v>
      </c>
      <c r="ES19">
        <v>0</v>
      </c>
      <c r="ET19">
        <v>0</v>
      </c>
      <c r="EU19">
        <v>0</v>
      </c>
      <c r="EV19">
        <v>0.126579999999999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0.5</v>
      </c>
      <c r="FF19">
        <v>1.15601</v>
      </c>
      <c r="FG19">
        <v>2.5268600000000001</v>
      </c>
      <c r="FH19">
        <v>2.19604</v>
      </c>
      <c r="FI19">
        <v>2.5891099999999998</v>
      </c>
      <c r="FJ19">
        <v>2.4462899999999999</v>
      </c>
      <c r="FK19">
        <v>2.3034699999999999</v>
      </c>
      <c r="FL19">
        <v>27.808199999999999</v>
      </c>
      <c r="FM19">
        <v>24.157499999999999</v>
      </c>
      <c r="FN19">
        <v>19</v>
      </c>
      <c r="FO19">
        <v>860.38099999999997</v>
      </c>
      <c r="FP19">
        <v>616.125</v>
      </c>
      <c r="FQ19">
        <v>18.676100000000002</v>
      </c>
      <c r="FR19">
        <v>23.998899999999999</v>
      </c>
      <c r="FS19">
        <v>30.000299999999999</v>
      </c>
      <c r="FT19">
        <v>23.9314</v>
      </c>
      <c r="FU19">
        <v>23.927900000000001</v>
      </c>
      <c r="FV19">
        <v>23.194400000000002</v>
      </c>
      <c r="FW19">
        <v>35.9527</v>
      </c>
      <c r="FX19">
        <v>92.146900000000002</v>
      </c>
      <c r="FY19">
        <v>18.702200000000001</v>
      </c>
      <c r="FZ19">
        <v>375</v>
      </c>
      <c r="GA19">
        <v>14.2957</v>
      </c>
      <c r="GB19">
        <v>99.989699999999999</v>
      </c>
      <c r="GC19">
        <v>99.684700000000007</v>
      </c>
    </row>
    <row r="20" spans="1:185" x14ac:dyDescent="0.2">
      <c r="A20">
        <v>5</v>
      </c>
      <c r="B20">
        <v>1771085387</v>
      </c>
      <c r="C20">
        <v>67</v>
      </c>
      <c r="D20" t="s">
        <v>302</v>
      </c>
      <c r="E20" t="s">
        <v>303</v>
      </c>
      <c r="F20">
        <v>15</v>
      </c>
      <c r="G20">
        <v>1771085378.9333301</v>
      </c>
      <c r="H20">
        <f t="shared" si="0"/>
        <v>1.0550814793178615E-3</v>
      </c>
      <c r="I20">
        <v>0</v>
      </c>
      <c r="J20">
        <f t="shared" si="12"/>
        <v>-1.8871637319555032E-2</v>
      </c>
      <c r="K20">
        <f t="shared" si="1"/>
        <v>-0.51153337693685519</v>
      </c>
      <c r="L20">
        <f t="shared" si="2"/>
        <v>71.094465600551388</v>
      </c>
      <c r="M20">
        <f t="shared" si="3"/>
        <v>1.5657073173647487</v>
      </c>
      <c r="N20">
        <f t="shared" si="4"/>
        <v>2.2022914218974106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26234.127216457106</v>
      </c>
      <c r="T20">
        <f t="shared" si="8"/>
        <v>799.99953333333303</v>
      </c>
      <c r="U20">
        <f t="shared" si="9"/>
        <v>674.39918660024466</v>
      </c>
      <c r="V20">
        <f t="shared" si="10"/>
        <v>0.84299947499999994</v>
      </c>
      <c r="W20">
        <f t="shared" si="11"/>
        <v>0.15869849262000002</v>
      </c>
      <c r="X20">
        <v>1</v>
      </c>
      <c r="Y20">
        <v>1771085378.9333301</v>
      </c>
      <c r="Z20">
        <v>375.18613333333298</v>
      </c>
      <c r="AA20">
        <v>375.04153333333301</v>
      </c>
      <c r="AB20">
        <v>15.6517933333333</v>
      </c>
      <c r="AC20">
        <v>14.3536</v>
      </c>
      <c r="AD20">
        <v>376.298</v>
      </c>
      <c r="AE20">
        <v>15.5251933333333</v>
      </c>
      <c r="AF20">
        <v>800.00993333333304</v>
      </c>
      <c r="AG20">
        <v>99.968933333333297</v>
      </c>
      <c r="AH20">
        <v>6.4799800000000005E-2</v>
      </c>
      <c r="AI20">
        <v>18.9789933333333</v>
      </c>
      <c r="AJ20">
        <v>999.9</v>
      </c>
      <c r="AK20">
        <v>999.9</v>
      </c>
      <c r="AL20">
        <v>0</v>
      </c>
      <c r="AM20">
        <v>0</v>
      </c>
      <c r="AN20">
        <v>5003</v>
      </c>
      <c r="AO20">
        <v>0</v>
      </c>
      <c r="AP20">
        <v>1.9196299999999999</v>
      </c>
      <c r="AQ20">
        <v>0.14459433333333299</v>
      </c>
      <c r="AR20">
        <v>381.15193333333298</v>
      </c>
      <c r="AS20">
        <v>380.503066666667</v>
      </c>
      <c r="AT20">
        <v>1.2981766666666701</v>
      </c>
      <c r="AU20">
        <v>375.04153333333301</v>
      </c>
      <c r="AV20">
        <v>14.3536</v>
      </c>
      <c r="AW20">
        <v>1.5646926666666701</v>
      </c>
      <c r="AX20">
        <v>1.4349160000000001</v>
      </c>
      <c r="AY20">
        <v>13.61538</v>
      </c>
      <c r="AZ20">
        <v>12.2917133333333</v>
      </c>
      <c r="BA20">
        <v>799.99953333333303</v>
      </c>
      <c r="BB20">
        <v>0.90002040000000005</v>
      </c>
      <c r="BC20">
        <v>0</v>
      </c>
      <c r="BD20">
        <v>9.9979700000000005E-2</v>
      </c>
      <c r="BE20">
        <v>0</v>
      </c>
      <c r="BF20">
        <v>24</v>
      </c>
      <c r="BG20">
        <v>13191.0933333333</v>
      </c>
      <c r="BH20">
        <v>1771085340</v>
      </c>
      <c r="BI20" t="s">
        <v>289</v>
      </c>
      <c r="BJ20">
        <v>1771085340</v>
      </c>
      <c r="BK20">
        <v>1771085340</v>
      </c>
      <c r="BL20">
        <v>1</v>
      </c>
      <c r="BM20">
        <v>-0.41699999999999998</v>
      </c>
      <c r="BN20">
        <v>1.4999999999999999E-2</v>
      </c>
      <c r="BO20">
        <v>-1.1120000000000001</v>
      </c>
      <c r="BP20">
        <v>0.127</v>
      </c>
      <c r="BQ20">
        <v>375</v>
      </c>
      <c r="BR20">
        <v>15</v>
      </c>
      <c r="BS20">
        <v>0.22</v>
      </c>
      <c r="BT20">
        <v>0.06</v>
      </c>
      <c r="BU20">
        <v>0.14798890000000001</v>
      </c>
      <c r="BV20">
        <v>-0.164614827067669</v>
      </c>
      <c r="BW20">
        <v>2.42506413830645E-2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1.3019369999999999</v>
      </c>
      <c r="CD20">
        <v>-0.20948842105263199</v>
      </c>
      <c r="CE20">
        <v>2.7334092467100501E-2</v>
      </c>
      <c r="CF20">
        <v>0</v>
      </c>
      <c r="CG20">
        <v>1</v>
      </c>
      <c r="CH20">
        <v>2</v>
      </c>
      <c r="CI20" t="s">
        <v>299</v>
      </c>
      <c r="CJ20">
        <v>3.5324499999999999</v>
      </c>
      <c r="CK20">
        <v>2.7025600000000001</v>
      </c>
      <c r="CL20">
        <v>9.1805999999999999E-2</v>
      </c>
      <c r="CM20">
        <v>9.0462200000000006E-2</v>
      </c>
      <c r="CN20">
        <v>8.80354E-2</v>
      </c>
      <c r="CO20">
        <v>8.1989300000000001E-2</v>
      </c>
      <c r="CP20">
        <v>31899.4</v>
      </c>
      <c r="CQ20">
        <v>28009.9</v>
      </c>
      <c r="CR20">
        <v>32502.6</v>
      </c>
      <c r="CS20">
        <v>30716.2</v>
      </c>
      <c r="CT20">
        <v>40108.9</v>
      </c>
      <c r="CU20">
        <v>39631.699999999997</v>
      </c>
      <c r="CV20">
        <v>47442.400000000001</v>
      </c>
      <c r="CW20">
        <v>46817.599999999999</v>
      </c>
      <c r="CX20">
        <v>2.6454599999999999</v>
      </c>
      <c r="CY20">
        <v>2.2041599999999999</v>
      </c>
      <c r="CZ20">
        <v>0</v>
      </c>
      <c r="DA20">
        <v>0</v>
      </c>
      <c r="DB20">
        <v>999.9</v>
      </c>
      <c r="DC20">
        <v>999.9</v>
      </c>
      <c r="DD20">
        <v>75.412000000000006</v>
      </c>
      <c r="DE20">
        <v>22.437000000000001</v>
      </c>
      <c r="DF20">
        <v>20.5563</v>
      </c>
      <c r="DG20">
        <v>27.4573</v>
      </c>
      <c r="DH20">
        <v>14.511200000000001</v>
      </c>
      <c r="DI20">
        <v>2</v>
      </c>
      <c r="DJ20">
        <v>-0.23572399999999999</v>
      </c>
      <c r="DK20">
        <v>1.1418699999999999</v>
      </c>
      <c r="DL20">
        <v>20.206499999999998</v>
      </c>
      <c r="DM20">
        <v>5.2488000000000001</v>
      </c>
      <c r="DN20">
        <v>12.033899999999999</v>
      </c>
      <c r="DO20">
        <v>4.96732</v>
      </c>
      <c r="DP20">
        <v>3.2906399999999998</v>
      </c>
      <c r="DQ20">
        <v>9999</v>
      </c>
      <c r="DR20">
        <v>9999</v>
      </c>
      <c r="DS20">
        <v>9999</v>
      </c>
      <c r="DT20">
        <v>603.9</v>
      </c>
      <c r="DU20">
        <v>1.8708800000000001</v>
      </c>
      <c r="DV20">
        <v>1.8759399999999999</v>
      </c>
      <c r="DW20">
        <v>1.87615</v>
      </c>
      <c r="DX20">
        <v>1.8826400000000001</v>
      </c>
      <c r="DY20">
        <v>1.8754500000000001</v>
      </c>
      <c r="DZ20">
        <v>1.87452</v>
      </c>
      <c r="EA20">
        <v>1.8705700000000001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-1.111</v>
      </c>
      <c r="EQ20">
        <v>0.12659999999999999</v>
      </c>
      <c r="ER20">
        <v>-1.1118999999999899</v>
      </c>
      <c r="ES20">
        <v>0</v>
      </c>
      <c r="ET20">
        <v>0</v>
      </c>
      <c r="EU20">
        <v>0</v>
      </c>
      <c r="EV20">
        <v>0.126579999999999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1.15601</v>
      </c>
      <c r="FG20">
        <v>2.5329600000000001</v>
      </c>
      <c r="FH20">
        <v>2.19604</v>
      </c>
      <c r="FI20">
        <v>2.5891099999999998</v>
      </c>
      <c r="FJ20">
        <v>2.4462899999999999</v>
      </c>
      <c r="FK20">
        <v>2.3071299999999999</v>
      </c>
      <c r="FL20">
        <v>27.85</v>
      </c>
      <c r="FM20">
        <v>24.1663</v>
      </c>
      <c r="FN20">
        <v>19</v>
      </c>
      <c r="FO20">
        <v>860.91300000000001</v>
      </c>
      <c r="FP20">
        <v>616.17499999999995</v>
      </c>
      <c r="FQ20">
        <v>18.749300000000002</v>
      </c>
      <c r="FR20">
        <v>24.0078</v>
      </c>
      <c r="FS20">
        <v>30.000299999999999</v>
      </c>
      <c r="FT20">
        <v>23.941400000000002</v>
      </c>
      <c r="FU20">
        <v>23.938400000000001</v>
      </c>
      <c r="FV20">
        <v>23.189900000000002</v>
      </c>
      <c r="FW20">
        <v>35.9527</v>
      </c>
      <c r="FX20">
        <v>91.766999999999996</v>
      </c>
      <c r="FY20">
        <v>18.745999999999999</v>
      </c>
      <c r="FZ20">
        <v>375</v>
      </c>
      <c r="GA20">
        <v>14.280200000000001</v>
      </c>
      <c r="GB20">
        <v>99.9893</v>
      </c>
      <c r="GC20">
        <v>99.686400000000006</v>
      </c>
    </row>
    <row r="21" spans="1:185" x14ac:dyDescent="0.2">
      <c r="A21">
        <v>6</v>
      </c>
      <c r="B21">
        <v>1771085402</v>
      </c>
      <c r="C21">
        <v>82</v>
      </c>
      <c r="D21" t="s">
        <v>304</v>
      </c>
      <c r="E21" t="s">
        <v>305</v>
      </c>
      <c r="F21">
        <v>15</v>
      </c>
      <c r="G21">
        <v>1771085393.9333301</v>
      </c>
      <c r="H21">
        <f t="shared" si="0"/>
        <v>1.003147859263768E-3</v>
      </c>
      <c r="I21">
        <v>0</v>
      </c>
      <c r="J21">
        <f t="shared" si="12"/>
        <v>-1.6078830782474702E-2</v>
      </c>
      <c r="K21">
        <f t="shared" si="1"/>
        <v>-0.43583174411861125</v>
      </c>
      <c r="L21">
        <f t="shared" si="2"/>
        <v>70.526680040189817</v>
      </c>
      <c r="M21">
        <f t="shared" si="3"/>
        <v>1.5566296051983779</v>
      </c>
      <c r="N21">
        <f t="shared" si="4"/>
        <v>2.2071499811295929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26221.698511763287</v>
      </c>
      <c r="T21">
        <f t="shared" si="8"/>
        <v>799.99946666666699</v>
      </c>
      <c r="U21">
        <f t="shared" si="9"/>
        <v>674.39909536030382</v>
      </c>
      <c r="V21">
        <f t="shared" si="10"/>
        <v>0.8429994312000002</v>
      </c>
      <c r="W21">
        <f t="shared" si="11"/>
        <v>0.15869878587200006</v>
      </c>
      <c r="X21">
        <v>1</v>
      </c>
      <c r="Y21">
        <v>1771085393.9333301</v>
      </c>
      <c r="Z21">
        <v>375.13013333333299</v>
      </c>
      <c r="AA21">
        <v>375.05573333333302</v>
      </c>
      <c r="AB21">
        <v>15.561033333333301</v>
      </c>
      <c r="AC21">
        <v>14.3266266666667</v>
      </c>
      <c r="AD21">
        <v>376.24193333333301</v>
      </c>
      <c r="AE21">
        <v>15.434466666666699</v>
      </c>
      <c r="AF21">
        <v>800.01013333333299</v>
      </c>
      <c r="AG21">
        <v>99.969073333333299</v>
      </c>
      <c r="AH21">
        <v>6.4746520000000002E-2</v>
      </c>
      <c r="AI21">
        <v>19.014306666666702</v>
      </c>
      <c r="AJ21">
        <v>999.9</v>
      </c>
      <c r="AK21">
        <v>999.9</v>
      </c>
      <c r="AL21">
        <v>0</v>
      </c>
      <c r="AM21">
        <v>0</v>
      </c>
      <c r="AN21">
        <v>5001.4666666666699</v>
      </c>
      <c r="AO21">
        <v>0</v>
      </c>
      <c r="AP21">
        <v>1.9196299999999999</v>
      </c>
      <c r="AQ21">
        <v>7.44628866666667E-2</v>
      </c>
      <c r="AR21">
        <v>381.0598</v>
      </c>
      <c r="AS21">
        <v>380.50706666666701</v>
      </c>
      <c r="AT21">
        <v>1.234396</v>
      </c>
      <c r="AU21">
        <v>375.05573333333302</v>
      </c>
      <c r="AV21">
        <v>14.3266266666667</v>
      </c>
      <c r="AW21">
        <v>1.5556206666666701</v>
      </c>
      <c r="AX21">
        <v>1.4322206666666699</v>
      </c>
      <c r="AY21">
        <v>13.52608</v>
      </c>
      <c r="AZ21">
        <v>12.2631333333333</v>
      </c>
      <c r="BA21">
        <v>799.99946666666699</v>
      </c>
      <c r="BB21">
        <v>0.900015866666667</v>
      </c>
      <c r="BC21">
        <v>0</v>
      </c>
      <c r="BD21">
        <v>9.9984026666666698E-2</v>
      </c>
      <c r="BE21">
        <v>0</v>
      </c>
      <c r="BF21">
        <v>24</v>
      </c>
      <c r="BG21">
        <v>13191.073333333299</v>
      </c>
      <c r="BH21">
        <v>1771085340</v>
      </c>
      <c r="BI21" t="s">
        <v>289</v>
      </c>
      <c r="BJ21">
        <v>1771085340</v>
      </c>
      <c r="BK21">
        <v>1771085340</v>
      </c>
      <c r="BL21">
        <v>1</v>
      </c>
      <c r="BM21">
        <v>-0.41699999999999998</v>
      </c>
      <c r="BN21">
        <v>1.4999999999999999E-2</v>
      </c>
      <c r="BO21">
        <v>-1.1120000000000001</v>
      </c>
      <c r="BP21">
        <v>0.127</v>
      </c>
      <c r="BQ21">
        <v>375</v>
      </c>
      <c r="BR21">
        <v>15</v>
      </c>
      <c r="BS21">
        <v>0.22</v>
      </c>
      <c r="BT21">
        <v>0.06</v>
      </c>
      <c r="BU21">
        <v>8.8580966666666705E-2</v>
      </c>
      <c r="BV21">
        <v>-0.23238305454545399</v>
      </c>
      <c r="BW21">
        <v>2.92692798431642E-2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1.24363571428571</v>
      </c>
      <c r="CD21">
        <v>-0.16475064935064901</v>
      </c>
      <c r="CE21">
        <v>1.7831341474367799E-2</v>
      </c>
      <c r="CF21">
        <v>0</v>
      </c>
      <c r="CG21">
        <v>1</v>
      </c>
      <c r="CH21">
        <v>2</v>
      </c>
      <c r="CI21" t="s">
        <v>299</v>
      </c>
      <c r="CJ21">
        <v>3.5324900000000001</v>
      </c>
      <c r="CK21">
        <v>2.7026300000000001</v>
      </c>
      <c r="CL21">
        <v>9.1797599999999993E-2</v>
      </c>
      <c r="CM21">
        <v>9.0463299999999996E-2</v>
      </c>
      <c r="CN21">
        <v>8.7689199999999995E-2</v>
      </c>
      <c r="CO21">
        <v>8.1830899999999998E-2</v>
      </c>
      <c r="CP21">
        <v>31898.9</v>
      </c>
      <c r="CQ21">
        <v>28009.200000000001</v>
      </c>
      <c r="CR21">
        <v>32501.8</v>
      </c>
      <c r="CS21">
        <v>30715.5</v>
      </c>
      <c r="CT21">
        <v>40123.800000000003</v>
      </c>
      <c r="CU21">
        <v>39638.199999999997</v>
      </c>
      <c r="CV21">
        <v>47441.4</v>
      </c>
      <c r="CW21">
        <v>46816.9</v>
      </c>
      <c r="CX21">
        <v>2.6451199999999999</v>
      </c>
      <c r="CY21">
        <v>2.2040199999999999</v>
      </c>
      <c r="CZ21">
        <v>0</v>
      </c>
      <c r="DA21">
        <v>0</v>
      </c>
      <c r="DB21">
        <v>999.9</v>
      </c>
      <c r="DC21">
        <v>999.9</v>
      </c>
      <c r="DD21">
        <v>75.313999999999993</v>
      </c>
      <c r="DE21">
        <v>22.437000000000001</v>
      </c>
      <c r="DF21">
        <v>20.528600000000001</v>
      </c>
      <c r="DG21">
        <v>27.4573</v>
      </c>
      <c r="DH21">
        <v>14.5032</v>
      </c>
      <c r="DI21">
        <v>2</v>
      </c>
      <c r="DJ21">
        <v>-0.231402</v>
      </c>
      <c r="DK21">
        <v>2.2741400000000001</v>
      </c>
      <c r="DL21">
        <v>20.1922</v>
      </c>
      <c r="DM21">
        <v>5.2495200000000004</v>
      </c>
      <c r="DN21">
        <v>12.033899999999999</v>
      </c>
      <c r="DO21">
        <v>4.9676799999999997</v>
      </c>
      <c r="DP21">
        <v>3.2909999999999999</v>
      </c>
      <c r="DQ21">
        <v>9999</v>
      </c>
      <c r="DR21">
        <v>9999</v>
      </c>
      <c r="DS21">
        <v>9999</v>
      </c>
      <c r="DT21">
        <v>603.9</v>
      </c>
      <c r="DU21">
        <v>1.8708800000000001</v>
      </c>
      <c r="DV21">
        <v>1.8759300000000001</v>
      </c>
      <c r="DW21">
        <v>1.87616</v>
      </c>
      <c r="DX21">
        <v>1.8826499999999999</v>
      </c>
      <c r="DY21">
        <v>1.8754599999999999</v>
      </c>
      <c r="DZ21">
        <v>1.87452</v>
      </c>
      <c r="EA21">
        <v>1.8705700000000001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-1.1120000000000001</v>
      </c>
      <c r="EQ21">
        <v>0.1265</v>
      </c>
      <c r="ER21">
        <v>-1.1118999999999899</v>
      </c>
      <c r="ES21">
        <v>0</v>
      </c>
      <c r="ET21">
        <v>0</v>
      </c>
      <c r="EU21">
        <v>0</v>
      </c>
      <c r="EV21">
        <v>0.126579999999999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</v>
      </c>
      <c r="FF21">
        <v>1.15479</v>
      </c>
      <c r="FG21">
        <v>2.5341800000000001</v>
      </c>
      <c r="FH21">
        <v>2.19604</v>
      </c>
      <c r="FI21">
        <v>2.5891099999999998</v>
      </c>
      <c r="FJ21">
        <v>2.4462899999999999</v>
      </c>
      <c r="FK21">
        <v>2.2729499999999998</v>
      </c>
      <c r="FL21">
        <v>27.870999999999999</v>
      </c>
      <c r="FM21">
        <v>24.148800000000001</v>
      </c>
      <c r="FN21">
        <v>19</v>
      </c>
      <c r="FO21">
        <v>860.75199999999995</v>
      </c>
      <c r="FP21">
        <v>616.19100000000003</v>
      </c>
      <c r="FQ21">
        <v>18.209099999999999</v>
      </c>
      <c r="FR21">
        <v>24.0151</v>
      </c>
      <c r="FS21">
        <v>30.000299999999999</v>
      </c>
      <c r="FT21">
        <v>23.950700000000001</v>
      </c>
      <c r="FU21">
        <v>23.948899999999998</v>
      </c>
      <c r="FV21">
        <v>23.182600000000001</v>
      </c>
      <c r="FW21">
        <v>36.233400000000003</v>
      </c>
      <c r="FX21">
        <v>91.3904</v>
      </c>
      <c r="FY21">
        <v>18.216100000000001</v>
      </c>
      <c r="FZ21">
        <v>375</v>
      </c>
      <c r="GA21">
        <v>14.2591</v>
      </c>
      <c r="GB21">
        <v>99.986900000000006</v>
      </c>
      <c r="GC21">
        <v>99.6845</v>
      </c>
    </row>
    <row r="22" spans="1:185" x14ac:dyDescent="0.2">
      <c r="A22">
        <v>7</v>
      </c>
      <c r="B22">
        <v>1771085417</v>
      </c>
      <c r="C22">
        <v>97</v>
      </c>
      <c r="D22" t="s">
        <v>306</v>
      </c>
      <c r="E22" t="s">
        <v>307</v>
      </c>
      <c r="F22">
        <v>15</v>
      </c>
      <c r="G22">
        <v>1771085408.9333301</v>
      </c>
      <c r="H22">
        <f t="shared" si="0"/>
        <v>9.5906525008625275E-4</v>
      </c>
      <c r="I22">
        <v>0</v>
      </c>
      <c r="J22">
        <f t="shared" si="12"/>
        <v>-1.4786473926956105E-2</v>
      </c>
      <c r="K22">
        <f t="shared" si="1"/>
        <v>-0.40080120303111905</v>
      </c>
      <c r="L22">
        <f t="shared" si="2"/>
        <v>70.251628078069885</v>
      </c>
      <c r="M22">
        <f t="shared" si="3"/>
        <v>1.5491958112729631</v>
      </c>
      <c r="N22">
        <f t="shared" si="4"/>
        <v>2.2052098344985804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26206.495835378766</v>
      </c>
      <c r="T22">
        <f t="shared" si="8"/>
        <v>800.00033333333295</v>
      </c>
      <c r="U22">
        <f t="shared" si="9"/>
        <v>674.40005027990321</v>
      </c>
      <c r="V22">
        <f t="shared" si="10"/>
        <v>0.84299971159999965</v>
      </c>
      <c r="W22">
        <f t="shared" si="11"/>
        <v>0.15869912309599996</v>
      </c>
      <c r="X22">
        <v>1</v>
      </c>
      <c r="Y22">
        <v>1771085408.9333301</v>
      </c>
      <c r="Z22">
        <v>375.08826666666698</v>
      </c>
      <c r="AA22">
        <v>375.03693333333302</v>
      </c>
      <c r="AB22">
        <v>15.487019999999999</v>
      </c>
      <c r="AC22">
        <v>14.3067666666667</v>
      </c>
      <c r="AD22">
        <v>376.20026666666701</v>
      </c>
      <c r="AE22">
        <v>15.360433333333299</v>
      </c>
      <c r="AF22">
        <v>800.00806666666699</v>
      </c>
      <c r="AG22">
        <v>99.967140000000001</v>
      </c>
      <c r="AH22">
        <v>6.4745493333333307E-2</v>
      </c>
      <c r="AI22">
        <v>19.000213333333299</v>
      </c>
      <c r="AJ22">
        <v>999.9</v>
      </c>
      <c r="AK22">
        <v>999.9</v>
      </c>
      <c r="AL22">
        <v>0</v>
      </c>
      <c r="AM22">
        <v>0</v>
      </c>
      <c r="AN22">
        <v>4998.8333333333303</v>
      </c>
      <c r="AO22">
        <v>0</v>
      </c>
      <c r="AP22">
        <v>1.9196299999999999</v>
      </c>
      <c r="AQ22">
        <v>5.14770466666667E-2</v>
      </c>
      <c r="AR22">
        <v>380.98866666666697</v>
      </c>
      <c r="AS22">
        <v>380.48033333333302</v>
      </c>
      <c r="AT22">
        <v>1.18025466666667</v>
      </c>
      <c r="AU22">
        <v>375.03693333333302</v>
      </c>
      <c r="AV22">
        <v>14.3067666666667</v>
      </c>
      <c r="AW22">
        <v>1.54819333333333</v>
      </c>
      <c r="AX22">
        <v>1.43020666666667</v>
      </c>
      <c r="AY22">
        <v>13.4526</v>
      </c>
      <c r="AZ22">
        <v>12.24174</v>
      </c>
      <c r="BA22">
        <v>800.00033333333295</v>
      </c>
      <c r="BB22">
        <v>0.90001193333333296</v>
      </c>
      <c r="BC22">
        <v>0</v>
      </c>
      <c r="BD22">
        <v>9.9988146666666694E-2</v>
      </c>
      <c r="BE22">
        <v>0</v>
      </c>
      <c r="BF22">
        <v>24</v>
      </c>
      <c r="BG22">
        <v>13191.073333333299</v>
      </c>
      <c r="BH22">
        <v>1771085340</v>
      </c>
      <c r="BI22" t="s">
        <v>289</v>
      </c>
      <c r="BJ22">
        <v>1771085340</v>
      </c>
      <c r="BK22">
        <v>1771085340</v>
      </c>
      <c r="BL22">
        <v>1</v>
      </c>
      <c r="BM22">
        <v>-0.41699999999999998</v>
      </c>
      <c r="BN22">
        <v>1.4999999999999999E-2</v>
      </c>
      <c r="BO22">
        <v>-1.1120000000000001</v>
      </c>
      <c r="BP22">
        <v>0.127</v>
      </c>
      <c r="BQ22">
        <v>375</v>
      </c>
      <c r="BR22">
        <v>15</v>
      </c>
      <c r="BS22">
        <v>0.22</v>
      </c>
      <c r="BT22">
        <v>0.06</v>
      </c>
      <c r="BU22">
        <v>5.6719964999999997E-2</v>
      </c>
      <c r="BV22">
        <v>-8.0866551879699405E-2</v>
      </c>
      <c r="BW22">
        <v>1.6588287758664999E-2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1.1911659999999999</v>
      </c>
      <c r="CD22">
        <v>-0.232219849624059</v>
      </c>
      <c r="CE22">
        <v>2.2938511808746401E-2</v>
      </c>
      <c r="CF22">
        <v>0</v>
      </c>
      <c r="CG22">
        <v>1</v>
      </c>
      <c r="CH22">
        <v>2</v>
      </c>
      <c r="CI22" t="s">
        <v>299</v>
      </c>
      <c r="CJ22">
        <v>3.5324800000000001</v>
      </c>
      <c r="CK22">
        <v>2.7025100000000002</v>
      </c>
      <c r="CL22">
        <v>9.1781000000000001E-2</v>
      </c>
      <c r="CM22">
        <v>9.0456400000000006E-2</v>
      </c>
      <c r="CN22">
        <v>8.7496299999999999E-2</v>
      </c>
      <c r="CO22">
        <v>8.1834799999999999E-2</v>
      </c>
      <c r="CP22">
        <v>31899.8</v>
      </c>
      <c r="CQ22">
        <v>28010.1</v>
      </c>
      <c r="CR22">
        <v>32502.2</v>
      </c>
      <c r="CS22">
        <v>30716.400000000001</v>
      </c>
      <c r="CT22">
        <v>40132.9</v>
      </c>
      <c r="CU22">
        <v>39639.4</v>
      </c>
      <c r="CV22">
        <v>47441.7</v>
      </c>
      <c r="CW22">
        <v>46818.5</v>
      </c>
      <c r="CX22">
        <v>2.64514</v>
      </c>
      <c r="CY22">
        <v>2.2037</v>
      </c>
      <c r="CZ22">
        <v>0</v>
      </c>
      <c r="DA22">
        <v>0</v>
      </c>
      <c r="DB22">
        <v>999.9</v>
      </c>
      <c r="DC22">
        <v>999.9</v>
      </c>
      <c r="DD22">
        <v>75.266000000000005</v>
      </c>
      <c r="DE22">
        <v>22.477</v>
      </c>
      <c r="DF22">
        <v>20.5671</v>
      </c>
      <c r="DG22">
        <v>27.577300000000001</v>
      </c>
      <c r="DH22">
        <v>14.375</v>
      </c>
      <c r="DI22">
        <v>2</v>
      </c>
      <c r="DJ22">
        <v>-0.23329900000000001</v>
      </c>
      <c r="DK22">
        <v>1.69313</v>
      </c>
      <c r="DL22">
        <v>20.2013</v>
      </c>
      <c r="DM22">
        <v>5.2480799999999999</v>
      </c>
      <c r="DN22">
        <v>12.033899999999999</v>
      </c>
      <c r="DO22">
        <v>4.9676</v>
      </c>
      <c r="DP22">
        <v>3.2909999999999999</v>
      </c>
      <c r="DQ22">
        <v>9999</v>
      </c>
      <c r="DR22">
        <v>9999</v>
      </c>
      <c r="DS22">
        <v>9999</v>
      </c>
      <c r="DT22">
        <v>603.9</v>
      </c>
      <c r="DU22">
        <v>1.8708800000000001</v>
      </c>
      <c r="DV22">
        <v>1.87598</v>
      </c>
      <c r="DW22">
        <v>1.8761699999999999</v>
      </c>
      <c r="DX22">
        <v>1.8826700000000001</v>
      </c>
      <c r="DY22">
        <v>1.8754500000000001</v>
      </c>
      <c r="DZ22">
        <v>1.8745400000000001</v>
      </c>
      <c r="EA22">
        <v>1.8705799999999999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-1.1120000000000001</v>
      </c>
      <c r="EQ22">
        <v>0.12659999999999999</v>
      </c>
      <c r="ER22">
        <v>-1.1118999999999899</v>
      </c>
      <c r="ES22">
        <v>0</v>
      </c>
      <c r="ET22">
        <v>0</v>
      </c>
      <c r="EU22">
        <v>0</v>
      </c>
      <c r="EV22">
        <v>0.126579999999999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1.15479</v>
      </c>
      <c r="FG22">
        <v>2.5390600000000001</v>
      </c>
      <c r="FH22">
        <v>2.19604</v>
      </c>
      <c r="FI22">
        <v>2.5891099999999998</v>
      </c>
      <c r="FJ22">
        <v>2.4462899999999999</v>
      </c>
      <c r="FK22">
        <v>2.2656200000000002</v>
      </c>
      <c r="FL22">
        <v>27.8919</v>
      </c>
      <c r="FM22">
        <v>24.148800000000001</v>
      </c>
      <c r="FN22">
        <v>19</v>
      </c>
      <c r="FO22">
        <v>860.93</v>
      </c>
      <c r="FP22">
        <v>616.05200000000002</v>
      </c>
      <c r="FQ22">
        <v>18.184200000000001</v>
      </c>
      <c r="FR22">
        <v>24.022300000000001</v>
      </c>
      <c r="FS22">
        <v>29.999700000000001</v>
      </c>
      <c r="FT22">
        <v>23.9603</v>
      </c>
      <c r="FU22">
        <v>23.958500000000001</v>
      </c>
      <c r="FV22">
        <v>23.179300000000001</v>
      </c>
      <c r="FW22">
        <v>36.233400000000003</v>
      </c>
      <c r="FX22">
        <v>91.018199999999993</v>
      </c>
      <c r="FY22">
        <v>18.215399999999999</v>
      </c>
      <c r="FZ22">
        <v>375</v>
      </c>
      <c r="GA22">
        <v>14.255699999999999</v>
      </c>
      <c r="GB22">
        <v>99.987899999999996</v>
      </c>
      <c r="GC22">
        <v>99.687700000000007</v>
      </c>
    </row>
    <row r="23" spans="1:185" x14ac:dyDescent="0.2">
      <c r="A23">
        <v>8</v>
      </c>
      <c r="B23">
        <v>1771085432</v>
      </c>
      <c r="C23">
        <v>112</v>
      </c>
      <c r="D23" t="s">
        <v>308</v>
      </c>
      <c r="E23" t="s">
        <v>309</v>
      </c>
      <c r="F23">
        <v>15</v>
      </c>
      <c r="G23">
        <v>1771085423.9333301</v>
      </c>
      <c r="H23">
        <f t="shared" si="0"/>
        <v>9.3387485843987399E-4</v>
      </c>
      <c r="I23">
        <v>0</v>
      </c>
      <c r="J23">
        <f t="shared" si="12"/>
        <v>-1.3885678584338096E-2</v>
      </c>
      <c r="K23">
        <f t="shared" si="1"/>
        <v>-0.37638430291080416</v>
      </c>
      <c r="L23">
        <f t="shared" si="2"/>
        <v>70.203498334610742</v>
      </c>
      <c r="M23">
        <f t="shared" si="3"/>
        <v>1.5463114360675509</v>
      </c>
      <c r="N23">
        <f t="shared" si="4"/>
        <v>2.2026130787633562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26206.70779869418</v>
      </c>
      <c r="T23">
        <f t="shared" si="8"/>
        <v>799.99933333333297</v>
      </c>
      <c r="U23">
        <f t="shared" si="9"/>
        <v>674.3993876000419</v>
      </c>
      <c r="V23">
        <f t="shared" si="10"/>
        <v>0.8429999370000002</v>
      </c>
      <c r="W23">
        <f t="shared" si="11"/>
        <v>0.15869977754000006</v>
      </c>
      <c r="X23">
        <v>1</v>
      </c>
      <c r="Y23">
        <v>1771085423.9333301</v>
      </c>
      <c r="Z23">
        <v>375.05099999999999</v>
      </c>
      <c r="AA23">
        <v>375.01833333333298</v>
      </c>
      <c r="AB23">
        <v>15.4582</v>
      </c>
      <c r="AC23">
        <v>14.308913333333299</v>
      </c>
      <c r="AD23">
        <v>376.162933333333</v>
      </c>
      <c r="AE23">
        <v>15.331619999999999</v>
      </c>
      <c r="AF23">
        <v>800.00826666666705</v>
      </c>
      <c r="AG23">
        <v>99.966880000000003</v>
      </c>
      <c r="AH23">
        <v>6.4911286666666707E-2</v>
      </c>
      <c r="AI23">
        <v>18.9813333333333</v>
      </c>
      <c r="AJ23">
        <v>999.9</v>
      </c>
      <c r="AK23">
        <v>999.9</v>
      </c>
      <c r="AL23">
        <v>0</v>
      </c>
      <c r="AM23">
        <v>0</v>
      </c>
      <c r="AN23">
        <v>4998.6000000000004</v>
      </c>
      <c r="AO23">
        <v>0</v>
      </c>
      <c r="AP23">
        <v>1.9196299999999999</v>
      </c>
      <c r="AQ23">
        <v>3.2773839999999999E-2</v>
      </c>
      <c r="AR23">
        <v>380.93973333333298</v>
      </c>
      <c r="AS23">
        <v>380.46233333333299</v>
      </c>
      <c r="AT23">
        <v>1.14929533333333</v>
      </c>
      <c r="AU23">
        <v>375.01833333333298</v>
      </c>
      <c r="AV23">
        <v>14.308913333333299</v>
      </c>
      <c r="AW23">
        <v>1.54530866666667</v>
      </c>
      <c r="AX23">
        <v>1.4304173333333301</v>
      </c>
      <c r="AY23">
        <v>13.4239933333333</v>
      </c>
      <c r="AZ23">
        <v>12.243980000000001</v>
      </c>
      <c r="BA23">
        <v>799.99933333333297</v>
      </c>
      <c r="BB23">
        <v>0.90000306666666696</v>
      </c>
      <c r="BC23">
        <v>0</v>
      </c>
      <c r="BD23">
        <v>9.9996966666666701E-2</v>
      </c>
      <c r="BE23">
        <v>0</v>
      </c>
      <c r="BF23">
        <v>24</v>
      </c>
      <c r="BG23">
        <v>13191.026666666699</v>
      </c>
      <c r="BH23">
        <v>1771085340</v>
      </c>
      <c r="BI23" t="s">
        <v>289</v>
      </c>
      <c r="BJ23">
        <v>1771085340</v>
      </c>
      <c r="BK23">
        <v>1771085340</v>
      </c>
      <c r="BL23">
        <v>1</v>
      </c>
      <c r="BM23">
        <v>-0.41699999999999998</v>
      </c>
      <c r="BN23">
        <v>1.4999999999999999E-2</v>
      </c>
      <c r="BO23">
        <v>-1.1120000000000001</v>
      </c>
      <c r="BP23">
        <v>0.127</v>
      </c>
      <c r="BQ23">
        <v>375</v>
      </c>
      <c r="BR23">
        <v>15</v>
      </c>
      <c r="BS23">
        <v>0.22</v>
      </c>
      <c r="BT23">
        <v>0.06</v>
      </c>
      <c r="BU23">
        <v>3.7542425714285697E-2</v>
      </c>
      <c r="BV23">
        <v>-7.4255131948051903E-2</v>
      </c>
      <c r="BW23">
        <v>1.9188398582384698E-2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1.15442857142857</v>
      </c>
      <c r="CD23">
        <v>-9.7733766233764896E-2</v>
      </c>
      <c r="CE23">
        <v>1.00048408691156E-2</v>
      </c>
      <c r="CF23">
        <v>1</v>
      </c>
      <c r="CG23">
        <v>2</v>
      </c>
      <c r="CH23">
        <v>2</v>
      </c>
      <c r="CI23" t="s">
        <v>310</v>
      </c>
      <c r="CJ23">
        <v>3.5324800000000001</v>
      </c>
      <c r="CK23">
        <v>2.7028500000000002</v>
      </c>
      <c r="CL23">
        <v>9.1779899999999998E-2</v>
      </c>
      <c r="CM23">
        <v>9.0455199999999999E-2</v>
      </c>
      <c r="CN23">
        <v>8.7413699999999997E-2</v>
      </c>
      <c r="CO23">
        <v>8.18435E-2</v>
      </c>
      <c r="CP23">
        <v>31899.9</v>
      </c>
      <c r="CQ23">
        <v>28010.2</v>
      </c>
      <c r="CR23">
        <v>32502.3</v>
      </c>
      <c r="CS23">
        <v>30716.5</v>
      </c>
      <c r="CT23">
        <v>40137.300000000003</v>
      </c>
      <c r="CU23">
        <v>39639.4</v>
      </c>
      <c r="CV23">
        <v>47442.400000000001</v>
      </c>
      <c r="CW23">
        <v>46819</v>
      </c>
      <c r="CX23">
        <v>2.6452399999999998</v>
      </c>
      <c r="CY23">
        <v>2.2031399999999999</v>
      </c>
      <c r="CZ23">
        <v>0</v>
      </c>
      <c r="DA23">
        <v>0</v>
      </c>
      <c r="DB23">
        <v>999.9</v>
      </c>
      <c r="DC23">
        <v>999.9</v>
      </c>
      <c r="DD23">
        <v>75.216999999999999</v>
      </c>
      <c r="DE23">
        <v>22.497</v>
      </c>
      <c r="DF23">
        <v>20.580100000000002</v>
      </c>
      <c r="DG23">
        <v>27.577300000000001</v>
      </c>
      <c r="DH23">
        <v>14.4551</v>
      </c>
      <c r="DI23">
        <v>2</v>
      </c>
      <c r="DJ23">
        <v>-0.23340900000000001</v>
      </c>
      <c r="DK23">
        <v>1.61097</v>
      </c>
      <c r="DL23">
        <v>20.202500000000001</v>
      </c>
      <c r="DM23">
        <v>5.2476000000000003</v>
      </c>
      <c r="DN23">
        <v>12.033899999999999</v>
      </c>
      <c r="DO23">
        <v>4.9675200000000004</v>
      </c>
      <c r="DP23">
        <v>3.2909999999999999</v>
      </c>
      <c r="DQ23">
        <v>9999</v>
      </c>
      <c r="DR23">
        <v>9999</v>
      </c>
      <c r="DS23">
        <v>9999</v>
      </c>
      <c r="DT23">
        <v>603.9</v>
      </c>
      <c r="DU23">
        <v>1.8708800000000001</v>
      </c>
      <c r="DV23">
        <v>1.8759999999999999</v>
      </c>
      <c r="DW23">
        <v>1.8762099999999999</v>
      </c>
      <c r="DX23">
        <v>1.8827100000000001</v>
      </c>
      <c r="DY23">
        <v>1.8754599999999999</v>
      </c>
      <c r="DZ23">
        <v>1.8745400000000001</v>
      </c>
      <c r="EA23">
        <v>1.87059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-1.1120000000000001</v>
      </c>
      <c r="EQ23">
        <v>0.12659999999999999</v>
      </c>
      <c r="ER23">
        <v>-1.1118999999999899</v>
      </c>
      <c r="ES23">
        <v>0</v>
      </c>
      <c r="ET23">
        <v>0</v>
      </c>
      <c r="EU23">
        <v>0</v>
      </c>
      <c r="EV23">
        <v>0.126579999999999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1.5</v>
      </c>
      <c r="FF23">
        <v>1.15479</v>
      </c>
      <c r="FG23">
        <v>2.5280800000000001</v>
      </c>
      <c r="FH23">
        <v>2.19604</v>
      </c>
      <c r="FI23">
        <v>2.5891099999999998</v>
      </c>
      <c r="FJ23">
        <v>2.4462899999999999</v>
      </c>
      <c r="FK23">
        <v>2.3095699999999999</v>
      </c>
      <c r="FL23">
        <v>27.912800000000001</v>
      </c>
      <c r="FM23">
        <v>24.157499999999999</v>
      </c>
      <c r="FN23">
        <v>19</v>
      </c>
      <c r="FO23">
        <v>861.17399999999998</v>
      </c>
      <c r="FP23">
        <v>615.71299999999997</v>
      </c>
      <c r="FQ23">
        <v>18.2362</v>
      </c>
      <c r="FR23">
        <v>24.029199999999999</v>
      </c>
      <c r="FS23">
        <v>30.0001</v>
      </c>
      <c r="FT23">
        <v>23.9696</v>
      </c>
      <c r="FU23">
        <v>23.967600000000001</v>
      </c>
      <c r="FV23">
        <v>23.176300000000001</v>
      </c>
      <c r="FW23">
        <v>36.233400000000003</v>
      </c>
      <c r="FX23">
        <v>90.640600000000006</v>
      </c>
      <c r="FY23">
        <v>18.254799999999999</v>
      </c>
      <c r="FZ23">
        <v>375</v>
      </c>
      <c r="GA23">
        <v>14.2464</v>
      </c>
      <c r="GB23">
        <v>99.988799999999998</v>
      </c>
      <c r="GC23">
        <v>99.688400000000001</v>
      </c>
    </row>
    <row r="24" spans="1:185" x14ac:dyDescent="0.2">
      <c r="A24">
        <v>9</v>
      </c>
      <c r="B24">
        <v>1771085447</v>
      </c>
      <c r="C24">
        <v>127</v>
      </c>
      <c r="D24" t="s">
        <v>311</v>
      </c>
      <c r="E24" t="s">
        <v>312</v>
      </c>
      <c r="F24">
        <v>15</v>
      </c>
      <c r="G24">
        <v>1771085438.9333301</v>
      </c>
      <c r="H24">
        <f t="shared" si="0"/>
        <v>9.3571537336848364E-4</v>
      </c>
      <c r="I24">
        <v>0</v>
      </c>
      <c r="J24">
        <f t="shared" si="12"/>
        <v>-1.3407677761828458E-2</v>
      </c>
      <c r="K24">
        <f t="shared" si="1"/>
        <v>-0.363427643624883</v>
      </c>
      <c r="L24">
        <f t="shared" si="2"/>
        <v>70.184265751673365</v>
      </c>
      <c r="M24">
        <f t="shared" si="3"/>
        <v>1.5451984295929735</v>
      </c>
      <c r="N24">
        <f t="shared" si="4"/>
        <v>2.2016308257184156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26227.799816554667</v>
      </c>
      <c r="T24">
        <f t="shared" si="8"/>
        <v>799.99946666666699</v>
      </c>
      <c r="U24">
        <f t="shared" si="9"/>
        <v>674.39963487994441</v>
      </c>
      <c r="V24">
        <f t="shared" si="10"/>
        <v>0.8430001056000006</v>
      </c>
      <c r="W24">
        <f t="shared" si="11"/>
        <v>0.15870023801600014</v>
      </c>
      <c r="X24">
        <v>1</v>
      </c>
      <c r="Y24">
        <v>1771085438.9333301</v>
      </c>
      <c r="Z24">
        <v>375.05799999999999</v>
      </c>
      <c r="AA24">
        <v>375.04239999999999</v>
      </c>
      <c r="AB24">
        <v>15.447146666666701</v>
      </c>
      <c r="AC24">
        <v>14.295579999999999</v>
      </c>
      <c r="AD24">
        <v>376.16993333333301</v>
      </c>
      <c r="AE24">
        <v>15.32056</v>
      </c>
      <c r="AF24">
        <v>800.00686666666695</v>
      </c>
      <c r="AG24">
        <v>99.966273333333305</v>
      </c>
      <c r="AH24">
        <v>6.5043966666666703E-2</v>
      </c>
      <c r="AI24">
        <v>18.9741866666667</v>
      </c>
      <c r="AJ24">
        <v>999.9</v>
      </c>
      <c r="AK24">
        <v>999.9</v>
      </c>
      <c r="AL24">
        <v>0</v>
      </c>
      <c r="AM24">
        <v>0</v>
      </c>
      <c r="AN24">
        <v>5002</v>
      </c>
      <c r="AO24">
        <v>0</v>
      </c>
      <c r="AP24">
        <v>1.9196299999999999</v>
      </c>
      <c r="AQ24">
        <v>1.5753168666666699E-2</v>
      </c>
      <c r="AR24">
        <v>380.94253333333302</v>
      </c>
      <c r="AS24">
        <v>380.48146666666702</v>
      </c>
      <c r="AT24">
        <v>1.1515693333333299</v>
      </c>
      <c r="AU24">
        <v>375.04239999999999</v>
      </c>
      <c r="AV24">
        <v>14.295579999999999</v>
      </c>
      <c r="AW24">
        <v>1.5441926666666701</v>
      </c>
      <c r="AX24">
        <v>1.4290753333333299</v>
      </c>
      <c r="AY24">
        <v>13.4129066666667</v>
      </c>
      <c r="AZ24">
        <v>12.229699999999999</v>
      </c>
      <c r="BA24">
        <v>799.99946666666699</v>
      </c>
      <c r="BB24">
        <v>0.89999686666666701</v>
      </c>
      <c r="BC24">
        <v>0</v>
      </c>
      <c r="BD24">
        <v>0.100003146666667</v>
      </c>
      <c r="BE24">
        <v>0</v>
      </c>
      <c r="BF24">
        <v>24</v>
      </c>
      <c r="BG24">
        <v>13191</v>
      </c>
      <c r="BH24">
        <v>1771085340</v>
      </c>
      <c r="BI24" t="s">
        <v>289</v>
      </c>
      <c r="BJ24">
        <v>1771085340</v>
      </c>
      <c r="BK24">
        <v>1771085340</v>
      </c>
      <c r="BL24">
        <v>1</v>
      </c>
      <c r="BM24">
        <v>-0.41699999999999998</v>
      </c>
      <c r="BN24">
        <v>1.4999999999999999E-2</v>
      </c>
      <c r="BO24">
        <v>-1.1120000000000001</v>
      </c>
      <c r="BP24">
        <v>0.127</v>
      </c>
      <c r="BQ24">
        <v>375</v>
      </c>
      <c r="BR24">
        <v>15</v>
      </c>
      <c r="BS24">
        <v>0.22</v>
      </c>
      <c r="BT24">
        <v>0.06</v>
      </c>
      <c r="BU24">
        <v>1.9949336500000001E-2</v>
      </c>
      <c r="BV24">
        <v>-8.0169872030075195E-2</v>
      </c>
      <c r="BW24">
        <v>1.5883883458484301E-2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1.1493599999999999</v>
      </c>
      <c r="CD24">
        <v>0.120288721804512</v>
      </c>
      <c r="CE24">
        <v>1.85544474452892E-2</v>
      </c>
      <c r="CF24">
        <v>0</v>
      </c>
      <c r="CG24">
        <v>1</v>
      </c>
      <c r="CH24">
        <v>2</v>
      </c>
      <c r="CI24" t="s">
        <v>299</v>
      </c>
      <c r="CJ24">
        <v>3.53247</v>
      </c>
      <c r="CK24">
        <v>2.70282</v>
      </c>
      <c r="CL24">
        <v>9.1777999999999998E-2</v>
      </c>
      <c r="CM24">
        <v>9.0449600000000005E-2</v>
      </c>
      <c r="CN24">
        <v>8.7335899999999994E-2</v>
      </c>
      <c r="CO24">
        <v>8.1488000000000005E-2</v>
      </c>
      <c r="CP24">
        <v>31899.4</v>
      </c>
      <c r="CQ24">
        <v>28010.400000000001</v>
      </c>
      <c r="CR24">
        <v>32501.7</v>
      </c>
      <c r="CS24">
        <v>30716.5</v>
      </c>
      <c r="CT24">
        <v>40140.199999999997</v>
      </c>
      <c r="CU24">
        <v>39655.4</v>
      </c>
      <c r="CV24">
        <v>47441.7</v>
      </c>
      <c r="CW24">
        <v>46819.3</v>
      </c>
      <c r="CX24">
        <v>2.6451799999999999</v>
      </c>
      <c r="CY24">
        <v>2.2027999999999999</v>
      </c>
      <c r="CZ24">
        <v>0</v>
      </c>
      <c r="DA24">
        <v>0</v>
      </c>
      <c r="DB24">
        <v>999.9</v>
      </c>
      <c r="DC24">
        <v>999.9</v>
      </c>
      <c r="DD24">
        <v>75.168000000000006</v>
      </c>
      <c r="DE24">
        <v>22.507000000000001</v>
      </c>
      <c r="DF24">
        <v>20.577500000000001</v>
      </c>
      <c r="DG24">
        <v>27.337299999999999</v>
      </c>
      <c r="DH24">
        <v>14.495200000000001</v>
      </c>
      <c r="DI24">
        <v>2</v>
      </c>
      <c r="DJ24">
        <v>-0.23288200000000001</v>
      </c>
      <c r="DK24">
        <v>1.54298</v>
      </c>
      <c r="DL24">
        <v>20.203099999999999</v>
      </c>
      <c r="DM24">
        <v>5.2472399999999997</v>
      </c>
      <c r="DN24">
        <v>12.033899999999999</v>
      </c>
      <c r="DO24">
        <v>4.9676</v>
      </c>
      <c r="DP24">
        <v>3.2909999999999999</v>
      </c>
      <c r="DQ24">
        <v>9999</v>
      </c>
      <c r="DR24">
        <v>9999</v>
      </c>
      <c r="DS24">
        <v>9999</v>
      </c>
      <c r="DT24">
        <v>603.9</v>
      </c>
      <c r="DU24">
        <v>1.8708800000000001</v>
      </c>
      <c r="DV24">
        <v>1.8759999999999999</v>
      </c>
      <c r="DW24">
        <v>1.8762000000000001</v>
      </c>
      <c r="DX24">
        <v>1.8827199999999999</v>
      </c>
      <c r="DY24">
        <v>1.8754599999999999</v>
      </c>
      <c r="DZ24">
        <v>1.8745400000000001</v>
      </c>
      <c r="EA24">
        <v>1.87059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-1.1120000000000001</v>
      </c>
      <c r="EQ24">
        <v>0.1265</v>
      </c>
      <c r="ER24">
        <v>-1.1118999999999899</v>
      </c>
      <c r="ES24">
        <v>0</v>
      </c>
      <c r="ET24">
        <v>0</v>
      </c>
      <c r="EU24">
        <v>0</v>
      </c>
      <c r="EV24">
        <v>0.126579999999999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1.15479</v>
      </c>
      <c r="FG24">
        <v>2.5402800000000001</v>
      </c>
      <c r="FH24">
        <v>2.19604</v>
      </c>
      <c r="FI24">
        <v>2.5878899999999998</v>
      </c>
      <c r="FJ24">
        <v>2.4462899999999999</v>
      </c>
      <c r="FK24">
        <v>2.2985799999999998</v>
      </c>
      <c r="FL24">
        <v>27.933700000000002</v>
      </c>
      <c r="FM24">
        <v>24.157499999999999</v>
      </c>
      <c r="FN24">
        <v>19</v>
      </c>
      <c r="FO24">
        <v>861.25900000000001</v>
      </c>
      <c r="FP24">
        <v>615.54600000000005</v>
      </c>
      <c r="FQ24">
        <v>18.289899999999999</v>
      </c>
      <c r="FR24">
        <v>24.0365</v>
      </c>
      <c r="FS24">
        <v>30.000299999999999</v>
      </c>
      <c r="FT24">
        <v>23.978100000000001</v>
      </c>
      <c r="FU24">
        <v>23.976099999999999</v>
      </c>
      <c r="FV24">
        <v>23.171700000000001</v>
      </c>
      <c r="FW24">
        <v>36.506100000000004</v>
      </c>
      <c r="FX24">
        <v>90.264300000000006</v>
      </c>
      <c r="FY24">
        <v>18.309200000000001</v>
      </c>
      <c r="FZ24">
        <v>375</v>
      </c>
      <c r="GA24">
        <v>14.2531</v>
      </c>
      <c r="GB24">
        <v>99.987200000000001</v>
      </c>
      <c r="GC24">
        <v>99.688800000000001</v>
      </c>
    </row>
    <row r="25" spans="1:185" x14ac:dyDescent="0.2">
      <c r="A25">
        <v>10</v>
      </c>
      <c r="B25">
        <v>1771085462</v>
      </c>
      <c r="C25">
        <v>142</v>
      </c>
      <c r="D25" t="s">
        <v>313</v>
      </c>
      <c r="E25" t="s">
        <v>314</v>
      </c>
      <c r="F25">
        <v>15</v>
      </c>
      <c r="G25">
        <v>1771085453.9333301</v>
      </c>
      <c r="H25">
        <f t="shared" si="0"/>
        <v>9.6550109643381711E-4</v>
      </c>
      <c r="I25">
        <v>0</v>
      </c>
      <c r="J25">
        <f t="shared" si="12"/>
        <v>-1.3067052985441599E-2</v>
      </c>
      <c r="K25">
        <f t="shared" si="1"/>
        <v>-0.35419469053326225</v>
      </c>
      <c r="L25">
        <f t="shared" si="2"/>
        <v>70.016569068974505</v>
      </c>
      <c r="M25">
        <f t="shared" si="3"/>
        <v>1.5415275348180952</v>
      </c>
      <c r="N25">
        <f t="shared" si="4"/>
        <v>2.2016610572556199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26203.622378491975</v>
      </c>
      <c r="T25">
        <f t="shared" si="8"/>
        <v>800.00033333333295</v>
      </c>
      <c r="U25">
        <f t="shared" si="9"/>
        <v>674.40017219995411</v>
      </c>
      <c r="V25">
        <f t="shared" si="10"/>
        <v>0.84299986399999971</v>
      </c>
      <c r="W25">
        <f t="shared" si="11"/>
        <v>0.15869965999999994</v>
      </c>
      <c r="X25">
        <v>1</v>
      </c>
      <c r="Y25">
        <v>1771085453.9333301</v>
      </c>
      <c r="Z25">
        <v>375.02613333333301</v>
      </c>
      <c r="AA25">
        <v>375.036</v>
      </c>
      <c r="AB25">
        <v>15.410399999999999</v>
      </c>
      <c r="AC25">
        <v>14.22214</v>
      </c>
      <c r="AD25">
        <v>376.13799999999998</v>
      </c>
      <c r="AE25">
        <v>15.28382</v>
      </c>
      <c r="AF25">
        <v>800.01206666666701</v>
      </c>
      <c r="AG25">
        <v>99.966613333333299</v>
      </c>
      <c r="AH25">
        <v>6.50234066666667E-2</v>
      </c>
      <c r="AI25">
        <v>18.974406666666699</v>
      </c>
      <c r="AJ25">
        <v>999.9</v>
      </c>
      <c r="AK25">
        <v>999.9</v>
      </c>
      <c r="AL25">
        <v>0</v>
      </c>
      <c r="AM25">
        <v>0</v>
      </c>
      <c r="AN25">
        <v>4998</v>
      </c>
      <c r="AO25">
        <v>0</v>
      </c>
      <c r="AP25">
        <v>1.9196299999999999</v>
      </c>
      <c r="AQ25">
        <v>-9.7961510666666699E-3</v>
      </c>
      <c r="AR25">
        <v>380.89593333333301</v>
      </c>
      <c r="AS25">
        <v>380.4468</v>
      </c>
      <c r="AT25">
        <v>1.1882646666666701</v>
      </c>
      <c r="AU25">
        <v>375.036</v>
      </c>
      <c r="AV25">
        <v>14.22214</v>
      </c>
      <c r="AW25">
        <v>1.54052533333333</v>
      </c>
      <c r="AX25">
        <v>1.4217379999999999</v>
      </c>
      <c r="AY25">
        <v>13.37642</v>
      </c>
      <c r="AZ25">
        <v>12.151486666666701</v>
      </c>
      <c r="BA25">
        <v>800.00033333333295</v>
      </c>
      <c r="BB25">
        <v>0.90000453333333297</v>
      </c>
      <c r="BC25">
        <v>0</v>
      </c>
      <c r="BD25">
        <v>9.9995466666666699E-2</v>
      </c>
      <c r="BE25">
        <v>0</v>
      </c>
      <c r="BF25">
        <v>24</v>
      </c>
      <c r="BG25">
        <v>13191.06</v>
      </c>
      <c r="BH25">
        <v>1771085340</v>
      </c>
      <c r="BI25" t="s">
        <v>289</v>
      </c>
      <c r="BJ25">
        <v>1771085340</v>
      </c>
      <c r="BK25">
        <v>1771085340</v>
      </c>
      <c r="BL25">
        <v>1</v>
      </c>
      <c r="BM25">
        <v>-0.41699999999999998</v>
      </c>
      <c r="BN25">
        <v>1.4999999999999999E-2</v>
      </c>
      <c r="BO25">
        <v>-1.1120000000000001</v>
      </c>
      <c r="BP25">
        <v>0.127</v>
      </c>
      <c r="BQ25">
        <v>375</v>
      </c>
      <c r="BR25">
        <v>15</v>
      </c>
      <c r="BS25">
        <v>0.22</v>
      </c>
      <c r="BT25">
        <v>0.06</v>
      </c>
      <c r="BU25">
        <v>-1.6639398095238101E-3</v>
      </c>
      <c r="BV25">
        <v>-0.15392040000000001</v>
      </c>
      <c r="BW25">
        <v>2.0742265947716099E-2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1.18332476190476</v>
      </c>
      <c r="CD25">
        <v>2.5034805194805301E-2</v>
      </c>
      <c r="CE25">
        <v>1.7177184374586801E-2</v>
      </c>
      <c r="CF25">
        <v>1</v>
      </c>
      <c r="CG25">
        <v>2</v>
      </c>
      <c r="CH25">
        <v>2</v>
      </c>
      <c r="CI25" t="s">
        <v>310</v>
      </c>
      <c r="CJ25">
        <v>3.5324900000000001</v>
      </c>
      <c r="CK25">
        <v>2.7029000000000001</v>
      </c>
      <c r="CL25">
        <v>9.1770699999999997E-2</v>
      </c>
      <c r="CM25">
        <v>9.0448399999999998E-2</v>
      </c>
      <c r="CN25">
        <v>8.7165500000000007E-2</v>
      </c>
      <c r="CO25">
        <v>8.1463300000000002E-2</v>
      </c>
      <c r="CP25">
        <v>31899.200000000001</v>
      </c>
      <c r="CQ25">
        <v>28010.5</v>
      </c>
      <c r="CR25">
        <v>32501.200000000001</v>
      </c>
      <c r="CS25">
        <v>30716.6</v>
      </c>
      <c r="CT25">
        <v>40147.800000000003</v>
      </c>
      <c r="CU25">
        <v>39656.699999999997</v>
      </c>
      <c r="CV25">
        <v>47441.4</v>
      </c>
      <c r="CW25">
        <v>46819.4</v>
      </c>
      <c r="CX25">
        <v>2.64486</v>
      </c>
      <c r="CY25">
        <v>2.20248</v>
      </c>
      <c r="CZ25">
        <v>0</v>
      </c>
      <c r="DA25">
        <v>0</v>
      </c>
      <c r="DB25">
        <v>999.9</v>
      </c>
      <c r="DC25">
        <v>999.9</v>
      </c>
      <c r="DD25">
        <v>75.119</v>
      </c>
      <c r="DE25">
        <v>22.536999999999999</v>
      </c>
      <c r="DF25">
        <v>20.601500000000001</v>
      </c>
      <c r="DG25">
        <v>27.337299999999999</v>
      </c>
      <c r="DH25">
        <v>14.398999999999999</v>
      </c>
      <c r="DI25">
        <v>2</v>
      </c>
      <c r="DJ25">
        <v>-0.23255100000000001</v>
      </c>
      <c r="DK25">
        <v>1.4920199999999999</v>
      </c>
      <c r="DL25">
        <v>20.203800000000001</v>
      </c>
      <c r="DM25">
        <v>5.2472399999999997</v>
      </c>
      <c r="DN25">
        <v>12.033899999999999</v>
      </c>
      <c r="DO25">
        <v>4.9676</v>
      </c>
      <c r="DP25">
        <v>3.2909999999999999</v>
      </c>
      <c r="DQ25">
        <v>9999</v>
      </c>
      <c r="DR25">
        <v>9999</v>
      </c>
      <c r="DS25">
        <v>9999</v>
      </c>
      <c r="DT25">
        <v>603.9</v>
      </c>
      <c r="DU25">
        <v>1.8708800000000001</v>
      </c>
      <c r="DV25">
        <v>1.8759999999999999</v>
      </c>
      <c r="DW25">
        <v>1.87622</v>
      </c>
      <c r="DX25">
        <v>1.8827</v>
      </c>
      <c r="DY25">
        <v>1.8754599999999999</v>
      </c>
      <c r="DZ25">
        <v>1.8745400000000001</v>
      </c>
      <c r="EA25">
        <v>1.8705799999999999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-1.1120000000000001</v>
      </c>
      <c r="EQ25">
        <v>0.12659999999999999</v>
      </c>
      <c r="ER25">
        <v>-1.1118999999999899</v>
      </c>
      <c r="ES25">
        <v>0</v>
      </c>
      <c r="ET25">
        <v>0</v>
      </c>
      <c r="EU25">
        <v>0</v>
      </c>
      <c r="EV25">
        <v>0.126579999999999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1.15479</v>
      </c>
      <c r="FG25">
        <v>2.5390600000000001</v>
      </c>
      <c r="FH25">
        <v>2.19604</v>
      </c>
      <c r="FI25">
        <v>2.5878899999999998</v>
      </c>
      <c r="FJ25">
        <v>2.4462899999999999</v>
      </c>
      <c r="FK25">
        <v>2.2497600000000002</v>
      </c>
      <c r="FL25">
        <v>27.9756</v>
      </c>
      <c r="FM25">
        <v>24.148800000000001</v>
      </c>
      <c r="FN25">
        <v>19</v>
      </c>
      <c r="FO25">
        <v>861.10299999999995</v>
      </c>
      <c r="FP25">
        <v>615.39700000000005</v>
      </c>
      <c r="FQ25">
        <v>18.346599999999999</v>
      </c>
      <c r="FR25">
        <v>24.042899999999999</v>
      </c>
      <c r="FS25">
        <v>30.0002</v>
      </c>
      <c r="FT25">
        <v>23.986499999999999</v>
      </c>
      <c r="FU25">
        <v>23.984999999999999</v>
      </c>
      <c r="FV25">
        <v>23.167200000000001</v>
      </c>
      <c r="FW25">
        <v>36.506100000000004</v>
      </c>
      <c r="FX25">
        <v>89.889799999999994</v>
      </c>
      <c r="FY25">
        <v>18.363</v>
      </c>
      <c r="FZ25">
        <v>375</v>
      </c>
      <c r="GA25">
        <v>14.2531</v>
      </c>
      <c r="GB25">
        <v>99.986199999999997</v>
      </c>
      <c r="GC25">
        <v>99.6892</v>
      </c>
    </row>
    <row r="26" spans="1:185" x14ac:dyDescent="0.2">
      <c r="A26">
        <v>11</v>
      </c>
      <c r="B26">
        <v>1771085477</v>
      </c>
      <c r="C26">
        <v>157</v>
      </c>
      <c r="D26" t="s">
        <v>315</v>
      </c>
      <c r="E26" t="s">
        <v>316</v>
      </c>
      <c r="F26">
        <v>15</v>
      </c>
      <c r="G26">
        <v>1771085468.9333301</v>
      </c>
      <c r="H26">
        <f t="shared" si="0"/>
        <v>9.4089213674764199E-4</v>
      </c>
      <c r="I26">
        <v>0</v>
      </c>
      <c r="J26">
        <f t="shared" si="12"/>
        <v>-1.2606191964405242E-2</v>
      </c>
      <c r="K26">
        <f t="shared" si="1"/>
        <v>-0.34170262159417703</v>
      </c>
      <c r="L26">
        <f t="shared" si="2"/>
        <v>69.852790252815353</v>
      </c>
      <c r="M26">
        <f t="shared" si="3"/>
        <v>1.5384740271796344</v>
      </c>
      <c r="N26">
        <f t="shared" si="4"/>
        <v>2.2024517869815909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26211.28466156077</v>
      </c>
      <c r="T26">
        <f t="shared" si="8"/>
        <v>799.99879999999996</v>
      </c>
      <c r="U26">
        <f t="shared" si="9"/>
        <v>674.39913831977526</v>
      </c>
      <c r="V26">
        <f t="shared" si="10"/>
        <v>0.84300018740000016</v>
      </c>
      <c r="W26">
        <f t="shared" si="11"/>
        <v>0.15870029960400003</v>
      </c>
      <c r="X26">
        <v>1</v>
      </c>
      <c r="Y26">
        <v>1771085468.9333301</v>
      </c>
      <c r="Z26">
        <v>375.01580000000001</v>
      </c>
      <c r="AA26">
        <v>375.02973333333301</v>
      </c>
      <c r="AB26">
        <v>15.379806666666701</v>
      </c>
      <c r="AC26">
        <v>14.2217933333333</v>
      </c>
      <c r="AD26">
        <v>376.12759999999997</v>
      </c>
      <c r="AE26">
        <v>15.253246666666699</v>
      </c>
      <c r="AF26">
        <v>800.00926666666703</v>
      </c>
      <c r="AG26">
        <v>99.966980000000007</v>
      </c>
      <c r="AH26">
        <v>6.5098459999999997E-2</v>
      </c>
      <c r="AI26">
        <v>18.980160000000001</v>
      </c>
      <c r="AJ26">
        <v>999.9</v>
      </c>
      <c r="AK26">
        <v>999.9</v>
      </c>
      <c r="AL26">
        <v>0</v>
      </c>
      <c r="AM26">
        <v>0</v>
      </c>
      <c r="AN26">
        <v>4999.3333333333303</v>
      </c>
      <c r="AO26">
        <v>0</v>
      </c>
      <c r="AP26">
        <v>1.9196299999999999</v>
      </c>
      <c r="AQ26">
        <v>-1.3940429333333299E-2</v>
      </c>
      <c r="AR26">
        <v>380.873533333333</v>
      </c>
      <c r="AS26">
        <v>380.44026666666701</v>
      </c>
      <c r="AT26">
        <v>1.1580280000000001</v>
      </c>
      <c r="AU26">
        <v>375.02973333333301</v>
      </c>
      <c r="AV26">
        <v>14.2217933333333</v>
      </c>
      <c r="AW26">
        <v>1.53747266666667</v>
      </c>
      <c r="AX26">
        <v>1.421708</v>
      </c>
      <c r="AY26">
        <v>13.3460133333333</v>
      </c>
      <c r="AZ26">
        <v>12.1511933333333</v>
      </c>
      <c r="BA26">
        <v>799.99879999999996</v>
      </c>
      <c r="BB26">
        <v>0.89999626666666699</v>
      </c>
      <c r="BC26">
        <v>0</v>
      </c>
      <c r="BD26">
        <v>0.10000381999999999</v>
      </c>
      <c r="BE26">
        <v>0</v>
      </c>
      <c r="BF26">
        <v>24</v>
      </c>
      <c r="BG26">
        <v>13191.006666666701</v>
      </c>
      <c r="BH26">
        <v>1771085340</v>
      </c>
      <c r="BI26" t="s">
        <v>289</v>
      </c>
      <c r="BJ26">
        <v>1771085340</v>
      </c>
      <c r="BK26">
        <v>1771085340</v>
      </c>
      <c r="BL26">
        <v>1</v>
      </c>
      <c r="BM26">
        <v>-0.41699999999999998</v>
      </c>
      <c r="BN26">
        <v>1.4999999999999999E-2</v>
      </c>
      <c r="BO26">
        <v>-1.1120000000000001</v>
      </c>
      <c r="BP26">
        <v>0.127</v>
      </c>
      <c r="BQ26">
        <v>375</v>
      </c>
      <c r="BR26">
        <v>15</v>
      </c>
      <c r="BS26">
        <v>0.22</v>
      </c>
      <c r="BT26">
        <v>0.06</v>
      </c>
      <c r="BU26">
        <v>-1.4817809499999999E-2</v>
      </c>
      <c r="BV26">
        <v>7.34224705263158E-2</v>
      </c>
      <c r="BW26">
        <v>1.82024474555081E-2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1.1623889999999999</v>
      </c>
      <c r="CD26">
        <v>-0.106310977443608</v>
      </c>
      <c r="CE26">
        <v>1.0329858130681199E-2</v>
      </c>
      <c r="CF26">
        <v>0</v>
      </c>
      <c r="CG26">
        <v>1</v>
      </c>
      <c r="CH26">
        <v>2</v>
      </c>
      <c r="CI26" t="s">
        <v>299</v>
      </c>
      <c r="CJ26">
        <v>3.5324800000000001</v>
      </c>
      <c r="CK26">
        <v>2.7028300000000001</v>
      </c>
      <c r="CL26">
        <v>9.1762499999999997E-2</v>
      </c>
      <c r="CM26">
        <v>9.0442999999999996E-2</v>
      </c>
      <c r="CN26">
        <v>8.7069999999999995E-2</v>
      </c>
      <c r="CO26">
        <v>8.1465999999999997E-2</v>
      </c>
      <c r="CP26">
        <v>31899.599999999999</v>
      </c>
      <c r="CQ26">
        <v>28011.1</v>
      </c>
      <c r="CR26">
        <v>32501.4</v>
      </c>
      <c r="CS26">
        <v>30717.1</v>
      </c>
      <c r="CT26">
        <v>40152.400000000001</v>
      </c>
      <c r="CU26">
        <v>39657.5</v>
      </c>
      <c r="CV26">
        <v>47441.7</v>
      </c>
      <c r="CW26">
        <v>46820.5</v>
      </c>
      <c r="CX26">
        <v>2.6446999999999998</v>
      </c>
      <c r="CY26">
        <v>2.2023199999999998</v>
      </c>
      <c r="CZ26">
        <v>0</v>
      </c>
      <c r="DA26">
        <v>0</v>
      </c>
      <c r="DB26">
        <v>999.9</v>
      </c>
      <c r="DC26">
        <v>999.9</v>
      </c>
      <c r="DD26">
        <v>75.075999999999993</v>
      </c>
      <c r="DE26">
        <v>22.536999999999999</v>
      </c>
      <c r="DF26">
        <v>20.5901</v>
      </c>
      <c r="DG26">
        <v>27.487300000000001</v>
      </c>
      <c r="DH26">
        <v>14.4511</v>
      </c>
      <c r="DI26">
        <v>2</v>
      </c>
      <c r="DJ26">
        <v>-0.23213800000000001</v>
      </c>
      <c r="DK26">
        <v>1.46478</v>
      </c>
      <c r="DL26">
        <v>20.2042</v>
      </c>
      <c r="DM26">
        <v>5.2473599999999996</v>
      </c>
      <c r="DN26">
        <v>12.033899999999999</v>
      </c>
      <c r="DO26">
        <v>4.9675599999999998</v>
      </c>
      <c r="DP26">
        <v>3.2909999999999999</v>
      </c>
      <c r="DQ26">
        <v>9999</v>
      </c>
      <c r="DR26">
        <v>9999</v>
      </c>
      <c r="DS26">
        <v>9999</v>
      </c>
      <c r="DT26">
        <v>603.9</v>
      </c>
      <c r="DU26">
        <v>1.8708800000000001</v>
      </c>
      <c r="DV26">
        <v>1.87598</v>
      </c>
      <c r="DW26">
        <v>1.8762000000000001</v>
      </c>
      <c r="DX26">
        <v>1.8827100000000001</v>
      </c>
      <c r="DY26">
        <v>1.8754599999999999</v>
      </c>
      <c r="DZ26">
        <v>1.87453</v>
      </c>
      <c r="EA26">
        <v>1.8705700000000001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-1.111</v>
      </c>
      <c r="EQ26">
        <v>0.12659999999999999</v>
      </c>
      <c r="ER26">
        <v>-1.1118999999999899</v>
      </c>
      <c r="ES26">
        <v>0</v>
      </c>
      <c r="ET26">
        <v>0</v>
      </c>
      <c r="EU26">
        <v>0</v>
      </c>
      <c r="EV26">
        <v>0.126579999999999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1.1535599999999999</v>
      </c>
      <c r="FG26">
        <v>2.5293000000000001</v>
      </c>
      <c r="FH26">
        <v>2.19604</v>
      </c>
      <c r="FI26">
        <v>2.5878899999999998</v>
      </c>
      <c r="FJ26">
        <v>2.4462899999999999</v>
      </c>
      <c r="FK26">
        <v>2.323</v>
      </c>
      <c r="FL26">
        <v>27.996500000000001</v>
      </c>
      <c r="FM26">
        <v>24.157499999999999</v>
      </c>
      <c r="FN26">
        <v>19</v>
      </c>
      <c r="FO26">
        <v>861.08799999999997</v>
      </c>
      <c r="FP26">
        <v>615.37</v>
      </c>
      <c r="FQ26">
        <v>18.3932</v>
      </c>
      <c r="FR26">
        <v>24.049399999999999</v>
      </c>
      <c r="FS26">
        <v>30.0001</v>
      </c>
      <c r="FT26">
        <v>23.994599999999998</v>
      </c>
      <c r="FU26">
        <v>23.993300000000001</v>
      </c>
      <c r="FV26">
        <v>23.1633</v>
      </c>
      <c r="FW26">
        <v>36.506100000000004</v>
      </c>
      <c r="FX26">
        <v>89.508099999999999</v>
      </c>
      <c r="FY26">
        <v>18.404599999999999</v>
      </c>
      <c r="FZ26">
        <v>375</v>
      </c>
      <c r="GA26">
        <v>14.2537</v>
      </c>
      <c r="GB26">
        <v>99.986800000000002</v>
      </c>
      <c r="GC26">
        <v>99.691199999999995</v>
      </c>
    </row>
    <row r="27" spans="1:185" x14ac:dyDescent="0.2">
      <c r="A27">
        <v>12</v>
      </c>
      <c r="B27">
        <v>1771085492</v>
      </c>
      <c r="C27">
        <v>172</v>
      </c>
      <c r="D27" t="s">
        <v>317</v>
      </c>
      <c r="E27" t="s">
        <v>318</v>
      </c>
      <c r="F27">
        <v>15</v>
      </c>
      <c r="G27">
        <v>1771085483.9333301</v>
      </c>
      <c r="H27">
        <f t="shared" si="0"/>
        <v>9.2841054791107378E-4</v>
      </c>
      <c r="I27">
        <v>0</v>
      </c>
      <c r="J27">
        <f t="shared" si="12"/>
        <v>-1.1342562027060339E-2</v>
      </c>
      <c r="K27">
        <f t="shared" si="1"/>
        <v>-0.30745075048711901</v>
      </c>
      <c r="L27">
        <f t="shared" si="2"/>
        <v>69.746867873665479</v>
      </c>
      <c r="M27">
        <f t="shared" si="3"/>
        <v>1.537066248100361</v>
      </c>
      <c r="N27">
        <f t="shared" si="4"/>
        <v>2.2037781694863972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26194.191568917602</v>
      </c>
      <c r="T27">
        <f t="shared" si="8"/>
        <v>799.99919999999997</v>
      </c>
      <c r="U27">
        <f t="shared" si="9"/>
        <v>674.39954623977951</v>
      </c>
      <c r="V27">
        <f t="shared" si="10"/>
        <v>0.84300027580000025</v>
      </c>
      <c r="W27">
        <f t="shared" si="11"/>
        <v>0.15870067650800007</v>
      </c>
      <c r="X27">
        <v>1</v>
      </c>
      <c r="Y27">
        <v>1771085483.9333301</v>
      </c>
      <c r="Z27">
        <v>374.98966666666701</v>
      </c>
      <c r="AA27">
        <v>375.04053333333297</v>
      </c>
      <c r="AB27">
        <v>15.365653333333301</v>
      </c>
      <c r="AC27">
        <v>14.22298</v>
      </c>
      <c r="AD27">
        <v>376.10166666666697</v>
      </c>
      <c r="AE27">
        <v>15.2390666666667</v>
      </c>
      <c r="AF27">
        <v>800.00546666666605</v>
      </c>
      <c r="AG27">
        <v>99.967513333333301</v>
      </c>
      <c r="AH27">
        <v>6.5086306666666705E-2</v>
      </c>
      <c r="AI27">
        <v>18.989806666666698</v>
      </c>
      <c r="AJ27">
        <v>999.9</v>
      </c>
      <c r="AK27">
        <v>999.9</v>
      </c>
      <c r="AL27">
        <v>0</v>
      </c>
      <c r="AM27">
        <v>0</v>
      </c>
      <c r="AN27">
        <v>4996.6333333333296</v>
      </c>
      <c r="AO27">
        <v>0</v>
      </c>
      <c r="AP27">
        <v>1.9196299999999999</v>
      </c>
      <c r="AQ27">
        <v>-5.0870766666666699E-2</v>
      </c>
      <c r="AR27">
        <v>380.84166666666698</v>
      </c>
      <c r="AS27">
        <v>380.45193333333299</v>
      </c>
      <c r="AT27">
        <v>1.14266933333333</v>
      </c>
      <c r="AU27">
        <v>375.04053333333297</v>
      </c>
      <c r="AV27">
        <v>14.22298</v>
      </c>
      <c r="AW27">
        <v>1.5360659999999999</v>
      </c>
      <c r="AX27">
        <v>1.4218360000000001</v>
      </c>
      <c r="AY27">
        <v>13.3319666666667</v>
      </c>
      <c r="AZ27">
        <v>12.152533333333301</v>
      </c>
      <c r="BA27">
        <v>799.99919999999997</v>
      </c>
      <c r="BB27">
        <v>0.89999099999999999</v>
      </c>
      <c r="BC27">
        <v>0</v>
      </c>
      <c r="BD27">
        <v>0.100009006666667</v>
      </c>
      <c r="BE27">
        <v>0</v>
      </c>
      <c r="BF27">
        <v>24</v>
      </c>
      <c r="BG27">
        <v>13190.98</v>
      </c>
      <c r="BH27">
        <v>1771085340</v>
      </c>
      <c r="BI27" t="s">
        <v>289</v>
      </c>
      <c r="BJ27">
        <v>1771085340</v>
      </c>
      <c r="BK27">
        <v>1771085340</v>
      </c>
      <c r="BL27">
        <v>1</v>
      </c>
      <c r="BM27">
        <v>-0.41699999999999998</v>
      </c>
      <c r="BN27">
        <v>1.4999999999999999E-2</v>
      </c>
      <c r="BO27">
        <v>-1.1120000000000001</v>
      </c>
      <c r="BP27">
        <v>0.127</v>
      </c>
      <c r="BQ27">
        <v>375</v>
      </c>
      <c r="BR27">
        <v>15</v>
      </c>
      <c r="BS27">
        <v>0.22</v>
      </c>
      <c r="BT27">
        <v>0.06</v>
      </c>
      <c r="BU27">
        <v>-3.51649695238095E-2</v>
      </c>
      <c r="BV27">
        <v>-0.29010326337662301</v>
      </c>
      <c r="BW27">
        <v>3.2539882933987699E-2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1.1448995238095201</v>
      </c>
      <c r="CD27">
        <v>-5.0096883116883102E-2</v>
      </c>
      <c r="CE27">
        <v>5.1920181195942603E-3</v>
      </c>
      <c r="CF27">
        <v>1</v>
      </c>
      <c r="CG27">
        <v>2</v>
      </c>
      <c r="CH27">
        <v>2</v>
      </c>
      <c r="CI27" t="s">
        <v>310</v>
      </c>
      <c r="CJ27">
        <v>3.5325000000000002</v>
      </c>
      <c r="CK27">
        <v>2.7029399999999999</v>
      </c>
      <c r="CL27">
        <v>9.1758400000000004E-2</v>
      </c>
      <c r="CM27">
        <v>9.0446200000000004E-2</v>
      </c>
      <c r="CN27">
        <v>8.7013300000000002E-2</v>
      </c>
      <c r="CO27">
        <v>8.1471799999999997E-2</v>
      </c>
      <c r="CP27">
        <v>31900.1</v>
      </c>
      <c r="CQ27">
        <v>28011.8</v>
      </c>
      <c r="CR27">
        <v>32501.8</v>
      </c>
      <c r="CS27">
        <v>30718</v>
      </c>
      <c r="CT27">
        <v>40155.599999999999</v>
      </c>
      <c r="CU27">
        <v>39658.199999999997</v>
      </c>
      <c r="CV27">
        <v>47442.400000000001</v>
      </c>
      <c r="CW27">
        <v>46821.8</v>
      </c>
      <c r="CX27">
        <v>2.6446800000000001</v>
      </c>
      <c r="CY27">
        <v>2.2016800000000001</v>
      </c>
      <c r="CZ27">
        <v>0</v>
      </c>
      <c r="DA27">
        <v>0</v>
      </c>
      <c r="DB27">
        <v>999.9</v>
      </c>
      <c r="DC27">
        <v>999.9</v>
      </c>
      <c r="DD27">
        <v>75.040000000000006</v>
      </c>
      <c r="DE27">
        <v>22.567</v>
      </c>
      <c r="DF27">
        <v>20.6172</v>
      </c>
      <c r="DG27">
        <v>27.667300000000001</v>
      </c>
      <c r="DH27">
        <v>14.5152</v>
      </c>
      <c r="DI27">
        <v>2</v>
      </c>
      <c r="DJ27">
        <v>-0.23162199999999999</v>
      </c>
      <c r="DK27">
        <v>1.4728300000000001</v>
      </c>
      <c r="DL27">
        <v>20.2042</v>
      </c>
      <c r="DM27">
        <v>5.2473599999999996</v>
      </c>
      <c r="DN27">
        <v>12.033899999999999</v>
      </c>
      <c r="DO27">
        <v>4.9673600000000002</v>
      </c>
      <c r="DP27">
        <v>3.2909999999999999</v>
      </c>
      <c r="DQ27">
        <v>9999</v>
      </c>
      <c r="DR27">
        <v>9999</v>
      </c>
      <c r="DS27">
        <v>9999</v>
      </c>
      <c r="DT27">
        <v>603.9</v>
      </c>
      <c r="DU27">
        <v>1.8708899999999999</v>
      </c>
      <c r="DV27">
        <v>1.87599</v>
      </c>
      <c r="DW27">
        <v>1.8762099999999999</v>
      </c>
      <c r="DX27">
        <v>1.88273</v>
      </c>
      <c r="DY27">
        <v>1.8754599999999999</v>
      </c>
      <c r="DZ27">
        <v>1.8745400000000001</v>
      </c>
      <c r="EA27">
        <v>1.8706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-1.1120000000000001</v>
      </c>
      <c r="EQ27">
        <v>0.12659999999999999</v>
      </c>
      <c r="ER27">
        <v>-1.1118999999999899</v>
      </c>
      <c r="ES27">
        <v>0</v>
      </c>
      <c r="ET27">
        <v>0</v>
      </c>
      <c r="EU27">
        <v>0</v>
      </c>
      <c r="EV27">
        <v>0.126579999999999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1.1535599999999999</v>
      </c>
      <c r="FG27">
        <v>2.5378400000000001</v>
      </c>
      <c r="FH27">
        <v>2.19604</v>
      </c>
      <c r="FI27">
        <v>2.5878899999999998</v>
      </c>
      <c r="FJ27">
        <v>2.4462899999999999</v>
      </c>
      <c r="FK27">
        <v>2.3083499999999999</v>
      </c>
      <c r="FL27">
        <v>28.017499999999998</v>
      </c>
      <c r="FM27">
        <v>24.1663</v>
      </c>
      <c r="FN27">
        <v>19</v>
      </c>
      <c r="FO27">
        <v>861.20299999999997</v>
      </c>
      <c r="FP27">
        <v>614.95399999999995</v>
      </c>
      <c r="FQ27">
        <v>18.424499999999998</v>
      </c>
      <c r="FR27">
        <v>24.055399999999999</v>
      </c>
      <c r="FS27">
        <v>30.000299999999999</v>
      </c>
      <c r="FT27">
        <v>24.002700000000001</v>
      </c>
      <c r="FU27">
        <v>24.001300000000001</v>
      </c>
      <c r="FV27">
        <v>23.159700000000001</v>
      </c>
      <c r="FW27">
        <v>36.506100000000004</v>
      </c>
      <c r="FX27">
        <v>89.131500000000003</v>
      </c>
      <c r="FY27">
        <v>18.425899999999999</v>
      </c>
      <c r="FZ27">
        <v>375</v>
      </c>
      <c r="GA27">
        <v>14.2715</v>
      </c>
      <c r="GB27">
        <v>99.988299999999995</v>
      </c>
      <c r="GC27">
        <v>99.694000000000003</v>
      </c>
    </row>
    <row r="28" spans="1:185" x14ac:dyDescent="0.2">
      <c r="A28">
        <v>13</v>
      </c>
      <c r="B28">
        <v>1771085507</v>
      </c>
      <c r="C28">
        <v>187</v>
      </c>
      <c r="D28" t="s">
        <v>319</v>
      </c>
      <c r="E28" t="s">
        <v>320</v>
      </c>
      <c r="F28">
        <v>15</v>
      </c>
      <c r="G28">
        <v>1771085498.9333301</v>
      </c>
      <c r="H28">
        <f t="shared" si="0"/>
        <v>9.1758478795877661E-4</v>
      </c>
      <c r="I28">
        <v>0</v>
      </c>
      <c r="J28">
        <f t="shared" si="12"/>
        <v>-1.1505422698048348E-2</v>
      </c>
      <c r="K28">
        <f t="shared" si="1"/>
        <v>-0.31186524126976944</v>
      </c>
      <c r="L28">
        <f t="shared" si="2"/>
        <v>69.655620144207802</v>
      </c>
      <c r="M28">
        <f t="shared" si="3"/>
        <v>1.5360513076501852</v>
      </c>
      <c r="N28">
        <f t="shared" si="4"/>
        <v>2.2052079996848826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26221.433075386434</v>
      </c>
      <c r="T28">
        <f t="shared" si="8"/>
        <v>799.99966666666705</v>
      </c>
      <c r="U28">
        <f t="shared" si="9"/>
        <v>674.40016219981567</v>
      </c>
      <c r="V28">
        <f t="shared" si="10"/>
        <v>0.84300055399999996</v>
      </c>
      <c r="W28">
        <f t="shared" si="11"/>
        <v>0.15870138500000003</v>
      </c>
      <c r="X28">
        <v>1</v>
      </c>
      <c r="Y28">
        <v>1771085498.9333301</v>
      </c>
      <c r="Z28">
        <v>374.983133333333</v>
      </c>
      <c r="AA28">
        <v>375.02339999999998</v>
      </c>
      <c r="AB28">
        <v>15.355460000000001</v>
      </c>
      <c r="AC28">
        <v>14.226100000000001</v>
      </c>
      <c r="AD28">
        <v>376.09500000000003</v>
      </c>
      <c r="AE28">
        <v>15.228873333333301</v>
      </c>
      <c r="AF28">
        <v>800.00606666666704</v>
      </c>
      <c r="AG28">
        <v>99.967853333333295</v>
      </c>
      <c r="AH28">
        <v>6.5054026666666695E-2</v>
      </c>
      <c r="AI28">
        <v>19.0002</v>
      </c>
      <c r="AJ28">
        <v>999.9</v>
      </c>
      <c r="AK28">
        <v>999.9</v>
      </c>
      <c r="AL28">
        <v>0</v>
      </c>
      <c r="AM28">
        <v>0</v>
      </c>
      <c r="AN28">
        <v>5001.2666666666701</v>
      </c>
      <c r="AO28">
        <v>0</v>
      </c>
      <c r="AP28">
        <v>1.9196299999999999</v>
      </c>
      <c r="AQ28">
        <v>-4.03361E-2</v>
      </c>
      <c r="AR28">
        <v>380.83080000000001</v>
      </c>
      <c r="AS28">
        <v>380.43560000000002</v>
      </c>
      <c r="AT28">
        <v>1.12937666666667</v>
      </c>
      <c r="AU28">
        <v>375.02339999999998</v>
      </c>
      <c r="AV28">
        <v>14.226100000000001</v>
      </c>
      <c r="AW28">
        <v>1.5350533333333301</v>
      </c>
      <c r="AX28">
        <v>1.42215266666667</v>
      </c>
      <c r="AY28">
        <v>13.321846666666699</v>
      </c>
      <c r="AZ28">
        <v>12.1559066666667</v>
      </c>
      <c r="BA28">
        <v>799.99966666666705</v>
      </c>
      <c r="BB28">
        <v>0.89998153333333297</v>
      </c>
      <c r="BC28">
        <v>0</v>
      </c>
      <c r="BD28">
        <v>0.100018466666667</v>
      </c>
      <c r="BE28">
        <v>0</v>
      </c>
      <c r="BF28">
        <v>24</v>
      </c>
      <c r="BG28">
        <v>13190.9533333333</v>
      </c>
      <c r="BH28">
        <v>1771085340</v>
      </c>
      <c r="BI28" t="s">
        <v>289</v>
      </c>
      <c r="BJ28">
        <v>1771085340</v>
      </c>
      <c r="BK28">
        <v>1771085340</v>
      </c>
      <c r="BL28">
        <v>1</v>
      </c>
      <c r="BM28">
        <v>-0.41699999999999998</v>
      </c>
      <c r="BN28">
        <v>1.4999999999999999E-2</v>
      </c>
      <c r="BO28">
        <v>-1.1120000000000001</v>
      </c>
      <c r="BP28">
        <v>0.127</v>
      </c>
      <c r="BQ28">
        <v>375</v>
      </c>
      <c r="BR28">
        <v>15</v>
      </c>
      <c r="BS28">
        <v>0.22</v>
      </c>
      <c r="BT28">
        <v>0.06</v>
      </c>
      <c r="BU28">
        <v>-4.8295594999999997E-2</v>
      </c>
      <c r="BV28">
        <v>0.132889195488722</v>
      </c>
      <c r="BW28">
        <v>2.17072056741183E-2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1.1312450000000001</v>
      </c>
      <c r="CD28">
        <v>-4.5160601503759203E-2</v>
      </c>
      <c r="CE28">
        <v>4.4314495371153501E-3</v>
      </c>
      <c r="CF28">
        <v>1</v>
      </c>
      <c r="CG28">
        <v>2</v>
      </c>
      <c r="CH28">
        <v>2</v>
      </c>
      <c r="CI28" t="s">
        <v>310</v>
      </c>
      <c r="CJ28">
        <v>3.53254</v>
      </c>
      <c r="CK28">
        <v>2.7026300000000001</v>
      </c>
      <c r="CL28">
        <v>9.1756799999999999E-2</v>
      </c>
      <c r="CM28">
        <v>9.0446700000000005E-2</v>
      </c>
      <c r="CN28">
        <v>8.6978799999999995E-2</v>
      </c>
      <c r="CO28">
        <v>8.14864E-2</v>
      </c>
      <c r="CP28">
        <v>31900</v>
      </c>
      <c r="CQ28">
        <v>28012.2</v>
      </c>
      <c r="CR28">
        <v>32501.7</v>
      </c>
      <c r="CS28">
        <v>30718.5</v>
      </c>
      <c r="CT28">
        <v>40157.199999999997</v>
      </c>
      <c r="CU28">
        <v>39658.300000000003</v>
      </c>
      <c r="CV28">
        <v>47442.400000000001</v>
      </c>
      <c r="CW28">
        <v>46822.6</v>
      </c>
      <c r="CX28">
        <v>2.6444800000000002</v>
      </c>
      <c r="CY28">
        <v>2.2014800000000001</v>
      </c>
      <c r="CZ28">
        <v>0</v>
      </c>
      <c r="DA28">
        <v>0</v>
      </c>
      <c r="DB28">
        <v>999.9</v>
      </c>
      <c r="DC28">
        <v>999.9</v>
      </c>
      <c r="DD28">
        <v>74.978999999999999</v>
      </c>
      <c r="DE28">
        <v>22.577999999999999</v>
      </c>
      <c r="DF28">
        <v>20.614599999999999</v>
      </c>
      <c r="DG28">
        <v>27.6373</v>
      </c>
      <c r="DH28">
        <v>14.539300000000001</v>
      </c>
      <c r="DI28">
        <v>2</v>
      </c>
      <c r="DJ28">
        <v>-0.23025200000000001</v>
      </c>
      <c r="DK28">
        <v>1.88148</v>
      </c>
      <c r="DL28">
        <v>20.198599999999999</v>
      </c>
      <c r="DM28">
        <v>5.2462799999999996</v>
      </c>
      <c r="DN28">
        <v>12.033899999999999</v>
      </c>
      <c r="DO28">
        <v>4.9666800000000002</v>
      </c>
      <c r="DP28">
        <v>3.2908200000000001</v>
      </c>
      <c r="DQ28">
        <v>9999</v>
      </c>
      <c r="DR28">
        <v>9999</v>
      </c>
      <c r="DS28">
        <v>9999</v>
      </c>
      <c r="DT28">
        <v>603.9</v>
      </c>
      <c r="DU28">
        <v>1.8709</v>
      </c>
      <c r="DV28">
        <v>1.8760399999999999</v>
      </c>
      <c r="DW28">
        <v>1.87622</v>
      </c>
      <c r="DX28">
        <v>1.88273</v>
      </c>
      <c r="DY28">
        <v>1.87547</v>
      </c>
      <c r="DZ28">
        <v>1.8745400000000001</v>
      </c>
      <c r="EA28">
        <v>1.8706400000000001</v>
      </c>
      <c r="EB28">
        <v>1.8745799999999999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-1.1120000000000001</v>
      </c>
      <c r="EQ28">
        <v>0.12659999999999999</v>
      </c>
      <c r="ER28">
        <v>-1.1118999999999899</v>
      </c>
      <c r="ES28">
        <v>0</v>
      </c>
      <c r="ET28">
        <v>0</v>
      </c>
      <c r="EU28">
        <v>0</v>
      </c>
      <c r="EV28">
        <v>0.126579999999999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1.1535599999999999</v>
      </c>
      <c r="FG28">
        <v>2.5415000000000001</v>
      </c>
      <c r="FH28">
        <v>2.19604</v>
      </c>
      <c r="FI28">
        <v>2.5878899999999998</v>
      </c>
      <c r="FJ28">
        <v>2.4462899999999999</v>
      </c>
      <c r="FK28">
        <v>2.3059099999999999</v>
      </c>
      <c r="FL28">
        <v>28.038399999999999</v>
      </c>
      <c r="FM28">
        <v>24.157499999999999</v>
      </c>
      <c r="FN28">
        <v>19</v>
      </c>
      <c r="FO28">
        <v>861.14400000000001</v>
      </c>
      <c r="FP28">
        <v>614.88900000000001</v>
      </c>
      <c r="FQ28">
        <v>18.354299999999999</v>
      </c>
      <c r="FR28">
        <v>24.060700000000001</v>
      </c>
      <c r="FS28">
        <v>30.000900000000001</v>
      </c>
      <c r="FT28">
        <v>24.010300000000001</v>
      </c>
      <c r="FU28">
        <v>24.0091</v>
      </c>
      <c r="FV28">
        <v>23.155100000000001</v>
      </c>
      <c r="FW28">
        <v>36.506100000000004</v>
      </c>
      <c r="FX28">
        <v>88.757499999999993</v>
      </c>
      <c r="FY28">
        <v>18.316600000000001</v>
      </c>
      <c r="FZ28">
        <v>375</v>
      </c>
      <c r="GA28">
        <v>14.286899999999999</v>
      </c>
      <c r="GB28">
        <v>99.988100000000003</v>
      </c>
      <c r="GC28">
        <v>99.695599999999999</v>
      </c>
    </row>
    <row r="29" spans="1:185" x14ac:dyDescent="0.2">
      <c r="A29">
        <v>14</v>
      </c>
      <c r="B29">
        <v>1771085522</v>
      </c>
      <c r="C29">
        <v>202</v>
      </c>
      <c r="D29" t="s">
        <v>321</v>
      </c>
      <c r="E29" t="s">
        <v>322</v>
      </c>
      <c r="F29">
        <v>15</v>
      </c>
      <c r="G29">
        <v>1771085513.9333301</v>
      </c>
      <c r="H29">
        <f t="shared" si="0"/>
        <v>9.0394787296183162E-4</v>
      </c>
      <c r="I29">
        <v>0</v>
      </c>
      <c r="J29">
        <f t="shared" si="12"/>
        <v>-1.1019393594864429E-2</v>
      </c>
      <c r="K29">
        <f t="shared" si="1"/>
        <v>-0.29869096792870448</v>
      </c>
      <c r="L29">
        <f t="shared" si="2"/>
        <v>69.586637988896825</v>
      </c>
      <c r="M29">
        <f t="shared" si="3"/>
        <v>1.5348467788921287</v>
      </c>
      <c r="N29">
        <f t="shared" si="4"/>
        <v>2.2056630744785046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26239.493896043066</v>
      </c>
      <c r="T29">
        <f t="shared" si="8"/>
        <v>799.99800000000005</v>
      </c>
      <c r="U29">
        <f t="shared" si="9"/>
        <v>674.39877639884401</v>
      </c>
      <c r="V29">
        <f t="shared" si="10"/>
        <v>0.84300057799999994</v>
      </c>
      <c r="W29">
        <f t="shared" si="11"/>
        <v>0.15870144500000002</v>
      </c>
      <c r="X29">
        <v>1</v>
      </c>
      <c r="Y29">
        <v>1771085513.9333301</v>
      </c>
      <c r="Z29">
        <v>374.97546666666699</v>
      </c>
      <c r="AA29">
        <v>375.0258</v>
      </c>
      <c r="AB29">
        <v>15.34348</v>
      </c>
      <c r="AC29">
        <v>14.2309</v>
      </c>
      <c r="AD29">
        <v>376.08746666666701</v>
      </c>
      <c r="AE29">
        <v>15.216886666666699</v>
      </c>
      <c r="AF29">
        <v>800.01273333333302</v>
      </c>
      <c r="AG29">
        <v>99.967753333333306</v>
      </c>
      <c r="AH29">
        <v>6.4754213333333296E-2</v>
      </c>
      <c r="AI29">
        <v>19.003506666666699</v>
      </c>
      <c r="AJ29">
        <v>999.9</v>
      </c>
      <c r="AK29">
        <v>999.9</v>
      </c>
      <c r="AL29">
        <v>0</v>
      </c>
      <c r="AM29">
        <v>0</v>
      </c>
      <c r="AN29">
        <v>5004.3</v>
      </c>
      <c r="AO29">
        <v>0</v>
      </c>
      <c r="AP29">
        <v>1.9196299999999999</v>
      </c>
      <c r="AQ29">
        <v>-5.0113933333333298E-2</v>
      </c>
      <c r="AR29">
        <v>380.81866666666701</v>
      </c>
      <c r="AS29">
        <v>380.43966666666699</v>
      </c>
      <c r="AT29">
        <v>1.1125846666666701</v>
      </c>
      <c r="AU29">
        <v>375.0258</v>
      </c>
      <c r="AV29">
        <v>14.2309</v>
      </c>
      <c r="AW29">
        <v>1.533852</v>
      </c>
      <c r="AX29">
        <v>1.4226306666666699</v>
      </c>
      <c r="AY29">
        <v>13.30986</v>
      </c>
      <c r="AZ29">
        <v>12.161020000000001</v>
      </c>
      <c r="BA29">
        <v>799.99800000000005</v>
      </c>
      <c r="BB29">
        <v>0.89998073333333295</v>
      </c>
      <c r="BC29">
        <v>0</v>
      </c>
      <c r="BD29">
        <v>0.10001926666666699</v>
      </c>
      <c r="BE29">
        <v>0</v>
      </c>
      <c r="BF29">
        <v>24</v>
      </c>
      <c r="BG29">
        <v>13190.92</v>
      </c>
      <c r="BH29">
        <v>1771085340</v>
      </c>
      <c r="BI29" t="s">
        <v>289</v>
      </c>
      <c r="BJ29">
        <v>1771085340</v>
      </c>
      <c r="BK29">
        <v>1771085340</v>
      </c>
      <c r="BL29">
        <v>1</v>
      </c>
      <c r="BM29">
        <v>-0.41699999999999998</v>
      </c>
      <c r="BN29">
        <v>1.4999999999999999E-2</v>
      </c>
      <c r="BO29">
        <v>-1.1120000000000001</v>
      </c>
      <c r="BP29">
        <v>0.127</v>
      </c>
      <c r="BQ29">
        <v>375</v>
      </c>
      <c r="BR29">
        <v>15</v>
      </c>
      <c r="BS29">
        <v>0.22</v>
      </c>
      <c r="BT29">
        <v>0.06</v>
      </c>
      <c r="BU29">
        <v>-4.7356014285714301E-2</v>
      </c>
      <c r="BV29">
        <v>-1.3583142857142899E-2</v>
      </c>
      <c r="BW29">
        <v>1.36656751466789E-2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1.1162819047618999</v>
      </c>
      <c r="CD29">
        <v>-8.2507792207792502E-2</v>
      </c>
      <c r="CE29">
        <v>8.7317633734531296E-3</v>
      </c>
      <c r="CF29">
        <v>1</v>
      </c>
      <c r="CG29">
        <v>2</v>
      </c>
      <c r="CH29">
        <v>2</v>
      </c>
      <c r="CI29" t="s">
        <v>310</v>
      </c>
      <c r="CJ29">
        <v>3.5324300000000002</v>
      </c>
      <c r="CK29">
        <v>2.7028500000000002</v>
      </c>
      <c r="CL29">
        <v>9.1749600000000001E-2</v>
      </c>
      <c r="CM29">
        <v>9.0439400000000003E-2</v>
      </c>
      <c r="CN29">
        <v>8.6924299999999996E-2</v>
      </c>
      <c r="CO29">
        <v>8.1577499999999997E-2</v>
      </c>
      <c r="CP29">
        <v>31900.7</v>
      </c>
      <c r="CQ29">
        <v>28013.200000000001</v>
      </c>
      <c r="CR29">
        <v>32502.1</v>
      </c>
      <c r="CS29">
        <v>30719.4</v>
      </c>
      <c r="CT29">
        <v>40160.400000000001</v>
      </c>
      <c r="CU29">
        <v>39655.599999999999</v>
      </c>
      <c r="CV29">
        <v>47443.199999999997</v>
      </c>
      <c r="CW29">
        <v>46824.2</v>
      </c>
      <c r="CX29">
        <v>2.64452</v>
      </c>
      <c r="CY29">
        <v>2.2012399999999999</v>
      </c>
      <c r="CZ29">
        <v>0</v>
      </c>
      <c r="DA29">
        <v>0</v>
      </c>
      <c r="DB29">
        <v>999.9</v>
      </c>
      <c r="DC29">
        <v>999.9</v>
      </c>
      <c r="DD29">
        <v>74.930000000000007</v>
      </c>
      <c r="DE29">
        <v>22.608000000000001</v>
      </c>
      <c r="DF29">
        <v>20.638000000000002</v>
      </c>
      <c r="DG29">
        <v>27.577300000000001</v>
      </c>
      <c r="DH29">
        <v>14.447100000000001</v>
      </c>
      <c r="DI29">
        <v>2</v>
      </c>
      <c r="DJ29">
        <v>-0.23057900000000001</v>
      </c>
      <c r="DK29">
        <v>1.6361300000000001</v>
      </c>
      <c r="DL29">
        <v>20.201599999999999</v>
      </c>
      <c r="DM29">
        <v>5.2465200000000003</v>
      </c>
      <c r="DN29">
        <v>12.033899999999999</v>
      </c>
      <c r="DO29">
        <v>4.9661999999999997</v>
      </c>
      <c r="DP29">
        <v>3.2907999999999999</v>
      </c>
      <c r="DQ29">
        <v>9999</v>
      </c>
      <c r="DR29">
        <v>9999</v>
      </c>
      <c r="DS29">
        <v>9999</v>
      </c>
      <c r="DT29">
        <v>603.9</v>
      </c>
      <c r="DU29">
        <v>1.8708800000000001</v>
      </c>
      <c r="DV29">
        <v>1.87601</v>
      </c>
      <c r="DW29">
        <v>1.87622</v>
      </c>
      <c r="DX29">
        <v>1.8827</v>
      </c>
      <c r="DY29">
        <v>1.8754599999999999</v>
      </c>
      <c r="DZ29">
        <v>1.8745400000000001</v>
      </c>
      <c r="EA29">
        <v>1.8706100000000001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-1.1120000000000001</v>
      </c>
      <c r="EQ29">
        <v>0.1265</v>
      </c>
      <c r="ER29">
        <v>-1.1118999999999899</v>
      </c>
      <c r="ES29">
        <v>0</v>
      </c>
      <c r="ET29">
        <v>0</v>
      </c>
      <c r="EU29">
        <v>0</v>
      </c>
      <c r="EV29">
        <v>0.126579999999999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1.1535599999999999</v>
      </c>
      <c r="FG29">
        <v>2.5402800000000001</v>
      </c>
      <c r="FH29">
        <v>2.19604</v>
      </c>
      <c r="FI29">
        <v>2.5878899999999998</v>
      </c>
      <c r="FJ29">
        <v>2.4462899999999999</v>
      </c>
      <c r="FK29">
        <v>2.2778299999999998</v>
      </c>
      <c r="FL29">
        <v>28.0594</v>
      </c>
      <c r="FM29">
        <v>24.148800000000001</v>
      </c>
      <c r="FN29">
        <v>19</v>
      </c>
      <c r="FO29">
        <v>861.30700000000002</v>
      </c>
      <c r="FP29">
        <v>614.79100000000005</v>
      </c>
      <c r="FQ29">
        <v>18.3004</v>
      </c>
      <c r="FR29">
        <v>24.066400000000002</v>
      </c>
      <c r="FS29">
        <v>30.0001</v>
      </c>
      <c r="FT29">
        <v>24.018000000000001</v>
      </c>
      <c r="FU29">
        <v>24.0167</v>
      </c>
      <c r="FV29">
        <v>23.153199999999998</v>
      </c>
      <c r="FW29">
        <v>36.224400000000003</v>
      </c>
      <c r="FX29">
        <v>88.387200000000007</v>
      </c>
      <c r="FY29">
        <v>18.306000000000001</v>
      </c>
      <c r="FZ29">
        <v>375</v>
      </c>
      <c r="GA29">
        <v>14.316000000000001</v>
      </c>
      <c r="GB29">
        <v>99.989699999999999</v>
      </c>
      <c r="GC29">
        <v>99.698899999999995</v>
      </c>
    </row>
    <row r="30" spans="1:185" x14ac:dyDescent="0.2">
      <c r="A30">
        <v>15</v>
      </c>
      <c r="B30">
        <v>1771085537</v>
      </c>
      <c r="C30">
        <v>217</v>
      </c>
      <c r="D30" t="s">
        <v>323</v>
      </c>
      <c r="E30" t="s">
        <v>324</v>
      </c>
      <c r="F30">
        <v>15</v>
      </c>
      <c r="G30">
        <v>1771085528.9333301</v>
      </c>
      <c r="H30">
        <f t="shared" si="0"/>
        <v>8.8007340154223055E-4</v>
      </c>
      <c r="I30">
        <v>0</v>
      </c>
      <c r="J30">
        <f t="shared" si="12"/>
        <v>-1.0600258050294386E-2</v>
      </c>
      <c r="K30">
        <f t="shared" si="1"/>
        <v>-0.28732990704788647</v>
      </c>
      <c r="L30">
        <f t="shared" si="2"/>
        <v>69.595035833620642</v>
      </c>
      <c r="M30">
        <f t="shared" si="3"/>
        <v>1.5345633484659251</v>
      </c>
      <c r="N30">
        <f t="shared" si="4"/>
        <v>2.2049896664103641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26178.150581882826</v>
      </c>
      <c r="T30">
        <f t="shared" si="8"/>
        <v>800.00080000000003</v>
      </c>
      <c r="U30">
        <f t="shared" si="9"/>
        <v>674.40110800043362</v>
      </c>
      <c r="V30">
        <f t="shared" si="10"/>
        <v>0.84300054199999996</v>
      </c>
      <c r="W30">
        <f t="shared" si="11"/>
        <v>0.15870135500000002</v>
      </c>
      <c r="X30">
        <v>1</v>
      </c>
      <c r="Y30">
        <v>1771085528.9333301</v>
      </c>
      <c r="Z30">
        <v>374.96553333333298</v>
      </c>
      <c r="AA30">
        <v>375.01886666666701</v>
      </c>
      <c r="AB30">
        <v>15.340579999999999</v>
      </c>
      <c r="AC30">
        <v>14.257379999999999</v>
      </c>
      <c r="AD30">
        <v>376.07753333333301</v>
      </c>
      <c r="AE30">
        <v>15.213993333333301</v>
      </c>
      <c r="AF30">
        <v>800.01160000000004</v>
      </c>
      <c r="AG30">
        <v>99.967920000000007</v>
      </c>
      <c r="AH30">
        <v>6.502194E-2</v>
      </c>
      <c r="AI30">
        <v>18.998613333333299</v>
      </c>
      <c r="AJ30">
        <v>999.9</v>
      </c>
      <c r="AK30">
        <v>999.9</v>
      </c>
      <c r="AL30">
        <v>0</v>
      </c>
      <c r="AM30">
        <v>0</v>
      </c>
      <c r="AN30">
        <v>4994.1000000000004</v>
      </c>
      <c r="AO30">
        <v>0</v>
      </c>
      <c r="AP30">
        <v>1.9196299999999999</v>
      </c>
      <c r="AQ30">
        <v>-5.3236926666666698E-2</v>
      </c>
      <c r="AR30">
        <v>380.80720000000002</v>
      </c>
      <c r="AS30">
        <v>380.44279999999998</v>
      </c>
      <c r="AT30">
        <v>1.0831999999999999</v>
      </c>
      <c r="AU30">
        <v>375.01886666666701</v>
      </c>
      <c r="AV30">
        <v>14.257379999999999</v>
      </c>
      <c r="AW30">
        <v>1.53356466666667</v>
      </c>
      <c r="AX30">
        <v>1.4252819999999999</v>
      </c>
      <c r="AY30">
        <v>13.307</v>
      </c>
      <c r="AZ30">
        <v>12.1892866666667</v>
      </c>
      <c r="BA30">
        <v>800.00080000000003</v>
      </c>
      <c r="BB30">
        <v>0.89998193333333298</v>
      </c>
      <c r="BC30">
        <v>0</v>
      </c>
      <c r="BD30">
        <v>0.100018066666667</v>
      </c>
      <c r="BE30">
        <v>0</v>
      </c>
      <c r="BF30">
        <v>24</v>
      </c>
      <c r="BG30">
        <v>13190.973333333301</v>
      </c>
      <c r="BH30">
        <v>1771085340</v>
      </c>
      <c r="BI30" t="s">
        <v>289</v>
      </c>
      <c r="BJ30">
        <v>1771085340</v>
      </c>
      <c r="BK30">
        <v>1771085340</v>
      </c>
      <c r="BL30">
        <v>1</v>
      </c>
      <c r="BM30">
        <v>-0.41699999999999998</v>
      </c>
      <c r="BN30">
        <v>1.4999999999999999E-2</v>
      </c>
      <c r="BO30">
        <v>-1.1120000000000001</v>
      </c>
      <c r="BP30">
        <v>0.127</v>
      </c>
      <c r="BQ30">
        <v>375</v>
      </c>
      <c r="BR30">
        <v>15</v>
      </c>
      <c r="BS30">
        <v>0.22</v>
      </c>
      <c r="BT30">
        <v>0.06</v>
      </c>
      <c r="BU30">
        <v>-5.1098655E-2</v>
      </c>
      <c r="BV30">
        <v>-0.12051956842105301</v>
      </c>
      <c r="BW30">
        <v>2.1360545558984999E-2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1.0881350000000001</v>
      </c>
      <c r="CD30">
        <v>-7.9601503759396799E-2</v>
      </c>
      <c r="CE30">
        <v>9.9077351094990496E-3</v>
      </c>
      <c r="CF30">
        <v>1</v>
      </c>
      <c r="CG30">
        <v>2</v>
      </c>
      <c r="CH30">
        <v>2</v>
      </c>
      <c r="CI30" t="s">
        <v>310</v>
      </c>
      <c r="CJ30">
        <v>3.5325199999999999</v>
      </c>
      <c r="CK30">
        <v>2.7027899999999998</v>
      </c>
      <c r="CL30">
        <v>9.1745800000000002E-2</v>
      </c>
      <c r="CM30">
        <v>9.0442900000000007E-2</v>
      </c>
      <c r="CN30">
        <v>8.6946300000000004E-2</v>
      </c>
      <c r="CO30">
        <v>8.1617200000000001E-2</v>
      </c>
      <c r="CP30">
        <v>31899.7</v>
      </c>
      <c r="CQ30">
        <v>28012.799999999999</v>
      </c>
      <c r="CR30">
        <v>32501</v>
      </c>
      <c r="CS30">
        <v>30719.1</v>
      </c>
      <c r="CT30">
        <v>40158.199999999997</v>
      </c>
      <c r="CU30">
        <v>39653.5</v>
      </c>
      <c r="CV30">
        <v>47441.8</v>
      </c>
      <c r="CW30">
        <v>46823.8</v>
      </c>
      <c r="CX30">
        <v>2.6444800000000002</v>
      </c>
      <c r="CY30">
        <v>2.2012</v>
      </c>
      <c r="CZ30">
        <v>0</v>
      </c>
      <c r="DA30">
        <v>0</v>
      </c>
      <c r="DB30">
        <v>999.9</v>
      </c>
      <c r="DC30">
        <v>999.9</v>
      </c>
      <c r="DD30">
        <v>74.887</v>
      </c>
      <c r="DE30">
        <v>22.617999999999999</v>
      </c>
      <c r="DF30">
        <v>20.637799999999999</v>
      </c>
      <c r="DG30">
        <v>27.397300000000001</v>
      </c>
      <c r="DH30">
        <v>14.431100000000001</v>
      </c>
      <c r="DI30">
        <v>2</v>
      </c>
      <c r="DJ30">
        <v>-0.23027400000000001</v>
      </c>
      <c r="DK30">
        <v>1.60341</v>
      </c>
      <c r="DL30">
        <v>20.202300000000001</v>
      </c>
      <c r="DM30">
        <v>5.2493999999999996</v>
      </c>
      <c r="DN30">
        <v>12.033899999999999</v>
      </c>
      <c r="DO30">
        <v>4.9659599999999999</v>
      </c>
      <c r="DP30">
        <v>3.2909999999999999</v>
      </c>
      <c r="DQ30">
        <v>9999</v>
      </c>
      <c r="DR30">
        <v>9999</v>
      </c>
      <c r="DS30">
        <v>9999</v>
      </c>
      <c r="DT30">
        <v>603.9</v>
      </c>
      <c r="DU30">
        <v>1.8709199999999999</v>
      </c>
      <c r="DV30">
        <v>1.87605</v>
      </c>
      <c r="DW30">
        <v>1.87622</v>
      </c>
      <c r="DX30">
        <v>1.8827199999999999</v>
      </c>
      <c r="DY30">
        <v>1.8754599999999999</v>
      </c>
      <c r="DZ30">
        <v>1.8745499999999999</v>
      </c>
      <c r="EA30">
        <v>1.87063</v>
      </c>
      <c r="EB30">
        <v>1.8745499999999999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-1.1120000000000001</v>
      </c>
      <c r="EQ30">
        <v>0.12659999999999999</v>
      </c>
      <c r="ER30">
        <v>-1.1118999999999899</v>
      </c>
      <c r="ES30">
        <v>0</v>
      </c>
      <c r="ET30">
        <v>0</v>
      </c>
      <c r="EU30">
        <v>0</v>
      </c>
      <c r="EV30">
        <v>0.126579999999999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1.1535599999999999</v>
      </c>
      <c r="FG30">
        <v>2.5341800000000001</v>
      </c>
      <c r="FH30">
        <v>2.19604</v>
      </c>
      <c r="FI30">
        <v>2.5878899999999998</v>
      </c>
      <c r="FJ30">
        <v>2.4462899999999999</v>
      </c>
      <c r="FK30">
        <v>2.2253400000000001</v>
      </c>
      <c r="FL30">
        <v>28.080300000000001</v>
      </c>
      <c r="FM30">
        <v>24.157499999999999</v>
      </c>
      <c r="FN30">
        <v>19</v>
      </c>
      <c r="FO30">
        <v>861.39</v>
      </c>
      <c r="FP30">
        <v>614.85199999999998</v>
      </c>
      <c r="FQ30">
        <v>18.310500000000001</v>
      </c>
      <c r="FR30">
        <v>24.0716</v>
      </c>
      <c r="FS30">
        <v>30.0002</v>
      </c>
      <c r="FT30">
        <v>24.025200000000002</v>
      </c>
      <c r="FU30">
        <v>24.0244</v>
      </c>
      <c r="FV30">
        <v>23.150300000000001</v>
      </c>
      <c r="FW30">
        <v>35.944800000000001</v>
      </c>
      <c r="FX30">
        <v>88.013999999999996</v>
      </c>
      <c r="FY30">
        <v>18.3124</v>
      </c>
      <c r="FZ30">
        <v>375</v>
      </c>
      <c r="GA30">
        <v>14.3294</v>
      </c>
      <c r="GB30">
        <v>99.986500000000007</v>
      </c>
      <c r="GC30">
        <v>99.698099999999997</v>
      </c>
    </row>
    <row r="31" spans="1:185" x14ac:dyDescent="0.2">
      <c r="A31">
        <v>16</v>
      </c>
      <c r="B31">
        <v>1771085552</v>
      </c>
      <c r="C31">
        <v>232</v>
      </c>
      <c r="D31" t="s">
        <v>325</v>
      </c>
      <c r="E31" t="s">
        <v>326</v>
      </c>
      <c r="F31">
        <v>15</v>
      </c>
      <c r="G31">
        <v>1771085543.9333301</v>
      </c>
      <c r="H31">
        <f t="shared" si="0"/>
        <v>8.3884189118602905E-4</v>
      </c>
      <c r="I31">
        <v>0</v>
      </c>
      <c r="J31">
        <f t="shared" si="12"/>
        <v>-9.802876639685449E-3</v>
      </c>
      <c r="K31">
        <f t="shared" si="1"/>
        <v>-0.2657161382599072</v>
      </c>
      <c r="L31">
        <f t="shared" si="2"/>
        <v>69.650434798732491</v>
      </c>
      <c r="M31">
        <f t="shared" si="3"/>
        <v>1.535671804349455</v>
      </c>
      <c r="N31">
        <f t="shared" si="4"/>
        <v>2.2048273047929365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26227.128524760057</v>
      </c>
      <c r="T31">
        <f t="shared" si="8"/>
        <v>799.99953333333303</v>
      </c>
      <c r="U31">
        <f t="shared" si="9"/>
        <v>674.40003699974864</v>
      </c>
      <c r="V31">
        <f t="shared" si="10"/>
        <v>0.84300053799999997</v>
      </c>
      <c r="W31">
        <f t="shared" si="11"/>
        <v>0.15870134499999999</v>
      </c>
      <c r="X31">
        <v>1</v>
      </c>
      <c r="Y31">
        <v>1771085543.9333301</v>
      </c>
      <c r="Z31">
        <v>374.94139999999999</v>
      </c>
      <c r="AA31">
        <v>375.00240000000002</v>
      </c>
      <c r="AB31">
        <v>15.351566666666701</v>
      </c>
      <c r="AC31">
        <v>14.31912</v>
      </c>
      <c r="AD31">
        <v>376.05340000000001</v>
      </c>
      <c r="AE31">
        <v>15.2249933333333</v>
      </c>
      <c r="AF31">
        <v>800.0068</v>
      </c>
      <c r="AG31">
        <v>99.968593333333303</v>
      </c>
      <c r="AH31">
        <v>6.4962699999999998E-2</v>
      </c>
      <c r="AI31">
        <v>18.997433333333301</v>
      </c>
      <c r="AJ31">
        <v>999.9</v>
      </c>
      <c r="AK31">
        <v>999.9</v>
      </c>
      <c r="AL31">
        <v>0</v>
      </c>
      <c r="AM31">
        <v>0</v>
      </c>
      <c r="AN31">
        <v>5002.1333333333296</v>
      </c>
      <c r="AO31">
        <v>0</v>
      </c>
      <c r="AP31">
        <v>1.9196299999999999</v>
      </c>
      <c r="AQ31">
        <v>-6.1000546666666697E-2</v>
      </c>
      <c r="AR31">
        <v>380.78686666666698</v>
      </c>
      <c r="AS31">
        <v>380.45013333333299</v>
      </c>
      <c r="AT31">
        <v>1.0324486666666699</v>
      </c>
      <c r="AU31">
        <v>375.00240000000002</v>
      </c>
      <c r="AV31">
        <v>14.31912</v>
      </c>
      <c r="AW31">
        <v>1.5346753333333301</v>
      </c>
      <c r="AX31">
        <v>1.431462</v>
      </c>
      <c r="AY31">
        <v>13.3180866666667</v>
      </c>
      <c r="AZ31">
        <v>12.255053333333301</v>
      </c>
      <c r="BA31">
        <v>799.99953333333303</v>
      </c>
      <c r="BB31">
        <v>0.89998206666666702</v>
      </c>
      <c r="BC31">
        <v>0</v>
      </c>
      <c r="BD31">
        <v>0.100017933333333</v>
      </c>
      <c r="BE31">
        <v>0</v>
      </c>
      <c r="BF31">
        <v>24</v>
      </c>
      <c r="BG31">
        <v>13190.946666666699</v>
      </c>
      <c r="BH31">
        <v>1771085340</v>
      </c>
      <c r="BI31" t="s">
        <v>289</v>
      </c>
      <c r="BJ31">
        <v>1771085340</v>
      </c>
      <c r="BK31">
        <v>1771085340</v>
      </c>
      <c r="BL31">
        <v>1</v>
      </c>
      <c r="BM31">
        <v>-0.41699999999999998</v>
      </c>
      <c r="BN31">
        <v>1.4999999999999999E-2</v>
      </c>
      <c r="BO31">
        <v>-1.1120000000000001</v>
      </c>
      <c r="BP31">
        <v>0.127</v>
      </c>
      <c r="BQ31">
        <v>375</v>
      </c>
      <c r="BR31">
        <v>15</v>
      </c>
      <c r="BS31">
        <v>0.22</v>
      </c>
      <c r="BT31">
        <v>0.06</v>
      </c>
      <c r="BU31">
        <v>-6.3421333333333302E-2</v>
      </c>
      <c r="BV31">
        <v>8.05569818181818E-2</v>
      </c>
      <c r="BW31">
        <v>2.3051463475353501E-2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1.0469547619047599</v>
      </c>
      <c r="CD31">
        <v>-0.29499818181818099</v>
      </c>
      <c r="CE31">
        <v>3.3321798187779701E-2</v>
      </c>
      <c r="CF31">
        <v>0</v>
      </c>
      <c r="CG31">
        <v>1</v>
      </c>
      <c r="CH31">
        <v>2</v>
      </c>
      <c r="CI31" t="s">
        <v>299</v>
      </c>
      <c r="CJ31">
        <v>3.5325799999999998</v>
      </c>
      <c r="CK31">
        <v>2.7029700000000001</v>
      </c>
      <c r="CL31">
        <v>9.1743000000000005E-2</v>
      </c>
      <c r="CM31">
        <v>9.0439400000000003E-2</v>
      </c>
      <c r="CN31">
        <v>8.7053800000000001E-2</v>
      </c>
      <c r="CO31">
        <v>8.1987900000000002E-2</v>
      </c>
      <c r="CP31">
        <v>31900.2</v>
      </c>
      <c r="CQ31">
        <v>28013.599999999999</v>
      </c>
      <c r="CR31">
        <v>32501.4</v>
      </c>
      <c r="CS31">
        <v>30719.8</v>
      </c>
      <c r="CT31">
        <v>40153.800000000003</v>
      </c>
      <c r="CU31">
        <v>39638.199999999997</v>
      </c>
      <c r="CV31">
        <v>47442.400000000001</v>
      </c>
      <c r="CW31">
        <v>46825.3</v>
      </c>
      <c r="CX31">
        <v>2.6444399999999999</v>
      </c>
      <c r="CY31">
        <v>2.2009400000000001</v>
      </c>
      <c r="CZ31">
        <v>0</v>
      </c>
      <c r="DA31">
        <v>0</v>
      </c>
      <c r="DB31">
        <v>999.9</v>
      </c>
      <c r="DC31">
        <v>999.9</v>
      </c>
      <c r="DD31">
        <v>74.837999999999994</v>
      </c>
      <c r="DE31">
        <v>22.638000000000002</v>
      </c>
      <c r="DF31">
        <v>20.650400000000001</v>
      </c>
      <c r="DG31">
        <v>27.667300000000001</v>
      </c>
      <c r="DH31">
        <v>14.527200000000001</v>
      </c>
      <c r="DI31">
        <v>2</v>
      </c>
      <c r="DJ31">
        <v>-0.22988400000000001</v>
      </c>
      <c r="DK31">
        <v>1.6008100000000001</v>
      </c>
      <c r="DL31">
        <v>20.202500000000001</v>
      </c>
      <c r="DM31">
        <v>5.2511900000000002</v>
      </c>
      <c r="DN31">
        <v>12.033899999999999</v>
      </c>
      <c r="DO31">
        <v>4.9657999999999998</v>
      </c>
      <c r="DP31">
        <v>3.2909999999999999</v>
      </c>
      <c r="DQ31">
        <v>9999</v>
      </c>
      <c r="DR31">
        <v>9999</v>
      </c>
      <c r="DS31">
        <v>9999</v>
      </c>
      <c r="DT31">
        <v>603.9</v>
      </c>
      <c r="DU31">
        <v>1.8708899999999999</v>
      </c>
      <c r="DV31">
        <v>1.87601</v>
      </c>
      <c r="DW31">
        <v>1.87622</v>
      </c>
      <c r="DX31">
        <v>1.8827100000000001</v>
      </c>
      <c r="DY31">
        <v>1.8754599999999999</v>
      </c>
      <c r="DZ31">
        <v>1.8745400000000001</v>
      </c>
      <c r="EA31">
        <v>1.8706199999999999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-1.1120000000000001</v>
      </c>
      <c r="EQ31">
        <v>0.12659999999999999</v>
      </c>
      <c r="ER31">
        <v>-1.1118999999999899</v>
      </c>
      <c r="ES31">
        <v>0</v>
      </c>
      <c r="ET31">
        <v>0</v>
      </c>
      <c r="EU31">
        <v>0</v>
      </c>
      <c r="EV31">
        <v>0.126579999999999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1.1535599999999999</v>
      </c>
      <c r="FG31">
        <v>2.5354000000000001</v>
      </c>
      <c r="FH31">
        <v>2.19604</v>
      </c>
      <c r="FI31">
        <v>2.5878899999999998</v>
      </c>
      <c r="FJ31">
        <v>2.4462899999999999</v>
      </c>
      <c r="FK31">
        <v>2.31934</v>
      </c>
      <c r="FL31">
        <v>28.101299999999998</v>
      </c>
      <c r="FM31">
        <v>24.157499999999999</v>
      </c>
      <c r="FN31">
        <v>19</v>
      </c>
      <c r="FO31">
        <v>861.47199999999998</v>
      </c>
      <c r="FP31">
        <v>614.74199999999996</v>
      </c>
      <c r="FQ31">
        <v>18.316199999999998</v>
      </c>
      <c r="FR31">
        <v>24.076899999999998</v>
      </c>
      <c r="FS31">
        <v>30.000299999999999</v>
      </c>
      <c r="FT31">
        <v>24.032499999999999</v>
      </c>
      <c r="FU31">
        <v>24.032399999999999</v>
      </c>
      <c r="FV31">
        <v>23.149699999999999</v>
      </c>
      <c r="FW31">
        <v>35.944800000000001</v>
      </c>
      <c r="FX31">
        <v>87.638099999999994</v>
      </c>
      <c r="FY31">
        <v>18.317900000000002</v>
      </c>
      <c r="FZ31">
        <v>375</v>
      </c>
      <c r="GA31">
        <v>14.324199999999999</v>
      </c>
      <c r="GB31">
        <v>99.987700000000004</v>
      </c>
      <c r="GC31">
        <v>99.700800000000001</v>
      </c>
    </row>
    <row r="32" spans="1:185" x14ac:dyDescent="0.2">
      <c r="A32">
        <v>17</v>
      </c>
      <c r="B32">
        <v>1771085567</v>
      </c>
      <c r="C32">
        <v>247</v>
      </c>
      <c r="D32" t="s">
        <v>327</v>
      </c>
      <c r="E32" t="s">
        <v>328</v>
      </c>
      <c r="F32">
        <v>15</v>
      </c>
      <c r="G32">
        <v>1771085558.9333301</v>
      </c>
      <c r="H32">
        <f t="shared" si="0"/>
        <v>8.2838822090737605E-4</v>
      </c>
      <c r="I32">
        <v>0</v>
      </c>
      <c r="J32">
        <f t="shared" si="12"/>
        <v>-8.9732588183117582E-3</v>
      </c>
      <c r="K32">
        <f t="shared" si="1"/>
        <v>-0.24322857141298948</v>
      </c>
      <c r="L32">
        <f t="shared" si="2"/>
        <v>69.719017448896125</v>
      </c>
      <c r="M32">
        <f t="shared" si="3"/>
        <v>1.5373271894392775</v>
      </c>
      <c r="N32">
        <f t="shared" si="4"/>
        <v>2.2050327811434443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26204.634731317954</v>
      </c>
      <c r="T32">
        <f t="shared" si="8"/>
        <v>799.99959999999999</v>
      </c>
      <c r="U32">
        <f t="shared" si="9"/>
        <v>674.40005159980558</v>
      </c>
      <c r="V32">
        <f t="shared" si="10"/>
        <v>0.84300048599999999</v>
      </c>
      <c r="W32">
        <f t="shared" si="11"/>
        <v>0.15870121500000001</v>
      </c>
      <c r="X32">
        <v>1</v>
      </c>
      <c r="Y32">
        <v>1771085558.9333301</v>
      </c>
      <c r="Z32">
        <v>374.93213333333301</v>
      </c>
      <c r="AA32">
        <v>375.01633333333302</v>
      </c>
      <c r="AB32">
        <v>15.36796</v>
      </c>
      <c r="AC32">
        <v>14.3484</v>
      </c>
      <c r="AD32">
        <v>376.04406666666699</v>
      </c>
      <c r="AE32">
        <v>15.2413733333333</v>
      </c>
      <c r="AF32">
        <v>800.00940000000003</v>
      </c>
      <c r="AG32">
        <v>99.969620000000006</v>
      </c>
      <c r="AH32">
        <v>6.4944733333333296E-2</v>
      </c>
      <c r="AI32">
        <v>18.998926666666701</v>
      </c>
      <c r="AJ32">
        <v>999.9</v>
      </c>
      <c r="AK32">
        <v>999.9</v>
      </c>
      <c r="AL32">
        <v>0</v>
      </c>
      <c r="AM32">
        <v>0</v>
      </c>
      <c r="AN32">
        <v>4998.3999999999996</v>
      </c>
      <c r="AO32">
        <v>0</v>
      </c>
      <c r="AP32">
        <v>1.9196299999999999</v>
      </c>
      <c r="AQ32">
        <v>-8.4204086666666705E-2</v>
      </c>
      <c r="AR32">
        <v>380.78399999999999</v>
      </c>
      <c r="AS32">
        <v>380.47546666666699</v>
      </c>
      <c r="AT32">
        <v>1.0195573333333301</v>
      </c>
      <c r="AU32">
        <v>375.01633333333302</v>
      </c>
      <c r="AV32">
        <v>14.3484</v>
      </c>
      <c r="AW32">
        <v>1.5363279999999999</v>
      </c>
      <c r="AX32">
        <v>1.43440266666667</v>
      </c>
      <c r="AY32">
        <v>13.334580000000001</v>
      </c>
      <c r="AZ32">
        <v>12.286293333333299</v>
      </c>
      <c r="BA32">
        <v>799.99959999999999</v>
      </c>
      <c r="BB32">
        <v>0.8999838</v>
      </c>
      <c r="BC32">
        <v>0</v>
      </c>
      <c r="BD32">
        <v>0.1000162</v>
      </c>
      <c r="BE32">
        <v>0</v>
      </c>
      <c r="BF32">
        <v>24</v>
      </c>
      <c r="BG32">
        <v>13190.96</v>
      </c>
      <c r="BH32">
        <v>1771085340</v>
      </c>
      <c r="BI32" t="s">
        <v>289</v>
      </c>
      <c r="BJ32">
        <v>1771085340</v>
      </c>
      <c r="BK32">
        <v>1771085340</v>
      </c>
      <c r="BL32">
        <v>1</v>
      </c>
      <c r="BM32">
        <v>-0.41699999999999998</v>
      </c>
      <c r="BN32">
        <v>1.4999999999999999E-2</v>
      </c>
      <c r="BO32">
        <v>-1.1120000000000001</v>
      </c>
      <c r="BP32">
        <v>0.127</v>
      </c>
      <c r="BQ32">
        <v>375</v>
      </c>
      <c r="BR32">
        <v>15</v>
      </c>
      <c r="BS32">
        <v>0.22</v>
      </c>
      <c r="BT32">
        <v>0.06</v>
      </c>
      <c r="BU32">
        <v>-7.5723250000000006E-2</v>
      </c>
      <c r="BV32">
        <v>-7.5141870676691799E-2</v>
      </c>
      <c r="BW32">
        <v>2.9826899073981901E-2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1.0184295000000001</v>
      </c>
      <c r="CD32">
        <v>-3.8120300751963898E-4</v>
      </c>
      <c r="CE32">
        <v>4.2259548920924499E-3</v>
      </c>
      <c r="CF32">
        <v>1</v>
      </c>
      <c r="CG32">
        <v>2</v>
      </c>
      <c r="CH32">
        <v>2</v>
      </c>
      <c r="CI32" t="s">
        <v>310</v>
      </c>
      <c r="CJ32">
        <v>3.5324399999999998</v>
      </c>
      <c r="CK32">
        <v>2.7027800000000002</v>
      </c>
      <c r="CL32">
        <v>9.1740600000000005E-2</v>
      </c>
      <c r="CM32">
        <v>9.0440199999999998E-2</v>
      </c>
      <c r="CN32">
        <v>8.7026599999999996E-2</v>
      </c>
      <c r="CO32">
        <v>8.1980200000000003E-2</v>
      </c>
      <c r="CP32">
        <v>31900.2</v>
      </c>
      <c r="CQ32">
        <v>28013.9</v>
      </c>
      <c r="CR32">
        <v>32501.4</v>
      </c>
      <c r="CS32">
        <v>30720.2</v>
      </c>
      <c r="CT32">
        <v>40155.199999999997</v>
      </c>
      <c r="CU32">
        <v>39639.300000000003</v>
      </c>
      <c r="CV32">
        <v>47442.5</v>
      </c>
      <c r="CW32">
        <v>46826.2</v>
      </c>
      <c r="CX32">
        <v>2.6441599999999998</v>
      </c>
      <c r="CY32">
        <v>2.2007599999999998</v>
      </c>
      <c r="CZ32">
        <v>0</v>
      </c>
      <c r="DA32">
        <v>0</v>
      </c>
      <c r="DB32">
        <v>999.9</v>
      </c>
      <c r="DC32">
        <v>999.9</v>
      </c>
      <c r="DD32">
        <v>74.765000000000001</v>
      </c>
      <c r="DE32">
        <v>22.658000000000001</v>
      </c>
      <c r="DF32">
        <v>20.656400000000001</v>
      </c>
      <c r="DG32">
        <v>27.4573</v>
      </c>
      <c r="DH32">
        <v>14.5593</v>
      </c>
      <c r="DI32">
        <v>2</v>
      </c>
      <c r="DJ32">
        <v>-0.22967099999999999</v>
      </c>
      <c r="DK32">
        <v>1.6004</v>
      </c>
      <c r="DL32">
        <v>20.202400000000001</v>
      </c>
      <c r="DM32">
        <v>5.2507099999999998</v>
      </c>
      <c r="DN32">
        <v>12.033899999999999</v>
      </c>
      <c r="DO32">
        <v>4.9657999999999998</v>
      </c>
      <c r="DP32">
        <v>3.2909999999999999</v>
      </c>
      <c r="DQ32">
        <v>9999</v>
      </c>
      <c r="DR32">
        <v>9999</v>
      </c>
      <c r="DS32">
        <v>9999</v>
      </c>
      <c r="DT32">
        <v>603.9</v>
      </c>
      <c r="DU32">
        <v>1.8709</v>
      </c>
      <c r="DV32">
        <v>1.87601</v>
      </c>
      <c r="DW32">
        <v>1.87622</v>
      </c>
      <c r="DX32">
        <v>1.8827199999999999</v>
      </c>
      <c r="DY32">
        <v>1.87548</v>
      </c>
      <c r="DZ32">
        <v>1.8745499999999999</v>
      </c>
      <c r="EA32">
        <v>1.87069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-1.1120000000000001</v>
      </c>
      <c r="EQ32">
        <v>0.1265</v>
      </c>
      <c r="ER32">
        <v>-1.1118999999999899</v>
      </c>
      <c r="ES32">
        <v>0</v>
      </c>
      <c r="ET32">
        <v>0</v>
      </c>
      <c r="EU32">
        <v>0</v>
      </c>
      <c r="EV32">
        <v>0.126579999999999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1.1535599999999999</v>
      </c>
      <c r="FG32">
        <v>2.5402800000000001</v>
      </c>
      <c r="FH32">
        <v>2.19604</v>
      </c>
      <c r="FI32">
        <v>2.5878899999999998</v>
      </c>
      <c r="FJ32">
        <v>2.4462899999999999</v>
      </c>
      <c r="FK32">
        <v>2.2924799999999999</v>
      </c>
      <c r="FL32">
        <v>28.122299999999999</v>
      </c>
      <c r="FM32">
        <v>24.157499999999999</v>
      </c>
      <c r="FN32">
        <v>19</v>
      </c>
      <c r="FO32">
        <v>861.33199999999999</v>
      </c>
      <c r="FP32">
        <v>614.68100000000004</v>
      </c>
      <c r="FQ32">
        <v>18.319700000000001</v>
      </c>
      <c r="FR32">
        <v>24.0822</v>
      </c>
      <c r="FS32">
        <v>30.0002</v>
      </c>
      <c r="FT32">
        <v>24.0397</v>
      </c>
      <c r="FU32">
        <v>24.039300000000001</v>
      </c>
      <c r="FV32">
        <v>23.1477</v>
      </c>
      <c r="FW32">
        <v>35.944800000000001</v>
      </c>
      <c r="FX32">
        <v>87.262900000000002</v>
      </c>
      <c r="FY32">
        <v>18.3202</v>
      </c>
      <c r="FZ32">
        <v>375</v>
      </c>
      <c r="GA32">
        <v>14.333399999999999</v>
      </c>
      <c r="GB32">
        <v>99.987899999999996</v>
      </c>
      <c r="GC32">
        <v>99.702500000000001</v>
      </c>
    </row>
    <row r="33" spans="1:185" x14ac:dyDescent="0.2">
      <c r="A33">
        <v>18</v>
      </c>
      <c r="B33">
        <v>1771085582</v>
      </c>
      <c r="C33">
        <v>262</v>
      </c>
      <c r="D33" t="s">
        <v>329</v>
      </c>
      <c r="E33" t="s">
        <v>330</v>
      </c>
      <c r="F33">
        <v>15</v>
      </c>
      <c r="G33">
        <v>1771085573.9333301</v>
      </c>
      <c r="H33">
        <f t="shared" si="0"/>
        <v>8.20489565865798E-4</v>
      </c>
      <c r="I33">
        <v>0</v>
      </c>
      <c r="J33">
        <f t="shared" si="12"/>
        <v>-9.22653985346201E-3</v>
      </c>
      <c r="K33">
        <f t="shared" si="1"/>
        <v>-0.25009399072084243</v>
      </c>
      <c r="L33">
        <f t="shared" si="2"/>
        <v>69.659594354499276</v>
      </c>
      <c r="M33">
        <f t="shared" si="3"/>
        <v>1.5361063554120167</v>
      </c>
      <c r="N33">
        <f t="shared" si="4"/>
        <v>2.2051612123876807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26206.842806279743</v>
      </c>
      <c r="T33">
        <f t="shared" si="8"/>
        <v>799.99959999999999</v>
      </c>
      <c r="U33">
        <f t="shared" si="9"/>
        <v>674.40003079981591</v>
      </c>
      <c r="V33">
        <f t="shared" si="10"/>
        <v>0.84300045999999995</v>
      </c>
      <c r="W33">
        <f t="shared" si="11"/>
        <v>0.15870114999999999</v>
      </c>
      <c r="X33">
        <v>1</v>
      </c>
      <c r="Y33">
        <v>1771085573.9333301</v>
      </c>
      <c r="Z33">
        <v>374.94880000000001</v>
      </c>
      <c r="AA33">
        <v>375.020733333333</v>
      </c>
      <c r="AB33">
        <v>15.355840000000001</v>
      </c>
      <c r="AC33">
        <v>14.345993333333301</v>
      </c>
      <c r="AD33">
        <v>376.06073333333302</v>
      </c>
      <c r="AE33">
        <v>15.2292533333333</v>
      </c>
      <c r="AF33">
        <v>800.01279999999997</v>
      </c>
      <c r="AG33">
        <v>99.969113333333297</v>
      </c>
      <c r="AH33">
        <v>6.4903393333333295E-2</v>
      </c>
      <c r="AI33">
        <v>18.999860000000002</v>
      </c>
      <c r="AJ33">
        <v>999.9</v>
      </c>
      <c r="AK33">
        <v>999.9</v>
      </c>
      <c r="AL33">
        <v>0</v>
      </c>
      <c r="AM33">
        <v>0</v>
      </c>
      <c r="AN33">
        <v>4998.8</v>
      </c>
      <c r="AO33">
        <v>0</v>
      </c>
      <c r="AP33">
        <v>1.9196299999999999</v>
      </c>
      <c r="AQ33">
        <v>-7.1944099999999997E-2</v>
      </c>
      <c r="AR33">
        <v>380.79626666666701</v>
      </c>
      <c r="AS33">
        <v>380.47913333333298</v>
      </c>
      <c r="AT33">
        <v>1.0098453333333299</v>
      </c>
      <c r="AU33">
        <v>375.020733333333</v>
      </c>
      <c r="AV33">
        <v>14.345993333333301</v>
      </c>
      <c r="AW33">
        <v>1.5351079999999999</v>
      </c>
      <c r="AX33">
        <v>1.434156</v>
      </c>
      <c r="AY33">
        <v>13.3224133333333</v>
      </c>
      <c r="AZ33">
        <v>12.283666666666701</v>
      </c>
      <c r="BA33">
        <v>799.99959999999999</v>
      </c>
      <c r="BB33">
        <v>0.89998466666666699</v>
      </c>
      <c r="BC33">
        <v>0</v>
      </c>
      <c r="BD33">
        <v>0.100015333333333</v>
      </c>
      <c r="BE33">
        <v>0</v>
      </c>
      <c r="BF33">
        <v>24</v>
      </c>
      <c r="BG33">
        <v>13190.9666666667</v>
      </c>
      <c r="BH33">
        <v>1771085340</v>
      </c>
      <c r="BI33" t="s">
        <v>289</v>
      </c>
      <c r="BJ33">
        <v>1771085340</v>
      </c>
      <c r="BK33">
        <v>1771085340</v>
      </c>
      <c r="BL33">
        <v>1</v>
      </c>
      <c r="BM33">
        <v>-0.41699999999999998</v>
      </c>
      <c r="BN33">
        <v>1.4999999999999999E-2</v>
      </c>
      <c r="BO33">
        <v>-1.1120000000000001</v>
      </c>
      <c r="BP33">
        <v>0.127</v>
      </c>
      <c r="BQ33">
        <v>375</v>
      </c>
      <c r="BR33">
        <v>15</v>
      </c>
      <c r="BS33">
        <v>0.22</v>
      </c>
      <c r="BT33">
        <v>0.06</v>
      </c>
      <c r="BU33">
        <v>-7.3438338095238101E-2</v>
      </c>
      <c r="BV33">
        <v>0.10856488831168799</v>
      </c>
      <c r="BW33">
        <v>2.7261905588017499E-2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1.01154238095238</v>
      </c>
      <c r="CD33">
        <v>-5.1181558441558299E-2</v>
      </c>
      <c r="CE33">
        <v>5.8889629653493198E-3</v>
      </c>
      <c r="CF33">
        <v>1</v>
      </c>
      <c r="CG33">
        <v>2</v>
      </c>
      <c r="CH33">
        <v>2</v>
      </c>
      <c r="CI33" t="s">
        <v>310</v>
      </c>
      <c r="CJ33">
        <v>3.5324399999999998</v>
      </c>
      <c r="CK33">
        <v>2.7027000000000001</v>
      </c>
      <c r="CL33">
        <v>9.1742400000000002E-2</v>
      </c>
      <c r="CM33">
        <v>9.0437100000000006E-2</v>
      </c>
      <c r="CN33">
        <v>8.6936600000000003E-2</v>
      </c>
      <c r="CO33">
        <v>8.1969200000000006E-2</v>
      </c>
      <c r="CP33">
        <v>31900.799999999999</v>
      </c>
      <c r="CQ33">
        <v>28014.1</v>
      </c>
      <c r="CR33">
        <v>32502.1</v>
      </c>
      <c r="CS33">
        <v>30720.400000000001</v>
      </c>
      <c r="CT33">
        <v>40160.400000000001</v>
      </c>
      <c r="CU33">
        <v>39639.800000000003</v>
      </c>
      <c r="CV33">
        <v>47443.7</v>
      </c>
      <c r="CW33">
        <v>46826.2</v>
      </c>
      <c r="CX33">
        <v>2.6438999999999999</v>
      </c>
      <c r="CY33">
        <v>2.20044</v>
      </c>
      <c r="CZ33">
        <v>0</v>
      </c>
      <c r="DA33">
        <v>0</v>
      </c>
      <c r="DB33">
        <v>999.9</v>
      </c>
      <c r="DC33">
        <v>999.9</v>
      </c>
      <c r="DD33">
        <v>74.703999999999994</v>
      </c>
      <c r="DE33">
        <v>22.678000000000001</v>
      </c>
      <c r="DF33">
        <v>20.662299999999998</v>
      </c>
      <c r="DG33">
        <v>27.6373</v>
      </c>
      <c r="DH33">
        <v>14.551299999999999</v>
      </c>
      <c r="DI33">
        <v>2</v>
      </c>
      <c r="DJ33">
        <v>-0.22909399999999999</v>
      </c>
      <c r="DK33">
        <v>1.60903</v>
      </c>
      <c r="DL33">
        <v>20.202400000000001</v>
      </c>
      <c r="DM33">
        <v>5.2515499999999999</v>
      </c>
      <c r="DN33">
        <v>12.033899999999999</v>
      </c>
      <c r="DO33">
        <v>4.9657999999999998</v>
      </c>
      <c r="DP33">
        <v>3.2909999999999999</v>
      </c>
      <c r="DQ33">
        <v>9999</v>
      </c>
      <c r="DR33">
        <v>9999</v>
      </c>
      <c r="DS33">
        <v>9999</v>
      </c>
      <c r="DT33">
        <v>603.9</v>
      </c>
      <c r="DU33">
        <v>1.8709</v>
      </c>
      <c r="DV33">
        <v>1.87599</v>
      </c>
      <c r="DW33">
        <v>1.87622</v>
      </c>
      <c r="DX33">
        <v>1.8827</v>
      </c>
      <c r="DY33">
        <v>1.87547</v>
      </c>
      <c r="DZ33">
        <v>1.8745499999999999</v>
      </c>
      <c r="EA33">
        <v>1.8706100000000001</v>
      </c>
      <c r="EB33">
        <v>1.8745499999999999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-1.1120000000000001</v>
      </c>
      <c r="EQ33">
        <v>0.1265</v>
      </c>
      <c r="ER33">
        <v>-1.1118999999999899</v>
      </c>
      <c r="ES33">
        <v>0</v>
      </c>
      <c r="ET33">
        <v>0</v>
      </c>
      <c r="EU33">
        <v>0</v>
      </c>
      <c r="EV33">
        <v>0.126579999999999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1.1535599999999999</v>
      </c>
      <c r="FG33">
        <v>2.5378400000000001</v>
      </c>
      <c r="FH33">
        <v>2.19604</v>
      </c>
      <c r="FI33">
        <v>2.5878899999999998</v>
      </c>
      <c r="FJ33">
        <v>2.4462899999999999</v>
      </c>
      <c r="FK33">
        <v>2.3327599999999999</v>
      </c>
      <c r="FL33">
        <v>28.164200000000001</v>
      </c>
      <c r="FM33">
        <v>24.157499999999999</v>
      </c>
      <c r="FN33">
        <v>19</v>
      </c>
      <c r="FO33">
        <v>861.20699999999999</v>
      </c>
      <c r="FP33">
        <v>614.51300000000003</v>
      </c>
      <c r="FQ33">
        <v>18.320799999999998</v>
      </c>
      <c r="FR33">
        <v>24.087399999999999</v>
      </c>
      <c r="FS33">
        <v>30.0001</v>
      </c>
      <c r="FT33">
        <v>24.046600000000002</v>
      </c>
      <c r="FU33">
        <v>24.046500000000002</v>
      </c>
      <c r="FV33">
        <v>23.146599999999999</v>
      </c>
      <c r="FW33">
        <v>35.944800000000001</v>
      </c>
      <c r="FX33">
        <v>86.890299999999996</v>
      </c>
      <c r="FY33">
        <v>18.3156</v>
      </c>
      <c r="FZ33">
        <v>375</v>
      </c>
      <c r="GA33">
        <v>14.367100000000001</v>
      </c>
      <c r="GB33">
        <v>99.990200000000002</v>
      </c>
      <c r="GC33">
        <v>99.702699999999993</v>
      </c>
    </row>
    <row r="34" spans="1:185" x14ac:dyDescent="0.2">
      <c r="A34">
        <v>19</v>
      </c>
      <c r="B34">
        <v>1771085597</v>
      </c>
      <c r="C34">
        <v>277</v>
      </c>
      <c r="D34" t="s">
        <v>331</v>
      </c>
      <c r="E34" t="s">
        <v>332</v>
      </c>
      <c r="F34">
        <v>15</v>
      </c>
      <c r="G34">
        <v>1771085588.9333301</v>
      </c>
      <c r="H34">
        <f t="shared" si="0"/>
        <v>8.0707549165643722E-4</v>
      </c>
      <c r="I34">
        <v>0</v>
      </c>
      <c r="J34">
        <f t="shared" si="12"/>
        <v>-9.4191857020609841E-3</v>
      </c>
      <c r="K34">
        <f t="shared" si="1"/>
        <v>-0.25531583659558194</v>
      </c>
      <c r="L34">
        <f t="shared" si="2"/>
        <v>69.568505865560482</v>
      </c>
      <c r="M34">
        <f t="shared" si="3"/>
        <v>1.5342093984230236</v>
      </c>
      <c r="N34">
        <f t="shared" si="4"/>
        <v>2.2053217606654476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26211.723618674707</v>
      </c>
      <c r="T34">
        <f t="shared" si="8"/>
        <v>799.99906666666698</v>
      </c>
      <c r="U34">
        <f t="shared" si="9"/>
        <v>674.3995411996176</v>
      </c>
      <c r="V34">
        <f t="shared" si="10"/>
        <v>0.84300041000000003</v>
      </c>
      <c r="W34">
        <f t="shared" si="11"/>
        <v>0.15870102500000002</v>
      </c>
      <c r="X34">
        <v>1</v>
      </c>
      <c r="Y34">
        <v>1771085588.9333301</v>
      </c>
      <c r="Z34">
        <v>374.962533333333</v>
      </c>
      <c r="AA34">
        <v>375.02166666666699</v>
      </c>
      <c r="AB34">
        <v>15.3368</v>
      </c>
      <c r="AC34">
        <v>14.343439999999999</v>
      </c>
      <c r="AD34">
        <v>376.07440000000003</v>
      </c>
      <c r="AE34">
        <v>15.210226666666699</v>
      </c>
      <c r="AF34">
        <v>800.00959999999998</v>
      </c>
      <c r="AG34">
        <v>99.969633333333306</v>
      </c>
      <c r="AH34">
        <v>6.4884846666666704E-2</v>
      </c>
      <c r="AI34">
        <v>19.0010266666667</v>
      </c>
      <c r="AJ34">
        <v>999.9</v>
      </c>
      <c r="AK34">
        <v>999.9</v>
      </c>
      <c r="AL34">
        <v>0</v>
      </c>
      <c r="AM34">
        <v>0</v>
      </c>
      <c r="AN34">
        <v>4999.6000000000004</v>
      </c>
      <c r="AO34">
        <v>0</v>
      </c>
      <c r="AP34">
        <v>1.9196299999999999</v>
      </c>
      <c r="AQ34">
        <v>-5.9143059999999997E-2</v>
      </c>
      <c r="AR34">
        <v>380.803</v>
      </c>
      <c r="AS34">
        <v>380.47913333333298</v>
      </c>
      <c r="AT34">
        <v>0.99334773333333304</v>
      </c>
      <c r="AU34">
        <v>375.02166666666699</v>
      </c>
      <c r="AV34">
        <v>14.343439999999999</v>
      </c>
      <c r="AW34">
        <v>1.53321333333333</v>
      </c>
      <c r="AX34">
        <v>1.4339093333333299</v>
      </c>
      <c r="AY34">
        <v>13.30344</v>
      </c>
      <c r="AZ34">
        <v>12.281053333333301</v>
      </c>
      <c r="BA34">
        <v>799.99906666666698</v>
      </c>
      <c r="BB34">
        <v>0.899986333333333</v>
      </c>
      <c r="BC34">
        <v>0</v>
      </c>
      <c r="BD34">
        <v>0.100013666666667</v>
      </c>
      <c r="BE34">
        <v>0</v>
      </c>
      <c r="BF34">
        <v>24</v>
      </c>
      <c r="BG34">
        <v>13190.96</v>
      </c>
      <c r="BH34">
        <v>1771085340</v>
      </c>
      <c r="BI34" t="s">
        <v>289</v>
      </c>
      <c r="BJ34">
        <v>1771085340</v>
      </c>
      <c r="BK34">
        <v>1771085340</v>
      </c>
      <c r="BL34">
        <v>1</v>
      </c>
      <c r="BM34">
        <v>-0.41699999999999998</v>
      </c>
      <c r="BN34">
        <v>1.4999999999999999E-2</v>
      </c>
      <c r="BO34">
        <v>-1.1120000000000001</v>
      </c>
      <c r="BP34">
        <v>0.127</v>
      </c>
      <c r="BQ34">
        <v>375</v>
      </c>
      <c r="BR34">
        <v>15</v>
      </c>
      <c r="BS34">
        <v>0.22</v>
      </c>
      <c r="BT34">
        <v>0.06</v>
      </c>
      <c r="BU34">
        <v>-5.7348625E-2</v>
      </c>
      <c r="BV34">
        <v>-1.6102308270676699E-2</v>
      </c>
      <c r="BW34">
        <v>1.7021854609762001E-2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0.99565024999999996</v>
      </c>
      <c r="CD34">
        <v>-6.4431744360901794E-2</v>
      </c>
      <c r="CE34">
        <v>6.3293411258597901E-3</v>
      </c>
      <c r="CF34">
        <v>1</v>
      </c>
      <c r="CG34">
        <v>2</v>
      </c>
      <c r="CH34">
        <v>2</v>
      </c>
      <c r="CI34" t="s">
        <v>310</v>
      </c>
      <c r="CJ34">
        <v>3.53247</v>
      </c>
      <c r="CK34">
        <v>2.7025999999999999</v>
      </c>
      <c r="CL34">
        <v>9.1742500000000005E-2</v>
      </c>
      <c r="CM34">
        <v>9.0437400000000001E-2</v>
      </c>
      <c r="CN34">
        <v>8.6854000000000001E-2</v>
      </c>
      <c r="CO34">
        <v>8.1957799999999997E-2</v>
      </c>
      <c r="CP34">
        <v>31900.9</v>
      </c>
      <c r="CQ34">
        <v>28014</v>
      </c>
      <c r="CR34">
        <v>32502.2</v>
      </c>
      <c r="CS34">
        <v>30720.3</v>
      </c>
      <c r="CT34">
        <v>40164.300000000003</v>
      </c>
      <c r="CU34">
        <v>39640.400000000001</v>
      </c>
      <c r="CV34">
        <v>47443.9</v>
      </c>
      <c r="CW34">
        <v>46826.3</v>
      </c>
      <c r="CX34">
        <v>2.6438199999999998</v>
      </c>
      <c r="CY34">
        <v>2.2000000000000002</v>
      </c>
      <c r="CZ34">
        <v>0</v>
      </c>
      <c r="DA34">
        <v>0</v>
      </c>
      <c r="DB34">
        <v>999.9</v>
      </c>
      <c r="DC34">
        <v>999.9</v>
      </c>
      <c r="DD34">
        <v>74.667000000000002</v>
      </c>
      <c r="DE34">
        <v>22.698</v>
      </c>
      <c r="DF34">
        <v>20.678000000000001</v>
      </c>
      <c r="DG34">
        <v>27.517299999999999</v>
      </c>
      <c r="DH34">
        <v>14.5032</v>
      </c>
      <c r="DI34">
        <v>2</v>
      </c>
      <c r="DJ34">
        <v>-0.22884099999999999</v>
      </c>
      <c r="DK34">
        <v>1.6170899999999999</v>
      </c>
      <c r="DL34">
        <v>20.202100000000002</v>
      </c>
      <c r="DM34">
        <v>5.2511900000000002</v>
      </c>
      <c r="DN34">
        <v>12.033899999999999</v>
      </c>
      <c r="DO34">
        <v>4.9661600000000004</v>
      </c>
      <c r="DP34">
        <v>3.2909999999999999</v>
      </c>
      <c r="DQ34">
        <v>9999</v>
      </c>
      <c r="DR34">
        <v>9999</v>
      </c>
      <c r="DS34">
        <v>9999</v>
      </c>
      <c r="DT34">
        <v>603.9</v>
      </c>
      <c r="DU34">
        <v>1.8709100000000001</v>
      </c>
      <c r="DV34">
        <v>1.8760399999999999</v>
      </c>
      <c r="DW34">
        <v>1.87622</v>
      </c>
      <c r="DX34">
        <v>1.8827700000000001</v>
      </c>
      <c r="DY34">
        <v>1.87547</v>
      </c>
      <c r="DZ34">
        <v>1.8745499999999999</v>
      </c>
      <c r="EA34">
        <v>1.8706499999999999</v>
      </c>
      <c r="EB34">
        <v>1.8745499999999999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-1.111</v>
      </c>
      <c r="EQ34">
        <v>0.12659999999999999</v>
      </c>
      <c r="ER34">
        <v>-1.1118999999999899</v>
      </c>
      <c r="ES34">
        <v>0</v>
      </c>
      <c r="ET34">
        <v>0</v>
      </c>
      <c r="EU34">
        <v>0</v>
      </c>
      <c r="EV34">
        <v>0.126579999999999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1.1535599999999999</v>
      </c>
      <c r="FG34">
        <v>2.5451700000000002</v>
      </c>
      <c r="FH34">
        <v>2.19604</v>
      </c>
      <c r="FI34">
        <v>2.5878899999999998</v>
      </c>
      <c r="FJ34">
        <v>2.4462899999999999</v>
      </c>
      <c r="FK34">
        <v>2.3010299999999999</v>
      </c>
      <c r="FL34">
        <v>28.185199999999998</v>
      </c>
      <c r="FM34">
        <v>24.157499999999999</v>
      </c>
      <c r="FN34">
        <v>19</v>
      </c>
      <c r="FO34">
        <v>861.24</v>
      </c>
      <c r="FP34">
        <v>614.23900000000003</v>
      </c>
      <c r="FQ34">
        <v>18.312999999999999</v>
      </c>
      <c r="FR34">
        <v>24.092300000000002</v>
      </c>
      <c r="FS34">
        <v>30.0002</v>
      </c>
      <c r="FT34">
        <v>24.053100000000001</v>
      </c>
      <c r="FU34">
        <v>24.052900000000001</v>
      </c>
      <c r="FV34">
        <v>23.143599999999999</v>
      </c>
      <c r="FW34">
        <v>35.944800000000001</v>
      </c>
      <c r="FX34">
        <v>86.511600000000001</v>
      </c>
      <c r="FY34">
        <v>18.3124</v>
      </c>
      <c r="FZ34">
        <v>375</v>
      </c>
      <c r="GA34">
        <v>14.406499999999999</v>
      </c>
      <c r="GB34">
        <v>99.990600000000001</v>
      </c>
      <c r="GC34">
        <v>99.702799999999996</v>
      </c>
    </row>
    <row r="35" spans="1:185" x14ac:dyDescent="0.2">
      <c r="A35">
        <v>20</v>
      </c>
      <c r="B35">
        <v>1771085612</v>
      </c>
      <c r="C35">
        <v>292</v>
      </c>
      <c r="D35" t="s">
        <v>333</v>
      </c>
      <c r="E35" t="s">
        <v>334</v>
      </c>
      <c r="F35">
        <v>15</v>
      </c>
      <c r="G35">
        <v>1771085603.9333301</v>
      </c>
      <c r="H35">
        <f t="shared" si="0"/>
        <v>7.8623521534496358E-4</v>
      </c>
      <c r="I35">
        <v>0</v>
      </c>
      <c r="J35">
        <f t="shared" si="12"/>
        <v>-9.3156790517961337E-3</v>
      </c>
      <c r="K35">
        <f t="shared" si="1"/>
        <v>-0.25251019204822006</v>
      </c>
      <c r="L35">
        <f t="shared" si="2"/>
        <v>69.477416068062752</v>
      </c>
      <c r="M35">
        <f t="shared" si="3"/>
        <v>1.5320979538237156</v>
      </c>
      <c r="N35">
        <f t="shared" si="4"/>
        <v>2.2051740558727939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26229.153358308839</v>
      </c>
      <c r="T35">
        <f t="shared" si="8"/>
        <v>799.99940000000004</v>
      </c>
      <c r="U35">
        <f t="shared" si="9"/>
        <v>674.39976459979721</v>
      </c>
      <c r="V35">
        <f t="shared" si="10"/>
        <v>0.84300033799999996</v>
      </c>
      <c r="W35">
        <f t="shared" si="11"/>
        <v>0.15870084500000003</v>
      </c>
      <c r="X35">
        <v>1</v>
      </c>
      <c r="Y35">
        <v>1771085603.9333301</v>
      </c>
      <c r="Z35">
        <v>374.95673333333298</v>
      </c>
      <c r="AA35">
        <v>375.00959999999998</v>
      </c>
      <c r="AB35">
        <v>15.315713333333299</v>
      </c>
      <c r="AC35">
        <v>14.347986666666699</v>
      </c>
      <c r="AD35">
        <v>376.06853333333299</v>
      </c>
      <c r="AE35">
        <v>15.189133333333301</v>
      </c>
      <c r="AF35">
        <v>800.01253333333295</v>
      </c>
      <c r="AG35">
        <v>99.969473333333298</v>
      </c>
      <c r="AH35">
        <v>6.4910993333333306E-2</v>
      </c>
      <c r="AI35">
        <v>18.999953333333298</v>
      </c>
      <c r="AJ35">
        <v>999.9</v>
      </c>
      <c r="AK35">
        <v>999.9</v>
      </c>
      <c r="AL35">
        <v>0</v>
      </c>
      <c r="AM35">
        <v>0</v>
      </c>
      <c r="AN35">
        <v>5002.4666666666699</v>
      </c>
      <c r="AO35">
        <v>0</v>
      </c>
      <c r="AP35">
        <v>1.9196299999999999</v>
      </c>
      <c r="AQ35">
        <v>-5.2988682000000002E-2</v>
      </c>
      <c r="AR35">
        <v>380.78873333333303</v>
      </c>
      <c r="AS35">
        <v>380.46859999999998</v>
      </c>
      <c r="AT35">
        <v>0.96771846666666705</v>
      </c>
      <c r="AU35">
        <v>375.00959999999998</v>
      </c>
      <c r="AV35">
        <v>14.347986666666699</v>
      </c>
      <c r="AW35">
        <v>1.5311033333333299</v>
      </c>
      <c r="AX35">
        <v>1.43436133333333</v>
      </c>
      <c r="AY35">
        <v>13.282353333333299</v>
      </c>
      <c r="AZ35">
        <v>12.28584</v>
      </c>
      <c r="BA35">
        <v>799.99940000000004</v>
      </c>
      <c r="BB35">
        <v>0.89998873333333296</v>
      </c>
      <c r="BC35">
        <v>0</v>
      </c>
      <c r="BD35">
        <v>0.100011266666667</v>
      </c>
      <c r="BE35">
        <v>0</v>
      </c>
      <c r="BF35">
        <v>24</v>
      </c>
      <c r="BG35">
        <v>13190.973333333301</v>
      </c>
      <c r="BH35">
        <v>1771085340</v>
      </c>
      <c r="BI35" t="s">
        <v>289</v>
      </c>
      <c r="BJ35">
        <v>1771085340</v>
      </c>
      <c r="BK35">
        <v>1771085340</v>
      </c>
      <c r="BL35">
        <v>1</v>
      </c>
      <c r="BM35">
        <v>-0.41699999999999998</v>
      </c>
      <c r="BN35">
        <v>1.4999999999999999E-2</v>
      </c>
      <c r="BO35">
        <v>-1.1120000000000001</v>
      </c>
      <c r="BP35">
        <v>0.127</v>
      </c>
      <c r="BQ35">
        <v>375</v>
      </c>
      <c r="BR35">
        <v>15</v>
      </c>
      <c r="BS35">
        <v>0.22</v>
      </c>
      <c r="BT35">
        <v>0.06</v>
      </c>
      <c r="BU35">
        <v>-5.3402853809523802E-2</v>
      </c>
      <c r="BV35">
        <v>8.2778030649350506E-2</v>
      </c>
      <c r="BW35">
        <v>1.93571148772426E-2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0.97333452380952401</v>
      </c>
      <c r="CD35">
        <v>-0.12889262337662299</v>
      </c>
      <c r="CE35">
        <v>1.3761899289667701E-2</v>
      </c>
      <c r="CF35">
        <v>0</v>
      </c>
      <c r="CG35">
        <v>1</v>
      </c>
      <c r="CH35">
        <v>2</v>
      </c>
      <c r="CI35" t="s">
        <v>299</v>
      </c>
      <c r="CJ35">
        <v>3.53247</v>
      </c>
      <c r="CK35">
        <v>2.7028400000000001</v>
      </c>
      <c r="CL35">
        <v>9.1739799999999996E-2</v>
      </c>
      <c r="CM35">
        <v>9.0429800000000005E-2</v>
      </c>
      <c r="CN35">
        <v>8.6817400000000003E-2</v>
      </c>
      <c r="CO35">
        <v>8.2115599999999997E-2</v>
      </c>
      <c r="CP35">
        <v>31900.799999999999</v>
      </c>
      <c r="CQ35">
        <v>28014.7</v>
      </c>
      <c r="CR35">
        <v>32502</v>
      </c>
      <c r="CS35">
        <v>30720.799999999999</v>
      </c>
      <c r="CT35">
        <v>40165.9</v>
      </c>
      <c r="CU35">
        <v>39634.199999999997</v>
      </c>
      <c r="CV35">
        <v>47443.9</v>
      </c>
      <c r="CW35">
        <v>46827.3</v>
      </c>
      <c r="CX35">
        <v>2.6436600000000001</v>
      </c>
      <c r="CY35">
        <v>2.1999</v>
      </c>
      <c r="CZ35">
        <v>0</v>
      </c>
      <c r="DA35">
        <v>0</v>
      </c>
      <c r="DB35">
        <v>999.9</v>
      </c>
      <c r="DC35">
        <v>999.9</v>
      </c>
      <c r="DD35">
        <v>74.557000000000002</v>
      </c>
      <c r="DE35">
        <v>22.698</v>
      </c>
      <c r="DF35">
        <v>20.648800000000001</v>
      </c>
      <c r="DG35">
        <v>27.667300000000001</v>
      </c>
      <c r="DH35">
        <v>14.491199999999999</v>
      </c>
      <c r="DI35">
        <v>2</v>
      </c>
      <c r="DJ35">
        <v>-0.22842499999999999</v>
      </c>
      <c r="DK35">
        <v>1.6097399999999999</v>
      </c>
      <c r="DL35">
        <v>20.202300000000001</v>
      </c>
      <c r="DM35">
        <v>5.24892</v>
      </c>
      <c r="DN35">
        <v>12.033899999999999</v>
      </c>
      <c r="DO35">
        <v>4.9659599999999999</v>
      </c>
      <c r="DP35">
        <v>3.2909999999999999</v>
      </c>
      <c r="DQ35">
        <v>9999</v>
      </c>
      <c r="DR35">
        <v>9999</v>
      </c>
      <c r="DS35">
        <v>9999</v>
      </c>
      <c r="DT35">
        <v>603.9</v>
      </c>
      <c r="DU35">
        <v>1.8708899999999999</v>
      </c>
      <c r="DV35">
        <v>1.87605</v>
      </c>
      <c r="DW35">
        <v>1.87622</v>
      </c>
      <c r="DX35">
        <v>1.88276</v>
      </c>
      <c r="DY35">
        <v>1.8754599999999999</v>
      </c>
      <c r="DZ35">
        <v>1.8745400000000001</v>
      </c>
      <c r="EA35">
        <v>1.8706199999999999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-1.1120000000000001</v>
      </c>
      <c r="EQ35">
        <v>0.12659999999999999</v>
      </c>
      <c r="ER35">
        <v>-1.1118999999999899</v>
      </c>
      <c r="ES35">
        <v>0</v>
      </c>
      <c r="ET35">
        <v>0</v>
      </c>
      <c r="EU35">
        <v>0</v>
      </c>
      <c r="EV35">
        <v>0.126579999999999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1.1535599999999999</v>
      </c>
      <c r="FG35">
        <v>2.5463900000000002</v>
      </c>
      <c r="FH35">
        <v>2.19604</v>
      </c>
      <c r="FI35">
        <v>2.5878899999999998</v>
      </c>
      <c r="FJ35">
        <v>2.4462899999999999</v>
      </c>
      <c r="FK35">
        <v>2.2900399999999999</v>
      </c>
      <c r="FL35">
        <v>28.206199999999999</v>
      </c>
      <c r="FM35">
        <v>24.157499999999999</v>
      </c>
      <c r="FN35">
        <v>19</v>
      </c>
      <c r="FO35">
        <v>861.20399999999995</v>
      </c>
      <c r="FP35">
        <v>614.24599999999998</v>
      </c>
      <c r="FQ35">
        <v>18.312999999999999</v>
      </c>
      <c r="FR35">
        <v>24.0975</v>
      </c>
      <c r="FS35">
        <v>30.0002</v>
      </c>
      <c r="FT35">
        <v>24.059899999999999</v>
      </c>
      <c r="FU35">
        <v>24.060099999999998</v>
      </c>
      <c r="FV35">
        <v>23.1417</v>
      </c>
      <c r="FW35">
        <v>35.659199999999998</v>
      </c>
      <c r="FX35">
        <v>86.130899999999997</v>
      </c>
      <c r="FY35">
        <v>18.313099999999999</v>
      </c>
      <c r="FZ35">
        <v>375</v>
      </c>
      <c r="GA35">
        <v>14.4444</v>
      </c>
      <c r="GB35">
        <v>99.990300000000005</v>
      </c>
      <c r="GC35">
        <v>99.704599999999999</v>
      </c>
    </row>
    <row r="36" spans="1:185" x14ac:dyDescent="0.2">
      <c r="A36">
        <v>21</v>
      </c>
      <c r="B36">
        <v>1771085627</v>
      </c>
      <c r="C36">
        <v>307</v>
      </c>
      <c r="D36" t="s">
        <v>335</v>
      </c>
      <c r="E36" t="s">
        <v>336</v>
      </c>
      <c r="F36">
        <v>15</v>
      </c>
      <c r="G36">
        <v>1771085618.9333301</v>
      </c>
      <c r="H36">
        <f t="shared" si="0"/>
        <v>7.6521041777312339E-4</v>
      </c>
      <c r="I36">
        <v>0</v>
      </c>
      <c r="J36">
        <f t="shared" si="12"/>
        <v>-8.359381545389134E-3</v>
      </c>
      <c r="K36">
        <f t="shared" si="1"/>
        <v>-0.22658885387679525</v>
      </c>
      <c r="L36">
        <f t="shared" si="2"/>
        <v>69.51173490317079</v>
      </c>
      <c r="M36">
        <f t="shared" si="3"/>
        <v>1.5331200457753433</v>
      </c>
      <c r="N36">
        <f t="shared" si="4"/>
        <v>2.2055557207872392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26225.207335193638</v>
      </c>
      <c r="T36">
        <f t="shared" si="8"/>
        <v>800.00080000000003</v>
      </c>
      <c r="U36">
        <f t="shared" si="9"/>
        <v>674.40095600028155</v>
      </c>
      <c r="V36">
        <f t="shared" si="10"/>
        <v>0.8430003519999999</v>
      </c>
      <c r="W36">
        <f t="shared" si="11"/>
        <v>0.15870087999999996</v>
      </c>
      <c r="X36">
        <v>1</v>
      </c>
      <c r="Y36">
        <v>1771085618.9333301</v>
      </c>
      <c r="Z36">
        <v>374.94226666666702</v>
      </c>
      <c r="AA36">
        <v>375.01766666666703</v>
      </c>
      <c r="AB36">
        <v>15.325839999999999</v>
      </c>
      <c r="AC36">
        <v>14.384</v>
      </c>
      <c r="AD36">
        <v>376.05406666666698</v>
      </c>
      <c r="AE36">
        <v>15.199253333333299</v>
      </c>
      <c r="AF36">
        <v>800.01160000000004</v>
      </c>
      <c r="AG36">
        <v>99.970013333333299</v>
      </c>
      <c r="AH36">
        <v>6.49632666666667E-2</v>
      </c>
      <c r="AI36">
        <v>19.0027266666667</v>
      </c>
      <c r="AJ36">
        <v>999.9</v>
      </c>
      <c r="AK36">
        <v>999.9</v>
      </c>
      <c r="AL36">
        <v>0</v>
      </c>
      <c r="AM36">
        <v>0</v>
      </c>
      <c r="AN36">
        <v>5001.8333333333303</v>
      </c>
      <c r="AO36">
        <v>0</v>
      </c>
      <c r="AP36">
        <v>1.9196299999999999</v>
      </c>
      <c r="AQ36">
        <v>-7.5455759999999997E-2</v>
      </c>
      <c r="AR36">
        <v>380.77800000000002</v>
      </c>
      <c r="AS36">
        <v>380.49066666666698</v>
      </c>
      <c r="AT36">
        <v>0.94182460000000001</v>
      </c>
      <c r="AU36">
        <v>375.01766666666703</v>
      </c>
      <c r="AV36">
        <v>14.384</v>
      </c>
      <c r="AW36">
        <v>1.5321213333333299</v>
      </c>
      <c r="AX36">
        <v>1.4379679999999999</v>
      </c>
      <c r="AY36">
        <v>13.2925666666667</v>
      </c>
      <c r="AZ36">
        <v>12.324059999999999</v>
      </c>
      <c r="BA36">
        <v>800.00080000000003</v>
      </c>
      <c r="BB36">
        <v>0.89998826666666698</v>
      </c>
      <c r="BC36">
        <v>0</v>
      </c>
      <c r="BD36">
        <v>0.10001173333333301</v>
      </c>
      <c r="BE36">
        <v>0</v>
      </c>
      <c r="BF36">
        <v>24</v>
      </c>
      <c r="BG36">
        <v>13190.993333333299</v>
      </c>
      <c r="BH36">
        <v>1771085340</v>
      </c>
      <c r="BI36" t="s">
        <v>289</v>
      </c>
      <c r="BJ36">
        <v>1771085340</v>
      </c>
      <c r="BK36">
        <v>1771085340</v>
      </c>
      <c r="BL36">
        <v>1</v>
      </c>
      <c r="BM36">
        <v>-0.41699999999999998</v>
      </c>
      <c r="BN36">
        <v>1.4999999999999999E-2</v>
      </c>
      <c r="BO36">
        <v>-1.1120000000000001</v>
      </c>
      <c r="BP36">
        <v>0.127</v>
      </c>
      <c r="BQ36">
        <v>375</v>
      </c>
      <c r="BR36">
        <v>15</v>
      </c>
      <c r="BS36">
        <v>0.22</v>
      </c>
      <c r="BT36">
        <v>0.06</v>
      </c>
      <c r="BU36">
        <v>-6.5020771500000005E-2</v>
      </c>
      <c r="BV36">
        <v>-0.12391137518797</v>
      </c>
      <c r="BW36">
        <v>2.6235314920809199E-2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0.94450970000000001</v>
      </c>
      <c r="CD36">
        <v>-3.46386766917312E-2</v>
      </c>
      <c r="CE36">
        <v>7.8596549167250403E-3</v>
      </c>
      <c r="CF36">
        <v>1</v>
      </c>
      <c r="CG36">
        <v>2</v>
      </c>
      <c r="CH36">
        <v>2</v>
      </c>
      <c r="CI36" t="s">
        <v>310</v>
      </c>
      <c r="CJ36">
        <v>3.5325199999999999</v>
      </c>
      <c r="CK36">
        <v>2.7025399999999999</v>
      </c>
      <c r="CL36">
        <v>9.1734399999999994E-2</v>
      </c>
      <c r="CM36">
        <v>9.0421399999999999E-2</v>
      </c>
      <c r="CN36">
        <v>8.6916900000000005E-2</v>
      </c>
      <c r="CO36">
        <v>8.2274399999999998E-2</v>
      </c>
      <c r="CP36">
        <v>31900.799999999999</v>
      </c>
      <c r="CQ36">
        <v>28015</v>
      </c>
      <c r="CR36">
        <v>32501.8</v>
      </c>
      <c r="CS36">
        <v>30720.9</v>
      </c>
      <c r="CT36">
        <v>40161.199999999997</v>
      </c>
      <c r="CU36">
        <v>39627.5</v>
      </c>
      <c r="CV36">
        <v>47443.6</v>
      </c>
      <c r="CW36">
        <v>46827.8</v>
      </c>
      <c r="CX36">
        <v>2.6437400000000002</v>
      </c>
      <c r="CY36">
        <v>2.1997200000000001</v>
      </c>
      <c r="CZ36">
        <v>0</v>
      </c>
      <c r="DA36">
        <v>0</v>
      </c>
      <c r="DB36">
        <v>999.9</v>
      </c>
      <c r="DC36">
        <v>999.9</v>
      </c>
      <c r="DD36">
        <v>74.515000000000001</v>
      </c>
      <c r="DE36">
        <v>22.728999999999999</v>
      </c>
      <c r="DF36">
        <v>20.675599999999999</v>
      </c>
      <c r="DG36">
        <v>27.577300000000001</v>
      </c>
      <c r="DH36">
        <v>14.4191</v>
      </c>
      <c r="DI36">
        <v>2</v>
      </c>
      <c r="DJ36">
        <v>-0.22819900000000001</v>
      </c>
      <c r="DK36">
        <v>1.62887</v>
      </c>
      <c r="DL36">
        <v>20.202100000000002</v>
      </c>
      <c r="DM36">
        <v>5.2484400000000004</v>
      </c>
      <c r="DN36">
        <v>12.033899999999999</v>
      </c>
      <c r="DO36">
        <v>4.9667199999999996</v>
      </c>
      <c r="DP36">
        <v>3.2909999999999999</v>
      </c>
      <c r="DQ36">
        <v>9999</v>
      </c>
      <c r="DR36">
        <v>9999</v>
      </c>
      <c r="DS36">
        <v>9999</v>
      </c>
      <c r="DT36">
        <v>603.9</v>
      </c>
      <c r="DU36">
        <v>1.8708899999999999</v>
      </c>
      <c r="DV36">
        <v>1.8760399999999999</v>
      </c>
      <c r="DW36">
        <v>1.87622</v>
      </c>
      <c r="DX36">
        <v>1.8827400000000001</v>
      </c>
      <c r="DY36">
        <v>1.8754599999999999</v>
      </c>
      <c r="DZ36">
        <v>1.8745499999999999</v>
      </c>
      <c r="EA36">
        <v>1.87063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-1.1120000000000001</v>
      </c>
      <c r="EQ36">
        <v>0.12659999999999999</v>
      </c>
      <c r="ER36">
        <v>-1.1118999999999899</v>
      </c>
      <c r="ES36">
        <v>0</v>
      </c>
      <c r="ET36">
        <v>0</v>
      </c>
      <c r="EU36">
        <v>0</v>
      </c>
      <c r="EV36">
        <v>0.126579999999999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1.1535599999999999</v>
      </c>
      <c r="FG36">
        <v>2.5451700000000002</v>
      </c>
      <c r="FH36">
        <v>2.19604</v>
      </c>
      <c r="FI36">
        <v>2.5866699999999998</v>
      </c>
      <c r="FJ36">
        <v>2.4462899999999999</v>
      </c>
      <c r="FK36">
        <v>2.2631800000000002</v>
      </c>
      <c r="FL36">
        <v>28.2272</v>
      </c>
      <c r="FM36">
        <v>24.148800000000001</v>
      </c>
      <c r="FN36">
        <v>19</v>
      </c>
      <c r="FO36">
        <v>861.38400000000001</v>
      </c>
      <c r="FP36">
        <v>614.18200000000002</v>
      </c>
      <c r="FQ36">
        <v>18.310500000000001</v>
      </c>
      <c r="FR36">
        <v>24.102399999999999</v>
      </c>
      <c r="FS36">
        <v>30.000299999999999</v>
      </c>
      <c r="FT36">
        <v>24.066400000000002</v>
      </c>
      <c r="FU36">
        <v>24.066700000000001</v>
      </c>
      <c r="FV36">
        <v>23.141300000000001</v>
      </c>
      <c r="FW36">
        <v>35.382100000000001</v>
      </c>
      <c r="FX36">
        <v>85.758700000000005</v>
      </c>
      <c r="FY36">
        <v>18.3063</v>
      </c>
      <c r="FZ36">
        <v>375</v>
      </c>
      <c r="GA36">
        <v>14.4504</v>
      </c>
      <c r="GB36">
        <v>99.989699999999999</v>
      </c>
      <c r="GC36">
        <v>99.705399999999997</v>
      </c>
    </row>
    <row r="37" spans="1:185" x14ac:dyDescent="0.2">
      <c r="A37">
        <v>22</v>
      </c>
      <c r="B37">
        <v>1771085642</v>
      </c>
      <c r="C37">
        <v>322</v>
      </c>
      <c r="D37" t="s">
        <v>337</v>
      </c>
      <c r="E37" t="s">
        <v>338</v>
      </c>
      <c r="F37">
        <v>15</v>
      </c>
      <c r="G37">
        <v>1771085633.9333301</v>
      </c>
      <c r="H37">
        <f t="shared" si="0"/>
        <v>7.3342576781280022E-4</v>
      </c>
      <c r="I37">
        <v>0</v>
      </c>
      <c r="J37">
        <f t="shared" si="12"/>
        <v>-7.3621150112084741E-3</v>
      </c>
      <c r="K37">
        <f t="shared" si="1"/>
        <v>-0.19955701189629374</v>
      </c>
      <c r="L37">
        <f t="shared" si="2"/>
        <v>69.651847034729599</v>
      </c>
      <c r="M37">
        <f t="shared" si="3"/>
        <v>1.5363285304971166</v>
      </c>
      <c r="N37">
        <f t="shared" si="4"/>
        <v>2.2057254701818274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26233.621965887553</v>
      </c>
      <c r="T37">
        <f t="shared" si="8"/>
        <v>799.99793333333298</v>
      </c>
      <c r="U37">
        <f t="shared" si="9"/>
        <v>674.39856339921016</v>
      </c>
      <c r="V37">
        <f t="shared" si="10"/>
        <v>0.84300038199999994</v>
      </c>
      <c r="W37">
        <f t="shared" si="11"/>
        <v>0.15870095499999998</v>
      </c>
      <c r="X37">
        <v>1</v>
      </c>
      <c r="Y37">
        <v>1771085633.9333301</v>
      </c>
      <c r="Z37">
        <v>374.91333333333301</v>
      </c>
      <c r="AA37">
        <v>375.00760000000002</v>
      </c>
      <c r="AB37">
        <v>15.357900000000001</v>
      </c>
      <c r="AC37">
        <v>14.455206666666699</v>
      </c>
      <c r="AD37">
        <v>376.02526666666699</v>
      </c>
      <c r="AE37">
        <v>15.231313333333301</v>
      </c>
      <c r="AF37">
        <v>800.00800000000004</v>
      </c>
      <c r="AG37">
        <v>99.970166666666699</v>
      </c>
      <c r="AH37">
        <v>6.4898706666666695E-2</v>
      </c>
      <c r="AI37">
        <v>19.003959999999999</v>
      </c>
      <c r="AJ37">
        <v>999.9</v>
      </c>
      <c r="AK37">
        <v>999.9</v>
      </c>
      <c r="AL37">
        <v>0</v>
      </c>
      <c r="AM37">
        <v>0</v>
      </c>
      <c r="AN37">
        <v>5003.2333333333299</v>
      </c>
      <c r="AO37">
        <v>0</v>
      </c>
      <c r="AP37">
        <v>1.9196299999999999</v>
      </c>
      <c r="AQ37">
        <v>-9.4333959999999994E-2</v>
      </c>
      <c r="AR37">
        <v>380.76100000000002</v>
      </c>
      <c r="AS37">
        <v>380.50806666666699</v>
      </c>
      <c r="AT37">
        <v>0.902695266666667</v>
      </c>
      <c r="AU37">
        <v>375.00760000000002</v>
      </c>
      <c r="AV37">
        <v>14.455206666666699</v>
      </c>
      <c r="AW37">
        <v>1.53533266666667</v>
      </c>
      <c r="AX37">
        <v>1.4450893333333299</v>
      </c>
      <c r="AY37">
        <v>13.3246466666667</v>
      </c>
      <c r="AZ37">
        <v>12.3992066666667</v>
      </c>
      <c r="BA37">
        <v>799.99793333333298</v>
      </c>
      <c r="BB37">
        <v>0.89998726666666695</v>
      </c>
      <c r="BC37">
        <v>0</v>
      </c>
      <c r="BD37">
        <v>0.10001273333333301</v>
      </c>
      <c r="BE37">
        <v>0</v>
      </c>
      <c r="BF37">
        <v>24</v>
      </c>
      <c r="BG37">
        <v>13190.946666666699</v>
      </c>
      <c r="BH37">
        <v>1771085340</v>
      </c>
      <c r="BI37" t="s">
        <v>289</v>
      </c>
      <c r="BJ37">
        <v>1771085340</v>
      </c>
      <c r="BK37">
        <v>1771085340</v>
      </c>
      <c r="BL37">
        <v>1</v>
      </c>
      <c r="BM37">
        <v>-0.41699999999999998</v>
      </c>
      <c r="BN37">
        <v>1.4999999999999999E-2</v>
      </c>
      <c r="BO37">
        <v>-1.1120000000000001</v>
      </c>
      <c r="BP37">
        <v>0.127</v>
      </c>
      <c r="BQ37">
        <v>375</v>
      </c>
      <c r="BR37">
        <v>15</v>
      </c>
      <c r="BS37">
        <v>0.22</v>
      </c>
      <c r="BT37">
        <v>0.06</v>
      </c>
      <c r="BU37">
        <v>-8.6799290476190505E-2</v>
      </c>
      <c r="BV37">
        <v>-0.14819464675324701</v>
      </c>
      <c r="BW37">
        <v>2.11951364501815E-2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0.91390071428571396</v>
      </c>
      <c r="CD37">
        <v>-0.14952179220779299</v>
      </c>
      <c r="CE37">
        <v>2.0121254898248099E-2</v>
      </c>
      <c r="CF37">
        <v>0</v>
      </c>
      <c r="CG37">
        <v>1</v>
      </c>
      <c r="CH37">
        <v>2</v>
      </c>
      <c r="CI37" t="s">
        <v>299</v>
      </c>
      <c r="CJ37">
        <v>3.5324800000000001</v>
      </c>
      <c r="CK37">
        <v>2.7028099999999999</v>
      </c>
      <c r="CL37">
        <v>9.1727799999999998E-2</v>
      </c>
      <c r="CM37">
        <v>9.0425599999999995E-2</v>
      </c>
      <c r="CN37">
        <v>8.7063699999999994E-2</v>
      </c>
      <c r="CO37">
        <v>8.2465999999999998E-2</v>
      </c>
      <c r="CP37">
        <v>31901.200000000001</v>
      </c>
      <c r="CQ37">
        <v>28015.5</v>
      </c>
      <c r="CR37">
        <v>32502.1</v>
      </c>
      <c r="CS37">
        <v>30721.599999999999</v>
      </c>
      <c r="CT37">
        <v>40155</v>
      </c>
      <c r="CU37">
        <v>39620.1</v>
      </c>
      <c r="CV37">
        <v>47444.2</v>
      </c>
      <c r="CW37">
        <v>46829.1</v>
      </c>
      <c r="CX37">
        <v>2.6436999999999999</v>
      </c>
      <c r="CY37">
        <v>2.1992600000000002</v>
      </c>
      <c r="CZ37">
        <v>0</v>
      </c>
      <c r="DA37">
        <v>0</v>
      </c>
      <c r="DB37">
        <v>999.9</v>
      </c>
      <c r="DC37">
        <v>999.9</v>
      </c>
      <c r="DD37">
        <v>74.441000000000003</v>
      </c>
      <c r="DE37">
        <v>22.748999999999999</v>
      </c>
      <c r="DF37">
        <v>20.6783</v>
      </c>
      <c r="DG37">
        <v>27.5473</v>
      </c>
      <c r="DH37">
        <v>14.4071</v>
      </c>
      <c r="DI37">
        <v>2</v>
      </c>
      <c r="DJ37">
        <v>-0.22779099999999999</v>
      </c>
      <c r="DK37">
        <v>1.6484700000000001</v>
      </c>
      <c r="DL37">
        <v>20.202000000000002</v>
      </c>
      <c r="DM37">
        <v>5.2474800000000004</v>
      </c>
      <c r="DN37">
        <v>12.033899999999999</v>
      </c>
      <c r="DO37">
        <v>4.9668400000000004</v>
      </c>
      <c r="DP37">
        <v>3.2909999999999999</v>
      </c>
      <c r="DQ37">
        <v>9999</v>
      </c>
      <c r="DR37">
        <v>9999</v>
      </c>
      <c r="DS37">
        <v>9999</v>
      </c>
      <c r="DT37">
        <v>603.9</v>
      </c>
      <c r="DU37">
        <v>1.8709</v>
      </c>
      <c r="DV37">
        <v>1.8760399999999999</v>
      </c>
      <c r="DW37">
        <v>1.87622</v>
      </c>
      <c r="DX37">
        <v>1.88276</v>
      </c>
      <c r="DY37">
        <v>1.8754599999999999</v>
      </c>
      <c r="DZ37">
        <v>1.8745400000000001</v>
      </c>
      <c r="EA37">
        <v>1.8706199999999999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-1.1120000000000001</v>
      </c>
      <c r="EQ37">
        <v>0.1265</v>
      </c>
      <c r="ER37">
        <v>-1.1118999999999899</v>
      </c>
      <c r="ES37">
        <v>0</v>
      </c>
      <c r="ET37">
        <v>0</v>
      </c>
      <c r="EU37">
        <v>0</v>
      </c>
      <c r="EV37">
        <v>0.126579999999999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1.1523399999999999</v>
      </c>
      <c r="FG37">
        <v>2.5500500000000001</v>
      </c>
      <c r="FH37">
        <v>2.19604</v>
      </c>
      <c r="FI37">
        <v>2.5878899999999998</v>
      </c>
      <c r="FJ37">
        <v>2.4462899999999999</v>
      </c>
      <c r="FK37">
        <v>2.2619600000000002</v>
      </c>
      <c r="FL37">
        <v>28.248200000000001</v>
      </c>
      <c r="FM37">
        <v>24.148800000000001</v>
      </c>
      <c r="FN37">
        <v>19</v>
      </c>
      <c r="FO37">
        <v>861.45299999999997</v>
      </c>
      <c r="FP37">
        <v>613.89200000000005</v>
      </c>
      <c r="FQ37">
        <v>18.297699999999999</v>
      </c>
      <c r="FR37">
        <v>24.107299999999999</v>
      </c>
      <c r="FS37">
        <v>30.0002</v>
      </c>
      <c r="FT37">
        <v>24.072900000000001</v>
      </c>
      <c r="FU37">
        <v>24.0731</v>
      </c>
      <c r="FV37">
        <v>23.139900000000001</v>
      </c>
      <c r="FW37">
        <v>35.382100000000001</v>
      </c>
      <c r="FX37">
        <v>85.377899999999997</v>
      </c>
      <c r="FY37">
        <v>18.2942</v>
      </c>
      <c r="FZ37">
        <v>375</v>
      </c>
      <c r="GA37">
        <v>14.441700000000001</v>
      </c>
      <c r="GB37">
        <v>99.990899999999996</v>
      </c>
      <c r="GC37">
        <v>99.707999999999998</v>
      </c>
    </row>
    <row r="38" spans="1:185" x14ac:dyDescent="0.2">
      <c r="A38">
        <v>23</v>
      </c>
      <c r="B38">
        <v>1771085657</v>
      </c>
      <c r="C38">
        <v>337</v>
      </c>
      <c r="D38" t="s">
        <v>339</v>
      </c>
      <c r="E38" t="s">
        <v>340</v>
      </c>
      <c r="F38">
        <v>15</v>
      </c>
      <c r="G38">
        <v>1771085648.9333301</v>
      </c>
      <c r="H38">
        <f t="shared" si="0"/>
        <v>7.4950450781885393E-4</v>
      </c>
      <c r="I38">
        <v>0</v>
      </c>
      <c r="J38">
        <f t="shared" si="12"/>
        <v>-6.6060734637551138E-3</v>
      </c>
      <c r="K38">
        <f t="shared" si="1"/>
        <v>-0.1790637987571965</v>
      </c>
      <c r="L38">
        <f t="shared" si="2"/>
        <v>69.775814521049341</v>
      </c>
      <c r="M38">
        <f t="shared" si="3"/>
        <v>1.5390878832180579</v>
      </c>
      <c r="N38">
        <f t="shared" si="4"/>
        <v>2.2057612566511278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26209.760826917747</v>
      </c>
      <c r="T38">
        <f t="shared" si="8"/>
        <v>800.00040000000001</v>
      </c>
      <c r="U38">
        <f t="shared" si="9"/>
        <v>674.40053080009682</v>
      </c>
      <c r="V38">
        <f t="shared" si="10"/>
        <v>0.84300024200000001</v>
      </c>
      <c r="W38">
        <f t="shared" si="11"/>
        <v>0.15870060500000002</v>
      </c>
      <c r="X38">
        <v>1</v>
      </c>
      <c r="Y38">
        <v>1771085648.9333301</v>
      </c>
      <c r="Z38">
        <v>374.89466666666698</v>
      </c>
      <c r="AA38">
        <v>375.022066666667</v>
      </c>
      <c r="AB38">
        <v>15.385346666666701</v>
      </c>
      <c r="AC38">
        <v>14.4628933333333</v>
      </c>
      <c r="AD38">
        <v>376.006666666667</v>
      </c>
      <c r="AE38">
        <v>15.2587733333333</v>
      </c>
      <c r="AF38">
        <v>800.01133333333303</v>
      </c>
      <c r="AG38">
        <v>99.970946666666705</v>
      </c>
      <c r="AH38">
        <v>6.5010700000000005E-2</v>
      </c>
      <c r="AI38">
        <v>19.00422</v>
      </c>
      <c r="AJ38">
        <v>999.9</v>
      </c>
      <c r="AK38">
        <v>999.9</v>
      </c>
      <c r="AL38">
        <v>0</v>
      </c>
      <c r="AM38">
        <v>0</v>
      </c>
      <c r="AN38">
        <v>4999.2666666666701</v>
      </c>
      <c r="AO38">
        <v>0</v>
      </c>
      <c r="AP38">
        <v>1.9196299999999999</v>
      </c>
      <c r="AQ38">
        <v>-0.12753100000000001</v>
      </c>
      <c r="AR38">
        <v>380.75253333333302</v>
      </c>
      <c r="AS38">
        <v>380.5256</v>
      </c>
      <c r="AT38">
        <v>0.92245793333333304</v>
      </c>
      <c r="AU38">
        <v>375.022066666667</v>
      </c>
      <c r="AV38">
        <v>14.4628933333333</v>
      </c>
      <c r="AW38">
        <v>1.5380879999999999</v>
      </c>
      <c r="AX38">
        <v>1.44586866666667</v>
      </c>
      <c r="AY38">
        <v>13.352133333333301</v>
      </c>
      <c r="AZ38">
        <v>12.4074266666667</v>
      </c>
      <c r="BA38">
        <v>800.00040000000001</v>
      </c>
      <c r="BB38">
        <v>0.89999193333333305</v>
      </c>
      <c r="BC38">
        <v>0</v>
      </c>
      <c r="BD38">
        <v>0.10000806666666701</v>
      </c>
      <c r="BE38">
        <v>0</v>
      </c>
      <c r="BF38">
        <v>24</v>
      </c>
      <c r="BG38">
        <v>13191</v>
      </c>
      <c r="BH38">
        <v>1771085340</v>
      </c>
      <c r="BI38" t="s">
        <v>289</v>
      </c>
      <c r="BJ38">
        <v>1771085340</v>
      </c>
      <c r="BK38">
        <v>1771085340</v>
      </c>
      <c r="BL38">
        <v>1</v>
      </c>
      <c r="BM38">
        <v>-0.41699999999999998</v>
      </c>
      <c r="BN38">
        <v>1.4999999999999999E-2</v>
      </c>
      <c r="BO38">
        <v>-1.1120000000000001</v>
      </c>
      <c r="BP38">
        <v>0.127</v>
      </c>
      <c r="BQ38">
        <v>375</v>
      </c>
      <c r="BR38">
        <v>15</v>
      </c>
      <c r="BS38">
        <v>0.22</v>
      </c>
      <c r="BT38">
        <v>0.06</v>
      </c>
      <c r="BU38">
        <v>-0.12186443</v>
      </c>
      <c r="BV38">
        <v>-8.1407756390977595E-2</v>
      </c>
      <c r="BW38">
        <v>1.4591111260390701E-2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0.91828220000000005</v>
      </c>
      <c r="CD38">
        <v>9.0573112781954707E-2</v>
      </c>
      <c r="CE38">
        <v>9.0055814781723007E-3</v>
      </c>
      <c r="CF38">
        <v>1</v>
      </c>
      <c r="CG38">
        <v>2</v>
      </c>
      <c r="CH38">
        <v>2</v>
      </c>
      <c r="CI38" t="s">
        <v>310</v>
      </c>
      <c r="CJ38">
        <v>3.5325299999999999</v>
      </c>
      <c r="CK38">
        <v>2.7027100000000002</v>
      </c>
      <c r="CL38">
        <v>9.1726799999999997E-2</v>
      </c>
      <c r="CM38">
        <v>9.0425800000000001E-2</v>
      </c>
      <c r="CN38">
        <v>8.7132299999999996E-2</v>
      </c>
      <c r="CO38">
        <v>8.2465399999999994E-2</v>
      </c>
      <c r="CP38">
        <v>31901</v>
      </c>
      <c r="CQ38">
        <v>28015.5</v>
      </c>
      <c r="CR38">
        <v>32501.8</v>
      </c>
      <c r="CS38">
        <v>30721.599999999999</v>
      </c>
      <c r="CT38">
        <v>40151.599999999999</v>
      </c>
      <c r="CU38">
        <v>39620.199999999997</v>
      </c>
      <c r="CV38">
        <v>47443.8</v>
      </c>
      <c r="CW38">
        <v>46829.3</v>
      </c>
      <c r="CX38">
        <v>2.64344</v>
      </c>
      <c r="CY38">
        <v>2.1991000000000001</v>
      </c>
      <c r="CZ38">
        <v>0</v>
      </c>
      <c r="DA38">
        <v>0</v>
      </c>
      <c r="DB38">
        <v>999.9</v>
      </c>
      <c r="DC38">
        <v>999.9</v>
      </c>
      <c r="DD38">
        <v>74.367999999999995</v>
      </c>
      <c r="DE38">
        <v>22.768999999999998</v>
      </c>
      <c r="DF38">
        <v>20.6845</v>
      </c>
      <c r="DG38">
        <v>27.427299999999999</v>
      </c>
      <c r="DH38">
        <v>14.443099999999999</v>
      </c>
      <c r="DI38">
        <v>2</v>
      </c>
      <c r="DJ38">
        <v>-0.22736600000000001</v>
      </c>
      <c r="DK38">
        <v>1.65954</v>
      </c>
      <c r="DL38">
        <v>20.201899999999998</v>
      </c>
      <c r="DM38">
        <v>5.2472399999999997</v>
      </c>
      <c r="DN38">
        <v>12.033899999999999</v>
      </c>
      <c r="DO38">
        <v>4.96692</v>
      </c>
      <c r="DP38">
        <v>3.2909999999999999</v>
      </c>
      <c r="DQ38">
        <v>9999</v>
      </c>
      <c r="DR38">
        <v>9999</v>
      </c>
      <c r="DS38">
        <v>9999</v>
      </c>
      <c r="DT38">
        <v>603.9</v>
      </c>
      <c r="DU38">
        <v>1.87094</v>
      </c>
      <c r="DV38">
        <v>1.8760600000000001</v>
      </c>
      <c r="DW38">
        <v>1.87622</v>
      </c>
      <c r="DX38">
        <v>1.8827700000000001</v>
      </c>
      <c r="DY38">
        <v>1.87547</v>
      </c>
      <c r="DZ38">
        <v>1.8745700000000001</v>
      </c>
      <c r="EA38">
        <v>1.87066</v>
      </c>
      <c r="EB38">
        <v>1.8745499999999999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-1.1120000000000001</v>
      </c>
      <c r="EQ38">
        <v>0.12659999999999999</v>
      </c>
      <c r="ER38">
        <v>-1.1118999999999899</v>
      </c>
      <c r="ES38">
        <v>0</v>
      </c>
      <c r="ET38">
        <v>0</v>
      </c>
      <c r="EU38">
        <v>0</v>
      </c>
      <c r="EV38">
        <v>0.126579999999999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1.1523399999999999</v>
      </c>
      <c r="FG38">
        <v>2.5451700000000002</v>
      </c>
      <c r="FH38">
        <v>2.19604</v>
      </c>
      <c r="FI38">
        <v>2.5866699999999998</v>
      </c>
      <c r="FJ38">
        <v>2.4462899999999999</v>
      </c>
      <c r="FK38">
        <v>2.2644000000000002</v>
      </c>
      <c r="FL38">
        <v>28.269200000000001</v>
      </c>
      <c r="FM38">
        <v>24.148800000000001</v>
      </c>
      <c r="FN38">
        <v>19</v>
      </c>
      <c r="FO38">
        <v>861.31299999999999</v>
      </c>
      <c r="FP38">
        <v>613.83699999999999</v>
      </c>
      <c r="FQ38">
        <v>18.286899999999999</v>
      </c>
      <c r="FR38">
        <v>24.112100000000002</v>
      </c>
      <c r="FS38">
        <v>30.000299999999999</v>
      </c>
      <c r="FT38">
        <v>24.078900000000001</v>
      </c>
      <c r="FU38">
        <v>24.0792</v>
      </c>
      <c r="FV38">
        <v>23.137</v>
      </c>
      <c r="FW38">
        <v>35.382100000000001</v>
      </c>
      <c r="FX38">
        <v>85.002399999999994</v>
      </c>
      <c r="FY38">
        <v>18.281600000000001</v>
      </c>
      <c r="FZ38">
        <v>375</v>
      </c>
      <c r="GA38">
        <v>14.441700000000001</v>
      </c>
      <c r="GB38">
        <v>99.99</v>
      </c>
      <c r="GC38">
        <v>99.708299999999994</v>
      </c>
    </row>
    <row r="39" spans="1:185" x14ac:dyDescent="0.2">
      <c r="A39">
        <v>24</v>
      </c>
      <c r="B39">
        <v>1771085672</v>
      </c>
      <c r="C39">
        <v>352</v>
      </c>
      <c r="D39" t="s">
        <v>341</v>
      </c>
      <c r="E39" t="s">
        <v>342</v>
      </c>
      <c r="F39">
        <v>15</v>
      </c>
      <c r="G39">
        <v>1771085663.9333301</v>
      </c>
      <c r="H39">
        <f t="shared" si="0"/>
        <v>7.5291760130080264E-4</v>
      </c>
      <c r="I39">
        <v>0</v>
      </c>
      <c r="J39">
        <f t="shared" si="12"/>
        <v>-6.8855480401332943E-3</v>
      </c>
      <c r="K39">
        <f t="shared" si="1"/>
        <v>-0.18663921849433771</v>
      </c>
      <c r="L39">
        <f t="shared" si="2"/>
        <v>69.797536772460006</v>
      </c>
      <c r="M39">
        <f t="shared" si="3"/>
        <v>1.539442137406221</v>
      </c>
      <c r="N39">
        <f t="shared" si="4"/>
        <v>2.205582329394808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26206.851966654569</v>
      </c>
      <c r="T39">
        <f t="shared" si="8"/>
        <v>799.99959999999999</v>
      </c>
      <c r="U39">
        <f t="shared" si="9"/>
        <v>674.39989639988323</v>
      </c>
      <c r="V39">
        <f t="shared" si="10"/>
        <v>0.84300029200000004</v>
      </c>
      <c r="W39">
        <f t="shared" si="11"/>
        <v>0.15870072999999998</v>
      </c>
      <c r="X39">
        <v>1</v>
      </c>
      <c r="Y39">
        <v>1771085663.9333301</v>
      </c>
      <c r="Z39">
        <v>374.89846666666699</v>
      </c>
      <c r="AA39">
        <v>375.01799999999997</v>
      </c>
      <c r="AB39">
        <v>15.388873333333301</v>
      </c>
      <c r="AC39">
        <v>14.4622266666667</v>
      </c>
      <c r="AD39">
        <v>376.0104</v>
      </c>
      <c r="AE39">
        <v>15.2622866666667</v>
      </c>
      <c r="AF39">
        <v>800.01480000000004</v>
      </c>
      <c r="AG39">
        <v>99.970966666666698</v>
      </c>
      <c r="AH39">
        <v>6.5085619999999997E-2</v>
      </c>
      <c r="AI39">
        <v>19.00292</v>
      </c>
      <c r="AJ39">
        <v>999.9</v>
      </c>
      <c r="AK39">
        <v>999.9</v>
      </c>
      <c r="AL39">
        <v>0</v>
      </c>
      <c r="AM39">
        <v>0</v>
      </c>
      <c r="AN39">
        <v>4998.7666666666701</v>
      </c>
      <c r="AO39">
        <v>0</v>
      </c>
      <c r="AP39">
        <v>1.9196299999999999</v>
      </c>
      <c r="AQ39">
        <v>-0.11946198</v>
      </c>
      <c r="AR39">
        <v>380.75793333333303</v>
      </c>
      <c r="AS39">
        <v>380.52126666666697</v>
      </c>
      <c r="AT39">
        <v>0.92664040000000003</v>
      </c>
      <c r="AU39">
        <v>375.01799999999997</v>
      </c>
      <c r="AV39">
        <v>14.4622266666667</v>
      </c>
      <c r="AW39">
        <v>1.5384393333333299</v>
      </c>
      <c r="AX39">
        <v>1.4458026666666699</v>
      </c>
      <c r="AY39">
        <v>13.355653333333301</v>
      </c>
      <c r="AZ39">
        <v>12.40672</v>
      </c>
      <c r="BA39">
        <v>799.99959999999999</v>
      </c>
      <c r="BB39">
        <v>0.89999026666666704</v>
      </c>
      <c r="BC39">
        <v>0</v>
      </c>
      <c r="BD39">
        <v>0.100009733333333</v>
      </c>
      <c r="BE39">
        <v>0</v>
      </c>
      <c r="BF39">
        <v>24</v>
      </c>
      <c r="BG39">
        <v>13190.973333333301</v>
      </c>
      <c r="BH39">
        <v>1771085340</v>
      </c>
      <c r="BI39" t="s">
        <v>289</v>
      </c>
      <c r="BJ39">
        <v>1771085340</v>
      </c>
      <c r="BK39">
        <v>1771085340</v>
      </c>
      <c r="BL39">
        <v>1</v>
      </c>
      <c r="BM39">
        <v>-0.41699999999999998</v>
      </c>
      <c r="BN39">
        <v>1.4999999999999999E-2</v>
      </c>
      <c r="BO39">
        <v>-1.1120000000000001</v>
      </c>
      <c r="BP39">
        <v>0.127</v>
      </c>
      <c r="BQ39">
        <v>375</v>
      </c>
      <c r="BR39">
        <v>15</v>
      </c>
      <c r="BS39">
        <v>0.22</v>
      </c>
      <c r="BT39">
        <v>0.06</v>
      </c>
      <c r="BU39">
        <v>-0.122984366666667</v>
      </c>
      <c r="BV39">
        <v>6.0125968831168802E-2</v>
      </c>
      <c r="BW39">
        <v>1.6764881106684601E-2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0.92681085714285705</v>
      </c>
      <c r="CD39">
        <v>1.89405194805169E-3</v>
      </c>
      <c r="CE39">
        <v>1.26878679531779E-3</v>
      </c>
      <c r="CF39">
        <v>1</v>
      </c>
      <c r="CG39">
        <v>2</v>
      </c>
      <c r="CH39">
        <v>2</v>
      </c>
      <c r="CI39" t="s">
        <v>310</v>
      </c>
      <c r="CJ39">
        <v>3.53254</v>
      </c>
      <c r="CK39">
        <v>2.7027299999999999</v>
      </c>
      <c r="CL39">
        <v>9.1725899999999999E-2</v>
      </c>
      <c r="CM39">
        <v>9.0416300000000005E-2</v>
      </c>
      <c r="CN39">
        <v>8.7140800000000004E-2</v>
      </c>
      <c r="CO39">
        <v>8.2456000000000002E-2</v>
      </c>
      <c r="CP39">
        <v>31900.6</v>
      </c>
      <c r="CQ39">
        <v>28016.400000000001</v>
      </c>
      <c r="CR39">
        <v>32501.4</v>
      </c>
      <c r="CS39">
        <v>30722.2</v>
      </c>
      <c r="CT39">
        <v>40150.699999999997</v>
      </c>
      <c r="CU39">
        <v>39621.599999999999</v>
      </c>
      <c r="CV39">
        <v>47443.199999999997</v>
      </c>
      <c r="CW39">
        <v>46830.400000000001</v>
      </c>
      <c r="CX39">
        <v>2.64324</v>
      </c>
      <c r="CY39">
        <v>2.1992600000000002</v>
      </c>
      <c r="CZ39">
        <v>0</v>
      </c>
      <c r="DA39">
        <v>0</v>
      </c>
      <c r="DB39">
        <v>999.9</v>
      </c>
      <c r="DC39">
        <v>999.9</v>
      </c>
      <c r="DD39">
        <v>74.301000000000002</v>
      </c>
      <c r="DE39">
        <v>22.789000000000001</v>
      </c>
      <c r="DF39">
        <v>20.690100000000001</v>
      </c>
      <c r="DG39">
        <v>27.5473</v>
      </c>
      <c r="DH39">
        <v>14.431100000000001</v>
      </c>
      <c r="DI39">
        <v>2</v>
      </c>
      <c r="DJ39">
        <v>-0.22723399999999999</v>
      </c>
      <c r="DK39">
        <v>1.6629</v>
      </c>
      <c r="DL39">
        <v>20.201599999999999</v>
      </c>
      <c r="DM39">
        <v>5.2472399999999997</v>
      </c>
      <c r="DN39">
        <v>12.033899999999999</v>
      </c>
      <c r="DO39">
        <v>4.9672000000000001</v>
      </c>
      <c r="DP39">
        <v>3.2909999999999999</v>
      </c>
      <c r="DQ39">
        <v>9999</v>
      </c>
      <c r="DR39">
        <v>9999</v>
      </c>
      <c r="DS39">
        <v>9999</v>
      </c>
      <c r="DT39">
        <v>603.9</v>
      </c>
      <c r="DU39">
        <v>1.8709100000000001</v>
      </c>
      <c r="DV39">
        <v>1.87605</v>
      </c>
      <c r="DW39">
        <v>1.87622</v>
      </c>
      <c r="DX39">
        <v>1.8827499999999999</v>
      </c>
      <c r="DY39">
        <v>1.87547</v>
      </c>
      <c r="DZ39">
        <v>1.8745499999999999</v>
      </c>
      <c r="EA39">
        <v>1.8706100000000001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-1.1120000000000001</v>
      </c>
      <c r="EQ39">
        <v>0.1265</v>
      </c>
      <c r="ER39">
        <v>-1.1118999999999899</v>
      </c>
      <c r="ES39">
        <v>0</v>
      </c>
      <c r="ET39">
        <v>0</v>
      </c>
      <c r="EU39">
        <v>0</v>
      </c>
      <c r="EV39">
        <v>0.126579999999999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1.1523399999999999</v>
      </c>
      <c r="FG39">
        <v>2.5451700000000002</v>
      </c>
      <c r="FH39">
        <v>2.19604</v>
      </c>
      <c r="FI39">
        <v>2.5866699999999998</v>
      </c>
      <c r="FJ39">
        <v>2.4462899999999999</v>
      </c>
      <c r="FK39">
        <v>2.2509800000000002</v>
      </c>
      <c r="FL39">
        <v>28.290199999999999</v>
      </c>
      <c r="FM39">
        <v>24.148800000000001</v>
      </c>
      <c r="FN39">
        <v>19</v>
      </c>
      <c r="FO39">
        <v>861.23500000000001</v>
      </c>
      <c r="FP39">
        <v>614.03899999999999</v>
      </c>
      <c r="FQ39">
        <v>18.274699999999999</v>
      </c>
      <c r="FR39">
        <v>24.117000000000001</v>
      </c>
      <c r="FS39">
        <v>30.0002</v>
      </c>
      <c r="FT39">
        <v>24.0854</v>
      </c>
      <c r="FU39">
        <v>24.0852</v>
      </c>
      <c r="FV39">
        <v>23.136299999999999</v>
      </c>
      <c r="FW39">
        <v>35.382100000000001</v>
      </c>
      <c r="FX39">
        <v>84.621300000000005</v>
      </c>
      <c r="FY39">
        <v>18.2729</v>
      </c>
      <c r="FZ39">
        <v>375</v>
      </c>
      <c r="GA39">
        <v>14.441700000000001</v>
      </c>
      <c r="GB39">
        <v>99.988699999999994</v>
      </c>
      <c r="GC39">
        <v>99.710499999999996</v>
      </c>
    </row>
    <row r="40" spans="1:185" x14ac:dyDescent="0.2">
      <c r="A40">
        <v>25</v>
      </c>
      <c r="B40">
        <v>1771085687</v>
      </c>
      <c r="C40">
        <v>367</v>
      </c>
      <c r="D40" t="s">
        <v>343</v>
      </c>
      <c r="E40" t="s">
        <v>344</v>
      </c>
      <c r="F40">
        <v>15</v>
      </c>
      <c r="G40">
        <v>1771085678.9333301</v>
      </c>
      <c r="H40">
        <f t="shared" si="0"/>
        <v>7.5964466186294809E-4</v>
      </c>
      <c r="I40">
        <v>0</v>
      </c>
      <c r="J40">
        <f t="shared" si="12"/>
        <v>-6.7379435270158734E-3</v>
      </c>
      <c r="K40">
        <f t="shared" si="1"/>
        <v>-0.18263826013722495</v>
      </c>
      <c r="L40">
        <f t="shared" si="2"/>
        <v>69.820684936961825</v>
      </c>
      <c r="M40">
        <f t="shared" si="3"/>
        <v>1.5398911893642391</v>
      </c>
      <c r="N40">
        <f t="shared" si="4"/>
        <v>2.2054942468045717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26213.020918887996</v>
      </c>
      <c r="T40">
        <f t="shared" si="8"/>
        <v>799.99973333333298</v>
      </c>
      <c r="U40">
        <f t="shared" si="9"/>
        <v>674.39996719993565</v>
      </c>
      <c r="V40">
        <f t="shared" si="10"/>
        <v>0.84300023999999996</v>
      </c>
      <c r="W40">
        <f t="shared" si="11"/>
        <v>0.15870060000000002</v>
      </c>
      <c r="X40">
        <v>1</v>
      </c>
      <c r="Y40">
        <v>1771085678.9333301</v>
      </c>
      <c r="Z40">
        <v>374.87553333333301</v>
      </c>
      <c r="AA40">
        <v>375.00319999999999</v>
      </c>
      <c r="AB40">
        <v>15.393473333333301</v>
      </c>
      <c r="AC40">
        <v>14.458539999999999</v>
      </c>
      <c r="AD40">
        <v>375.98733333333303</v>
      </c>
      <c r="AE40">
        <v>15.2669</v>
      </c>
      <c r="AF40">
        <v>800.00473333333298</v>
      </c>
      <c r="AG40">
        <v>99.970386666666698</v>
      </c>
      <c r="AH40">
        <v>6.4943633333333306E-2</v>
      </c>
      <c r="AI40">
        <v>19.002279999999999</v>
      </c>
      <c r="AJ40">
        <v>999.9</v>
      </c>
      <c r="AK40">
        <v>999.9</v>
      </c>
      <c r="AL40">
        <v>0</v>
      </c>
      <c r="AM40">
        <v>0</v>
      </c>
      <c r="AN40">
        <v>4999.8</v>
      </c>
      <c r="AO40">
        <v>0</v>
      </c>
      <c r="AP40">
        <v>1.9196299999999999</v>
      </c>
      <c r="AQ40">
        <v>-0.12784028</v>
      </c>
      <c r="AR40">
        <v>380.73633333333299</v>
      </c>
      <c r="AS40">
        <v>380.504866666667</v>
      </c>
      <c r="AT40">
        <v>0.93493486666666703</v>
      </c>
      <c r="AU40">
        <v>375.00319999999999</v>
      </c>
      <c r="AV40">
        <v>14.458539999999999</v>
      </c>
      <c r="AW40">
        <v>1.5388919999999999</v>
      </c>
      <c r="AX40">
        <v>1.44542666666667</v>
      </c>
      <c r="AY40">
        <v>13.360146666666701</v>
      </c>
      <c r="AZ40">
        <v>12.402753333333299</v>
      </c>
      <c r="BA40">
        <v>799.99973333333298</v>
      </c>
      <c r="BB40">
        <v>0.89999200000000001</v>
      </c>
      <c r="BC40">
        <v>0</v>
      </c>
      <c r="BD40">
        <v>0.100008</v>
      </c>
      <c r="BE40">
        <v>0</v>
      </c>
      <c r="BF40">
        <v>24</v>
      </c>
      <c r="BG40">
        <v>13190.993333333299</v>
      </c>
      <c r="BH40">
        <v>1771085340</v>
      </c>
      <c r="BI40" t="s">
        <v>289</v>
      </c>
      <c r="BJ40">
        <v>1771085340</v>
      </c>
      <c r="BK40">
        <v>1771085340</v>
      </c>
      <c r="BL40">
        <v>1</v>
      </c>
      <c r="BM40">
        <v>-0.41699999999999998</v>
      </c>
      <c r="BN40">
        <v>1.4999999999999999E-2</v>
      </c>
      <c r="BO40">
        <v>-1.1120000000000001</v>
      </c>
      <c r="BP40">
        <v>0.127</v>
      </c>
      <c r="BQ40">
        <v>375</v>
      </c>
      <c r="BR40">
        <v>15</v>
      </c>
      <c r="BS40">
        <v>0.22</v>
      </c>
      <c r="BT40">
        <v>0.06</v>
      </c>
      <c r="BU40">
        <v>-0.125293025</v>
      </c>
      <c r="BV40">
        <v>-0.101945571428571</v>
      </c>
      <c r="BW40">
        <v>2.3918512839009799E-2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0.93326204999999995</v>
      </c>
      <c r="CD40">
        <v>3.0203052631579699E-2</v>
      </c>
      <c r="CE40">
        <v>3.42865217651194E-3</v>
      </c>
      <c r="CF40">
        <v>1</v>
      </c>
      <c r="CG40">
        <v>2</v>
      </c>
      <c r="CH40">
        <v>2</v>
      </c>
      <c r="CI40" t="s">
        <v>310</v>
      </c>
      <c r="CJ40">
        <v>3.5324900000000001</v>
      </c>
      <c r="CK40">
        <v>2.70296</v>
      </c>
      <c r="CL40">
        <v>9.1722200000000004E-2</v>
      </c>
      <c r="CM40">
        <v>9.04253E-2</v>
      </c>
      <c r="CN40">
        <v>8.7157899999999996E-2</v>
      </c>
      <c r="CO40">
        <v>8.2443000000000002E-2</v>
      </c>
      <c r="CP40">
        <v>31901.5</v>
      </c>
      <c r="CQ40">
        <v>28015.8</v>
      </c>
      <c r="CR40">
        <v>32502.2</v>
      </c>
      <c r="CS40">
        <v>30721.9</v>
      </c>
      <c r="CT40">
        <v>40151.199999999997</v>
      </c>
      <c r="CU40">
        <v>39621.699999999997</v>
      </c>
      <c r="CV40">
        <v>47444.800000000003</v>
      </c>
      <c r="CW40">
        <v>46829.8</v>
      </c>
      <c r="CX40">
        <v>2.6432600000000002</v>
      </c>
      <c r="CY40">
        <v>2.1987399999999999</v>
      </c>
      <c r="CZ40">
        <v>0</v>
      </c>
      <c r="DA40">
        <v>0</v>
      </c>
      <c r="DB40">
        <v>999.9</v>
      </c>
      <c r="DC40">
        <v>999.9</v>
      </c>
      <c r="DD40">
        <v>74.227999999999994</v>
      </c>
      <c r="DE40">
        <v>22.798999999999999</v>
      </c>
      <c r="DF40">
        <v>20.6828</v>
      </c>
      <c r="DG40">
        <v>27.6373</v>
      </c>
      <c r="DH40">
        <v>14.459099999999999</v>
      </c>
      <c r="DI40">
        <v>2</v>
      </c>
      <c r="DJ40">
        <v>-0.22659599999999999</v>
      </c>
      <c r="DK40">
        <v>1.66533</v>
      </c>
      <c r="DL40">
        <v>20.201799999999999</v>
      </c>
      <c r="DM40">
        <v>5.2472399999999997</v>
      </c>
      <c r="DN40">
        <v>12.033899999999999</v>
      </c>
      <c r="DO40">
        <v>4.9672799999999997</v>
      </c>
      <c r="DP40">
        <v>3.2909999999999999</v>
      </c>
      <c r="DQ40">
        <v>9999</v>
      </c>
      <c r="DR40">
        <v>9999</v>
      </c>
      <c r="DS40">
        <v>9999</v>
      </c>
      <c r="DT40">
        <v>603.9</v>
      </c>
      <c r="DU40">
        <v>1.8708899999999999</v>
      </c>
      <c r="DV40">
        <v>1.8760300000000001</v>
      </c>
      <c r="DW40">
        <v>1.8762099999999999</v>
      </c>
      <c r="DX40">
        <v>1.8827199999999999</v>
      </c>
      <c r="DY40">
        <v>1.8754599999999999</v>
      </c>
      <c r="DZ40">
        <v>1.8745499999999999</v>
      </c>
      <c r="EA40">
        <v>1.8706100000000001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-1.1120000000000001</v>
      </c>
      <c r="EQ40">
        <v>0.12659999999999999</v>
      </c>
      <c r="ER40">
        <v>-1.1118999999999899</v>
      </c>
      <c r="ES40">
        <v>0</v>
      </c>
      <c r="ET40">
        <v>0</v>
      </c>
      <c r="EU40">
        <v>0</v>
      </c>
      <c r="EV40">
        <v>0.126579999999999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1.1523399999999999</v>
      </c>
      <c r="FG40">
        <v>2.5451700000000002</v>
      </c>
      <c r="FH40">
        <v>2.19604</v>
      </c>
      <c r="FI40">
        <v>2.5866699999999998</v>
      </c>
      <c r="FJ40">
        <v>2.4462899999999999</v>
      </c>
      <c r="FK40">
        <v>2.2290000000000001</v>
      </c>
      <c r="FL40">
        <v>28.311199999999999</v>
      </c>
      <c r="FM40">
        <v>24.148800000000001</v>
      </c>
      <c r="FN40">
        <v>19</v>
      </c>
      <c r="FO40">
        <v>861.34699999999998</v>
      </c>
      <c r="FP40">
        <v>613.70100000000002</v>
      </c>
      <c r="FQ40">
        <v>18.2684</v>
      </c>
      <c r="FR40">
        <v>24.1219</v>
      </c>
      <c r="FS40">
        <v>30.0002</v>
      </c>
      <c r="FT40">
        <v>24.091100000000001</v>
      </c>
      <c r="FU40">
        <v>24.091699999999999</v>
      </c>
      <c r="FV40">
        <v>23.134</v>
      </c>
      <c r="FW40">
        <v>35.382100000000001</v>
      </c>
      <c r="FX40">
        <v>84.244500000000002</v>
      </c>
      <c r="FY40">
        <v>18.266100000000002</v>
      </c>
      <c r="FZ40">
        <v>375</v>
      </c>
      <c r="GA40">
        <v>14.441700000000001</v>
      </c>
      <c r="GB40">
        <v>99.991699999999994</v>
      </c>
      <c r="GC40">
        <v>99.709400000000002</v>
      </c>
    </row>
    <row r="41" spans="1:185" x14ac:dyDescent="0.2">
      <c r="A41">
        <v>26</v>
      </c>
      <c r="B41">
        <v>1771085702</v>
      </c>
      <c r="C41">
        <v>382</v>
      </c>
      <c r="D41" t="s">
        <v>345</v>
      </c>
      <c r="E41" t="s">
        <v>346</v>
      </c>
      <c r="F41">
        <v>15</v>
      </c>
      <c r="G41">
        <v>1771085693.9333301</v>
      </c>
      <c r="H41">
        <f t="shared" si="0"/>
        <v>7.678395346821399E-4</v>
      </c>
      <c r="I41">
        <v>0</v>
      </c>
      <c r="J41">
        <f t="shared" si="12"/>
        <v>-6.4892439953375099E-3</v>
      </c>
      <c r="K41">
        <f t="shared" si="1"/>
        <v>-0.17589702676526828</v>
      </c>
      <c r="L41">
        <f t="shared" si="2"/>
        <v>69.857714000910789</v>
      </c>
      <c r="M41">
        <f t="shared" si="3"/>
        <v>1.5405649367214775</v>
      </c>
      <c r="N41">
        <f t="shared" si="4"/>
        <v>2.205289650190088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26221.65594303652</v>
      </c>
      <c r="T41">
        <f t="shared" si="8"/>
        <v>799.999866666667</v>
      </c>
      <c r="U41">
        <f t="shared" si="9"/>
        <v>674.40004439997415</v>
      </c>
      <c r="V41">
        <f t="shared" si="10"/>
        <v>0.84300019599999998</v>
      </c>
      <c r="W41">
        <f t="shared" si="11"/>
        <v>0.15870049</v>
      </c>
      <c r="X41">
        <v>1</v>
      </c>
      <c r="Y41">
        <v>1771085693.9333301</v>
      </c>
      <c r="Z41">
        <v>374.8766</v>
      </c>
      <c r="AA41">
        <v>375.01653333333297</v>
      </c>
      <c r="AB41">
        <v>15.4001933333333</v>
      </c>
      <c r="AC41">
        <v>14.4551866666667</v>
      </c>
      <c r="AD41">
        <v>375.98846666666702</v>
      </c>
      <c r="AE41">
        <v>15.2736066666667</v>
      </c>
      <c r="AF41">
        <v>800.00986666666699</v>
      </c>
      <c r="AG41">
        <v>99.970446666666703</v>
      </c>
      <c r="AH41">
        <v>6.498168E-2</v>
      </c>
      <c r="AI41">
        <v>19.000793333333299</v>
      </c>
      <c r="AJ41">
        <v>999.9</v>
      </c>
      <c r="AK41">
        <v>999.9</v>
      </c>
      <c r="AL41">
        <v>0</v>
      </c>
      <c r="AM41">
        <v>0</v>
      </c>
      <c r="AN41">
        <v>5001.2</v>
      </c>
      <c r="AO41">
        <v>0</v>
      </c>
      <c r="AP41">
        <v>1.9196299999999999</v>
      </c>
      <c r="AQ41">
        <v>-0.13991906666666701</v>
      </c>
      <c r="AR41">
        <v>380.74006666666702</v>
      </c>
      <c r="AS41">
        <v>380.516866666667</v>
      </c>
      <c r="AT41">
        <v>0.94499693333333301</v>
      </c>
      <c r="AU41">
        <v>375.01653333333297</v>
      </c>
      <c r="AV41">
        <v>14.4551866666667</v>
      </c>
      <c r="AW41">
        <v>1.5395639999999999</v>
      </c>
      <c r="AX41">
        <v>1.4450906666666701</v>
      </c>
      <c r="AY41">
        <v>13.36684</v>
      </c>
      <c r="AZ41">
        <v>12.399240000000001</v>
      </c>
      <c r="BA41">
        <v>799.999866666667</v>
      </c>
      <c r="BB41">
        <v>0.89999346666666702</v>
      </c>
      <c r="BC41">
        <v>0</v>
      </c>
      <c r="BD41">
        <v>0.10000653333333299</v>
      </c>
      <c r="BE41">
        <v>0</v>
      </c>
      <c r="BF41">
        <v>24</v>
      </c>
      <c r="BG41">
        <v>13190.9866666667</v>
      </c>
      <c r="BH41">
        <v>1771085340</v>
      </c>
      <c r="BI41" t="s">
        <v>289</v>
      </c>
      <c r="BJ41">
        <v>1771085340</v>
      </c>
      <c r="BK41">
        <v>1771085340</v>
      </c>
      <c r="BL41">
        <v>1</v>
      </c>
      <c r="BM41">
        <v>-0.41699999999999998</v>
      </c>
      <c r="BN41">
        <v>1.4999999999999999E-2</v>
      </c>
      <c r="BO41">
        <v>-1.1120000000000001</v>
      </c>
      <c r="BP41">
        <v>0.127</v>
      </c>
      <c r="BQ41">
        <v>375</v>
      </c>
      <c r="BR41">
        <v>15</v>
      </c>
      <c r="BS41">
        <v>0.22</v>
      </c>
      <c r="BT41">
        <v>0.06</v>
      </c>
      <c r="BU41">
        <v>-0.14026904761904799</v>
      </c>
      <c r="BV41">
        <v>3.01895064935064E-2</v>
      </c>
      <c r="BW41">
        <v>1.7862445458548998E-2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0.94230800000000003</v>
      </c>
      <c r="CD41">
        <v>5.2888675324676698E-2</v>
      </c>
      <c r="CE41">
        <v>5.4864154227032601E-3</v>
      </c>
      <c r="CF41">
        <v>1</v>
      </c>
      <c r="CG41">
        <v>2</v>
      </c>
      <c r="CH41">
        <v>2</v>
      </c>
      <c r="CI41" t="s">
        <v>310</v>
      </c>
      <c r="CJ41">
        <v>3.5325099999999998</v>
      </c>
      <c r="CK41">
        <v>2.7027299999999999</v>
      </c>
      <c r="CL41">
        <v>9.1717099999999996E-2</v>
      </c>
      <c r="CM41">
        <v>9.0418799999999994E-2</v>
      </c>
      <c r="CN41">
        <v>8.7192599999999995E-2</v>
      </c>
      <c r="CO41">
        <v>8.2419000000000006E-2</v>
      </c>
      <c r="CP41">
        <v>31901.4</v>
      </c>
      <c r="CQ41">
        <v>28016.3</v>
      </c>
      <c r="CR41">
        <v>32502</v>
      </c>
      <c r="CS41">
        <v>30722.3</v>
      </c>
      <c r="CT41">
        <v>40149.599999999999</v>
      </c>
      <c r="CU41">
        <v>39623.5</v>
      </c>
      <c r="CV41">
        <v>47444.7</v>
      </c>
      <c r="CW41">
        <v>46830.8</v>
      </c>
      <c r="CX41">
        <v>2.6433599999999999</v>
      </c>
      <c r="CY41">
        <v>2.1986400000000001</v>
      </c>
      <c r="CZ41">
        <v>0</v>
      </c>
      <c r="DA41">
        <v>0</v>
      </c>
      <c r="DB41">
        <v>999.9</v>
      </c>
      <c r="DC41">
        <v>999.9</v>
      </c>
      <c r="DD41">
        <v>74.161000000000001</v>
      </c>
      <c r="DE41">
        <v>22.829000000000001</v>
      </c>
      <c r="DF41">
        <v>20.702000000000002</v>
      </c>
      <c r="DG41">
        <v>27.427299999999999</v>
      </c>
      <c r="DH41">
        <v>14.4671</v>
      </c>
      <c r="DI41">
        <v>2</v>
      </c>
      <c r="DJ41">
        <v>-0.22649</v>
      </c>
      <c r="DK41">
        <v>1.6458699999999999</v>
      </c>
      <c r="DL41">
        <v>20.202000000000002</v>
      </c>
      <c r="DM41">
        <v>5.2476000000000003</v>
      </c>
      <c r="DN41">
        <v>12.033899999999999</v>
      </c>
      <c r="DO41">
        <v>4.9669999999999996</v>
      </c>
      <c r="DP41">
        <v>3.2909999999999999</v>
      </c>
      <c r="DQ41">
        <v>9999</v>
      </c>
      <c r="DR41">
        <v>9999</v>
      </c>
      <c r="DS41">
        <v>9999</v>
      </c>
      <c r="DT41">
        <v>603.9</v>
      </c>
      <c r="DU41">
        <v>1.8709</v>
      </c>
      <c r="DV41">
        <v>1.87601</v>
      </c>
      <c r="DW41">
        <v>1.87622</v>
      </c>
      <c r="DX41">
        <v>1.8827499999999999</v>
      </c>
      <c r="DY41">
        <v>1.8754599999999999</v>
      </c>
      <c r="DZ41">
        <v>1.8745400000000001</v>
      </c>
      <c r="EA41">
        <v>1.8706</v>
      </c>
      <c r="EB41">
        <v>1.87456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-1.1120000000000001</v>
      </c>
      <c r="EQ41">
        <v>0.12659999999999999</v>
      </c>
      <c r="ER41">
        <v>-1.1118999999999899</v>
      </c>
      <c r="ES41">
        <v>0</v>
      </c>
      <c r="ET41">
        <v>0</v>
      </c>
      <c r="EU41">
        <v>0</v>
      </c>
      <c r="EV41">
        <v>0.126579999999999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1.1523399999999999</v>
      </c>
      <c r="FG41">
        <v>2.5427200000000001</v>
      </c>
      <c r="FH41">
        <v>2.19604</v>
      </c>
      <c r="FI41">
        <v>2.5866699999999998</v>
      </c>
      <c r="FJ41">
        <v>2.4462899999999999</v>
      </c>
      <c r="FK41">
        <v>2.2753899999999998</v>
      </c>
      <c r="FL41">
        <v>28.3322</v>
      </c>
      <c r="FM41">
        <v>24.157499999999999</v>
      </c>
      <c r="FN41">
        <v>19</v>
      </c>
      <c r="FO41">
        <v>861.53899999999999</v>
      </c>
      <c r="FP41">
        <v>613.69500000000005</v>
      </c>
      <c r="FQ41">
        <v>18.262599999999999</v>
      </c>
      <c r="FR41">
        <v>24.1267</v>
      </c>
      <c r="FS41">
        <v>30.000299999999999</v>
      </c>
      <c r="FT41">
        <v>24.097200000000001</v>
      </c>
      <c r="FU41">
        <v>24.0977</v>
      </c>
      <c r="FV41">
        <v>23.133900000000001</v>
      </c>
      <c r="FW41">
        <v>35.382100000000001</v>
      </c>
      <c r="FX41">
        <v>83.869299999999996</v>
      </c>
      <c r="FY41">
        <v>18.288</v>
      </c>
      <c r="FZ41">
        <v>375</v>
      </c>
      <c r="GA41">
        <v>14.441700000000001</v>
      </c>
      <c r="GB41">
        <v>99.991399999999999</v>
      </c>
      <c r="GC41">
        <v>99.711100000000002</v>
      </c>
    </row>
    <row r="42" spans="1:185" x14ac:dyDescent="0.2">
      <c r="A42">
        <v>27</v>
      </c>
      <c r="B42">
        <v>1771085717</v>
      </c>
      <c r="C42">
        <v>397</v>
      </c>
      <c r="D42" t="s">
        <v>347</v>
      </c>
      <c r="E42" t="s">
        <v>348</v>
      </c>
      <c r="F42">
        <v>15</v>
      </c>
      <c r="G42">
        <v>1771085708.9333301</v>
      </c>
      <c r="H42">
        <f t="shared" si="0"/>
        <v>7.7345970200894197E-4</v>
      </c>
      <c r="I42">
        <v>0</v>
      </c>
      <c r="J42">
        <f t="shared" si="12"/>
        <v>-5.9798156915699483E-3</v>
      </c>
      <c r="K42">
        <f t="shared" si="1"/>
        <v>-0.1620884962111436</v>
      </c>
      <c r="L42">
        <f t="shared" si="2"/>
        <v>69.868149271007141</v>
      </c>
      <c r="M42">
        <f t="shared" si="3"/>
        <v>1.5406380277077389</v>
      </c>
      <c r="N42">
        <f t="shared" si="4"/>
        <v>2.2050648883396864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26234.752921051877</v>
      </c>
      <c r="T42">
        <f t="shared" si="8"/>
        <v>800.00019999999995</v>
      </c>
      <c r="U42">
        <f t="shared" si="9"/>
        <v>674.40031100003557</v>
      </c>
      <c r="V42">
        <f t="shared" si="10"/>
        <v>0.84300017800000004</v>
      </c>
      <c r="W42">
        <f t="shared" si="11"/>
        <v>0.15870044499999997</v>
      </c>
      <c r="X42">
        <v>1</v>
      </c>
      <c r="Y42">
        <v>1771085708.9333301</v>
      </c>
      <c r="Z42">
        <v>374.84653333333301</v>
      </c>
      <c r="AA42">
        <v>375.00633333333298</v>
      </c>
      <c r="AB42">
        <v>15.400793333333301</v>
      </c>
      <c r="AC42">
        <v>14.44886</v>
      </c>
      <c r="AD42">
        <v>375.95833333333297</v>
      </c>
      <c r="AE42">
        <v>15.2742066666667</v>
      </c>
      <c r="AF42">
        <v>800.00120000000004</v>
      </c>
      <c r="AG42">
        <v>99.971293333333307</v>
      </c>
      <c r="AH42">
        <v>6.4983653333333294E-2</v>
      </c>
      <c r="AI42">
        <v>18.99916</v>
      </c>
      <c r="AJ42">
        <v>999.9</v>
      </c>
      <c r="AK42">
        <v>999.9</v>
      </c>
      <c r="AL42">
        <v>0</v>
      </c>
      <c r="AM42">
        <v>0</v>
      </c>
      <c r="AN42">
        <v>5003.3</v>
      </c>
      <c r="AO42">
        <v>0</v>
      </c>
      <c r="AP42">
        <v>1.9196299999999999</v>
      </c>
      <c r="AQ42">
        <v>-0.159706666666667</v>
      </c>
      <c r="AR42">
        <v>380.70966666666698</v>
      </c>
      <c r="AS42">
        <v>380.50400000000002</v>
      </c>
      <c r="AT42">
        <v>0.951938333333333</v>
      </c>
      <c r="AU42">
        <v>375.00633333333298</v>
      </c>
      <c r="AV42">
        <v>14.44886</v>
      </c>
      <c r="AW42">
        <v>1.5396386666666699</v>
      </c>
      <c r="AX42">
        <v>1.44447066666667</v>
      </c>
      <c r="AY42">
        <v>13.3675866666667</v>
      </c>
      <c r="AZ42">
        <v>12.3926933333333</v>
      </c>
      <c r="BA42">
        <v>800.00019999999995</v>
      </c>
      <c r="BB42">
        <v>0.89999406666666704</v>
      </c>
      <c r="BC42">
        <v>0</v>
      </c>
      <c r="BD42">
        <v>0.10000593333333301</v>
      </c>
      <c r="BE42">
        <v>0</v>
      </c>
      <c r="BF42">
        <v>24</v>
      </c>
      <c r="BG42">
        <v>13191.006666666701</v>
      </c>
      <c r="BH42">
        <v>1771085340</v>
      </c>
      <c r="BI42" t="s">
        <v>289</v>
      </c>
      <c r="BJ42">
        <v>1771085340</v>
      </c>
      <c r="BK42">
        <v>1771085340</v>
      </c>
      <c r="BL42">
        <v>1</v>
      </c>
      <c r="BM42">
        <v>-0.41699999999999998</v>
      </c>
      <c r="BN42">
        <v>1.4999999999999999E-2</v>
      </c>
      <c r="BO42">
        <v>-1.1120000000000001</v>
      </c>
      <c r="BP42">
        <v>0.127</v>
      </c>
      <c r="BQ42">
        <v>375</v>
      </c>
      <c r="BR42">
        <v>15</v>
      </c>
      <c r="BS42">
        <v>0.22</v>
      </c>
      <c r="BT42">
        <v>0.06</v>
      </c>
      <c r="BU42">
        <v>-0.15121614999999999</v>
      </c>
      <c r="BV42">
        <v>-0.17502572932330801</v>
      </c>
      <c r="BW42">
        <v>2.3918211127245698E-2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0.95131670000000002</v>
      </c>
      <c r="CD42">
        <v>-1.02857142855717E-4</v>
      </c>
      <c r="CE42">
        <v>2.4361657599596999E-3</v>
      </c>
      <c r="CF42">
        <v>1</v>
      </c>
      <c r="CG42">
        <v>2</v>
      </c>
      <c r="CH42">
        <v>2</v>
      </c>
      <c r="CI42" t="s">
        <v>310</v>
      </c>
      <c r="CJ42">
        <v>3.5325000000000002</v>
      </c>
      <c r="CK42">
        <v>2.7025800000000002</v>
      </c>
      <c r="CL42">
        <v>9.17129E-2</v>
      </c>
      <c r="CM42">
        <v>9.0417399999999995E-2</v>
      </c>
      <c r="CN42">
        <v>8.7167400000000006E-2</v>
      </c>
      <c r="CO42">
        <v>8.2396899999999995E-2</v>
      </c>
      <c r="CP42">
        <v>31901.1</v>
      </c>
      <c r="CQ42">
        <v>28016.7</v>
      </c>
      <c r="CR42">
        <v>32501.5</v>
      </c>
      <c r="CS42">
        <v>30722.7</v>
      </c>
      <c r="CT42">
        <v>40150</v>
      </c>
      <c r="CU42">
        <v>39625.1</v>
      </c>
      <c r="CV42">
        <v>47443.8</v>
      </c>
      <c r="CW42">
        <v>46831.4</v>
      </c>
      <c r="CX42">
        <v>2.6432600000000002</v>
      </c>
      <c r="CY42">
        <v>2.1979199999999999</v>
      </c>
      <c r="CZ42">
        <v>0</v>
      </c>
      <c r="DA42">
        <v>0</v>
      </c>
      <c r="DB42">
        <v>999.9</v>
      </c>
      <c r="DC42">
        <v>999.9</v>
      </c>
      <c r="DD42">
        <v>74.069000000000003</v>
      </c>
      <c r="DE42">
        <v>22.838999999999999</v>
      </c>
      <c r="DF42">
        <v>20.688600000000001</v>
      </c>
      <c r="DG42">
        <v>27.517299999999999</v>
      </c>
      <c r="DH42">
        <v>14.4671</v>
      </c>
      <c r="DI42">
        <v>2</v>
      </c>
      <c r="DJ42">
        <v>-0.22612599999999999</v>
      </c>
      <c r="DK42">
        <v>1.63168</v>
      </c>
      <c r="DL42">
        <v>20.201699999999999</v>
      </c>
      <c r="DM42">
        <v>5.2453200000000004</v>
      </c>
      <c r="DN42">
        <v>12.033899999999999</v>
      </c>
      <c r="DO42">
        <v>4.9663199999999996</v>
      </c>
      <c r="DP42">
        <v>3.2906399999999998</v>
      </c>
      <c r="DQ42">
        <v>9999</v>
      </c>
      <c r="DR42">
        <v>9999</v>
      </c>
      <c r="DS42">
        <v>9999</v>
      </c>
      <c r="DT42">
        <v>603.9</v>
      </c>
      <c r="DU42">
        <v>1.8709100000000001</v>
      </c>
      <c r="DV42">
        <v>1.8760399999999999</v>
      </c>
      <c r="DW42">
        <v>1.87622</v>
      </c>
      <c r="DX42">
        <v>1.8827400000000001</v>
      </c>
      <c r="DY42">
        <v>1.8754599999999999</v>
      </c>
      <c r="DZ42">
        <v>1.8745400000000001</v>
      </c>
      <c r="EA42">
        <v>1.8706199999999999</v>
      </c>
      <c r="EB42">
        <v>1.87456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-1.1120000000000001</v>
      </c>
      <c r="EQ42">
        <v>0.12659999999999999</v>
      </c>
      <c r="ER42">
        <v>-1.1118999999999899</v>
      </c>
      <c r="ES42">
        <v>0</v>
      </c>
      <c r="ET42">
        <v>0</v>
      </c>
      <c r="EU42">
        <v>0</v>
      </c>
      <c r="EV42">
        <v>0.126579999999999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1.1523399999999999</v>
      </c>
      <c r="FG42">
        <v>2.5463900000000002</v>
      </c>
      <c r="FH42">
        <v>2.19604</v>
      </c>
      <c r="FI42">
        <v>2.5866699999999998</v>
      </c>
      <c r="FJ42">
        <v>2.4462899999999999</v>
      </c>
      <c r="FK42">
        <v>2.2656200000000002</v>
      </c>
      <c r="FL42">
        <v>28.374199999999998</v>
      </c>
      <c r="FM42">
        <v>24.157499999999999</v>
      </c>
      <c r="FN42">
        <v>19</v>
      </c>
      <c r="FO42">
        <v>861.53899999999999</v>
      </c>
      <c r="FP42">
        <v>613.18700000000001</v>
      </c>
      <c r="FQ42">
        <v>18.291899999999998</v>
      </c>
      <c r="FR42">
        <v>24.1312</v>
      </c>
      <c r="FS42">
        <v>30.0002</v>
      </c>
      <c r="FT42">
        <v>24.102799999999998</v>
      </c>
      <c r="FU42">
        <v>24.103400000000001</v>
      </c>
      <c r="FV42">
        <v>23.133099999999999</v>
      </c>
      <c r="FW42">
        <v>35.382100000000001</v>
      </c>
      <c r="FX42">
        <v>83.49</v>
      </c>
      <c r="FY42">
        <v>18.2897</v>
      </c>
      <c r="FZ42">
        <v>375</v>
      </c>
      <c r="GA42">
        <v>14.441700000000001</v>
      </c>
      <c r="GB42">
        <v>99.989599999999996</v>
      </c>
      <c r="GC42">
        <v>99.712400000000002</v>
      </c>
    </row>
    <row r="43" spans="1:185" x14ac:dyDescent="0.2">
      <c r="A43">
        <v>28</v>
      </c>
      <c r="B43">
        <v>1771085732</v>
      </c>
      <c r="C43">
        <v>412</v>
      </c>
      <c r="D43" t="s">
        <v>349</v>
      </c>
      <c r="E43" t="s">
        <v>350</v>
      </c>
      <c r="F43">
        <v>15</v>
      </c>
      <c r="G43">
        <v>1771085723.9333301</v>
      </c>
      <c r="H43">
        <f t="shared" si="0"/>
        <v>7.7530996322165723E-4</v>
      </c>
      <c r="I43">
        <v>0</v>
      </c>
      <c r="J43">
        <f t="shared" si="12"/>
        <v>-5.974112157879837E-3</v>
      </c>
      <c r="K43">
        <f t="shared" si="1"/>
        <v>-0.16193389659694093</v>
      </c>
      <c r="L43">
        <f t="shared" si="2"/>
        <v>69.840672433220888</v>
      </c>
      <c r="M43">
        <f t="shared" si="3"/>
        <v>1.5401871985629967</v>
      </c>
      <c r="N43">
        <f t="shared" si="4"/>
        <v>2.2052868978827025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26178.289053993522</v>
      </c>
      <c r="T43">
        <f t="shared" si="8"/>
        <v>799.99926666666704</v>
      </c>
      <c r="U43">
        <f t="shared" si="9"/>
        <v>674.39949699989472</v>
      </c>
      <c r="V43">
        <f t="shared" si="10"/>
        <v>0.84300014400000001</v>
      </c>
      <c r="W43">
        <f t="shared" si="11"/>
        <v>0.15870035999999998</v>
      </c>
      <c r="X43">
        <v>1</v>
      </c>
      <c r="Y43">
        <v>1771085723.9333301</v>
      </c>
      <c r="Z43">
        <v>374.8546</v>
      </c>
      <c r="AA43">
        <v>375.01546666666701</v>
      </c>
      <c r="AB43">
        <v>15.3965</v>
      </c>
      <c r="AC43">
        <v>14.4422933333333</v>
      </c>
      <c r="AD43">
        <v>375.96640000000002</v>
      </c>
      <c r="AE43">
        <v>15.269920000000001</v>
      </c>
      <c r="AF43">
        <v>800.00793333333297</v>
      </c>
      <c r="AG43">
        <v>99.96996</v>
      </c>
      <c r="AH43">
        <v>6.4930953333333305E-2</v>
      </c>
      <c r="AI43">
        <v>19.000773333333299</v>
      </c>
      <c r="AJ43">
        <v>999.9</v>
      </c>
      <c r="AK43">
        <v>999.9</v>
      </c>
      <c r="AL43">
        <v>0</v>
      </c>
      <c r="AM43">
        <v>0</v>
      </c>
      <c r="AN43">
        <v>4994.0666666666702</v>
      </c>
      <c r="AO43">
        <v>0</v>
      </c>
      <c r="AP43">
        <v>1.9196299999999999</v>
      </c>
      <c r="AQ43">
        <v>-0.160882466666667</v>
      </c>
      <c r="AR43">
        <v>380.71620000000001</v>
      </c>
      <c r="AS43">
        <v>380.51093333333301</v>
      </c>
      <c r="AT43">
        <v>0.95420373333333297</v>
      </c>
      <c r="AU43">
        <v>375.01546666666701</v>
      </c>
      <c r="AV43">
        <v>14.4422933333333</v>
      </c>
      <c r="AW43">
        <v>1.539188</v>
      </c>
      <c r="AX43">
        <v>1.4437960000000001</v>
      </c>
      <c r="AY43">
        <v>13.363099999999999</v>
      </c>
      <c r="AZ43">
        <v>12.3855866666667</v>
      </c>
      <c r="BA43">
        <v>799.99926666666704</v>
      </c>
      <c r="BB43">
        <v>0.8999952</v>
      </c>
      <c r="BC43">
        <v>0</v>
      </c>
      <c r="BD43">
        <v>0.1000048</v>
      </c>
      <c r="BE43">
        <v>0</v>
      </c>
      <c r="BF43">
        <v>24</v>
      </c>
      <c r="BG43">
        <v>13190.993333333299</v>
      </c>
      <c r="BH43">
        <v>1771085340</v>
      </c>
      <c r="BI43" t="s">
        <v>289</v>
      </c>
      <c r="BJ43">
        <v>1771085340</v>
      </c>
      <c r="BK43">
        <v>1771085340</v>
      </c>
      <c r="BL43">
        <v>1</v>
      </c>
      <c r="BM43">
        <v>-0.41699999999999998</v>
      </c>
      <c r="BN43">
        <v>1.4999999999999999E-2</v>
      </c>
      <c r="BO43">
        <v>-1.1120000000000001</v>
      </c>
      <c r="BP43">
        <v>0.127</v>
      </c>
      <c r="BQ43">
        <v>375</v>
      </c>
      <c r="BR43">
        <v>15</v>
      </c>
      <c r="BS43">
        <v>0.22</v>
      </c>
      <c r="BT43">
        <v>0.06</v>
      </c>
      <c r="BU43">
        <v>-0.163562571428571</v>
      </c>
      <c r="BV43">
        <v>1.61072727272723E-2</v>
      </c>
      <c r="BW43">
        <v>1.2558509790164599E-2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0.95290495238095196</v>
      </c>
      <c r="CD43">
        <v>1.8583324675324399E-2</v>
      </c>
      <c r="CE43">
        <v>2.2600050458475201E-3</v>
      </c>
      <c r="CF43">
        <v>1</v>
      </c>
      <c r="CG43">
        <v>2</v>
      </c>
      <c r="CH43">
        <v>2</v>
      </c>
      <c r="CI43" t="s">
        <v>310</v>
      </c>
      <c r="CJ43">
        <v>3.5325500000000001</v>
      </c>
      <c r="CK43">
        <v>2.70262</v>
      </c>
      <c r="CL43">
        <v>9.1712100000000005E-2</v>
      </c>
      <c r="CM43">
        <v>9.0420299999999995E-2</v>
      </c>
      <c r="CN43">
        <v>8.7142800000000006E-2</v>
      </c>
      <c r="CO43">
        <v>8.2364400000000004E-2</v>
      </c>
      <c r="CP43">
        <v>31901.1</v>
      </c>
      <c r="CQ43">
        <v>28016.6</v>
      </c>
      <c r="CR43">
        <v>32501.5</v>
      </c>
      <c r="CS43">
        <v>30722.7</v>
      </c>
      <c r="CT43">
        <v>40151.300000000003</v>
      </c>
      <c r="CU43">
        <v>39626.6</v>
      </c>
      <c r="CV43">
        <v>47444</v>
      </c>
      <c r="CW43">
        <v>46831.5</v>
      </c>
      <c r="CX43">
        <v>2.6431800000000001</v>
      </c>
      <c r="CY43">
        <v>2.1978200000000001</v>
      </c>
      <c r="CZ43">
        <v>0</v>
      </c>
      <c r="DA43">
        <v>0</v>
      </c>
      <c r="DB43">
        <v>999.9</v>
      </c>
      <c r="DC43">
        <v>999.9</v>
      </c>
      <c r="DD43">
        <v>73.995999999999995</v>
      </c>
      <c r="DE43">
        <v>22.86</v>
      </c>
      <c r="DF43">
        <v>20.695900000000002</v>
      </c>
      <c r="DG43">
        <v>27.5473</v>
      </c>
      <c r="DH43">
        <v>14.463100000000001</v>
      </c>
      <c r="DI43">
        <v>2</v>
      </c>
      <c r="DJ43">
        <v>-0.22597200000000001</v>
      </c>
      <c r="DK43">
        <v>1.6543699999999999</v>
      </c>
      <c r="DL43">
        <v>20.202200000000001</v>
      </c>
      <c r="DM43">
        <v>5.2473599999999996</v>
      </c>
      <c r="DN43">
        <v>12.033899999999999</v>
      </c>
      <c r="DO43">
        <v>4.9671599999999998</v>
      </c>
      <c r="DP43">
        <v>3.2909999999999999</v>
      </c>
      <c r="DQ43">
        <v>9999</v>
      </c>
      <c r="DR43">
        <v>9999</v>
      </c>
      <c r="DS43">
        <v>9999</v>
      </c>
      <c r="DT43">
        <v>603.9</v>
      </c>
      <c r="DU43">
        <v>1.8709</v>
      </c>
      <c r="DV43">
        <v>1.8760399999999999</v>
      </c>
      <c r="DW43">
        <v>1.8762099999999999</v>
      </c>
      <c r="DX43">
        <v>1.8827</v>
      </c>
      <c r="DY43">
        <v>1.8754500000000001</v>
      </c>
      <c r="DZ43">
        <v>1.8745400000000001</v>
      </c>
      <c r="EA43">
        <v>1.87059</v>
      </c>
      <c r="EB43">
        <v>1.8745499999999999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-1.1120000000000001</v>
      </c>
      <c r="EQ43">
        <v>0.1265</v>
      </c>
      <c r="ER43">
        <v>-1.1118999999999899</v>
      </c>
      <c r="ES43">
        <v>0</v>
      </c>
      <c r="ET43">
        <v>0</v>
      </c>
      <c r="EU43">
        <v>0</v>
      </c>
      <c r="EV43">
        <v>0.126579999999999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1.1523399999999999</v>
      </c>
      <c r="FG43">
        <v>2.5451700000000002</v>
      </c>
      <c r="FH43">
        <v>2.19604</v>
      </c>
      <c r="FI43">
        <v>2.5866699999999998</v>
      </c>
      <c r="FJ43">
        <v>2.4462899999999999</v>
      </c>
      <c r="FK43">
        <v>2.2570800000000002</v>
      </c>
      <c r="FL43">
        <v>28.374199999999998</v>
      </c>
      <c r="FM43">
        <v>24.157499999999999</v>
      </c>
      <c r="FN43">
        <v>19</v>
      </c>
      <c r="FO43">
        <v>861.55899999999997</v>
      </c>
      <c r="FP43">
        <v>613.18100000000004</v>
      </c>
      <c r="FQ43">
        <v>18.291</v>
      </c>
      <c r="FR43">
        <v>24.136500000000002</v>
      </c>
      <c r="FS43">
        <v>30.0002</v>
      </c>
      <c r="FT43">
        <v>24.108499999999999</v>
      </c>
      <c r="FU43">
        <v>24.109400000000001</v>
      </c>
      <c r="FV43">
        <v>23.130400000000002</v>
      </c>
      <c r="FW43">
        <v>35.382100000000001</v>
      </c>
      <c r="FX43">
        <v>83.114999999999995</v>
      </c>
      <c r="FY43">
        <v>18.287800000000001</v>
      </c>
      <c r="FZ43">
        <v>375</v>
      </c>
      <c r="GA43">
        <v>14.441700000000001</v>
      </c>
      <c r="GB43">
        <v>99.989800000000002</v>
      </c>
      <c r="GC43">
        <v>99.712400000000002</v>
      </c>
    </row>
    <row r="44" spans="1:185" x14ac:dyDescent="0.2">
      <c r="A44">
        <v>29</v>
      </c>
      <c r="B44">
        <v>1771086000</v>
      </c>
      <c r="C44">
        <v>680</v>
      </c>
      <c r="D44" t="s">
        <v>351</v>
      </c>
      <c r="E44" t="s">
        <v>352</v>
      </c>
      <c r="F44">
        <v>15</v>
      </c>
      <c r="G44">
        <v>1771085992</v>
      </c>
      <c r="H44">
        <f t="shared" si="0"/>
        <v>-3.8095681702435242E-4</v>
      </c>
      <c r="I44">
        <v>0</v>
      </c>
      <c r="J44">
        <f t="shared" si="12"/>
        <v>-1.1574003411522729</v>
      </c>
      <c r="K44">
        <f t="shared" si="1"/>
        <v>-31.372418564021562</v>
      </c>
      <c r="L44">
        <f t="shared" si="2"/>
        <v>70.723647923842748</v>
      </c>
      <c r="M44">
        <f t="shared" si="3"/>
        <v>1.5553685307693534</v>
      </c>
      <c r="N44">
        <f t="shared" si="4"/>
        <v>2.1992198881542691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26242.140650068239</v>
      </c>
      <c r="T44">
        <f t="shared" si="8"/>
        <v>799.99933333333297</v>
      </c>
      <c r="U44">
        <f t="shared" si="9"/>
        <v>674.39959319987031</v>
      </c>
      <c r="V44">
        <f t="shared" si="10"/>
        <v>0.84300019399999992</v>
      </c>
      <c r="W44">
        <f t="shared" si="11"/>
        <v>0.15870048500000003</v>
      </c>
      <c r="X44">
        <v>1</v>
      </c>
      <c r="Y44">
        <v>1771085992</v>
      </c>
      <c r="Z44">
        <v>189.97640000000001</v>
      </c>
      <c r="AA44">
        <v>150.670266666667</v>
      </c>
      <c r="AB44">
        <v>15.5490733333333</v>
      </c>
      <c r="AC44">
        <v>16.017866666666698</v>
      </c>
      <c r="AD44">
        <v>190.64240000000001</v>
      </c>
      <c r="AE44">
        <v>15.4090733333333</v>
      </c>
      <c r="AF44">
        <v>799.99706666666702</v>
      </c>
      <c r="AG44">
        <v>99.964866666666694</v>
      </c>
      <c r="AH44">
        <v>6.4794099999999993E-2</v>
      </c>
      <c r="AI44">
        <v>18.956633333333301</v>
      </c>
      <c r="AJ44">
        <v>999.9</v>
      </c>
      <c r="AK44">
        <v>999.9</v>
      </c>
      <c r="AL44">
        <v>0</v>
      </c>
      <c r="AM44">
        <v>0</v>
      </c>
      <c r="AN44">
        <v>5004.1666666666697</v>
      </c>
      <c r="AO44">
        <v>0</v>
      </c>
      <c r="AP44">
        <v>1.92347</v>
      </c>
      <c r="AQ44">
        <v>38.860326666666701</v>
      </c>
      <c r="AR44">
        <v>192.518333333333</v>
      </c>
      <c r="AS44">
        <v>153.12299999999999</v>
      </c>
      <c r="AT44">
        <v>-0.482225233333334</v>
      </c>
      <c r="AU44">
        <v>150.670266666667</v>
      </c>
      <c r="AV44">
        <v>16.017866666666698</v>
      </c>
      <c r="AW44">
        <v>1.553018</v>
      </c>
      <c r="AX44">
        <v>1.601224</v>
      </c>
      <c r="AY44">
        <v>13.498806666666701</v>
      </c>
      <c r="AZ44">
        <v>13.9700133333333</v>
      </c>
      <c r="BA44">
        <v>799.99933333333297</v>
      </c>
      <c r="BB44">
        <v>0.89999353333333298</v>
      </c>
      <c r="BC44">
        <v>0</v>
      </c>
      <c r="BD44">
        <v>0.100006466666667</v>
      </c>
      <c r="BE44">
        <v>0</v>
      </c>
      <c r="BF44">
        <v>24</v>
      </c>
      <c r="BG44">
        <v>13190.9866666667</v>
      </c>
      <c r="BH44">
        <v>1771086026</v>
      </c>
      <c r="BI44" t="s">
        <v>353</v>
      </c>
      <c r="BJ44">
        <v>1771086026</v>
      </c>
      <c r="BK44">
        <v>1771086020</v>
      </c>
      <c r="BL44">
        <v>2</v>
      </c>
      <c r="BM44">
        <v>0.44600000000000001</v>
      </c>
      <c r="BN44">
        <v>1.2999999999999999E-2</v>
      </c>
      <c r="BO44">
        <v>-0.66600000000000004</v>
      </c>
      <c r="BP44">
        <v>0.14000000000000001</v>
      </c>
      <c r="BQ44">
        <v>150</v>
      </c>
      <c r="BR44">
        <v>15</v>
      </c>
      <c r="BS44">
        <v>0.05</v>
      </c>
      <c r="BT44">
        <v>0.13</v>
      </c>
      <c r="BU44">
        <v>51.3904285714286</v>
      </c>
      <c r="BV44">
        <v>-227.04996623376601</v>
      </c>
      <c r="BW44">
        <v>23.317060876210299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-0.70600611904761901</v>
      </c>
      <c r="CD44">
        <v>4.6420945714285704</v>
      </c>
      <c r="CE44">
        <v>0.47612215185941098</v>
      </c>
      <c r="CF44">
        <v>0</v>
      </c>
      <c r="CG44">
        <v>0</v>
      </c>
      <c r="CH44">
        <v>2</v>
      </c>
      <c r="CI44" t="s">
        <v>290</v>
      </c>
      <c r="CJ44">
        <v>3.5325000000000002</v>
      </c>
      <c r="CK44">
        <v>2.7027299999999999</v>
      </c>
      <c r="CL44">
        <v>4.7228800000000001E-2</v>
      </c>
      <c r="CM44">
        <v>4.15827E-2</v>
      </c>
      <c r="CN44">
        <v>8.9137999999999995E-2</v>
      </c>
      <c r="CO44">
        <v>8.7537299999999998E-2</v>
      </c>
      <c r="CP44">
        <v>33461.9</v>
      </c>
      <c r="CQ44">
        <v>29524.5</v>
      </c>
      <c r="CR44">
        <v>32500.2</v>
      </c>
      <c r="CS44">
        <v>30727</v>
      </c>
      <c r="CT44">
        <v>40056.9</v>
      </c>
      <c r="CU44">
        <v>39398.699999999997</v>
      </c>
      <c r="CV44">
        <v>47444.6</v>
      </c>
      <c r="CW44">
        <v>46840.4</v>
      </c>
      <c r="CX44">
        <v>2.6402999999999999</v>
      </c>
      <c r="CY44">
        <v>2.1936</v>
      </c>
      <c r="CZ44">
        <v>0</v>
      </c>
      <c r="DA44">
        <v>0</v>
      </c>
      <c r="DB44">
        <v>999.9</v>
      </c>
      <c r="DC44">
        <v>999.9</v>
      </c>
      <c r="DD44">
        <v>72.659000000000006</v>
      </c>
      <c r="DE44">
        <v>23.181999999999999</v>
      </c>
      <c r="DF44">
        <v>20.721900000000002</v>
      </c>
      <c r="DG44">
        <v>27.6173</v>
      </c>
      <c r="DH44">
        <v>14.7196</v>
      </c>
      <c r="DI44">
        <v>2</v>
      </c>
      <c r="DJ44">
        <v>-0.218142</v>
      </c>
      <c r="DK44">
        <v>1.4987699999999999</v>
      </c>
      <c r="DL44">
        <v>20.2042</v>
      </c>
      <c r="DM44">
        <v>5.2484400000000004</v>
      </c>
      <c r="DN44">
        <v>12.033899999999999</v>
      </c>
      <c r="DO44">
        <v>4.9666800000000002</v>
      </c>
      <c r="DP44">
        <v>3.2906399999999998</v>
      </c>
      <c r="DQ44">
        <v>9999</v>
      </c>
      <c r="DR44">
        <v>9999</v>
      </c>
      <c r="DS44">
        <v>9999</v>
      </c>
      <c r="DT44">
        <v>604</v>
      </c>
      <c r="DU44">
        <v>1.8709199999999999</v>
      </c>
      <c r="DV44">
        <v>1.8760300000000001</v>
      </c>
      <c r="DW44">
        <v>1.87622</v>
      </c>
      <c r="DX44">
        <v>1.88276</v>
      </c>
      <c r="DY44">
        <v>1.8754599999999999</v>
      </c>
      <c r="DZ44">
        <v>1.8745400000000001</v>
      </c>
      <c r="EA44">
        <v>1.8707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-0.66600000000000004</v>
      </c>
      <c r="EQ44">
        <v>0.14000000000000001</v>
      </c>
      <c r="ER44">
        <v>-1.1118999999999899</v>
      </c>
      <c r="ES44">
        <v>0</v>
      </c>
      <c r="ET44">
        <v>0</v>
      </c>
      <c r="EU44">
        <v>0</v>
      </c>
      <c r="EV44">
        <v>0.126579999999999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11</v>
      </c>
      <c r="FE44">
        <v>11</v>
      </c>
      <c r="FF44">
        <v>0.56762699999999999</v>
      </c>
      <c r="FG44">
        <v>2.5585900000000001</v>
      </c>
      <c r="FH44">
        <v>2.19604</v>
      </c>
      <c r="FI44">
        <v>2.5842299999999998</v>
      </c>
      <c r="FJ44">
        <v>2.4462899999999999</v>
      </c>
      <c r="FK44">
        <v>2.2607400000000002</v>
      </c>
      <c r="FL44">
        <v>28.732299999999999</v>
      </c>
      <c r="FM44">
        <v>24.148800000000001</v>
      </c>
      <c r="FN44">
        <v>19</v>
      </c>
      <c r="FO44">
        <v>860.93899999999996</v>
      </c>
      <c r="FP44">
        <v>611.28</v>
      </c>
      <c r="FQ44">
        <v>17.579499999999999</v>
      </c>
      <c r="FR44">
        <v>24.2608</v>
      </c>
      <c r="FS44">
        <v>29.998000000000001</v>
      </c>
      <c r="FT44">
        <v>24.232700000000001</v>
      </c>
      <c r="FU44">
        <v>24.230899999999998</v>
      </c>
      <c r="FV44">
        <v>11.403600000000001</v>
      </c>
      <c r="FW44">
        <v>30.693999999999999</v>
      </c>
      <c r="FX44">
        <v>79.746300000000005</v>
      </c>
      <c r="FY44">
        <v>17.643699999999999</v>
      </c>
      <c r="FZ44">
        <v>150</v>
      </c>
      <c r="GA44">
        <v>15.373799999999999</v>
      </c>
      <c r="GB44">
        <v>99.988900000000001</v>
      </c>
      <c r="GC44">
        <v>99.729500000000002</v>
      </c>
    </row>
    <row r="45" spans="1:185" x14ac:dyDescent="0.2">
      <c r="A45">
        <v>30</v>
      </c>
      <c r="B45">
        <v>1771086028</v>
      </c>
      <c r="C45">
        <v>708</v>
      </c>
      <c r="D45" t="s">
        <v>354</v>
      </c>
      <c r="E45" t="s">
        <v>355</v>
      </c>
      <c r="F45">
        <v>15</v>
      </c>
      <c r="G45">
        <v>1771086027</v>
      </c>
      <c r="H45">
        <f t="shared" si="0"/>
        <v>-1.0563482192139583E-6</v>
      </c>
      <c r="I45">
        <v>0</v>
      </c>
      <c r="J45">
        <f t="shared" si="12"/>
        <v>2.1246274319926687E-4</v>
      </c>
      <c r="K45">
        <f t="shared" si="1"/>
        <v>5.7590013342070428E-3</v>
      </c>
      <c r="L45">
        <f t="shared" si="2"/>
        <v>70.582395254509024</v>
      </c>
      <c r="M45">
        <f t="shared" si="3"/>
        <v>1.5435595012105798</v>
      </c>
      <c r="N45">
        <f t="shared" si="4"/>
        <v>2.1868902233265772</v>
      </c>
      <c r="O45">
        <v>474</v>
      </c>
      <c r="P45">
        <v>59</v>
      </c>
      <c r="Q45">
        <f t="shared" si="5"/>
        <v>1</v>
      </c>
      <c r="R45">
        <f t="shared" si="6"/>
        <v>0</v>
      </c>
      <c r="S45">
        <f t="shared" si="7"/>
        <v>26103.612493007022</v>
      </c>
      <c r="T45">
        <f t="shared" si="8"/>
        <v>799.99699999999996</v>
      </c>
      <c r="U45">
        <f t="shared" si="9"/>
        <v>674.39773499900991</v>
      </c>
      <c r="V45">
        <f t="shared" si="10"/>
        <v>0.84300032999999996</v>
      </c>
      <c r="W45">
        <f t="shared" si="11"/>
        <v>0.15870082500000002</v>
      </c>
      <c r="X45">
        <v>1</v>
      </c>
      <c r="Y45">
        <v>1771086027</v>
      </c>
      <c r="Z45">
        <v>150.268</v>
      </c>
      <c r="AA45">
        <v>150.27500000000001</v>
      </c>
      <c r="AB45">
        <v>15.429399999999999</v>
      </c>
      <c r="AC45">
        <v>15.4307</v>
      </c>
      <c r="AD45">
        <v>150.934</v>
      </c>
      <c r="AE45">
        <v>15.289400000000001</v>
      </c>
      <c r="AF45">
        <v>800.03800000000001</v>
      </c>
      <c r="AG45">
        <v>99.964699999999993</v>
      </c>
      <c r="AH45">
        <v>7.5450699999999996E-2</v>
      </c>
      <c r="AI45">
        <v>18.866599999999998</v>
      </c>
      <c r="AJ45">
        <v>999.9</v>
      </c>
      <c r="AK45">
        <v>999.9</v>
      </c>
      <c r="AL45">
        <v>0</v>
      </c>
      <c r="AM45">
        <v>0</v>
      </c>
      <c r="AN45">
        <v>4980</v>
      </c>
      <c r="AO45">
        <v>0</v>
      </c>
      <c r="AP45">
        <v>1.9760899999999999</v>
      </c>
      <c r="AQ45">
        <v>-7.0953400000000003E-3</v>
      </c>
      <c r="AR45">
        <v>152.62200000000001</v>
      </c>
      <c r="AS45">
        <v>152.63</v>
      </c>
      <c r="AT45">
        <v>-1.3504000000000001E-3</v>
      </c>
      <c r="AU45">
        <v>150.27500000000001</v>
      </c>
      <c r="AV45">
        <v>15.4307</v>
      </c>
      <c r="AW45">
        <v>1.5424</v>
      </c>
      <c r="AX45">
        <v>1.54253</v>
      </c>
      <c r="AY45">
        <v>13.395</v>
      </c>
      <c r="AZ45">
        <v>13.3964</v>
      </c>
      <c r="BA45">
        <v>799.99699999999996</v>
      </c>
      <c r="BB45">
        <v>0.89998900000000004</v>
      </c>
      <c r="BC45">
        <v>0</v>
      </c>
      <c r="BD45">
        <v>0.100011</v>
      </c>
      <c r="BE45">
        <v>0</v>
      </c>
      <c r="BF45">
        <v>24</v>
      </c>
      <c r="BG45">
        <v>13190.9</v>
      </c>
      <c r="BH45">
        <v>1771086026</v>
      </c>
      <c r="BI45" t="s">
        <v>353</v>
      </c>
      <c r="BJ45">
        <v>1771086026</v>
      </c>
      <c r="BK45">
        <v>1771086020</v>
      </c>
      <c r="BL45">
        <v>2</v>
      </c>
      <c r="BM45">
        <v>0.44600000000000001</v>
      </c>
      <c r="BN45">
        <v>1.2999999999999999E-2</v>
      </c>
      <c r="BO45">
        <v>-0.66600000000000004</v>
      </c>
      <c r="BP45">
        <v>0.14000000000000001</v>
      </c>
      <c r="BQ45">
        <v>150</v>
      </c>
      <c r="BR45">
        <v>15</v>
      </c>
      <c r="BS45">
        <v>0.05</v>
      </c>
      <c r="BT45">
        <v>0.13</v>
      </c>
      <c r="BU45">
        <v>-0.37868606380952402</v>
      </c>
      <c r="BV45">
        <v>-0.273825381818181</v>
      </c>
      <c r="BW45">
        <v>0.14290294285369101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-8.3520145714285707E-3</v>
      </c>
      <c r="CD45">
        <v>3.11463420779221E-2</v>
      </c>
      <c r="CE45">
        <v>6.1282489264782598E-3</v>
      </c>
      <c r="CF45">
        <v>1</v>
      </c>
      <c r="CG45">
        <v>2</v>
      </c>
      <c r="CH45">
        <v>2</v>
      </c>
      <c r="CI45" t="s">
        <v>310</v>
      </c>
      <c r="CJ45">
        <v>3.5337100000000001</v>
      </c>
      <c r="CK45">
        <v>2.7123599999999999</v>
      </c>
      <c r="CL45">
        <v>4.2226800000000002E-2</v>
      </c>
      <c r="CM45">
        <v>4.1587699999999998E-2</v>
      </c>
      <c r="CN45">
        <v>8.7312000000000001E-2</v>
      </c>
      <c r="CO45">
        <v>8.6446899999999993E-2</v>
      </c>
      <c r="CP45">
        <v>33637.1</v>
      </c>
      <c r="CQ45">
        <v>29523.9</v>
      </c>
      <c r="CR45">
        <v>32499.7</v>
      </c>
      <c r="CS45">
        <v>30726.6</v>
      </c>
      <c r="CT45">
        <v>40139.300000000003</v>
      </c>
      <c r="CU45">
        <v>39447.4</v>
      </c>
      <c r="CV45">
        <v>47444</v>
      </c>
      <c r="CW45">
        <v>46840.3</v>
      </c>
      <c r="CX45">
        <v>1.71384</v>
      </c>
      <c r="CY45">
        <v>1.64778</v>
      </c>
      <c r="CZ45">
        <v>0</v>
      </c>
      <c r="DA45">
        <v>0</v>
      </c>
      <c r="DB45">
        <v>999.9</v>
      </c>
      <c r="DC45">
        <v>999.9</v>
      </c>
      <c r="DD45">
        <v>72.513000000000005</v>
      </c>
      <c r="DE45">
        <v>23.212</v>
      </c>
      <c r="DF45">
        <v>20.718299999999999</v>
      </c>
      <c r="DG45">
        <v>27.7773</v>
      </c>
      <c r="DH45">
        <v>15.1242</v>
      </c>
      <c r="DI45">
        <v>2</v>
      </c>
      <c r="DJ45">
        <v>-0.216311</v>
      </c>
      <c r="DK45">
        <v>1.4110499999999999</v>
      </c>
      <c r="DL45">
        <v>20.203299999999999</v>
      </c>
      <c r="DM45">
        <v>5.2434099999999999</v>
      </c>
      <c r="DN45">
        <v>12.033899999999999</v>
      </c>
      <c r="DO45">
        <v>4.96556</v>
      </c>
      <c r="DP45">
        <v>3.2898999999999998</v>
      </c>
      <c r="DQ45">
        <v>9999</v>
      </c>
      <c r="DR45">
        <v>9999</v>
      </c>
      <c r="DS45">
        <v>9999</v>
      </c>
      <c r="DT45">
        <v>604</v>
      </c>
      <c r="DU45">
        <v>1.8709199999999999</v>
      </c>
      <c r="DV45">
        <v>1.87605</v>
      </c>
      <c r="DW45">
        <v>1.87622</v>
      </c>
      <c r="DX45">
        <v>1.88276</v>
      </c>
      <c r="DY45">
        <v>1.87548</v>
      </c>
      <c r="DZ45">
        <v>1.8745400000000001</v>
      </c>
      <c r="EA45">
        <v>1.87069</v>
      </c>
      <c r="EB45">
        <v>1.87456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-0.66600000000000004</v>
      </c>
      <c r="EQ45">
        <v>0.14000000000000001</v>
      </c>
      <c r="ER45">
        <v>-0.66629999999995004</v>
      </c>
      <c r="ES45">
        <v>0</v>
      </c>
      <c r="ET45">
        <v>0</v>
      </c>
      <c r="EU45">
        <v>0</v>
      </c>
      <c r="EV45">
        <v>0.140039999999997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0</v>
      </c>
      <c r="FE45">
        <v>0.1</v>
      </c>
      <c r="FF45">
        <v>0.56762699999999999</v>
      </c>
      <c r="FG45">
        <v>2.5598100000000001</v>
      </c>
      <c r="FH45">
        <v>2.19604</v>
      </c>
      <c r="FI45">
        <v>2.5842299999999998</v>
      </c>
      <c r="FJ45">
        <v>2.4462899999999999</v>
      </c>
      <c r="FK45">
        <v>2.33521</v>
      </c>
      <c r="FL45">
        <v>28.753399999999999</v>
      </c>
      <c r="FM45">
        <v>24.157499999999999</v>
      </c>
      <c r="FN45">
        <v>19</v>
      </c>
      <c r="FO45">
        <v>300.267</v>
      </c>
      <c r="FP45">
        <v>290.14600000000002</v>
      </c>
      <c r="FQ45">
        <v>18.081600000000002</v>
      </c>
      <c r="FR45">
        <v>24.2804</v>
      </c>
      <c r="FS45">
        <v>30.0001</v>
      </c>
      <c r="FT45">
        <v>24.2668</v>
      </c>
      <c r="FU45">
        <v>24.261700000000001</v>
      </c>
      <c r="FV45">
        <v>11.3986</v>
      </c>
      <c r="FW45">
        <v>30.240200000000002</v>
      </c>
      <c r="FX45">
        <v>79.369900000000001</v>
      </c>
      <c r="FY45">
        <v>18.1587</v>
      </c>
      <c r="FZ45">
        <v>150</v>
      </c>
      <c r="GA45">
        <v>15.4223</v>
      </c>
      <c r="GB45">
        <v>99.987700000000004</v>
      </c>
      <c r="GC45">
        <v>99.728899999999996</v>
      </c>
    </row>
    <row r="46" spans="1:185" x14ac:dyDescent="0.2">
      <c r="A46">
        <v>31</v>
      </c>
      <c r="B46">
        <v>1771086043</v>
      </c>
      <c r="C46">
        <v>723</v>
      </c>
      <c r="D46" t="s">
        <v>356</v>
      </c>
      <c r="E46" t="s">
        <v>357</v>
      </c>
      <c r="F46">
        <v>15</v>
      </c>
      <c r="G46">
        <v>1771086034.9333301</v>
      </c>
      <c r="H46">
        <f t="shared" si="0"/>
        <v>5.6913685117854316E-4</v>
      </c>
      <c r="I46">
        <v>0</v>
      </c>
      <c r="J46">
        <f t="shared" si="12"/>
        <v>-3.9701510944684465E-2</v>
      </c>
      <c r="K46">
        <f t="shared" si="1"/>
        <v>-1.0761465801372667</v>
      </c>
      <c r="L46">
        <f t="shared" si="2"/>
        <v>72.965288472006165</v>
      </c>
      <c r="M46">
        <f t="shared" si="3"/>
        <v>1.5968280410847209</v>
      </c>
      <c r="N46">
        <f t="shared" si="4"/>
        <v>2.1884762940358407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26260.787887910887</v>
      </c>
      <c r="T46">
        <f t="shared" si="8"/>
        <v>799.99733333333302</v>
      </c>
      <c r="U46">
        <f t="shared" si="9"/>
        <v>674.39787039960493</v>
      </c>
      <c r="V46">
        <f t="shared" si="10"/>
        <v>0.84300014799999989</v>
      </c>
      <c r="W46">
        <f t="shared" si="11"/>
        <v>0.15870036999999998</v>
      </c>
      <c r="X46">
        <v>1</v>
      </c>
      <c r="Y46">
        <v>1771086034.9333301</v>
      </c>
      <c r="Z46">
        <v>151.43086666666699</v>
      </c>
      <c r="AA46">
        <v>150.19399999999999</v>
      </c>
      <c r="AB46">
        <v>15.963153333333301</v>
      </c>
      <c r="AC46">
        <v>15.26342</v>
      </c>
      <c r="AD46">
        <v>152.09700000000001</v>
      </c>
      <c r="AE46">
        <v>15.8231066666667</v>
      </c>
      <c r="AF46">
        <v>800.37866666666696</v>
      </c>
      <c r="AG46">
        <v>99.965159999999997</v>
      </c>
      <c r="AH46">
        <v>6.6958199999999995E-2</v>
      </c>
      <c r="AI46">
        <v>18.878206666666699</v>
      </c>
      <c r="AJ46">
        <v>999.9</v>
      </c>
      <c r="AK46">
        <v>999.9</v>
      </c>
      <c r="AL46">
        <v>0</v>
      </c>
      <c r="AM46">
        <v>0</v>
      </c>
      <c r="AN46">
        <v>5006.0666666666702</v>
      </c>
      <c r="AO46">
        <v>0</v>
      </c>
      <c r="AP46">
        <v>1.9760899999999999</v>
      </c>
      <c r="AQ46">
        <v>1.2367883773333299</v>
      </c>
      <c r="AR46">
        <v>153.887333333333</v>
      </c>
      <c r="AS46">
        <v>152.52213333333299</v>
      </c>
      <c r="AT46">
        <v>0.69972723999999997</v>
      </c>
      <c r="AU46">
        <v>150.19399999999999</v>
      </c>
      <c r="AV46">
        <v>15.26342</v>
      </c>
      <c r="AW46">
        <v>1.5957586666666701</v>
      </c>
      <c r="AX46">
        <v>1.5258086666666699</v>
      </c>
      <c r="AY46">
        <v>13.916740000000001</v>
      </c>
      <c r="AZ46">
        <v>13.228526666666699</v>
      </c>
      <c r="BA46">
        <v>799.99733333333302</v>
      </c>
      <c r="BB46">
        <v>0.89999506666666695</v>
      </c>
      <c r="BC46">
        <v>0</v>
      </c>
      <c r="BD46">
        <v>0.100004933333333</v>
      </c>
      <c r="BE46">
        <v>0</v>
      </c>
      <c r="BF46">
        <v>24</v>
      </c>
      <c r="BG46">
        <v>13190.9666666667</v>
      </c>
      <c r="BH46">
        <v>1771086026</v>
      </c>
      <c r="BI46" t="s">
        <v>353</v>
      </c>
      <c r="BJ46">
        <v>1771086026</v>
      </c>
      <c r="BK46">
        <v>1771086020</v>
      </c>
      <c r="BL46">
        <v>2</v>
      </c>
      <c r="BM46">
        <v>0.44600000000000001</v>
      </c>
      <c r="BN46">
        <v>1.2999999999999999E-2</v>
      </c>
      <c r="BO46">
        <v>-0.66600000000000004</v>
      </c>
      <c r="BP46">
        <v>0.14000000000000001</v>
      </c>
      <c r="BQ46">
        <v>150</v>
      </c>
      <c r="BR46">
        <v>15</v>
      </c>
      <c r="BS46">
        <v>0.05</v>
      </c>
      <c r="BT46">
        <v>0.13</v>
      </c>
      <c r="BU46">
        <v>0.70613042190476205</v>
      </c>
      <c r="BV46">
        <v>7.3473966046753203</v>
      </c>
      <c r="BW46">
        <v>0.85868944601192498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0.44960401733333299</v>
      </c>
      <c r="CD46">
        <v>3.9372757397922098</v>
      </c>
      <c r="CE46">
        <v>0.41313631419400598</v>
      </c>
      <c r="CF46">
        <v>0</v>
      </c>
      <c r="CG46">
        <v>0</v>
      </c>
      <c r="CH46">
        <v>2</v>
      </c>
      <c r="CI46" t="s">
        <v>290</v>
      </c>
      <c r="CJ46">
        <v>3.5324599999999999</v>
      </c>
      <c r="CK46">
        <v>2.7031299999999998</v>
      </c>
      <c r="CL46">
        <v>4.2443399999999999E-2</v>
      </c>
      <c r="CM46">
        <v>4.1539300000000001E-2</v>
      </c>
      <c r="CN46">
        <v>8.9812299999999998E-2</v>
      </c>
      <c r="CO46">
        <v>8.4438700000000005E-2</v>
      </c>
      <c r="CP46">
        <v>33628.699999999997</v>
      </c>
      <c r="CQ46">
        <v>29525</v>
      </c>
      <c r="CR46">
        <v>32499</v>
      </c>
      <c r="CS46">
        <v>30726.3</v>
      </c>
      <c r="CT46">
        <v>40024.300000000003</v>
      </c>
      <c r="CU46">
        <v>39536.800000000003</v>
      </c>
      <c r="CV46">
        <v>47442.9</v>
      </c>
      <c r="CW46">
        <v>46840.1</v>
      </c>
      <c r="CX46">
        <v>2.6382599999999998</v>
      </c>
      <c r="CY46">
        <v>2.18988</v>
      </c>
      <c r="CZ46">
        <v>0</v>
      </c>
      <c r="DA46">
        <v>0</v>
      </c>
      <c r="DB46">
        <v>999.9</v>
      </c>
      <c r="DC46">
        <v>999.9</v>
      </c>
      <c r="DD46">
        <v>72.450999999999993</v>
      </c>
      <c r="DE46">
        <v>23.231999999999999</v>
      </c>
      <c r="DF46">
        <v>20.725100000000001</v>
      </c>
      <c r="DG46">
        <v>27.267299999999999</v>
      </c>
      <c r="DH46">
        <v>14.8718</v>
      </c>
      <c r="DI46">
        <v>2</v>
      </c>
      <c r="DJ46">
        <v>-0.21598400000000001</v>
      </c>
      <c r="DK46">
        <v>1.2007099999999999</v>
      </c>
      <c r="DL46">
        <v>20.206800000000001</v>
      </c>
      <c r="DM46">
        <v>5.2510700000000003</v>
      </c>
      <c r="DN46">
        <v>12.033899999999999</v>
      </c>
      <c r="DO46">
        <v>4.9665999999999997</v>
      </c>
      <c r="DP46">
        <v>3.2909999999999999</v>
      </c>
      <c r="DQ46">
        <v>9999</v>
      </c>
      <c r="DR46">
        <v>9999</v>
      </c>
      <c r="DS46">
        <v>9999</v>
      </c>
      <c r="DT46">
        <v>604</v>
      </c>
      <c r="DU46">
        <v>1.8710199999999999</v>
      </c>
      <c r="DV46">
        <v>1.8760699999999999</v>
      </c>
      <c r="DW46">
        <v>1.87622</v>
      </c>
      <c r="DX46">
        <v>1.8827799999999999</v>
      </c>
      <c r="DY46">
        <v>1.87551</v>
      </c>
      <c r="DZ46">
        <v>1.8745499999999999</v>
      </c>
      <c r="EA46">
        <v>1.8707199999999999</v>
      </c>
      <c r="EB46">
        <v>1.87462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-0.66600000000000004</v>
      </c>
      <c r="EQ46">
        <v>0.14000000000000001</v>
      </c>
      <c r="ER46">
        <v>-0.66629999999995004</v>
      </c>
      <c r="ES46">
        <v>0</v>
      </c>
      <c r="ET46">
        <v>0</v>
      </c>
      <c r="EU46">
        <v>0</v>
      </c>
      <c r="EV46">
        <v>0.140039999999997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0.3</v>
      </c>
      <c r="FE46">
        <v>0.4</v>
      </c>
      <c r="FF46">
        <v>0.56640599999999997</v>
      </c>
      <c r="FG46">
        <v>2.5585900000000001</v>
      </c>
      <c r="FH46">
        <v>2.19604</v>
      </c>
      <c r="FI46">
        <v>2.5842299999999998</v>
      </c>
      <c r="FJ46">
        <v>2.4462899999999999</v>
      </c>
      <c r="FK46">
        <v>2.2558600000000002</v>
      </c>
      <c r="FL46">
        <v>28.7956</v>
      </c>
      <c r="FM46">
        <v>24.148800000000001</v>
      </c>
      <c r="FN46">
        <v>19</v>
      </c>
      <c r="FO46">
        <v>859.43899999999996</v>
      </c>
      <c r="FP46">
        <v>608.57500000000005</v>
      </c>
      <c r="FQ46">
        <v>18.357900000000001</v>
      </c>
      <c r="FR46">
        <v>24.290199999999999</v>
      </c>
      <c r="FS46">
        <v>30.000299999999999</v>
      </c>
      <c r="FT46">
        <v>24.2559</v>
      </c>
      <c r="FU46">
        <v>24.252800000000001</v>
      </c>
      <c r="FV46">
        <v>11.3828</v>
      </c>
      <c r="FW46">
        <v>33.708399999999997</v>
      </c>
      <c r="FX46">
        <v>78.998500000000007</v>
      </c>
      <c r="FY46">
        <v>18.417899999999999</v>
      </c>
      <c r="FZ46">
        <v>150</v>
      </c>
      <c r="GA46">
        <v>14.6897</v>
      </c>
      <c r="GB46">
        <v>99.985299999999995</v>
      </c>
      <c r="GC46">
        <v>99.728200000000001</v>
      </c>
    </row>
    <row r="47" spans="1:185" x14ac:dyDescent="0.2">
      <c r="A47">
        <v>32</v>
      </c>
      <c r="B47">
        <v>1771086058</v>
      </c>
      <c r="C47">
        <v>738</v>
      </c>
      <c r="D47" t="s">
        <v>358</v>
      </c>
      <c r="E47" t="s">
        <v>359</v>
      </c>
      <c r="F47">
        <v>15</v>
      </c>
      <c r="G47">
        <v>1771086049.9333301</v>
      </c>
      <c r="H47">
        <f t="shared" si="0"/>
        <v>9.5910088407497116E-4</v>
      </c>
      <c r="I47">
        <v>0</v>
      </c>
      <c r="J47">
        <f t="shared" si="12"/>
        <v>-2.9681474350968115E-2</v>
      </c>
      <c r="K47">
        <f t="shared" si="1"/>
        <v>-0.8045441182510692</v>
      </c>
      <c r="L47">
        <f t="shared" si="2"/>
        <v>72.729022817334638</v>
      </c>
      <c r="M47">
        <f t="shared" si="3"/>
        <v>1.5949710307705087</v>
      </c>
      <c r="N47">
        <f t="shared" si="4"/>
        <v>2.1930323947517061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26197.998320911905</v>
      </c>
      <c r="T47">
        <f t="shared" si="8"/>
        <v>799.99980000000005</v>
      </c>
      <c r="U47">
        <f t="shared" si="9"/>
        <v>674.39991619997886</v>
      </c>
      <c r="V47">
        <f t="shared" si="10"/>
        <v>0.84300010599999997</v>
      </c>
      <c r="W47">
        <f t="shared" si="11"/>
        <v>0.15870026499999998</v>
      </c>
      <c r="X47">
        <v>1</v>
      </c>
      <c r="Y47">
        <v>1771086049.9333301</v>
      </c>
      <c r="Z47">
        <v>150.87453333333301</v>
      </c>
      <c r="AA47">
        <v>150.04973333333299</v>
      </c>
      <c r="AB47">
        <v>15.9446933333333</v>
      </c>
      <c r="AC47">
        <v>14.7649333333333</v>
      </c>
      <c r="AD47">
        <v>151.540866666667</v>
      </c>
      <c r="AE47">
        <v>15.8046666666667</v>
      </c>
      <c r="AF47">
        <v>800.00026666666702</v>
      </c>
      <c r="AG47">
        <v>99.966026666666707</v>
      </c>
      <c r="AH47">
        <v>6.5438186666666606E-2</v>
      </c>
      <c r="AI47">
        <v>18.9115066666667</v>
      </c>
      <c r="AJ47">
        <v>999.9</v>
      </c>
      <c r="AK47">
        <v>999.9</v>
      </c>
      <c r="AL47">
        <v>0</v>
      </c>
      <c r="AM47">
        <v>0</v>
      </c>
      <c r="AN47">
        <v>4996.1666666666697</v>
      </c>
      <c r="AO47">
        <v>0</v>
      </c>
      <c r="AP47">
        <v>1.9760899999999999</v>
      </c>
      <c r="AQ47">
        <v>0.824695333333333</v>
      </c>
      <c r="AR47">
        <v>153.319266666667</v>
      </c>
      <c r="AS47">
        <v>152.29853333333301</v>
      </c>
      <c r="AT47">
        <v>1.17975733333333</v>
      </c>
      <c r="AU47">
        <v>150.04973333333299</v>
      </c>
      <c r="AV47">
        <v>14.7649333333333</v>
      </c>
      <c r="AW47">
        <v>1.593928</v>
      </c>
      <c r="AX47">
        <v>1.4759913333333301</v>
      </c>
      <c r="AY47">
        <v>13.900133333333301</v>
      </c>
      <c r="AZ47">
        <v>12.7213333333333</v>
      </c>
      <c r="BA47">
        <v>799.99980000000005</v>
      </c>
      <c r="BB47">
        <v>0.89999646666666699</v>
      </c>
      <c r="BC47">
        <v>0</v>
      </c>
      <c r="BD47">
        <v>0.10000353333333301</v>
      </c>
      <c r="BE47">
        <v>0</v>
      </c>
      <c r="BF47">
        <v>24</v>
      </c>
      <c r="BG47">
        <v>13191.0133333333</v>
      </c>
      <c r="BH47">
        <v>1771086026</v>
      </c>
      <c r="BI47" t="s">
        <v>353</v>
      </c>
      <c r="BJ47">
        <v>1771086026</v>
      </c>
      <c r="BK47">
        <v>1771086020</v>
      </c>
      <c r="BL47">
        <v>2</v>
      </c>
      <c r="BM47">
        <v>0.44600000000000001</v>
      </c>
      <c r="BN47">
        <v>1.2999999999999999E-2</v>
      </c>
      <c r="BO47">
        <v>-0.66600000000000004</v>
      </c>
      <c r="BP47">
        <v>0.14000000000000001</v>
      </c>
      <c r="BQ47">
        <v>150</v>
      </c>
      <c r="BR47">
        <v>15</v>
      </c>
      <c r="BS47">
        <v>0.05</v>
      </c>
      <c r="BT47">
        <v>0.13</v>
      </c>
      <c r="BU47">
        <v>0.97271784999999999</v>
      </c>
      <c r="BV47">
        <v>-2.6377940300751899</v>
      </c>
      <c r="BW47">
        <v>0.256045668536938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1.1206961</v>
      </c>
      <c r="CD47">
        <v>0.97636412030075004</v>
      </c>
      <c r="CE47">
        <v>9.7441126152102694E-2</v>
      </c>
      <c r="CF47">
        <v>0</v>
      </c>
      <c r="CG47">
        <v>0</v>
      </c>
      <c r="CH47">
        <v>2</v>
      </c>
      <c r="CI47" t="s">
        <v>290</v>
      </c>
      <c r="CJ47">
        <v>3.5324800000000001</v>
      </c>
      <c r="CK47">
        <v>2.7030599999999998</v>
      </c>
      <c r="CL47">
        <v>4.2297700000000001E-2</v>
      </c>
      <c r="CM47">
        <v>4.1523600000000001E-2</v>
      </c>
      <c r="CN47">
        <v>8.8936899999999999E-2</v>
      </c>
      <c r="CO47">
        <v>8.2898899999999998E-2</v>
      </c>
      <c r="CP47">
        <v>33633.599999999999</v>
      </c>
      <c r="CQ47">
        <v>29525.599999999999</v>
      </c>
      <c r="CR47">
        <v>32498.799999999999</v>
      </c>
      <c r="CS47">
        <v>30726.5</v>
      </c>
      <c r="CT47">
        <v>40064.1</v>
      </c>
      <c r="CU47">
        <v>39605.9</v>
      </c>
      <c r="CV47">
        <v>47442.7</v>
      </c>
      <c r="CW47">
        <v>46840.5</v>
      </c>
      <c r="CX47">
        <v>2.64032</v>
      </c>
      <c r="CY47">
        <v>2.1898399999999998</v>
      </c>
      <c r="CZ47">
        <v>0</v>
      </c>
      <c r="DA47">
        <v>0</v>
      </c>
      <c r="DB47">
        <v>999.9</v>
      </c>
      <c r="DC47">
        <v>999.9</v>
      </c>
      <c r="DD47">
        <v>72.353999999999999</v>
      </c>
      <c r="DE47">
        <v>23.251999999999999</v>
      </c>
      <c r="DF47">
        <v>20.7227</v>
      </c>
      <c r="DG47">
        <v>27.567299999999999</v>
      </c>
      <c r="DH47">
        <v>14.787699999999999</v>
      </c>
      <c r="DI47">
        <v>2</v>
      </c>
      <c r="DJ47">
        <v>-0.215451</v>
      </c>
      <c r="DK47">
        <v>1.12486</v>
      </c>
      <c r="DL47">
        <v>20.207100000000001</v>
      </c>
      <c r="DM47">
        <v>5.25</v>
      </c>
      <c r="DN47">
        <v>12.033899999999999</v>
      </c>
      <c r="DO47">
        <v>4.9661200000000001</v>
      </c>
      <c r="DP47">
        <v>3.2907600000000001</v>
      </c>
      <c r="DQ47">
        <v>9999</v>
      </c>
      <c r="DR47">
        <v>9999</v>
      </c>
      <c r="DS47">
        <v>9999</v>
      </c>
      <c r="DT47">
        <v>604</v>
      </c>
      <c r="DU47">
        <v>1.8709800000000001</v>
      </c>
      <c r="DV47">
        <v>1.8760600000000001</v>
      </c>
      <c r="DW47">
        <v>1.87622</v>
      </c>
      <c r="DX47">
        <v>1.8827700000000001</v>
      </c>
      <c r="DY47">
        <v>1.87551</v>
      </c>
      <c r="DZ47">
        <v>1.87456</v>
      </c>
      <c r="EA47">
        <v>1.8707100000000001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-0.66600000000000004</v>
      </c>
      <c r="EQ47">
        <v>0.1401</v>
      </c>
      <c r="ER47">
        <v>-0.66629999999995004</v>
      </c>
      <c r="ES47">
        <v>0</v>
      </c>
      <c r="ET47">
        <v>0</v>
      </c>
      <c r="EU47">
        <v>0</v>
      </c>
      <c r="EV47">
        <v>0.140039999999997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0.5</v>
      </c>
      <c r="FE47">
        <v>0.6</v>
      </c>
      <c r="FF47">
        <v>0.56640599999999997</v>
      </c>
      <c r="FG47">
        <v>2.5549300000000001</v>
      </c>
      <c r="FH47">
        <v>2.19604</v>
      </c>
      <c r="FI47">
        <v>2.5854499999999998</v>
      </c>
      <c r="FJ47">
        <v>2.4462899999999999</v>
      </c>
      <c r="FK47">
        <v>2.2973599999999998</v>
      </c>
      <c r="FL47">
        <v>28.816800000000001</v>
      </c>
      <c r="FM47">
        <v>24.157499999999999</v>
      </c>
      <c r="FN47">
        <v>19</v>
      </c>
      <c r="FO47">
        <v>861.43799999999999</v>
      </c>
      <c r="FP47">
        <v>608.64099999999996</v>
      </c>
      <c r="FQ47">
        <v>18.572800000000001</v>
      </c>
      <c r="FR47">
        <v>24.299199999999999</v>
      </c>
      <c r="FS47">
        <v>30.000299999999999</v>
      </c>
      <c r="FT47">
        <v>24.262</v>
      </c>
      <c r="FU47">
        <v>24.260899999999999</v>
      </c>
      <c r="FV47">
        <v>11.377700000000001</v>
      </c>
      <c r="FW47">
        <v>34.864199999999997</v>
      </c>
      <c r="FX47">
        <v>78.622600000000006</v>
      </c>
      <c r="FY47">
        <v>18.609000000000002</v>
      </c>
      <c r="FZ47">
        <v>150</v>
      </c>
      <c r="GA47">
        <v>14.4359</v>
      </c>
      <c r="GB47">
        <v>99.984899999999996</v>
      </c>
      <c r="GC47">
        <v>99.728999999999999</v>
      </c>
    </row>
    <row r="48" spans="1:185" x14ac:dyDescent="0.2">
      <c r="A48">
        <v>33</v>
      </c>
      <c r="B48">
        <v>1771086073</v>
      </c>
      <c r="C48">
        <v>753</v>
      </c>
      <c r="D48" t="s">
        <v>360</v>
      </c>
      <c r="E48" t="s">
        <v>361</v>
      </c>
      <c r="F48">
        <v>15</v>
      </c>
      <c r="G48">
        <v>1771086064.9333301</v>
      </c>
      <c r="H48">
        <f t="shared" si="0"/>
        <v>1.0177260771010266E-3</v>
      </c>
      <c r="I48">
        <v>0</v>
      </c>
      <c r="J48">
        <f t="shared" si="12"/>
        <v>-1.9799466821819718E-2</v>
      </c>
      <c r="K48">
        <f t="shared" si="1"/>
        <v>-0.5366830632347841</v>
      </c>
      <c r="L48">
        <f t="shared" si="2"/>
        <v>71.596372027324648</v>
      </c>
      <c r="M48">
        <f t="shared" si="3"/>
        <v>1.5745131638068584</v>
      </c>
      <c r="N48">
        <f t="shared" si="4"/>
        <v>2.1991521626346482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26205.77721659383</v>
      </c>
      <c r="T48">
        <f t="shared" si="8"/>
        <v>800.00173333333305</v>
      </c>
      <c r="U48">
        <f t="shared" si="9"/>
        <v>674.40155080019383</v>
      </c>
      <c r="V48">
        <f t="shared" si="10"/>
        <v>0.84300011199999991</v>
      </c>
      <c r="W48">
        <f t="shared" si="11"/>
        <v>0.15870027999999997</v>
      </c>
      <c r="X48">
        <v>1</v>
      </c>
      <c r="Y48">
        <v>1771086064.9333301</v>
      </c>
      <c r="Z48">
        <v>150.49326666666701</v>
      </c>
      <c r="AA48">
        <v>150.01386666666701</v>
      </c>
      <c r="AB48">
        <v>15.74014</v>
      </c>
      <c r="AC48">
        <v>14.488013333333299</v>
      </c>
      <c r="AD48">
        <v>151.159533333333</v>
      </c>
      <c r="AE48">
        <v>15.600106666666701</v>
      </c>
      <c r="AF48">
        <v>800.00446666666699</v>
      </c>
      <c r="AG48">
        <v>99.966266666666698</v>
      </c>
      <c r="AH48">
        <v>6.5446126666666701E-2</v>
      </c>
      <c r="AI48">
        <v>18.956140000000001</v>
      </c>
      <c r="AJ48">
        <v>999.9</v>
      </c>
      <c r="AK48">
        <v>999.9</v>
      </c>
      <c r="AL48">
        <v>0</v>
      </c>
      <c r="AM48">
        <v>0</v>
      </c>
      <c r="AN48">
        <v>4998.1000000000004</v>
      </c>
      <c r="AO48">
        <v>0</v>
      </c>
      <c r="AP48">
        <v>1.9760899999999999</v>
      </c>
      <c r="AQ48">
        <v>0.47943619999999998</v>
      </c>
      <c r="AR48">
        <v>152.899933333333</v>
      </c>
      <c r="AS48">
        <v>152.21926666666701</v>
      </c>
      <c r="AT48">
        <v>1.2521246666666701</v>
      </c>
      <c r="AU48">
        <v>150.01386666666701</v>
      </c>
      <c r="AV48">
        <v>14.488013333333299</v>
      </c>
      <c r="AW48">
        <v>1.57348333333333</v>
      </c>
      <c r="AX48">
        <v>1.4483126666666699</v>
      </c>
      <c r="AY48">
        <v>13.701446666666699</v>
      </c>
      <c r="AZ48">
        <v>12.4330466666667</v>
      </c>
      <c r="BA48">
        <v>800.00173333333305</v>
      </c>
      <c r="BB48">
        <v>0.89999626666666699</v>
      </c>
      <c r="BC48">
        <v>0</v>
      </c>
      <c r="BD48">
        <v>0.100003733333333</v>
      </c>
      <c r="BE48">
        <v>0</v>
      </c>
      <c r="BF48">
        <v>24</v>
      </c>
      <c r="BG48">
        <v>13191.0466666667</v>
      </c>
      <c r="BH48">
        <v>1771086026</v>
      </c>
      <c r="BI48" t="s">
        <v>353</v>
      </c>
      <c r="BJ48">
        <v>1771086026</v>
      </c>
      <c r="BK48">
        <v>1771086020</v>
      </c>
      <c r="BL48">
        <v>2</v>
      </c>
      <c r="BM48">
        <v>0.44600000000000001</v>
      </c>
      <c r="BN48">
        <v>1.2999999999999999E-2</v>
      </c>
      <c r="BO48">
        <v>-0.66600000000000004</v>
      </c>
      <c r="BP48">
        <v>0.14000000000000001</v>
      </c>
      <c r="BQ48">
        <v>150</v>
      </c>
      <c r="BR48">
        <v>15</v>
      </c>
      <c r="BS48">
        <v>0.05</v>
      </c>
      <c r="BT48">
        <v>0.13</v>
      </c>
      <c r="BU48">
        <v>0.54592247619047596</v>
      </c>
      <c r="BV48">
        <v>-1.02881462337662</v>
      </c>
      <c r="BW48">
        <v>0.104948625325791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1.2437199999999999</v>
      </c>
      <c r="CD48">
        <v>0.12410883116883201</v>
      </c>
      <c r="CE48">
        <v>2.0287067426365601E-2</v>
      </c>
      <c r="CF48">
        <v>0</v>
      </c>
      <c r="CG48">
        <v>0</v>
      </c>
      <c r="CH48">
        <v>2</v>
      </c>
      <c r="CI48" t="s">
        <v>290</v>
      </c>
      <c r="CJ48">
        <v>3.5324499999999999</v>
      </c>
      <c r="CK48">
        <v>2.7031800000000001</v>
      </c>
      <c r="CL48">
        <v>4.2236299999999997E-2</v>
      </c>
      <c r="CM48">
        <v>4.1520700000000001E-2</v>
      </c>
      <c r="CN48">
        <v>8.8117399999999999E-2</v>
      </c>
      <c r="CO48">
        <v>8.2221299999999997E-2</v>
      </c>
      <c r="CP48">
        <v>33635.5</v>
      </c>
      <c r="CQ48">
        <v>29525.8</v>
      </c>
      <c r="CR48">
        <v>32498.6</v>
      </c>
      <c r="CS48">
        <v>30726.6</v>
      </c>
      <c r="CT48">
        <v>40101.4</v>
      </c>
      <c r="CU48">
        <v>39636.300000000003</v>
      </c>
      <c r="CV48">
        <v>47442.6</v>
      </c>
      <c r="CW48">
        <v>46840.7</v>
      </c>
      <c r="CX48">
        <v>2.64066</v>
      </c>
      <c r="CY48">
        <v>2.1894</v>
      </c>
      <c r="CZ48">
        <v>0</v>
      </c>
      <c r="DA48">
        <v>0</v>
      </c>
      <c r="DB48">
        <v>999.9</v>
      </c>
      <c r="DC48">
        <v>999.9</v>
      </c>
      <c r="DD48">
        <v>72.262</v>
      </c>
      <c r="DE48">
        <v>23.251999999999999</v>
      </c>
      <c r="DF48">
        <v>20.695499999999999</v>
      </c>
      <c r="DG48">
        <v>27.4773</v>
      </c>
      <c r="DH48">
        <v>14.9038</v>
      </c>
      <c r="DI48">
        <v>2</v>
      </c>
      <c r="DJ48">
        <v>-0.21456700000000001</v>
      </c>
      <c r="DK48">
        <v>1.17801</v>
      </c>
      <c r="DL48">
        <v>20.206199999999999</v>
      </c>
      <c r="DM48">
        <v>5.2490399999999999</v>
      </c>
      <c r="DN48">
        <v>12.033899999999999</v>
      </c>
      <c r="DO48">
        <v>4.9656000000000002</v>
      </c>
      <c r="DP48">
        <v>3.2905600000000002</v>
      </c>
      <c r="DQ48">
        <v>9999</v>
      </c>
      <c r="DR48">
        <v>9999</v>
      </c>
      <c r="DS48">
        <v>9999</v>
      </c>
      <c r="DT48">
        <v>604</v>
      </c>
      <c r="DU48">
        <v>1.8709899999999999</v>
      </c>
      <c r="DV48">
        <v>1.8760699999999999</v>
      </c>
      <c r="DW48">
        <v>1.8762300000000001</v>
      </c>
      <c r="DX48">
        <v>1.8827799999999999</v>
      </c>
      <c r="DY48">
        <v>1.8754900000000001</v>
      </c>
      <c r="DZ48">
        <v>1.87456</v>
      </c>
      <c r="EA48">
        <v>1.87073</v>
      </c>
      <c r="EB48">
        <v>1.8746499999999999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-0.66600000000000004</v>
      </c>
      <c r="EQ48">
        <v>0.1401</v>
      </c>
      <c r="ER48">
        <v>-0.66629999999995004</v>
      </c>
      <c r="ES48">
        <v>0</v>
      </c>
      <c r="ET48">
        <v>0</v>
      </c>
      <c r="EU48">
        <v>0</v>
      </c>
      <c r="EV48">
        <v>0.140039999999997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0.8</v>
      </c>
      <c r="FE48">
        <v>0.9</v>
      </c>
      <c r="FF48">
        <v>0.56640599999999997</v>
      </c>
      <c r="FG48">
        <v>2.5585900000000001</v>
      </c>
      <c r="FH48">
        <v>2.19604</v>
      </c>
      <c r="FI48">
        <v>2.5842299999999998</v>
      </c>
      <c r="FJ48">
        <v>2.4462899999999999</v>
      </c>
      <c r="FK48">
        <v>2.2424300000000001</v>
      </c>
      <c r="FL48">
        <v>28.816800000000001</v>
      </c>
      <c r="FM48">
        <v>24.148800000000001</v>
      </c>
      <c r="FN48">
        <v>19</v>
      </c>
      <c r="FO48">
        <v>861.87099999999998</v>
      </c>
      <c r="FP48">
        <v>608.38199999999995</v>
      </c>
      <c r="FQ48">
        <v>18.698899999999998</v>
      </c>
      <c r="FR48">
        <v>24.306899999999999</v>
      </c>
      <c r="FS48">
        <v>30.000399999999999</v>
      </c>
      <c r="FT48">
        <v>24.269300000000001</v>
      </c>
      <c r="FU48">
        <v>24.268599999999999</v>
      </c>
      <c r="FV48">
        <v>11.3757</v>
      </c>
      <c r="FW48">
        <v>35.1646</v>
      </c>
      <c r="FX48">
        <v>78.247900000000001</v>
      </c>
      <c r="FY48">
        <v>18.7072</v>
      </c>
      <c r="FZ48">
        <v>150</v>
      </c>
      <c r="GA48">
        <v>14.395200000000001</v>
      </c>
      <c r="GB48">
        <v>99.984499999999997</v>
      </c>
      <c r="GC48">
        <v>99.729500000000002</v>
      </c>
    </row>
    <row r="49" spans="1:185" x14ac:dyDescent="0.2">
      <c r="A49">
        <v>34</v>
      </c>
      <c r="B49">
        <v>1771086088</v>
      </c>
      <c r="C49">
        <v>768</v>
      </c>
      <c r="D49" t="s">
        <v>362</v>
      </c>
      <c r="E49" t="s">
        <v>363</v>
      </c>
      <c r="F49">
        <v>15</v>
      </c>
      <c r="G49">
        <v>1771086079.9333301</v>
      </c>
      <c r="H49">
        <f t="shared" si="0"/>
        <v>9.6528959332740731E-4</v>
      </c>
      <c r="I49">
        <v>0</v>
      </c>
      <c r="J49">
        <f t="shared" si="12"/>
        <v>-1.5205580303719116E-2</v>
      </c>
      <c r="K49">
        <f t="shared" si="1"/>
        <v>-0.4121614732912518</v>
      </c>
      <c r="L49">
        <f t="shared" si="2"/>
        <v>70.733250550404108</v>
      </c>
      <c r="M49">
        <f t="shared" si="3"/>
        <v>1.5598211397872987</v>
      </c>
      <c r="N49">
        <f t="shared" si="4"/>
        <v>2.205216256357085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26226.201268869892</v>
      </c>
      <c r="T49">
        <f t="shared" si="8"/>
        <v>799.99993333333305</v>
      </c>
      <c r="U49">
        <f t="shared" si="9"/>
        <v>674.40009579998707</v>
      </c>
      <c r="V49">
        <f t="shared" si="10"/>
        <v>0.84300018999999993</v>
      </c>
      <c r="W49">
        <f t="shared" si="11"/>
        <v>0.15870047499999998</v>
      </c>
      <c r="X49">
        <v>1</v>
      </c>
      <c r="Y49">
        <v>1771086079.9333301</v>
      </c>
      <c r="Z49">
        <v>150.339</v>
      </c>
      <c r="AA49">
        <v>150.0052</v>
      </c>
      <c r="AB49">
        <v>15.5933266666667</v>
      </c>
      <c r="AC49">
        <v>14.405533333333301</v>
      </c>
      <c r="AD49">
        <v>151.0052</v>
      </c>
      <c r="AE49">
        <v>15.453286666666701</v>
      </c>
      <c r="AF49">
        <v>800.00239999999997</v>
      </c>
      <c r="AG49">
        <v>99.966026666666707</v>
      </c>
      <c r="AH49">
        <v>6.5299113333333297E-2</v>
      </c>
      <c r="AI49">
        <v>19.000260000000001</v>
      </c>
      <c r="AJ49">
        <v>999.9</v>
      </c>
      <c r="AK49">
        <v>999.9</v>
      </c>
      <c r="AL49">
        <v>0</v>
      </c>
      <c r="AM49">
        <v>0</v>
      </c>
      <c r="AN49">
        <v>5002.1333333333296</v>
      </c>
      <c r="AO49">
        <v>0</v>
      </c>
      <c r="AP49">
        <v>1.9760899999999999</v>
      </c>
      <c r="AQ49">
        <v>0.33377373333333299</v>
      </c>
      <c r="AR49">
        <v>152.72040000000001</v>
      </c>
      <c r="AS49">
        <v>152.197666666667</v>
      </c>
      <c r="AT49">
        <v>1.187784</v>
      </c>
      <c r="AU49">
        <v>150.0052</v>
      </c>
      <c r="AV49">
        <v>14.405533333333301</v>
      </c>
      <c r="AW49">
        <v>1.5588026666666699</v>
      </c>
      <c r="AX49">
        <v>1.440064</v>
      </c>
      <c r="AY49">
        <v>13.55744</v>
      </c>
      <c r="AZ49">
        <v>12.3462</v>
      </c>
      <c r="BA49">
        <v>799.99993333333305</v>
      </c>
      <c r="BB49">
        <v>0.89999366666666702</v>
      </c>
      <c r="BC49">
        <v>0</v>
      </c>
      <c r="BD49">
        <v>0.100006333333333</v>
      </c>
      <c r="BE49">
        <v>0</v>
      </c>
      <c r="BF49">
        <v>24</v>
      </c>
      <c r="BG49">
        <v>13191.006666666701</v>
      </c>
      <c r="BH49">
        <v>1771086026</v>
      </c>
      <c r="BI49" t="s">
        <v>353</v>
      </c>
      <c r="BJ49">
        <v>1771086026</v>
      </c>
      <c r="BK49">
        <v>1771086020</v>
      </c>
      <c r="BL49">
        <v>2</v>
      </c>
      <c r="BM49">
        <v>0.44600000000000001</v>
      </c>
      <c r="BN49">
        <v>1.2999999999999999E-2</v>
      </c>
      <c r="BO49">
        <v>-0.66600000000000004</v>
      </c>
      <c r="BP49">
        <v>0.14000000000000001</v>
      </c>
      <c r="BQ49">
        <v>150</v>
      </c>
      <c r="BR49">
        <v>15</v>
      </c>
      <c r="BS49">
        <v>0.05</v>
      </c>
      <c r="BT49">
        <v>0.13</v>
      </c>
      <c r="BU49">
        <v>0.35662257142857101</v>
      </c>
      <c r="BV49">
        <v>-0.45471412987012999</v>
      </c>
      <c r="BW49">
        <v>4.7228967499851601E-2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1.2047976190476199</v>
      </c>
      <c r="CD49">
        <v>-0.33784363636363701</v>
      </c>
      <c r="CE49">
        <v>3.4194779733136602E-2</v>
      </c>
      <c r="CF49">
        <v>0</v>
      </c>
      <c r="CG49">
        <v>1</v>
      </c>
      <c r="CH49">
        <v>2</v>
      </c>
      <c r="CI49" t="s">
        <v>299</v>
      </c>
      <c r="CJ49">
        <v>3.5324900000000001</v>
      </c>
      <c r="CK49">
        <v>2.7030400000000001</v>
      </c>
      <c r="CL49">
        <v>4.2205699999999999E-2</v>
      </c>
      <c r="CM49">
        <v>4.1515700000000003E-2</v>
      </c>
      <c r="CN49">
        <v>8.76889E-2</v>
      </c>
      <c r="CO49">
        <v>8.2121399999999997E-2</v>
      </c>
      <c r="CP49">
        <v>33636.800000000003</v>
      </c>
      <c r="CQ49">
        <v>29525.7</v>
      </c>
      <c r="CR49">
        <v>32498.9</v>
      </c>
      <c r="CS49">
        <v>30726.400000000001</v>
      </c>
      <c r="CT49">
        <v>40121.1</v>
      </c>
      <c r="CU49">
        <v>39640.6</v>
      </c>
      <c r="CV49">
        <v>47442.7</v>
      </c>
      <c r="CW49">
        <v>46840.5</v>
      </c>
      <c r="CX49">
        <v>2.6408399999999999</v>
      </c>
      <c r="CY49">
        <v>2.1887400000000001</v>
      </c>
      <c r="CZ49">
        <v>0</v>
      </c>
      <c r="DA49">
        <v>0</v>
      </c>
      <c r="DB49">
        <v>999.9</v>
      </c>
      <c r="DC49">
        <v>999.9</v>
      </c>
      <c r="DD49">
        <v>72.14</v>
      </c>
      <c r="DE49">
        <v>23.283000000000001</v>
      </c>
      <c r="DF49">
        <v>20.699100000000001</v>
      </c>
      <c r="DG49">
        <v>27.837299999999999</v>
      </c>
      <c r="DH49">
        <v>14.847799999999999</v>
      </c>
      <c r="DI49">
        <v>2</v>
      </c>
      <c r="DJ49">
        <v>-0.21310200000000001</v>
      </c>
      <c r="DK49">
        <v>2.3888799999999999</v>
      </c>
      <c r="DL49">
        <v>20.183599999999998</v>
      </c>
      <c r="DM49">
        <v>5.2519099999999996</v>
      </c>
      <c r="DN49">
        <v>12.033899999999999</v>
      </c>
      <c r="DO49">
        <v>4.9660000000000002</v>
      </c>
      <c r="DP49">
        <v>3.2909999999999999</v>
      </c>
      <c r="DQ49">
        <v>9999</v>
      </c>
      <c r="DR49">
        <v>9999</v>
      </c>
      <c r="DS49">
        <v>9999</v>
      </c>
      <c r="DT49">
        <v>604</v>
      </c>
      <c r="DU49">
        <v>1.871</v>
      </c>
      <c r="DV49">
        <v>1.8760699999999999</v>
      </c>
      <c r="DW49">
        <v>1.87622</v>
      </c>
      <c r="DX49">
        <v>1.8827799999999999</v>
      </c>
      <c r="DY49">
        <v>1.87548</v>
      </c>
      <c r="DZ49">
        <v>1.87456</v>
      </c>
      <c r="EA49">
        <v>1.8707100000000001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-0.66600000000000004</v>
      </c>
      <c r="EQ49">
        <v>0.14000000000000001</v>
      </c>
      <c r="ER49">
        <v>-0.66629999999995004</v>
      </c>
      <c r="ES49">
        <v>0</v>
      </c>
      <c r="ET49">
        <v>0</v>
      </c>
      <c r="EU49">
        <v>0</v>
      </c>
      <c r="EV49">
        <v>0.140039999999997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</v>
      </c>
      <c r="FE49">
        <v>1.1000000000000001</v>
      </c>
      <c r="FF49">
        <v>0.56640599999999997</v>
      </c>
      <c r="FG49">
        <v>2.5573700000000001</v>
      </c>
      <c r="FH49">
        <v>2.19604</v>
      </c>
      <c r="FI49">
        <v>2.5842299999999998</v>
      </c>
      <c r="FJ49">
        <v>2.4462899999999999</v>
      </c>
      <c r="FK49">
        <v>2.2729499999999998</v>
      </c>
      <c r="FL49">
        <v>28.859000000000002</v>
      </c>
      <c r="FM49">
        <v>24.1313</v>
      </c>
      <c r="FN49">
        <v>19</v>
      </c>
      <c r="FO49">
        <v>862.15700000000004</v>
      </c>
      <c r="FP49">
        <v>607.95100000000002</v>
      </c>
      <c r="FQ49">
        <v>18.695499999999999</v>
      </c>
      <c r="FR49">
        <v>24.313500000000001</v>
      </c>
      <c r="FS49">
        <v>30.000900000000001</v>
      </c>
      <c r="FT49">
        <v>24.276700000000002</v>
      </c>
      <c r="FU49">
        <v>24.276399999999999</v>
      </c>
      <c r="FV49">
        <v>11.376799999999999</v>
      </c>
      <c r="FW49">
        <v>35.1646</v>
      </c>
      <c r="FX49">
        <v>77.876800000000003</v>
      </c>
      <c r="FY49">
        <v>18.163</v>
      </c>
      <c r="FZ49">
        <v>150</v>
      </c>
      <c r="GA49">
        <v>14.359</v>
      </c>
      <c r="GB49">
        <v>99.984999999999999</v>
      </c>
      <c r="GC49">
        <v>99.728800000000007</v>
      </c>
    </row>
    <row r="50" spans="1:185" x14ac:dyDescent="0.2">
      <c r="A50">
        <v>35</v>
      </c>
      <c r="B50">
        <v>1771086103</v>
      </c>
      <c r="C50">
        <v>783</v>
      </c>
      <c r="D50" t="s">
        <v>364</v>
      </c>
      <c r="E50" t="s">
        <v>365</v>
      </c>
      <c r="F50">
        <v>15</v>
      </c>
      <c r="G50">
        <v>1771086094.9333301</v>
      </c>
      <c r="H50">
        <f t="shared" si="0"/>
        <v>9.0970220930737587E-4</v>
      </c>
      <c r="I50">
        <v>0</v>
      </c>
      <c r="J50">
        <f t="shared" si="12"/>
        <v>-1.2728701397271034E-2</v>
      </c>
      <c r="K50">
        <f t="shared" si="1"/>
        <v>-0.34502335433396536</v>
      </c>
      <c r="L50">
        <f t="shared" si="2"/>
        <v>70.245379301461114</v>
      </c>
      <c r="M50">
        <f t="shared" si="3"/>
        <v>1.5509710895954703</v>
      </c>
      <c r="N50">
        <f t="shared" si="4"/>
        <v>2.2079332548542587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26190.761273412281</v>
      </c>
      <c r="T50">
        <f t="shared" si="8"/>
        <v>799.99846666666701</v>
      </c>
      <c r="U50">
        <f t="shared" si="9"/>
        <v>674.39880179981924</v>
      </c>
      <c r="V50">
        <f t="shared" si="10"/>
        <v>0.84300011799999985</v>
      </c>
      <c r="W50">
        <f t="shared" si="11"/>
        <v>0.15870029499999996</v>
      </c>
      <c r="X50">
        <v>1</v>
      </c>
      <c r="Y50">
        <v>1771086094.9333301</v>
      </c>
      <c r="Z50">
        <v>150.2706</v>
      </c>
      <c r="AA50">
        <v>150.0102</v>
      </c>
      <c r="AB50">
        <v>15.504953333333299</v>
      </c>
      <c r="AC50">
        <v>14.3854666666667</v>
      </c>
      <c r="AD50">
        <v>150.936933333333</v>
      </c>
      <c r="AE50">
        <v>15.3649066666667</v>
      </c>
      <c r="AF50">
        <v>800.00713333333294</v>
      </c>
      <c r="AG50">
        <v>99.965526666666705</v>
      </c>
      <c r="AH50">
        <v>6.5157480000000004E-2</v>
      </c>
      <c r="AI50">
        <v>19.0199933333333</v>
      </c>
      <c r="AJ50">
        <v>999.9</v>
      </c>
      <c r="AK50">
        <v>999.9</v>
      </c>
      <c r="AL50">
        <v>0</v>
      </c>
      <c r="AM50">
        <v>0</v>
      </c>
      <c r="AN50">
        <v>4996.6000000000004</v>
      </c>
      <c r="AO50">
        <v>0</v>
      </c>
      <c r="AP50">
        <v>1.9760899999999999</v>
      </c>
      <c r="AQ50">
        <v>0.2604726</v>
      </c>
      <c r="AR50">
        <v>152.637333333333</v>
      </c>
      <c r="AS50">
        <v>152.19966666666701</v>
      </c>
      <c r="AT50">
        <v>1.1194793333333299</v>
      </c>
      <c r="AU50">
        <v>150.0102</v>
      </c>
      <c r="AV50">
        <v>14.3854666666667</v>
      </c>
      <c r="AW50">
        <v>1.5499606666666701</v>
      </c>
      <c r="AX50">
        <v>1.43805133333333</v>
      </c>
      <c r="AY50">
        <v>13.4701066666667</v>
      </c>
      <c r="AZ50">
        <v>12.3249266666667</v>
      </c>
      <c r="BA50">
        <v>799.99846666666701</v>
      </c>
      <c r="BB50">
        <v>0.89999606666666698</v>
      </c>
      <c r="BC50">
        <v>0</v>
      </c>
      <c r="BD50">
        <v>0.100003933333333</v>
      </c>
      <c r="BE50">
        <v>0</v>
      </c>
      <c r="BF50">
        <v>24</v>
      </c>
      <c r="BG50">
        <v>13190.98</v>
      </c>
      <c r="BH50">
        <v>1771086026</v>
      </c>
      <c r="BI50" t="s">
        <v>353</v>
      </c>
      <c r="BJ50">
        <v>1771086026</v>
      </c>
      <c r="BK50">
        <v>1771086020</v>
      </c>
      <c r="BL50">
        <v>2</v>
      </c>
      <c r="BM50">
        <v>0.44600000000000001</v>
      </c>
      <c r="BN50">
        <v>1.2999999999999999E-2</v>
      </c>
      <c r="BO50">
        <v>-0.66600000000000004</v>
      </c>
      <c r="BP50">
        <v>0.14000000000000001</v>
      </c>
      <c r="BQ50">
        <v>150</v>
      </c>
      <c r="BR50">
        <v>15</v>
      </c>
      <c r="BS50">
        <v>0.05</v>
      </c>
      <c r="BT50">
        <v>0.13</v>
      </c>
      <c r="BU50">
        <v>0.27711776190476201</v>
      </c>
      <c r="BV50">
        <v>-0.26200706493506398</v>
      </c>
      <c r="BW50">
        <v>2.8949953139043801E-2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1.1363642857142899</v>
      </c>
      <c r="CD50">
        <v>-0.272654805194806</v>
      </c>
      <c r="CE50">
        <v>2.7690630970373602E-2</v>
      </c>
      <c r="CF50">
        <v>0</v>
      </c>
      <c r="CG50">
        <v>1</v>
      </c>
      <c r="CH50">
        <v>2</v>
      </c>
      <c r="CI50" t="s">
        <v>299</v>
      </c>
      <c r="CJ50">
        <v>3.5325799999999998</v>
      </c>
      <c r="CK50">
        <v>2.7033100000000001</v>
      </c>
      <c r="CL50">
        <v>4.21973E-2</v>
      </c>
      <c r="CM50">
        <v>4.1520399999999999E-2</v>
      </c>
      <c r="CN50">
        <v>8.7342699999999995E-2</v>
      </c>
      <c r="CO50">
        <v>8.2052200000000006E-2</v>
      </c>
      <c r="CP50">
        <v>33635.5</v>
      </c>
      <c r="CQ50">
        <v>29525.599999999999</v>
      </c>
      <c r="CR50">
        <v>32497.3</v>
      </c>
      <c r="CS50">
        <v>30726.5</v>
      </c>
      <c r="CT50">
        <v>40135.4</v>
      </c>
      <c r="CU50">
        <v>39643.9</v>
      </c>
      <c r="CV50">
        <v>47440.9</v>
      </c>
      <c r="CW50">
        <v>46840.7</v>
      </c>
      <c r="CX50">
        <v>2.6406000000000001</v>
      </c>
      <c r="CY50">
        <v>2.1884199999999998</v>
      </c>
      <c r="CZ50">
        <v>0</v>
      </c>
      <c r="DA50">
        <v>0</v>
      </c>
      <c r="DB50">
        <v>999.9</v>
      </c>
      <c r="DC50">
        <v>999.9</v>
      </c>
      <c r="DD50">
        <v>72.024000000000001</v>
      </c>
      <c r="DE50">
        <v>23.292999999999999</v>
      </c>
      <c r="DF50">
        <v>20.678699999999999</v>
      </c>
      <c r="DG50">
        <v>27.567299999999999</v>
      </c>
      <c r="DH50">
        <v>14.755599999999999</v>
      </c>
      <c r="DI50">
        <v>2</v>
      </c>
      <c r="DJ50">
        <v>-0.210699</v>
      </c>
      <c r="DK50">
        <v>2.1272500000000001</v>
      </c>
      <c r="DL50">
        <v>20.195399999999999</v>
      </c>
      <c r="DM50">
        <v>5.2513100000000001</v>
      </c>
      <c r="DN50">
        <v>12.033899999999999</v>
      </c>
      <c r="DO50">
        <v>4.9659199999999997</v>
      </c>
      <c r="DP50">
        <v>3.2909999999999999</v>
      </c>
      <c r="DQ50">
        <v>9999</v>
      </c>
      <c r="DR50">
        <v>9999</v>
      </c>
      <c r="DS50">
        <v>9999</v>
      </c>
      <c r="DT50">
        <v>604.1</v>
      </c>
      <c r="DU50">
        <v>1.87093</v>
      </c>
      <c r="DV50">
        <v>1.8760699999999999</v>
      </c>
      <c r="DW50">
        <v>1.87622</v>
      </c>
      <c r="DX50">
        <v>1.8827700000000001</v>
      </c>
      <c r="DY50">
        <v>1.87548</v>
      </c>
      <c r="DZ50">
        <v>1.87456</v>
      </c>
      <c r="EA50">
        <v>1.87073</v>
      </c>
      <c r="EB50">
        <v>1.8745799999999999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-0.66600000000000004</v>
      </c>
      <c r="EQ50">
        <v>0.14000000000000001</v>
      </c>
      <c r="ER50">
        <v>-0.66629999999995004</v>
      </c>
      <c r="ES50">
        <v>0</v>
      </c>
      <c r="ET50">
        <v>0</v>
      </c>
      <c r="EU50">
        <v>0</v>
      </c>
      <c r="EV50">
        <v>0.140039999999997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1.3</v>
      </c>
      <c r="FE50">
        <v>1.4</v>
      </c>
      <c r="FF50">
        <v>0.56640599999999997</v>
      </c>
      <c r="FG50">
        <v>2.5610400000000002</v>
      </c>
      <c r="FH50">
        <v>2.19604</v>
      </c>
      <c r="FI50">
        <v>2.5842299999999998</v>
      </c>
      <c r="FJ50">
        <v>2.4462899999999999</v>
      </c>
      <c r="FK50">
        <v>2.2729499999999998</v>
      </c>
      <c r="FL50">
        <v>28.859000000000002</v>
      </c>
      <c r="FM50">
        <v>24.157499999999999</v>
      </c>
      <c r="FN50">
        <v>19</v>
      </c>
      <c r="FO50">
        <v>862.04300000000001</v>
      </c>
      <c r="FP50">
        <v>607.779</v>
      </c>
      <c r="FQ50">
        <v>18.0534</v>
      </c>
      <c r="FR50">
        <v>24.3188</v>
      </c>
      <c r="FS50">
        <v>29.999300000000002</v>
      </c>
      <c r="FT50">
        <v>24.283200000000001</v>
      </c>
      <c r="FU50">
        <v>24.283300000000001</v>
      </c>
      <c r="FV50">
        <v>11.3742</v>
      </c>
      <c r="FW50">
        <v>35.1646</v>
      </c>
      <c r="FX50">
        <v>77.500900000000001</v>
      </c>
      <c r="FY50">
        <v>18.099799999999998</v>
      </c>
      <c r="FZ50">
        <v>150</v>
      </c>
      <c r="GA50">
        <v>14.3657</v>
      </c>
      <c r="GB50">
        <v>99.980800000000002</v>
      </c>
      <c r="GC50">
        <v>99.729299999999995</v>
      </c>
    </row>
    <row r="51" spans="1:185" x14ac:dyDescent="0.2">
      <c r="A51">
        <v>36</v>
      </c>
      <c r="B51">
        <v>1771086118</v>
      </c>
      <c r="C51">
        <v>798</v>
      </c>
      <c r="D51" t="s">
        <v>366</v>
      </c>
      <c r="E51" t="s">
        <v>367</v>
      </c>
      <c r="F51">
        <v>15</v>
      </c>
      <c r="G51">
        <v>1771086109.9333301</v>
      </c>
      <c r="H51">
        <f t="shared" si="0"/>
        <v>8.7758066454156271E-4</v>
      </c>
      <c r="I51">
        <v>0</v>
      </c>
      <c r="J51">
        <f t="shared" si="12"/>
        <v>-1.2686356495775961E-2</v>
      </c>
      <c r="K51">
        <f t="shared" si="1"/>
        <v>-0.34387555618105214</v>
      </c>
      <c r="L51">
        <f t="shared" si="2"/>
        <v>70.132321206224375</v>
      </c>
      <c r="M51">
        <f t="shared" si="3"/>
        <v>1.5455061275623019</v>
      </c>
      <c r="N51">
        <f t="shared" si="4"/>
        <v>2.203700235470226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26221.133507541985</v>
      </c>
      <c r="T51">
        <f t="shared" si="8"/>
        <v>800.00093333333302</v>
      </c>
      <c r="U51">
        <f t="shared" si="9"/>
        <v>674.40087640010415</v>
      </c>
      <c r="V51">
        <f t="shared" si="10"/>
        <v>0.84300011199999991</v>
      </c>
      <c r="W51">
        <f t="shared" si="11"/>
        <v>0.15870027999999997</v>
      </c>
      <c r="X51">
        <v>1</v>
      </c>
      <c r="Y51">
        <v>1771086109.9333301</v>
      </c>
      <c r="Z51">
        <v>150.26859999999999</v>
      </c>
      <c r="AA51">
        <v>150.00360000000001</v>
      </c>
      <c r="AB51">
        <v>15.4502466666667</v>
      </c>
      <c r="AC51">
        <v>14.370233333333299</v>
      </c>
      <c r="AD51">
        <v>150.9348</v>
      </c>
      <c r="AE51">
        <v>15.3102133333333</v>
      </c>
      <c r="AF51">
        <v>800.01033333333305</v>
      </c>
      <c r="AG51">
        <v>99.966040000000007</v>
      </c>
      <c r="AH51">
        <v>6.5122020000000003E-2</v>
      </c>
      <c r="AI51">
        <v>18.989239999999999</v>
      </c>
      <c r="AJ51">
        <v>999.9</v>
      </c>
      <c r="AK51">
        <v>999.9</v>
      </c>
      <c r="AL51">
        <v>0</v>
      </c>
      <c r="AM51">
        <v>0</v>
      </c>
      <c r="AN51">
        <v>5001.1333333333296</v>
      </c>
      <c r="AO51">
        <v>0</v>
      </c>
      <c r="AP51">
        <v>1.9760899999999999</v>
      </c>
      <c r="AQ51">
        <v>0.26508900000000002</v>
      </c>
      <c r="AR51">
        <v>152.62686666666701</v>
      </c>
      <c r="AS51">
        <v>152.190666666667</v>
      </c>
      <c r="AT51">
        <v>1.08000933333333</v>
      </c>
      <c r="AU51">
        <v>150.00360000000001</v>
      </c>
      <c r="AV51">
        <v>14.370233333333299</v>
      </c>
      <c r="AW51">
        <v>1.54450133333333</v>
      </c>
      <c r="AX51">
        <v>1.436536</v>
      </c>
      <c r="AY51">
        <v>13.415953333333301</v>
      </c>
      <c r="AZ51">
        <v>12.3088933333333</v>
      </c>
      <c r="BA51">
        <v>800.00093333333302</v>
      </c>
      <c r="BB51">
        <v>0.89999626666666699</v>
      </c>
      <c r="BC51">
        <v>0</v>
      </c>
      <c r="BD51">
        <v>0.100003733333333</v>
      </c>
      <c r="BE51">
        <v>0</v>
      </c>
      <c r="BF51">
        <v>24</v>
      </c>
      <c r="BG51">
        <v>13191.026666666699</v>
      </c>
      <c r="BH51">
        <v>1771086026</v>
      </c>
      <c r="BI51" t="s">
        <v>353</v>
      </c>
      <c r="BJ51">
        <v>1771086026</v>
      </c>
      <c r="BK51">
        <v>1771086020</v>
      </c>
      <c r="BL51">
        <v>2</v>
      </c>
      <c r="BM51">
        <v>0.44600000000000001</v>
      </c>
      <c r="BN51">
        <v>1.2999999999999999E-2</v>
      </c>
      <c r="BO51">
        <v>-0.66600000000000004</v>
      </c>
      <c r="BP51">
        <v>0.14000000000000001</v>
      </c>
      <c r="BQ51">
        <v>150</v>
      </c>
      <c r="BR51">
        <v>15</v>
      </c>
      <c r="BS51">
        <v>0.05</v>
      </c>
      <c r="BT51">
        <v>0.13</v>
      </c>
      <c r="BU51">
        <v>0.25807633333333302</v>
      </c>
      <c r="BV51">
        <v>0.162997714285714</v>
      </c>
      <c r="BW51">
        <v>2.8277787808898301E-2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1.0845657142857099</v>
      </c>
      <c r="CD51">
        <v>-8.9068831168830798E-2</v>
      </c>
      <c r="CE51">
        <v>9.3325750906772392E-3</v>
      </c>
      <c r="CF51">
        <v>1</v>
      </c>
      <c r="CG51">
        <v>2</v>
      </c>
      <c r="CH51">
        <v>2</v>
      </c>
      <c r="CI51" t="s">
        <v>310</v>
      </c>
      <c r="CJ51">
        <v>3.5324900000000001</v>
      </c>
      <c r="CK51">
        <v>2.7027899999999998</v>
      </c>
      <c r="CL51">
        <v>4.2190199999999997E-2</v>
      </c>
      <c r="CM51">
        <v>4.1511600000000003E-2</v>
      </c>
      <c r="CN51">
        <v>8.7218199999999996E-2</v>
      </c>
      <c r="CO51">
        <v>8.2000299999999998E-2</v>
      </c>
      <c r="CP51">
        <v>33636.5</v>
      </c>
      <c r="CQ51">
        <v>29526.7</v>
      </c>
      <c r="CR51">
        <v>32498.1</v>
      </c>
      <c r="CS51">
        <v>30727.4</v>
      </c>
      <c r="CT51">
        <v>40142.1</v>
      </c>
      <c r="CU51">
        <v>39647.4</v>
      </c>
      <c r="CV51">
        <v>47442.1</v>
      </c>
      <c r="CW51">
        <v>46842.2</v>
      </c>
      <c r="CX51">
        <v>2.6404999999999998</v>
      </c>
      <c r="CY51">
        <v>2.18824</v>
      </c>
      <c r="CZ51">
        <v>0</v>
      </c>
      <c r="DA51">
        <v>0</v>
      </c>
      <c r="DB51">
        <v>999.9</v>
      </c>
      <c r="DC51">
        <v>999.9</v>
      </c>
      <c r="DD51">
        <v>71.933000000000007</v>
      </c>
      <c r="DE51">
        <v>23.303000000000001</v>
      </c>
      <c r="DF51">
        <v>20.6647</v>
      </c>
      <c r="DG51">
        <v>27.447299999999998</v>
      </c>
      <c r="DH51">
        <v>14.883800000000001</v>
      </c>
      <c r="DI51">
        <v>2</v>
      </c>
      <c r="DJ51">
        <v>-0.21199999999999999</v>
      </c>
      <c r="DK51">
        <v>1.7871999999999999</v>
      </c>
      <c r="DL51">
        <v>20.200800000000001</v>
      </c>
      <c r="DM51">
        <v>5.2511900000000002</v>
      </c>
      <c r="DN51">
        <v>12.033899999999999</v>
      </c>
      <c r="DO51">
        <v>4.9657600000000004</v>
      </c>
      <c r="DP51">
        <v>3.2909999999999999</v>
      </c>
      <c r="DQ51">
        <v>9999</v>
      </c>
      <c r="DR51">
        <v>9999</v>
      </c>
      <c r="DS51">
        <v>9999</v>
      </c>
      <c r="DT51">
        <v>604.1</v>
      </c>
      <c r="DU51">
        <v>1.87094</v>
      </c>
      <c r="DV51">
        <v>1.8760699999999999</v>
      </c>
      <c r="DW51">
        <v>1.87622</v>
      </c>
      <c r="DX51">
        <v>1.8827400000000001</v>
      </c>
      <c r="DY51">
        <v>1.8754599999999999</v>
      </c>
      <c r="DZ51">
        <v>1.8745499999999999</v>
      </c>
      <c r="EA51">
        <v>1.8707</v>
      </c>
      <c r="EB51">
        <v>1.8745799999999999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-0.66600000000000004</v>
      </c>
      <c r="EQ51">
        <v>0.14000000000000001</v>
      </c>
      <c r="ER51">
        <v>-0.66629999999995004</v>
      </c>
      <c r="ES51">
        <v>0</v>
      </c>
      <c r="ET51">
        <v>0</v>
      </c>
      <c r="EU51">
        <v>0</v>
      </c>
      <c r="EV51">
        <v>0.140039999999997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1.5</v>
      </c>
      <c r="FE51">
        <v>1.6</v>
      </c>
      <c r="FF51">
        <v>0.56640599999999997</v>
      </c>
      <c r="FG51">
        <v>2.5610400000000002</v>
      </c>
      <c r="FH51">
        <v>2.19604</v>
      </c>
      <c r="FI51">
        <v>2.5842299999999998</v>
      </c>
      <c r="FJ51">
        <v>2.4462899999999999</v>
      </c>
      <c r="FK51">
        <v>2.2473100000000001</v>
      </c>
      <c r="FL51">
        <v>28.880199999999999</v>
      </c>
      <c r="FM51">
        <v>24.148800000000001</v>
      </c>
      <c r="FN51">
        <v>19</v>
      </c>
      <c r="FO51">
        <v>862.05700000000002</v>
      </c>
      <c r="FP51">
        <v>607.71900000000005</v>
      </c>
      <c r="FQ51">
        <v>18.102399999999999</v>
      </c>
      <c r="FR51">
        <v>24.3245</v>
      </c>
      <c r="FS51">
        <v>29.9998</v>
      </c>
      <c r="FT51">
        <v>24.2897</v>
      </c>
      <c r="FU51">
        <v>24.290199999999999</v>
      </c>
      <c r="FV51">
        <v>11.3751</v>
      </c>
      <c r="FW51">
        <v>35.1646</v>
      </c>
      <c r="FX51">
        <v>77.119900000000001</v>
      </c>
      <c r="FY51">
        <v>18.1282</v>
      </c>
      <c r="FZ51">
        <v>150</v>
      </c>
      <c r="GA51">
        <v>14.3713</v>
      </c>
      <c r="GB51">
        <v>99.983199999999997</v>
      </c>
      <c r="GC51">
        <v>99.732299999999995</v>
      </c>
    </row>
    <row r="52" spans="1:185" x14ac:dyDescent="0.2">
      <c r="A52">
        <v>37</v>
      </c>
      <c r="B52">
        <v>1771086133</v>
      </c>
      <c r="C52">
        <v>813</v>
      </c>
      <c r="D52" t="s">
        <v>368</v>
      </c>
      <c r="E52" t="s">
        <v>369</v>
      </c>
      <c r="F52">
        <v>15</v>
      </c>
      <c r="G52">
        <v>1771086124.9333301</v>
      </c>
      <c r="H52">
        <f t="shared" si="0"/>
        <v>8.6803524428712088E-4</v>
      </c>
      <c r="I52">
        <v>0</v>
      </c>
      <c r="J52">
        <f t="shared" si="12"/>
        <v>-1.0927663442522641E-2</v>
      </c>
      <c r="K52">
        <f t="shared" si="1"/>
        <v>-0.29620453637007627</v>
      </c>
      <c r="L52">
        <f t="shared" si="2"/>
        <v>70.102034685806615</v>
      </c>
      <c r="M52">
        <f t="shared" si="3"/>
        <v>1.543181869070384</v>
      </c>
      <c r="N52">
        <f t="shared" si="4"/>
        <v>2.2013367742988326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26211.810568606226</v>
      </c>
      <c r="T52">
        <f t="shared" si="8"/>
        <v>799.99846666666701</v>
      </c>
      <c r="U52">
        <f t="shared" si="9"/>
        <v>674.39876659988681</v>
      </c>
      <c r="V52">
        <f t="shared" si="10"/>
        <v>0.84300007399999999</v>
      </c>
      <c r="W52">
        <f t="shared" si="11"/>
        <v>0.15870018500000002</v>
      </c>
      <c r="X52">
        <v>1</v>
      </c>
      <c r="Y52">
        <v>1771086124.9333301</v>
      </c>
      <c r="Z52">
        <v>150.210933333333</v>
      </c>
      <c r="AA52">
        <v>150.00366666666699</v>
      </c>
      <c r="AB52">
        <v>15.4272333333333</v>
      </c>
      <c r="AC52">
        <v>14.3589466666667</v>
      </c>
      <c r="AD52">
        <v>150.877466666667</v>
      </c>
      <c r="AE52">
        <v>15.287179999999999</v>
      </c>
      <c r="AF52">
        <v>800.0136</v>
      </c>
      <c r="AG52">
        <v>99.964666666666702</v>
      </c>
      <c r="AH52">
        <v>6.505582E-2</v>
      </c>
      <c r="AI52">
        <v>18.972046666666699</v>
      </c>
      <c r="AJ52">
        <v>999.9</v>
      </c>
      <c r="AK52">
        <v>999.9</v>
      </c>
      <c r="AL52">
        <v>0</v>
      </c>
      <c r="AM52">
        <v>0</v>
      </c>
      <c r="AN52">
        <v>4999.3999999999996</v>
      </c>
      <c r="AO52">
        <v>0</v>
      </c>
      <c r="AP52">
        <v>1.9760899999999999</v>
      </c>
      <c r="AQ52">
        <v>0.20743313333333299</v>
      </c>
      <c r="AR52">
        <v>152.56466666666699</v>
      </c>
      <c r="AS52">
        <v>152.18899999999999</v>
      </c>
      <c r="AT52">
        <v>1.06826666666667</v>
      </c>
      <c r="AU52">
        <v>150.00366666666699</v>
      </c>
      <c r="AV52">
        <v>14.3589466666667</v>
      </c>
      <c r="AW52">
        <v>1.542178</v>
      </c>
      <c r="AX52">
        <v>1.4353880000000001</v>
      </c>
      <c r="AY52">
        <v>13.3928666666667</v>
      </c>
      <c r="AZ52">
        <v>12.2967266666667</v>
      </c>
      <c r="BA52">
        <v>799.99846666666701</v>
      </c>
      <c r="BB52">
        <v>0.89999753333333299</v>
      </c>
      <c r="BC52">
        <v>0</v>
      </c>
      <c r="BD52">
        <v>0.100002466666667</v>
      </c>
      <c r="BE52">
        <v>0</v>
      </c>
      <c r="BF52">
        <v>24</v>
      </c>
      <c r="BG52">
        <v>13190.9866666667</v>
      </c>
      <c r="BH52">
        <v>1771086026</v>
      </c>
      <c r="BI52" t="s">
        <v>353</v>
      </c>
      <c r="BJ52">
        <v>1771086026</v>
      </c>
      <c r="BK52">
        <v>1771086020</v>
      </c>
      <c r="BL52">
        <v>2</v>
      </c>
      <c r="BM52">
        <v>0.44600000000000001</v>
      </c>
      <c r="BN52">
        <v>1.2999999999999999E-2</v>
      </c>
      <c r="BO52">
        <v>-0.66600000000000004</v>
      </c>
      <c r="BP52">
        <v>0.14000000000000001</v>
      </c>
      <c r="BQ52">
        <v>150</v>
      </c>
      <c r="BR52">
        <v>15</v>
      </c>
      <c r="BS52">
        <v>0.05</v>
      </c>
      <c r="BT52">
        <v>0.13</v>
      </c>
      <c r="BU52">
        <v>0.23316019047618999</v>
      </c>
      <c r="BV52">
        <v>-0.322763688311688</v>
      </c>
      <c r="BW52">
        <v>4.0795982430135297E-2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1.07059619047619</v>
      </c>
      <c r="CD52">
        <v>-4.0199220779218503E-2</v>
      </c>
      <c r="CE52">
        <v>4.2404430094153704E-3</v>
      </c>
      <c r="CF52">
        <v>1</v>
      </c>
      <c r="CG52">
        <v>2</v>
      </c>
      <c r="CH52">
        <v>2</v>
      </c>
      <c r="CI52" t="s">
        <v>310</v>
      </c>
      <c r="CJ52">
        <v>3.5324599999999999</v>
      </c>
      <c r="CK52">
        <v>2.7029999999999998</v>
      </c>
      <c r="CL52">
        <v>4.2183199999999997E-2</v>
      </c>
      <c r="CM52">
        <v>4.1513799999999997E-2</v>
      </c>
      <c r="CN52">
        <v>8.7149799999999999E-2</v>
      </c>
      <c r="CO52">
        <v>8.19492E-2</v>
      </c>
      <c r="CP52">
        <v>33637.1</v>
      </c>
      <c r="CQ52">
        <v>29527</v>
      </c>
      <c r="CR52">
        <v>32498.5</v>
      </c>
      <c r="CS52">
        <v>30727.8</v>
      </c>
      <c r="CT52">
        <v>40145.800000000003</v>
      </c>
      <c r="CU52">
        <v>39650.199999999997</v>
      </c>
      <c r="CV52">
        <v>47442.8</v>
      </c>
      <c r="CW52">
        <v>46842.9</v>
      </c>
      <c r="CX52">
        <v>2.6404999999999998</v>
      </c>
      <c r="CY52">
        <v>2.18798</v>
      </c>
      <c r="CZ52">
        <v>0</v>
      </c>
      <c r="DA52">
        <v>0</v>
      </c>
      <c r="DB52">
        <v>999.9</v>
      </c>
      <c r="DC52">
        <v>999.9</v>
      </c>
      <c r="DD52">
        <v>71.840999999999994</v>
      </c>
      <c r="DE52">
        <v>23.323</v>
      </c>
      <c r="DF52">
        <v>20.663</v>
      </c>
      <c r="DG52">
        <v>27.7773</v>
      </c>
      <c r="DH52">
        <v>14.8718</v>
      </c>
      <c r="DI52">
        <v>2</v>
      </c>
      <c r="DJ52">
        <v>-0.211872</v>
      </c>
      <c r="DK52">
        <v>1.72435</v>
      </c>
      <c r="DL52">
        <v>20.201599999999999</v>
      </c>
      <c r="DM52">
        <v>5.25047</v>
      </c>
      <c r="DN52">
        <v>12.033899999999999</v>
      </c>
      <c r="DO52">
        <v>4.9659599999999999</v>
      </c>
      <c r="DP52">
        <v>3.2909999999999999</v>
      </c>
      <c r="DQ52">
        <v>9999</v>
      </c>
      <c r="DR52">
        <v>9999</v>
      </c>
      <c r="DS52">
        <v>9999</v>
      </c>
      <c r="DT52">
        <v>604.1</v>
      </c>
      <c r="DU52">
        <v>1.87097</v>
      </c>
      <c r="DV52">
        <v>1.8760699999999999</v>
      </c>
      <c r="DW52">
        <v>1.87622</v>
      </c>
      <c r="DX52">
        <v>1.8827499999999999</v>
      </c>
      <c r="DY52">
        <v>1.87548</v>
      </c>
      <c r="DZ52">
        <v>1.8745499999999999</v>
      </c>
      <c r="EA52">
        <v>1.8707100000000001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-0.66600000000000004</v>
      </c>
      <c r="EQ52">
        <v>0.1401</v>
      </c>
      <c r="ER52">
        <v>-0.66629999999995004</v>
      </c>
      <c r="ES52">
        <v>0</v>
      </c>
      <c r="ET52">
        <v>0</v>
      </c>
      <c r="EU52">
        <v>0</v>
      </c>
      <c r="EV52">
        <v>0.140039999999997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1.8</v>
      </c>
      <c r="FE52">
        <v>1.9</v>
      </c>
      <c r="FF52">
        <v>0.56640599999999997</v>
      </c>
      <c r="FG52">
        <v>2.5659200000000002</v>
      </c>
      <c r="FH52">
        <v>2.19604</v>
      </c>
      <c r="FI52">
        <v>2.5842299999999998</v>
      </c>
      <c r="FJ52">
        <v>2.4462899999999999</v>
      </c>
      <c r="FK52">
        <v>2.2961399999999998</v>
      </c>
      <c r="FL52">
        <v>28.901299999999999</v>
      </c>
      <c r="FM52">
        <v>24.157499999999999</v>
      </c>
      <c r="FN52">
        <v>19</v>
      </c>
      <c r="FO52">
        <v>862.17100000000005</v>
      </c>
      <c r="FP52">
        <v>607.58600000000001</v>
      </c>
      <c r="FQ52">
        <v>18.167400000000001</v>
      </c>
      <c r="FR52">
        <v>24.330300000000001</v>
      </c>
      <c r="FS52">
        <v>30.0001</v>
      </c>
      <c r="FT52">
        <v>24.296700000000001</v>
      </c>
      <c r="FU52">
        <v>24.296299999999999</v>
      </c>
      <c r="FV52">
        <v>11.373200000000001</v>
      </c>
      <c r="FW52">
        <v>35.1646</v>
      </c>
      <c r="FX52">
        <v>76.738399999999999</v>
      </c>
      <c r="FY52">
        <v>18.185700000000001</v>
      </c>
      <c r="FZ52">
        <v>150</v>
      </c>
      <c r="GA52">
        <v>14.3725</v>
      </c>
      <c r="GB52">
        <v>99.984499999999997</v>
      </c>
      <c r="GC52">
        <v>99.733599999999996</v>
      </c>
    </row>
    <row r="53" spans="1:185" x14ac:dyDescent="0.2">
      <c r="A53">
        <v>38</v>
      </c>
      <c r="B53">
        <v>1771086148</v>
      </c>
      <c r="C53">
        <v>828</v>
      </c>
      <c r="D53" t="s">
        <v>370</v>
      </c>
      <c r="E53" t="s">
        <v>371</v>
      </c>
      <c r="F53">
        <v>15</v>
      </c>
      <c r="G53">
        <v>1771086139.9333301</v>
      </c>
      <c r="H53">
        <f t="shared" si="0"/>
        <v>8.6994128903559716E-4</v>
      </c>
      <c r="I53">
        <v>0</v>
      </c>
      <c r="J53">
        <f t="shared" si="12"/>
        <v>-1.0534360357711822E-2</v>
      </c>
      <c r="K53">
        <f t="shared" si="1"/>
        <v>-0.28554368846768002</v>
      </c>
      <c r="L53">
        <f t="shared" si="2"/>
        <v>70.077976923674726</v>
      </c>
      <c r="M53">
        <f t="shared" si="3"/>
        <v>1.5421060957910089</v>
      </c>
      <c r="N53">
        <f t="shared" si="4"/>
        <v>2.2005573840560357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26187.758725688043</v>
      </c>
      <c r="T53">
        <f t="shared" si="8"/>
        <v>800.00006666666695</v>
      </c>
      <c r="U53">
        <f t="shared" si="9"/>
        <v>674.4000994000038</v>
      </c>
      <c r="V53">
        <f t="shared" si="10"/>
        <v>0.84300005399999989</v>
      </c>
      <c r="W53">
        <f t="shared" si="11"/>
        <v>0.15870013499999999</v>
      </c>
      <c r="X53">
        <v>1</v>
      </c>
      <c r="Y53">
        <v>1771086139.9333301</v>
      </c>
      <c r="Z53">
        <v>150.1968</v>
      </c>
      <c r="AA53">
        <v>150.00319999999999</v>
      </c>
      <c r="AB53">
        <v>15.416539999999999</v>
      </c>
      <c r="AC53">
        <v>14.345886666666701</v>
      </c>
      <c r="AD53">
        <v>150.862866666667</v>
      </c>
      <c r="AE53">
        <v>15.2765</v>
      </c>
      <c r="AF53">
        <v>800.006666666667</v>
      </c>
      <c r="AG53">
        <v>99.964246666666696</v>
      </c>
      <c r="AH53">
        <v>6.5078706666666694E-2</v>
      </c>
      <c r="AI53">
        <v>18.966373333333301</v>
      </c>
      <c r="AJ53">
        <v>999.9</v>
      </c>
      <c r="AK53">
        <v>999.9</v>
      </c>
      <c r="AL53">
        <v>0</v>
      </c>
      <c r="AM53">
        <v>0</v>
      </c>
      <c r="AN53">
        <v>4995.3666666666704</v>
      </c>
      <c r="AO53">
        <v>0</v>
      </c>
      <c r="AP53">
        <v>1.9760899999999999</v>
      </c>
      <c r="AQ53">
        <v>0.19338066666666701</v>
      </c>
      <c r="AR53">
        <v>152.548466666667</v>
      </c>
      <c r="AS53">
        <v>152.1866</v>
      </c>
      <c r="AT53">
        <v>1.0706580000000001</v>
      </c>
      <c r="AU53">
        <v>150.00319999999999</v>
      </c>
      <c r="AV53">
        <v>14.345886666666701</v>
      </c>
      <c r="AW53">
        <v>1.541104</v>
      </c>
      <c r="AX53">
        <v>1.43407533333333</v>
      </c>
      <c r="AY53">
        <v>13.3821733333333</v>
      </c>
      <c r="AZ53">
        <v>12.2828133333333</v>
      </c>
      <c r="BA53">
        <v>800.00006666666695</v>
      </c>
      <c r="BB53">
        <v>0.89999819999999997</v>
      </c>
      <c r="BC53">
        <v>0</v>
      </c>
      <c r="BD53">
        <v>0.1000018</v>
      </c>
      <c r="BE53">
        <v>0</v>
      </c>
      <c r="BF53">
        <v>24</v>
      </c>
      <c r="BG53">
        <v>13191.02</v>
      </c>
      <c r="BH53">
        <v>1771086026</v>
      </c>
      <c r="BI53" t="s">
        <v>353</v>
      </c>
      <c r="BJ53">
        <v>1771086026</v>
      </c>
      <c r="BK53">
        <v>1771086020</v>
      </c>
      <c r="BL53">
        <v>2</v>
      </c>
      <c r="BM53">
        <v>0.44600000000000001</v>
      </c>
      <c r="BN53">
        <v>1.2999999999999999E-2</v>
      </c>
      <c r="BO53">
        <v>-0.66600000000000004</v>
      </c>
      <c r="BP53">
        <v>0.14000000000000001</v>
      </c>
      <c r="BQ53">
        <v>150</v>
      </c>
      <c r="BR53">
        <v>15</v>
      </c>
      <c r="BS53">
        <v>0.05</v>
      </c>
      <c r="BT53">
        <v>0.13</v>
      </c>
      <c r="BU53">
        <v>0.197255428571429</v>
      </c>
      <c r="BV53">
        <v>-1.90165714285714E-2</v>
      </c>
      <c r="BW53">
        <v>1.17507776624983E-2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1.0692157142857099</v>
      </c>
      <c r="CD53">
        <v>1.5999740259739499E-2</v>
      </c>
      <c r="CE53">
        <v>2.9225503725807899E-3</v>
      </c>
      <c r="CF53">
        <v>1</v>
      </c>
      <c r="CG53">
        <v>2</v>
      </c>
      <c r="CH53">
        <v>2</v>
      </c>
      <c r="CI53" t="s">
        <v>310</v>
      </c>
      <c r="CJ53">
        <v>3.5324499999999999</v>
      </c>
      <c r="CK53">
        <v>2.7029100000000001</v>
      </c>
      <c r="CL53">
        <v>4.2180099999999998E-2</v>
      </c>
      <c r="CM53">
        <v>4.1512E-2</v>
      </c>
      <c r="CN53">
        <v>8.7102899999999997E-2</v>
      </c>
      <c r="CO53">
        <v>8.1896200000000002E-2</v>
      </c>
      <c r="CP53">
        <v>33636.9</v>
      </c>
      <c r="CQ53">
        <v>29525.9</v>
      </c>
      <c r="CR53">
        <v>32498.2</v>
      </c>
      <c r="CS53">
        <v>30726.6</v>
      </c>
      <c r="CT53">
        <v>40147.599999999999</v>
      </c>
      <c r="CU53">
        <v>39651.4</v>
      </c>
      <c r="CV53">
        <v>47442.400000000001</v>
      </c>
      <c r="CW53">
        <v>46841.4</v>
      </c>
      <c r="CX53">
        <v>2.64052</v>
      </c>
      <c r="CY53">
        <v>2.1876600000000002</v>
      </c>
      <c r="CZ53">
        <v>0</v>
      </c>
      <c r="DA53">
        <v>0</v>
      </c>
      <c r="DB53">
        <v>999.9</v>
      </c>
      <c r="DC53">
        <v>999.9</v>
      </c>
      <c r="DD53">
        <v>71.718999999999994</v>
      </c>
      <c r="DE53">
        <v>23.332999999999998</v>
      </c>
      <c r="DF53">
        <v>20.6417</v>
      </c>
      <c r="DG53">
        <v>27.3873</v>
      </c>
      <c r="DH53">
        <v>14.879799999999999</v>
      </c>
      <c r="DI53">
        <v>2</v>
      </c>
      <c r="DJ53">
        <v>-0.211539</v>
      </c>
      <c r="DK53">
        <v>1.64049</v>
      </c>
      <c r="DL53">
        <v>20.202400000000001</v>
      </c>
      <c r="DM53">
        <v>5.2503500000000001</v>
      </c>
      <c r="DN53">
        <v>12.033899999999999</v>
      </c>
      <c r="DO53">
        <v>4.9661200000000001</v>
      </c>
      <c r="DP53">
        <v>3.2909999999999999</v>
      </c>
      <c r="DQ53">
        <v>9999</v>
      </c>
      <c r="DR53">
        <v>9999</v>
      </c>
      <c r="DS53">
        <v>9999</v>
      </c>
      <c r="DT53">
        <v>604.1</v>
      </c>
      <c r="DU53">
        <v>1.87094</v>
      </c>
      <c r="DV53">
        <v>1.87605</v>
      </c>
      <c r="DW53">
        <v>1.87622</v>
      </c>
      <c r="DX53">
        <v>1.8827700000000001</v>
      </c>
      <c r="DY53">
        <v>1.87547</v>
      </c>
      <c r="DZ53">
        <v>1.8745499999999999</v>
      </c>
      <c r="EA53">
        <v>1.8707100000000001</v>
      </c>
      <c r="EB53">
        <v>1.8745499999999999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-0.66600000000000004</v>
      </c>
      <c r="EQ53">
        <v>0.1401</v>
      </c>
      <c r="ER53">
        <v>-0.66629999999995004</v>
      </c>
      <c r="ES53">
        <v>0</v>
      </c>
      <c r="ET53">
        <v>0</v>
      </c>
      <c r="EU53">
        <v>0</v>
      </c>
      <c r="EV53">
        <v>0.140039999999997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2</v>
      </c>
      <c r="FE53">
        <v>2.1</v>
      </c>
      <c r="FF53">
        <v>0.56518599999999997</v>
      </c>
      <c r="FG53">
        <v>2.5512700000000001</v>
      </c>
      <c r="FH53">
        <v>2.19604</v>
      </c>
      <c r="FI53">
        <v>2.5842299999999998</v>
      </c>
      <c r="FJ53">
        <v>2.4462899999999999</v>
      </c>
      <c r="FK53">
        <v>2.3156699999999999</v>
      </c>
      <c r="FL53">
        <v>28.9224</v>
      </c>
      <c r="FM53">
        <v>24.157499999999999</v>
      </c>
      <c r="FN53">
        <v>19</v>
      </c>
      <c r="FO53">
        <v>862.28300000000002</v>
      </c>
      <c r="FP53">
        <v>607.40499999999997</v>
      </c>
      <c r="FQ53">
        <v>18.235700000000001</v>
      </c>
      <c r="FR53">
        <v>24.336400000000001</v>
      </c>
      <c r="FS53">
        <v>30</v>
      </c>
      <c r="FT53">
        <v>24.302399999999999</v>
      </c>
      <c r="FU53">
        <v>24.302399999999999</v>
      </c>
      <c r="FV53">
        <v>11.3736</v>
      </c>
      <c r="FW53">
        <v>35.1646</v>
      </c>
      <c r="FX53">
        <v>76.358599999999996</v>
      </c>
      <c r="FY53">
        <v>18.2562</v>
      </c>
      <c r="FZ53">
        <v>150</v>
      </c>
      <c r="GA53">
        <v>14.3725</v>
      </c>
      <c r="GB53">
        <v>99.983699999999999</v>
      </c>
      <c r="GC53">
        <v>99.7303</v>
      </c>
    </row>
    <row r="54" spans="1:185" x14ac:dyDescent="0.2">
      <c r="A54">
        <v>39</v>
      </c>
      <c r="B54">
        <v>1771086163</v>
      </c>
      <c r="C54">
        <v>843</v>
      </c>
      <c r="D54" t="s">
        <v>372</v>
      </c>
      <c r="E54" t="s">
        <v>373</v>
      </c>
      <c r="F54">
        <v>15</v>
      </c>
      <c r="G54">
        <v>1771086154.9333301</v>
      </c>
      <c r="H54">
        <f t="shared" si="0"/>
        <v>8.6694339947611745E-4</v>
      </c>
      <c r="I54">
        <v>0</v>
      </c>
      <c r="J54">
        <f t="shared" si="12"/>
        <v>-1.0267666298620569E-2</v>
      </c>
      <c r="K54">
        <f t="shared" si="1"/>
        <v>-0.27831469660301644</v>
      </c>
      <c r="L54">
        <f t="shared" si="2"/>
        <v>69.990701647063304</v>
      </c>
      <c r="M54">
        <f t="shared" si="3"/>
        <v>1.5406207863300263</v>
      </c>
      <c r="N54">
        <f t="shared" si="4"/>
        <v>2.2011792282049059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26208.63333733119</v>
      </c>
      <c r="T54">
        <f t="shared" si="8"/>
        <v>799.99833333333299</v>
      </c>
      <c r="U54">
        <f t="shared" si="9"/>
        <v>674.39861371996074</v>
      </c>
      <c r="V54">
        <f t="shared" si="10"/>
        <v>0.84300002340000002</v>
      </c>
      <c r="W54">
        <f t="shared" si="11"/>
        <v>0.15870001952400001</v>
      </c>
      <c r="X54">
        <v>1</v>
      </c>
      <c r="Y54">
        <v>1771086154.9333301</v>
      </c>
      <c r="Z54">
        <v>150.18960000000001</v>
      </c>
      <c r="AA54">
        <v>150.00446666666701</v>
      </c>
      <c r="AB54">
        <v>15.4016466666667</v>
      </c>
      <c r="AC54">
        <v>14.334673333333299</v>
      </c>
      <c r="AD54">
        <v>150.85599999999999</v>
      </c>
      <c r="AE54">
        <v>15.2616</v>
      </c>
      <c r="AF54">
        <v>800.01160000000004</v>
      </c>
      <c r="AG54">
        <v>99.964486666666701</v>
      </c>
      <c r="AH54">
        <v>6.5128326666666694E-2</v>
      </c>
      <c r="AI54">
        <v>18.9709</v>
      </c>
      <c r="AJ54">
        <v>999.9</v>
      </c>
      <c r="AK54">
        <v>999.9</v>
      </c>
      <c r="AL54">
        <v>0</v>
      </c>
      <c r="AM54">
        <v>0</v>
      </c>
      <c r="AN54">
        <v>4998.8666666666704</v>
      </c>
      <c r="AO54">
        <v>0</v>
      </c>
      <c r="AP54">
        <v>1.9760899999999999</v>
      </c>
      <c r="AQ54">
        <v>0.185201066666667</v>
      </c>
      <c r="AR54">
        <v>152.53913333333301</v>
      </c>
      <c r="AS54">
        <v>152.18586666666701</v>
      </c>
      <c r="AT54">
        <v>1.0669586666666699</v>
      </c>
      <c r="AU54">
        <v>150.00446666666701</v>
      </c>
      <c r="AV54">
        <v>14.334673333333299</v>
      </c>
      <c r="AW54">
        <v>1.53961666666667</v>
      </c>
      <c r="AX54">
        <v>1.4329573333333301</v>
      </c>
      <c r="AY54">
        <v>13.367373333333299</v>
      </c>
      <c r="AZ54">
        <v>12.27098</v>
      </c>
      <c r="BA54">
        <v>799.99833333333299</v>
      </c>
      <c r="BB54">
        <v>0.89999980000000002</v>
      </c>
      <c r="BC54">
        <v>0</v>
      </c>
      <c r="BD54">
        <v>0.10000022</v>
      </c>
      <c r="BE54">
        <v>0</v>
      </c>
      <c r="BF54">
        <v>24</v>
      </c>
      <c r="BG54">
        <v>13191</v>
      </c>
      <c r="BH54">
        <v>1771086026</v>
      </c>
      <c r="BI54" t="s">
        <v>353</v>
      </c>
      <c r="BJ54">
        <v>1771086026</v>
      </c>
      <c r="BK54">
        <v>1771086020</v>
      </c>
      <c r="BL54">
        <v>2</v>
      </c>
      <c r="BM54">
        <v>0.44600000000000001</v>
      </c>
      <c r="BN54">
        <v>1.2999999999999999E-2</v>
      </c>
      <c r="BO54">
        <v>-0.66600000000000004</v>
      </c>
      <c r="BP54">
        <v>0.14000000000000001</v>
      </c>
      <c r="BQ54">
        <v>150</v>
      </c>
      <c r="BR54">
        <v>15</v>
      </c>
      <c r="BS54">
        <v>0.05</v>
      </c>
      <c r="BT54">
        <v>0.13</v>
      </c>
      <c r="BU54">
        <v>0.18903734999999999</v>
      </c>
      <c r="BV54">
        <v>-7.4202180451127794E-2</v>
      </c>
      <c r="BW54">
        <v>1.05543171985449E-2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1.0676479999999999</v>
      </c>
      <c r="CD54">
        <v>-2.5930827067668701E-2</v>
      </c>
      <c r="CE54">
        <v>2.9969928261508899E-3</v>
      </c>
      <c r="CF54">
        <v>1</v>
      </c>
      <c r="CG54">
        <v>2</v>
      </c>
      <c r="CH54">
        <v>2</v>
      </c>
      <c r="CI54" t="s">
        <v>310</v>
      </c>
      <c r="CJ54">
        <v>3.53247</v>
      </c>
      <c r="CK54">
        <v>2.70302</v>
      </c>
      <c r="CL54">
        <v>4.2172800000000003E-2</v>
      </c>
      <c r="CM54">
        <v>4.1509499999999998E-2</v>
      </c>
      <c r="CN54">
        <v>8.7051299999999998E-2</v>
      </c>
      <c r="CO54">
        <v>8.1852999999999995E-2</v>
      </c>
      <c r="CP54">
        <v>33637</v>
      </c>
      <c r="CQ54">
        <v>29526.7</v>
      </c>
      <c r="CR54">
        <v>32498.1</v>
      </c>
      <c r="CS54">
        <v>30727.3</v>
      </c>
      <c r="CT54">
        <v>40150.199999999997</v>
      </c>
      <c r="CU54">
        <v>39654.5</v>
      </c>
      <c r="CV54">
        <v>47442.6</v>
      </c>
      <c r="CW54">
        <v>46842.9</v>
      </c>
      <c r="CX54">
        <v>2.6400800000000002</v>
      </c>
      <c r="CY54">
        <v>2.1875200000000001</v>
      </c>
      <c r="CZ54">
        <v>0</v>
      </c>
      <c r="DA54">
        <v>0</v>
      </c>
      <c r="DB54">
        <v>999.9</v>
      </c>
      <c r="DC54">
        <v>999.9</v>
      </c>
      <c r="DD54">
        <v>71.602999999999994</v>
      </c>
      <c r="DE54">
        <v>23.363</v>
      </c>
      <c r="DF54">
        <v>20.645600000000002</v>
      </c>
      <c r="DG54">
        <v>27.6873</v>
      </c>
      <c r="DH54">
        <v>14.9199</v>
      </c>
      <c r="DI54">
        <v>2</v>
      </c>
      <c r="DJ54">
        <v>-0.21143700000000001</v>
      </c>
      <c r="DK54">
        <v>1.59422</v>
      </c>
      <c r="DL54">
        <v>20.203199999999999</v>
      </c>
      <c r="DM54">
        <v>5.2495200000000004</v>
      </c>
      <c r="DN54">
        <v>12.033899999999999</v>
      </c>
      <c r="DO54">
        <v>4.9663599999999999</v>
      </c>
      <c r="DP54">
        <v>3.2909999999999999</v>
      </c>
      <c r="DQ54">
        <v>9999</v>
      </c>
      <c r="DR54">
        <v>9999</v>
      </c>
      <c r="DS54">
        <v>9999</v>
      </c>
      <c r="DT54">
        <v>604.1</v>
      </c>
      <c r="DU54">
        <v>1.87096</v>
      </c>
      <c r="DV54">
        <v>1.8760699999999999</v>
      </c>
      <c r="DW54">
        <v>1.87622</v>
      </c>
      <c r="DX54">
        <v>1.8827700000000001</v>
      </c>
      <c r="DY54">
        <v>1.87547</v>
      </c>
      <c r="DZ54">
        <v>1.8745499999999999</v>
      </c>
      <c r="EA54">
        <v>1.8707100000000001</v>
      </c>
      <c r="EB54">
        <v>1.87456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-0.66700000000000004</v>
      </c>
      <c r="EQ54">
        <v>0.14000000000000001</v>
      </c>
      <c r="ER54">
        <v>-0.66629999999995004</v>
      </c>
      <c r="ES54">
        <v>0</v>
      </c>
      <c r="ET54">
        <v>0</v>
      </c>
      <c r="EU54">
        <v>0</v>
      </c>
      <c r="EV54">
        <v>0.140039999999997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2.2999999999999998</v>
      </c>
      <c r="FE54">
        <v>2.4</v>
      </c>
      <c r="FF54">
        <v>0.56640599999999997</v>
      </c>
      <c r="FG54">
        <v>2.5671400000000002</v>
      </c>
      <c r="FH54">
        <v>2.19604</v>
      </c>
      <c r="FI54">
        <v>2.5842299999999998</v>
      </c>
      <c r="FJ54">
        <v>2.4462899999999999</v>
      </c>
      <c r="FK54">
        <v>2.2619600000000002</v>
      </c>
      <c r="FL54">
        <v>28.9436</v>
      </c>
      <c r="FM54">
        <v>24.148800000000001</v>
      </c>
      <c r="FN54">
        <v>19</v>
      </c>
      <c r="FO54">
        <v>861.97699999999998</v>
      </c>
      <c r="FP54">
        <v>607.36699999999996</v>
      </c>
      <c r="FQ54">
        <v>18.305</v>
      </c>
      <c r="FR54">
        <v>24.340900000000001</v>
      </c>
      <c r="FS54">
        <v>30.0001</v>
      </c>
      <c r="FT54">
        <v>24.308499999999999</v>
      </c>
      <c r="FU54">
        <v>24.308499999999999</v>
      </c>
      <c r="FV54">
        <v>11.373200000000001</v>
      </c>
      <c r="FW54">
        <v>35.1646</v>
      </c>
      <c r="FX54">
        <v>75.978399999999993</v>
      </c>
      <c r="FY54">
        <v>18.3184</v>
      </c>
      <c r="FZ54">
        <v>150</v>
      </c>
      <c r="GA54">
        <v>14.3725</v>
      </c>
      <c r="GB54">
        <v>99.983900000000006</v>
      </c>
      <c r="GC54">
        <v>99.733099999999993</v>
      </c>
    </row>
    <row r="55" spans="1:185" x14ac:dyDescent="0.2">
      <c r="A55">
        <v>40</v>
      </c>
      <c r="B55">
        <v>1771086178</v>
      </c>
      <c r="C55">
        <v>858</v>
      </c>
      <c r="D55" t="s">
        <v>374</v>
      </c>
      <c r="E55" t="s">
        <v>375</v>
      </c>
      <c r="F55">
        <v>15</v>
      </c>
      <c r="G55">
        <v>1771086169.9333301</v>
      </c>
      <c r="H55">
        <f t="shared" si="0"/>
        <v>8.6998737170920098E-4</v>
      </c>
      <c r="I55">
        <v>0</v>
      </c>
      <c r="J55">
        <f t="shared" si="12"/>
        <v>-9.4866493797299053E-3</v>
      </c>
      <c r="K55">
        <f t="shared" si="1"/>
        <v>-0.25714450266595007</v>
      </c>
      <c r="L55">
        <f t="shared" si="2"/>
        <v>69.895482980751524</v>
      </c>
      <c r="M55">
        <f t="shared" si="3"/>
        <v>1.5394360918465999</v>
      </c>
      <c r="N55">
        <f t="shared" si="4"/>
        <v>2.2024829448142511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26222.950325686917</v>
      </c>
      <c r="T55">
        <f t="shared" si="8"/>
        <v>800.00033333333295</v>
      </c>
      <c r="U55">
        <f t="shared" si="9"/>
        <v>674.40031556001429</v>
      </c>
      <c r="V55">
        <f t="shared" si="10"/>
        <v>0.84300004320000022</v>
      </c>
      <c r="W55">
        <f t="shared" si="11"/>
        <v>0.15869992611200007</v>
      </c>
      <c r="X55">
        <v>1</v>
      </c>
      <c r="Y55">
        <v>1771086169.9333301</v>
      </c>
      <c r="Z55">
        <v>150.159533333333</v>
      </c>
      <c r="AA55">
        <v>150.00139999999999</v>
      </c>
      <c r="AB55">
        <v>15.389900000000001</v>
      </c>
      <c r="AC55">
        <v>14.31916</v>
      </c>
      <c r="AD55">
        <v>150.825866666667</v>
      </c>
      <c r="AE55">
        <v>15.2498733333333</v>
      </c>
      <c r="AF55">
        <v>800.00593333333302</v>
      </c>
      <c r="AG55">
        <v>99.963773333333407</v>
      </c>
      <c r="AH55">
        <v>6.5212679999999995E-2</v>
      </c>
      <c r="AI55">
        <v>18.9803866666667</v>
      </c>
      <c r="AJ55">
        <v>999.9</v>
      </c>
      <c r="AK55">
        <v>999.9</v>
      </c>
      <c r="AL55">
        <v>0</v>
      </c>
      <c r="AM55">
        <v>0</v>
      </c>
      <c r="AN55">
        <v>5001.3999999999996</v>
      </c>
      <c r="AO55">
        <v>0</v>
      </c>
      <c r="AP55">
        <v>1.9760899999999999</v>
      </c>
      <c r="AQ55">
        <v>0.158189</v>
      </c>
      <c r="AR55">
        <v>152.50659999999999</v>
      </c>
      <c r="AS55">
        <v>152.18039999999999</v>
      </c>
      <c r="AT55">
        <v>1.07073666666667</v>
      </c>
      <c r="AU55">
        <v>150.00139999999999</v>
      </c>
      <c r="AV55">
        <v>14.31916</v>
      </c>
      <c r="AW55">
        <v>1.53843333333333</v>
      </c>
      <c r="AX55">
        <v>1.4313973333333301</v>
      </c>
      <c r="AY55">
        <v>13.355560000000001</v>
      </c>
      <c r="AZ55">
        <v>12.2544133333333</v>
      </c>
      <c r="BA55">
        <v>800.00033333333295</v>
      </c>
      <c r="BB55">
        <v>0.90000126666666702</v>
      </c>
      <c r="BC55">
        <v>0</v>
      </c>
      <c r="BD55">
        <v>9.9998826666666693E-2</v>
      </c>
      <c r="BE55">
        <v>0</v>
      </c>
      <c r="BF55">
        <v>24</v>
      </c>
      <c r="BG55">
        <v>13191.04</v>
      </c>
      <c r="BH55">
        <v>1771086026</v>
      </c>
      <c r="BI55" t="s">
        <v>353</v>
      </c>
      <c r="BJ55">
        <v>1771086026</v>
      </c>
      <c r="BK55">
        <v>1771086020</v>
      </c>
      <c r="BL55">
        <v>2</v>
      </c>
      <c r="BM55">
        <v>0.44600000000000001</v>
      </c>
      <c r="BN55">
        <v>1.2999999999999999E-2</v>
      </c>
      <c r="BO55">
        <v>-0.66600000000000004</v>
      </c>
      <c r="BP55">
        <v>0.14000000000000001</v>
      </c>
      <c r="BQ55">
        <v>150</v>
      </c>
      <c r="BR55">
        <v>15</v>
      </c>
      <c r="BS55">
        <v>0.05</v>
      </c>
      <c r="BT55">
        <v>0.13</v>
      </c>
      <c r="BU55">
        <v>0.16526295238095201</v>
      </c>
      <c r="BV55">
        <v>-8.7744857142857E-2</v>
      </c>
      <c r="BW55">
        <v>1.79343940157458E-2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1.06891714285714</v>
      </c>
      <c r="CD55">
        <v>2.15820779220771E-2</v>
      </c>
      <c r="CE55">
        <v>3.6719401162991299E-3</v>
      </c>
      <c r="CF55">
        <v>1</v>
      </c>
      <c r="CG55">
        <v>2</v>
      </c>
      <c r="CH55">
        <v>2</v>
      </c>
      <c r="CI55" t="s">
        <v>310</v>
      </c>
      <c r="CJ55">
        <v>3.5325299999999999</v>
      </c>
      <c r="CK55">
        <v>2.7029299999999998</v>
      </c>
      <c r="CL55">
        <v>4.2169100000000001E-2</v>
      </c>
      <c r="CM55">
        <v>4.1509799999999999E-2</v>
      </c>
      <c r="CN55">
        <v>8.6999599999999996E-2</v>
      </c>
      <c r="CO55">
        <v>8.1778100000000006E-2</v>
      </c>
      <c r="CP55">
        <v>33636.800000000003</v>
      </c>
      <c r="CQ55">
        <v>29526.9</v>
      </c>
      <c r="CR55">
        <v>32497.8</v>
      </c>
      <c r="CS55">
        <v>30727.599999999999</v>
      </c>
      <c r="CT55">
        <v>40152.1</v>
      </c>
      <c r="CU55">
        <v>39658.1</v>
      </c>
      <c r="CV55">
        <v>47442.1</v>
      </c>
      <c r="CW55">
        <v>46843.1</v>
      </c>
      <c r="CX55">
        <v>2.6402199999999998</v>
      </c>
      <c r="CY55">
        <v>2.1872600000000002</v>
      </c>
      <c r="CZ55">
        <v>0</v>
      </c>
      <c r="DA55">
        <v>0</v>
      </c>
      <c r="DB55">
        <v>999.9</v>
      </c>
      <c r="DC55">
        <v>999.9</v>
      </c>
      <c r="DD55">
        <v>71.504999999999995</v>
      </c>
      <c r="DE55">
        <v>23.373000000000001</v>
      </c>
      <c r="DF55">
        <v>20.628699999999998</v>
      </c>
      <c r="DG55">
        <v>27.447299999999998</v>
      </c>
      <c r="DH55">
        <v>14.819699999999999</v>
      </c>
      <c r="DI55">
        <v>2</v>
      </c>
      <c r="DJ55">
        <v>-0.211089</v>
      </c>
      <c r="DK55">
        <v>1.58403</v>
      </c>
      <c r="DL55">
        <v>20.203299999999999</v>
      </c>
      <c r="DM55">
        <v>5.2491599999999998</v>
      </c>
      <c r="DN55">
        <v>12.033899999999999</v>
      </c>
      <c r="DO55">
        <v>4.9664799999999998</v>
      </c>
      <c r="DP55">
        <v>3.2909999999999999</v>
      </c>
      <c r="DQ55">
        <v>9999</v>
      </c>
      <c r="DR55">
        <v>9999</v>
      </c>
      <c r="DS55">
        <v>9999</v>
      </c>
      <c r="DT55">
        <v>604.1</v>
      </c>
      <c r="DU55">
        <v>1.8710199999999999</v>
      </c>
      <c r="DV55">
        <v>1.8760699999999999</v>
      </c>
      <c r="DW55">
        <v>1.87622</v>
      </c>
      <c r="DX55">
        <v>1.8827799999999999</v>
      </c>
      <c r="DY55">
        <v>1.8755200000000001</v>
      </c>
      <c r="DZ55">
        <v>1.8745700000000001</v>
      </c>
      <c r="EA55">
        <v>1.87073</v>
      </c>
      <c r="EB55">
        <v>1.8746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-0.66700000000000004</v>
      </c>
      <c r="EQ55">
        <v>0.1401</v>
      </c>
      <c r="ER55">
        <v>-0.66629999999995004</v>
      </c>
      <c r="ES55">
        <v>0</v>
      </c>
      <c r="ET55">
        <v>0</v>
      </c>
      <c r="EU55">
        <v>0</v>
      </c>
      <c r="EV55">
        <v>0.140039999999997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2.5</v>
      </c>
      <c r="FE55">
        <v>2.6</v>
      </c>
      <c r="FF55">
        <v>0.56640599999999997</v>
      </c>
      <c r="FG55">
        <v>2.5598100000000001</v>
      </c>
      <c r="FH55">
        <v>2.19604</v>
      </c>
      <c r="FI55">
        <v>2.5842299999999998</v>
      </c>
      <c r="FJ55">
        <v>2.4462899999999999</v>
      </c>
      <c r="FK55">
        <v>2.2875999999999999</v>
      </c>
      <c r="FL55">
        <v>28.964700000000001</v>
      </c>
      <c r="FM55">
        <v>24.157499999999999</v>
      </c>
      <c r="FN55">
        <v>19</v>
      </c>
      <c r="FO55">
        <v>862.2</v>
      </c>
      <c r="FP55">
        <v>607.23299999999995</v>
      </c>
      <c r="FQ55">
        <v>18.3538</v>
      </c>
      <c r="FR55">
        <v>24.3462</v>
      </c>
      <c r="FS55">
        <v>30.000299999999999</v>
      </c>
      <c r="FT55">
        <v>24.3142</v>
      </c>
      <c r="FU55">
        <v>24.314599999999999</v>
      </c>
      <c r="FV55">
        <v>11.3726</v>
      </c>
      <c r="FW55">
        <v>35.1646</v>
      </c>
      <c r="FX55">
        <v>75.599800000000002</v>
      </c>
      <c r="FY55">
        <v>18.3612</v>
      </c>
      <c r="FZ55">
        <v>150</v>
      </c>
      <c r="GA55">
        <v>14.3725</v>
      </c>
      <c r="GB55">
        <v>99.982799999999997</v>
      </c>
      <c r="GC55">
        <v>99.733699999999999</v>
      </c>
    </row>
    <row r="56" spans="1:185" x14ac:dyDescent="0.2">
      <c r="A56">
        <v>41</v>
      </c>
      <c r="B56">
        <v>1771086193</v>
      </c>
      <c r="C56">
        <v>873</v>
      </c>
      <c r="D56" t="s">
        <v>376</v>
      </c>
      <c r="E56" t="s">
        <v>377</v>
      </c>
      <c r="F56">
        <v>15</v>
      </c>
      <c r="G56">
        <v>1771086184.9333301</v>
      </c>
      <c r="H56">
        <f t="shared" si="0"/>
        <v>8.6986744679506283E-4</v>
      </c>
      <c r="I56">
        <v>0</v>
      </c>
      <c r="J56">
        <f t="shared" si="12"/>
        <v>-9.456285674595841E-3</v>
      </c>
      <c r="K56">
        <f t="shared" si="1"/>
        <v>-0.2563214660443503</v>
      </c>
      <c r="L56">
        <f t="shared" si="2"/>
        <v>69.787486007945063</v>
      </c>
      <c r="M56">
        <f t="shared" si="3"/>
        <v>1.538242307530737</v>
      </c>
      <c r="N56">
        <f t="shared" si="4"/>
        <v>2.2041807142266356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26232.155261541018</v>
      </c>
      <c r="T56">
        <f t="shared" si="8"/>
        <v>799.99906666666698</v>
      </c>
      <c r="U56">
        <f t="shared" si="9"/>
        <v>674.39905832018064</v>
      </c>
      <c r="V56">
        <f t="shared" si="10"/>
        <v>0.84299980639999961</v>
      </c>
      <c r="W56">
        <f t="shared" si="11"/>
        <v>0.15869967190399997</v>
      </c>
      <c r="X56">
        <v>1</v>
      </c>
      <c r="Y56">
        <v>1771086184.9333301</v>
      </c>
      <c r="Z56">
        <v>150.15213333333301</v>
      </c>
      <c r="AA56">
        <v>149.995</v>
      </c>
      <c r="AB56">
        <v>15.377966666666699</v>
      </c>
      <c r="AC56">
        <v>14.307373333333301</v>
      </c>
      <c r="AD56">
        <v>150.81853333333299</v>
      </c>
      <c r="AE56">
        <v>15.2379</v>
      </c>
      <c r="AF56">
        <v>800.01493333333303</v>
      </c>
      <c r="AG56">
        <v>99.963813333333306</v>
      </c>
      <c r="AH56">
        <v>6.5165846666666694E-2</v>
      </c>
      <c r="AI56">
        <v>18.992733333333302</v>
      </c>
      <c r="AJ56">
        <v>999.9</v>
      </c>
      <c r="AK56">
        <v>999.9</v>
      </c>
      <c r="AL56">
        <v>0</v>
      </c>
      <c r="AM56">
        <v>0</v>
      </c>
      <c r="AN56">
        <v>5003.1000000000004</v>
      </c>
      <c r="AO56">
        <v>0</v>
      </c>
      <c r="AP56">
        <v>1.9760899999999999</v>
      </c>
      <c r="AQ56">
        <v>0.15720726666666701</v>
      </c>
      <c r="AR56">
        <v>152.49719999999999</v>
      </c>
      <c r="AS56">
        <v>152.17226666666701</v>
      </c>
      <c r="AT56">
        <v>1.07057933333333</v>
      </c>
      <c r="AU56">
        <v>149.995</v>
      </c>
      <c r="AV56">
        <v>14.307373333333301</v>
      </c>
      <c r="AW56">
        <v>1.53723866666667</v>
      </c>
      <c r="AX56">
        <v>1.4302173333333299</v>
      </c>
      <c r="AY56">
        <v>13.3436533333333</v>
      </c>
      <c r="AZ56">
        <v>12.2418666666667</v>
      </c>
      <c r="BA56">
        <v>799.99906666666698</v>
      </c>
      <c r="BB56">
        <v>0.90000413333333296</v>
      </c>
      <c r="BC56">
        <v>0</v>
      </c>
      <c r="BD56">
        <v>9.9995786666666697E-2</v>
      </c>
      <c r="BE56">
        <v>0</v>
      </c>
      <c r="BF56">
        <v>24</v>
      </c>
      <c r="BG56">
        <v>13191.0133333333</v>
      </c>
      <c r="BH56">
        <v>1771086026</v>
      </c>
      <c r="BI56" t="s">
        <v>353</v>
      </c>
      <c r="BJ56">
        <v>1771086026</v>
      </c>
      <c r="BK56">
        <v>1771086020</v>
      </c>
      <c r="BL56">
        <v>2</v>
      </c>
      <c r="BM56">
        <v>0.44600000000000001</v>
      </c>
      <c r="BN56">
        <v>1.2999999999999999E-2</v>
      </c>
      <c r="BO56">
        <v>-0.66600000000000004</v>
      </c>
      <c r="BP56">
        <v>0.14000000000000001</v>
      </c>
      <c r="BQ56">
        <v>150</v>
      </c>
      <c r="BR56">
        <v>15</v>
      </c>
      <c r="BS56">
        <v>0.05</v>
      </c>
      <c r="BT56">
        <v>0.13</v>
      </c>
      <c r="BU56">
        <v>0.1594506</v>
      </c>
      <c r="BV56">
        <v>2.43536842105265E-3</v>
      </c>
      <c r="BW56">
        <v>1.3689119483736001E-2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1.0704739999999999</v>
      </c>
      <c r="CD56">
        <v>-6.4111578947366701E-2</v>
      </c>
      <c r="CE56">
        <v>1.44062619717955E-2</v>
      </c>
      <c r="CF56">
        <v>1</v>
      </c>
      <c r="CG56">
        <v>2</v>
      </c>
      <c r="CH56">
        <v>2</v>
      </c>
      <c r="CI56" t="s">
        <v>310</v>
      </c>
      <c r="CJ56">
        <v>3.53247</v>
      </c>
      <c r="CK56">
        <v>2.7031800000000001</v>
      </c>
      <c r="CL56">
        <v>4.2164800000000002E-2</v>
      </c>
      <c r="CM56">
        <v>4.1505800000000002E-2</v>
      </c>
      <c r="CN56">
        <v>8.6945900000000007E-2</v>
      </c>
      <c r="CO56">
        <v>8.1971199999999994E-2</v>
      </c>
      <c r="CP56">
        <v>33636.400000000001</v>
      </c>
      <c r="CQ56">
        <v>29526.400000000001</v>
      </c>
      <c r="CR56">
        <v>32497.200000000001</v>
      </c>
      <c r="CS56">
        <v>30727</v>
      </c>
      <c r="CT56">
        <v>40154.400000000001</v>
      </c>
      <c r="CU56">
        <v>39648.6</v>
      </c>
      <c r="CV56">
        <v>47441.9</v>
      </c>
      <c r="CW56">
        <v>46842.1</v>
      </c>
      <c r="CX56">
        <v>2.6400800000000002</v>
      </c>
      <c r="CY56">
        <v>2.1870400000000001</v>
      </c>
      <c r="CZ56">
        <v>0</v>
      </c>
      <c r="DA56">
        <v>0</v>
      </c>
      <c r="DB56">
        <v>999.9</v>
      </c>
      <c r="DC56">
        <v>999.9</v>
      </c>
      <c r="DD56">
        <v>71.402000000000001</v>
      </c>
      <c r="DE56">
        <v>23.402999999999999</v>
      </c>
      <c r="DF56">
        <v>20.6355</v>
      </c>
      <c r="DG56">
        <v>27.657299999999999</v>
      </c>
      <c r="DH56">
        <v>14.9679</v>
      </c>
      <c r="DI56">
        <v>2</v>
      </c>
      <c r="DJ56">
        <v>-0.210673</v>
      </c>
      <c r="DK56">
        <v>1.6096699999999999</v>
      </c>
      <c r="DL56">
        <v>20.202999999999999</v>
      </c>
      <c r="DM56">
        <v>5.2481999999999998</v>
      </c>
      <c r="DN56">
        <v>12.033899999999999</v>
      </c>
      <c r="DO56">
        <v>4.9664799999999998</v>
      </c>
      <c r="DP56">
        <v>3.2909999999999999</v>
      </c>
      <c r="DQ56">
        <v>9999</v>
      </c>
      <c r="DR56">
        <v>9999</v>
      </c>
      <c r="DS56">
        <v>9999</v>
      </c>
      <c r="DT56">
        <v>604.1</v>
      </c>
      <c r="DU56">
        <v>1.871</v>
      </c>
      <c r="DV56">
        <v>1.8760600000000001</v>
      </c>
      <c r="DW56">
        <v>1.87622</v>
      </c>
      <c r="DX56">
        <v>1.8827799999999999</v>
      </c>
      <c r="DY56">
        <v>1.87548</v>
      </c>
      <c r="DZ56">
        <v>1.87456</v>
      </c>
      <c r="EA56">
        <v>1.8707199999999999</v>
      </c>
      <c r="EB56">
        <v>1.8745700000000001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-0.66700000000000004</v>
      </c>
      <c r="EQ56">
        <v>0.14000000000000001</v>
      </c>
      <c r="ER56">
        <v>-0.66629999999995004</v>
      </c>
      <c r="ES56">
        <v>0</v>
      </c>
      <c r="ET56">
        <v>0</v>
      </c>
      <c r="EU56">
        <v>0</v>
      </c>
      <c r="EV56">
        <v>0.140039999999997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2.8</v>
      </c>
      <c r="FE56">
        <v>2.9</v>
      </c>
      <c r="FF56">
        <v>0.56518599999999997</v>
      </c>
      <c r="FG56">
        <v>2.5634800000000002</v>
      </c>
      <c r="FH56">
        <v>2.19604</v>
      </c>
      <c r="FI56">
        <v>2.5842299999999998</v>
      </c>
      <c r="FJ56">
        <v>2.4462899999999999</v>
      </c>
      <c r="FK56">
        <v>2.2399900000000001</v>
      </c>
      <c r="FL56">
        <v>28.985900000000001</v>
      </c>
      <c r="FM56">
        <v>24.148800000000001</v>
      </c>
      <c r="FN56">
        <v>19</v>
      </c>
      <c r="FO56">
        <v>862.17</v>
      </c>
      <c r="FP56">
        <v>607.13199999999995</v>
      </c>
      <c r="FQ56">
        <v>18.3781</v>
      </c>
      <c r="FR56">
        <v>24.3507</v>
      </c>
      <c r="FS56">
        <v>30.0002</v>
      </c>
      <c r="FT56">
        <v>24.3203</v>
      </c>
      <c r="FU56">
        <v>24.320699999999999</v>
      </c>
      <c r="FV56">
        <v>11.373100000000001</v>
      </c>
      <c r="FW56">
        <v>34.886699999999998</v>
      </c>
      <c r="FX56">
        <v>75.222899999999996</v>
      </c>
      <c r="FY56">
        <v>18.378</v>
      </c>
      <c r="FZ56">
        <v>150</v>
      </c>
      <c r="GA56">
        <v>14.3725</v>
      </c>
      <c r="GB56">
        <v>99.981899999999996</v>
      </c>
      <c r="GC56">
        <v>99.7316</v>
      </c>
    </row>
    <row r="57" spans="1:185" x14ac:dyDescent="0.2">
      <c r="A57">
        <v>42</v>
      </c>
      <c r="B57">
        <v>1771086208</v>
      </c>
      <c r="C57">
        <v>888</v>
      </c>
      <c r="D57" t="s">
        <v>378</v>
      </c>
      <c r="E57" t="s">
        <v>379</v>
      </c>
      <c r="F57">
        <v>15</v>
      </c>
      <c r="G57">
        <v>1771086199.9333301</v>
      </c>
      <c r="H57">
        <f t="shared" si="0"/>
        <v>8.3079774955905825E-4</v>
      </c>
      <c r="I57">
        <v>0</v>
      </c>
      <c r="J57">
        <f t="shared" si="12"/>
        <v>-8.8541235696626541E-3</v>
      </c>
      <c r="K57">
        <f t="shared" si="1"/>
        <v>-0.23999929909168752</v>
      </c>
      <c r="L57">
        <f t="shared" si="2"/>
        <v>69.742423169745877</v>
      </c>
      <c r="M57">
        <f t="shared" si="3"/>
        <v>1.5382828751016258</v>
      </c>
      <c r="N57">
        <f t="shared" si="4"/>
        <v>2.2056630744785046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26210.136858976202</v>
      </c>
      <c r="T57">
        <f t="shared" si="8"/>
        <v>800.00053333333301</v>
      </c>
      <c r="U57">
        <f t="shared" si="9"/>
        <v>674.40035247993524</v>
      </c>
      <c r="V57">
        <f t="shared" si="10"/>
        <v>0.84299987860000025</v>
      </c>
      <c r="W57">
        <f t="shared" si="11"/>
        <v>0.15869973547600005</v>
      </c>
      <c r="X57">
        <v>1</v>
      </c>
      <c r="Y57">
        <v>1771086199.9333301</v>
      </c>
      <c r="Z57">
        <v>150.15020000000001</v>
      </c>
      <c r="AA57">
        <v>150.006133333333</v>
      </c>
      <c r="AB57">
        <v>15.3783666666667</v>
      </c>
      <c r="AC57">
        <v>14.3558533333333</v>
      </c>
      <c r="AD57">
        <v>150.816466666667</v>
      </c>
      <c r="AE57">
        <v>15.23832</v>
      </c>
      <c r="AF57">
        <v>800.010533333333</v>
      </c>
      <c r="AG57">
        <v>99.963660000000004</v>
      </c>
      <c r="AH57">
        <v>6.5355333333333293E-2</v>
      </c>
      <c r="AI57">
        <v>19.003506666666699</v>
      </c>
      <c r="AJ57">
        <v>999.9</v>
      </c>
      <c r="AK57">
        <v>999.9</v>
      </c>
      <c r="AL57">
        <v>0</v>
      </c>
      <c r="AM57">
        <v>0</v>
      </c>
      <c r="AN57">
        <v>4999.6333333333296</v>
      </c>
      <c r="AO57">
        <v>0</v>
      </c>
      <c r="AP57">
        <v>1.9760899999999999</v>
      </c>
      <c r="AQ57">
        <v>0.144089733333333</v>
      </c>
      <c r="AR57">
        <v>152.49533333333301</v>
      </c>
      <c r="AS57">
        <v>152.191</v>
      </c>
      <c r="AT57">
        <v>1.02250533333333</v>
      </c>
      <c r="AU57">
        <v>150.006133333333</v>
      </c>
      <c r="AV57">
        <v>14.3558533333333</v>
      </c>
      <c r="AW57">
        <v>1.5372779999999999</v>
      </c>
      <c r="AX57">
        <v>1.4350626666666699</v>
      </c>
      <c r="AY57">
        <v>13.344060000000001</v>
      </c>
      <c r="AZ57">
        <v>12.2933</v>
      </c>
      <c r="BA57">
        <v>800.00053333333301</v>
      </c>
      <c r="BB57">
        <v>0.90000346666666697</v>
      </c>
      <c r="BC57">
        <v>0</v>
      </c>
      <c r="BD57">
        <v>9.9996513333333301E-2</v>
      </c>
      <c r="BE57">
        <v>0</v>
      </c>
      <c r="BF57">
        <v>24</v>
      </c>
      <c r="BG57">
        <v>13191.053333333301</v>
      </c>
      <c r="BH57">
        <v>1771086026</v>
      </c>
      <c r="BI57" t="s">
        <v>353</v>
      </c>
      <c r="BJ57">
        <v>1771086026</v>
      </c>
      <c r="BK57">
        <v>1771086020</v>
      </c>
      <c r="BL57">
        <v>2</v>
      </c>
      <c r="BM57">
        <v>0.44600000000000001</v>
      </c>
      <c r="BN57">
        <v>1.2999999999999999E-2</v>
      </c>
      <c r="BO57">
        <v>-0.66600000000000004</v>
      </c>
      <c r="BP57">
        <v>0.14000000000000001</v>
      </c>
      <c r="BQ57">
        <v>150</v>
      </c>
      <c r="BR57">
        <v>15</v>
      </c>
      <c r="BS57">
        <v>0.05</v>
      </c>
      <c r="BT57">
        <v>0.13</v>
      </c>
      <c r="BU57">
        <v>0.1489219</v>
      </c>
      <c r="BV57">
        <v>-0.10201822556391001</v>
      </c>
      <c r="BW57">
        <v>1.8502512399401299E-2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1.032338</v>
      </c>
      <c r="CD57">
        <v>-0.13477804511278099</v>
      </c>
      <c r="CE57">
        <v>1.97298997970086E-2</v>
      </c>
      <c r="CF57">
        <v>0</v>
      </c>
      <c r="CG57">
        <v>1</v>
      </c>
      <c r="CH57">
        <v>2</v>
      </c>
      <c r="CI57" t="s">
        <v>299</v>
      </c>
      <c r="CJ57">
        <v>3.5324900000000001</v>
      </c>
      <c r="CK57">
        <v>2.7027999999999999</v>
      </c>
      <c r="CL57">
        <v>4.2167799999999998E-2</v>
      </c>
      <c r="CM57">
        <v>4.1507500000000003E-2</v>
      </c>
      <c r="CN57">
        <v>8.6969900000000003E-2</v>
      </c>
      <c r="CO57">
        <v>8.1952800000000006E-2</v>
      </c>
      <c r="CP57">
        <v>33635.9</v>
      </c>
      <c r="CQ57">
        <v>29527.200000000001</v>
      </c>
      <c r="CR57">
        <v>32496.9</v>
      </c>
      <c r="CS57">
        <v>30727.9</v>
      </c>
      <c r="CT57">
        <v>40152.800000000003</v>
      </c>
      <c r="CU57">
        <v>39650.6</v>
      </c>
      <c r="CV57">
        <v>47441.3</v>
      </c>
      <c r="CW57">
        <v>46843.5</v>
      </c>
      <c r="CX57">
        <v>2.6398999999999999</v>
      </c>
      <c r="CY57">
        <v>2.18676</v>
      </c>
      <c r="CZ57">
        <v>0</v>
      </c>
      <c r="DA57">
        <v>0</v>
      </c>
      <c r="DB57">
        <v>999.9</v>
      </c>
      <c r="DC57">
        <v>999.9</v>
      </c>
      <c r="DD57">
        <v>71.260999999999996</v>
      </c>
      <c r="DE57">
        <v>23.414000000000001</v>
      </c>
      <c r="DF57">
        <v>20.610499999999998</v>
      </c>
      <c r="DG57">
        <v>27.4773</v>
      </c>
      <c r="DH57">
        <v>14.8918</v>
      </c>
      <c r="DI57">
        <v>2</v>
      </c>
      <c r="DJ57">
        <v>-0.20941699999999999</v>
      </c>
      <c r="DK57">
        <v>1.8801000000000001</v>
      </c>
      <c r="DL57">
        <v>20.199100000000001</v>
      </c>
      <c r="DM57">
        <v>5.2472399999999997</v>
      </c>
      <c r="DN57">
        <v>12.033899999999999</v>
      </c>
      <c r="DO57">
        <v>4.9667199999999996</v>
      </c>
      <c r="DP57">
        <v>3.2909999999999999</v>
      </c>
      <c r="DQ57">
        <v>9999</v>
      </c>
      <c r="DR57">
        <v>9999</v>
      </c>
      <c r="DS57">
        <v>9999</v>
      </c>
      <c r="DT57">
        <v>604.1</v>
      </c>
      <c r="DU57">
        <v>1.8710100000000001</v>
      </c>
      <c r="DV57">
        <v>1.8760699999999999</v>
      </c>
      <c r="DW57">
        <v>1.87622</v>
      </c>
      <c r="DX57">
        <v>1.8827799999999999</v>
      </c>
      <c r="DY57">
        <v>1.87551</v>
      </c>
      <c r="DZ57">
        <v>1.8745499999999999</v>
      </c>
      <c r="EA57">
        <v>1.87073</v>
      </c>
      <c r="EB57">
        <v>1.87456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-0.66700000000000004</v>
      </c>
      <c r="EQ57">
        <v>0.1401</v>
      </c>
      <c r="ER57">
        <v>-0.66629999999995004</v>
      </c>
      <c r="ES57">
        <v>0</v>
      </c>
      <c r="ET57">
        <v>0</v>
      </c>
      <c r="EU57">
        <v>0</v>
      </c>
      <c r="EV57">
        <v>0.140039999999997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3</v>
      </c>
      <c r="FE57">
        <v>3.1</v>
      </c>
      <c r="FF57">
        <v>0.56640599999999997</v>
      </c>
      <c r="FG57">
        <v>2.5610400000000002</v>
      </c>
      <c r="FH57">
        <v>2.19604</v>
      </c>
      <c r="FI57">
        <v>2.5842299999999998</v>
      </c>
      <c r="FJ57">
        <v>2.4462899999999999</v>
      </c>
      <c r="FK57">
        <v>2.2973599999999998</v>
      </c>
      <c r="FL57">
        <v>28.985900000000001</v>
      </c>
      <c r="FM57">
        <v>24.157499999999999</v>
      </c>
      <c r="FN57">
        <v>19</v>
      </c>
      <c r="FO57">
        <v>862.09799999999996</v>
      </c>
      <c r="FP57">
        <v>606.98199999999997</v>
      </c>
      <c r="FQ57">
        <v>18.2318</v>
      </c>
      <c r="FR57">
        <v>24.354800000000001</v>
      </c>
      <c r="FS57">
        <v>30.0002</v>
      </c>
      <c r="FT57">
        <v>24.326000000000001</v>
      </c>
      <c r="FU57">
        <v>24.326899999999998</v>
      </c>
      <c r="FV57">
        <v>11.372999999999999</v>
      </c>
      <c r="FW57">
        <v>34.886699999999998</v>
      </c>
      <c r="FX57">
        <v>74.846100000000007</v>
      </c>
      <c r="FY57">
        <v>18.238</v>
      </c>
      <c r="FZ57">
        <v>150</v>
      </c>
      <c r="GA57">
        <v>14.3725</v>
      </c>
      <c r="GB57">
        <v>99.980699999999999</v>
      </c>
      <c r="GC57">
        <v>99.7346</v>
      </c>
    </row>
    <row r="58" spans="1:185" x14ac:dyDescent="0.2">
      <c r="A58">
        <v>43</v>
      </c>
      <c r="B58">
        <v>1771086223</v>
      </c>
      <c r="C58">
        <v>903</v>
      </c>
      <c r="D58" t="s">
        <v>380</v>
      </c>
      <c r="E58" t="s">
        <v>381</v>
      </c>
      <c r="F58">
        <v>15</v>
      </c>
      <c r="G58">
        <v>1771086214.9333301</v>
      </c>
      <c r="H58">
        <f t="shared" si="0"/>
        <v>8.4225529193143506E-4</v>
      </c>
      <c r="I58">
        <v>0</v>
      </c>
      <c r="J58">
        <f t="shared" si="12"/>
        <v>-8.5689574288863937E-3</v>
      </c>
      <c r="K58">
        <f t="shared" si="1"/>
        <v>-0.23226960417919698</v>
      </c>
      <c r="L58">
        <f t="shared" si="2"/>
        <v>69.761658610896063</v>
      </c>
      <c r="M58">
        <f t="shared" si="3"/>
        <v>1.5384440770737966</v>
      </c>
      <c r="N58">
        <f t="shared" si="4"/>
        <v>2.2052859804475853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26177.526322992002</v>
      </c>
      <c r="T58">
        <f t="shared" si="8"/>
        <v>799.99826666666695</v>
      </c>
      <c r="U58">
        <f t="shared" si="9"/>
        <v>674.39843576022372</v>
      </c>
      <c r="V58">
        <f t="shared" si="10"/>
        <v>0.84299987120000031</v>
      </c>
      <c r="W58">
        <f t="shared" si="11"/>
        <v>0.15869962603200005</v>
      </c>
      <c r="X58">
        <v>1</v>
      </c>
      <c r="Y58">
        <v>1771086214.9333301</v>
      </c>
      <c r="Z58">
        <v>150.139266666667</v>
      </c>
      <c r="AA58">
        <v>150.00700000000001</v>
      </c>
      <c r="AB58">
        <v>15.380100000000001</v>
      </c>
      <c r="AC58">
        <v>14.34348</v>
      </c>
      <c r="AD58">
        <v>150.8058</v>
      </c>
      <c r="AE58">
        <v>15.240066666666699</v>
      </c>
      <c r="AF58">
        <v>800.00513333333299</v>
      </c>
      <c r="AG58">
        <v>99.963186666666701</v>
      </c>
      <c r="AH58">
        <v>6.5036626666666694E-2</v>
      </c>
      <c r="AI58">
        <v>19.000766666666699</v>
      </c>
      <c r="AJ58">
        <v>999.9</v>
      </c>
      <c r="AK58">
        <v>999.9</v>
      </c>
      <c r="AL58">
        <v>0</v>
      </c>
      <c r="AM58">
        <v>0</v>
      </c>
      <c r="AN58">
        <v>4994.2333333333299</v>
      </c>
      <c r="AO58">
        <v>0</v>
      </c>
      <c r="AP58">
        <v>1.9760899999999999</v>
      </c>
      <c r="AQ58">
        <v>0.13248092</v>
      </c>
      <c r="AR58">
        <v>152.4846</v>
      </c>
      <c r="AS58">
        <v>152.189866666667</v>
      </c>
      <c r="AT58">
        <v>1.0366200000000001</v>
      </c>
      <c r="AU58">
        <v>150.00700000000001</v>
      </c>
      <c r="AV58">
        <v>14.34348</v>
      </c>
      <c r="AW58">
        <v>1.5374433333333299</v>
      </c>
      <c r="AX58">
        <v>1.4338200000000001</v>
      </c>
      <c r="AY58">
        <v>13.3457133333333</v>
      </c>
      <c r="AZ58">
        <v>12.28012</v>
      </c>
      <c r="BA58">
        <v>799.99826666666695</v>
      </c>
      <c r="BB58">
        <v>0.90000506666666702</v>
      </c>
      <c r="BC58">
        <v>0</v>
      </c>
      <c r="BD58">
        <v>9.9994959999999994E-2</v>
      </c>
      <c r="BE58">
        <v>0</v>
      </c>
      <c r="BF58">
        <v>24</v>
      </c>
      <c r="BG58">
        <v>13191.0133333333</v>
      </c>
      <c r="BH58">
        <v>1771086026</v>
      </c>
      <c r="BI58" t="s">
        <v>353</v>
      </c>
      <c r="BJ58">
        <v>1771086026</v>
      </c>
      <c r="BK58">
        <v>1771086020</v>
      </c>
      <c r="BL58">
        <v>2</v>
      </c>
      <c r="BM58">
        <v>0.44600000000000001</v>
      </c>
      <c r="BN58">
        <v>1.2999999999999999E-2</v>
      </c>
      <c r="BO58">
        <v>-0.66600000000000004</v>
      </c>
      <c r="BP58">
        <v>0.14000000000000001</v>
      </c>
      <c r="BQ58">
        <v>150</v>
      </c>
      <c r="BR58">
        <v>15</v>
      </c>
      <c r="BS58">
        <v>0.05</v>
      </c>
      <c r="BT58">
        <v>0.13</v>
      </c>
      <c r="BU58">
        <v>0.13329089</v>
      </c>
      <c r="BV58">
        <v>-5.9648120300884999E-5</v>
      </c>
      <c r="BW58">
        <v>1.5824386122371401E-2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1.033604</v>
      </c>
      <c r="CD58">
        <v>5.9245714285713298E-2</v>
      </c>
      <c r="CE58">
        <v>6.7924924733119901E-3</v>
      </c>
      <c r="CF58">
        <v>1</v>
      </c>
      <c r="CG58">
        <v>2</v>
      </c>
      <c r="CH58">
        <v>2</v>
      </c>
      <c r="CI58" t="s">
        <v>310</v>
      </c>
      <c r="CJ58">
        <v>3.5325600000000001</v>
      </c>
      <c r="CK58">
        <v>2.7031100000000001</v>
      </c>
      <c r="CL58">
        <v>4.21599E-2</v>
      </c>
      <c r="CM58">
        <v>4.1510400000000003E-2</v>
      </c>
      <c r="CN58">
        <v>8.6968100000000007E-2</v>
      </c>
      <c r="CO58">
        <v>8.1893800000000003E-2</v>
      </c>
      <c r="CP58">
        <v>33636.5</v>
      </c>
      <c r="CQ58">
        <v>29527.599999999999</v>
      </c>
      <c r="CR58">
        <v>32497.200000000001</v>
      </c>
      <c r="CS58">
        <v>30728.400000000001</v>
      </c>
      <c r="CT58">
        <v>40153.4</v>
      </c>
      <c r="CU58">
        <v>39654.1</v>
      </c>
      <c r="CV58">
        <v>47441.9</v>
      </c>
      <c r="CW58">
        <v>46844.5</v>
      </c>
      <c r="CX58">
        <v>2.6398000000000001</v>
      </c>
      <c r="CY58">
        <v>2.1864400000000002</v>
      </c>
      <c r="CZ58">
        <v>0</v>
      </c>
      <c r="DA58">
        <v>0</v>
      </c>
      <c r="DB58">
        <v>999.9</v>
      </c>
      <c r="DC58">
        <v>999.9</v>
      </c>
      <c r="DD58">
        <v>71.144999999999996</v>
      </c>
      <c r="DE58">
        <v>23.434000000000001</v>
      </c>
      <c r="DF58">
        <v>20.6021</v>
      </c>
      <c r="DG58">
        <v>27.507300000000001</v>
      </c>
      <c r="DH58">
        <v>14.8277</v>
      </c>
      <c r="DI58">
        <v>2</v>
      </c>
      <c r="DJ58">
        <v>-0.20965600000000001</v>
      </c>
      <c r="DK58">
        <v>1.7529300000000001</v>
      </c>
      <c r="DL58">
        <v>20.201000000000001</v>
      </c>
      <c r="DM58">
        <v>5.24796</v>
      </c>
      <c r="DN58">
        <v>12.033899999999999</v>
      </c>
      <c r="DO58">
        <v>4.9671200000000004</v>
      </c>
      <c r="DP58">
        <v>3.2909999999999999</v>
      </c>
      <c r="DQ58">
        <v>9999</v>
      </c>
      <c r="DR58">
        <v>9999</v>
      </c>
      <c r="DS58">
        <v>9999</v>
      </c>
      <c r="DT58">
        <v>604.1</v>
      </c>
      <c r="DU58">
        <v>1.871</v>
      </c>
      <c r="DV58">
        <v>1.8760699999999999</v>
      </c>
      <c r="DW58">
        <v>1.87622</v>
      </c>
      <c r="DX58">
        <v>1.8827799999999999</v>
      </c>
      <c r="DY58">
        <v>1.8755200000000001</v>
      </c>
      <c r="DZ58">
        <v>1.87456</v>
      </c>
      <c r="EA58">
        <v>1.87073</v>
      </c>
      <c r="EB58">
        <v>1.87459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-0.66600000000000004</v>
      </c>
      <c r="EQ58">
        <v>0.1401</v>
      </c>
      <c r="ER58">
        <v>-0.66629999999995004</v>
      </c>
      <c r="ES58">
        <v>0</v>
      </c>
      <c r="ET58">
        <v>0</v>
      </c>
      <c r="EU58">
        <v>0</v>
      </c>
      <c r="EV58">
        <v>0.140039999999997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3.3</v>
      </c>
      <c r="FE58">
        <v>3.4</v>
      </c>
      <c r="FF58">
        <v>0.56518599999999997</v>
      </c>
      <c r="FG58">
        <v>2.5573700000000001</v>
      </c>
      <c r="FH58">
        <v>2.19604</v>
      </c>
      <c r="FI58">
        <v>2.5842299999999998</v>
      </c>
      <c r="FJ58">
        <v>2.4462899999999999</v>
      </c>
      <c r="FK58">
        <v>2.3059099999999999</v>
      </c>
      <c r="FL58">
        <v>29.007100000000001</v>
      </c>
      <c r="FM58">
        <v>24.148800000000001</v>
      </c>
      <c r="FN58">
        <v>19</v>
      </c>
      <c r="FO58">
        <v>862.09900000000005</v>
      </c>
      <c r="FP58">
        <v>606.79200000000003</v>
      </c>
      <c r="FQ58">
        <v>18.228899999999999</v>
      </c>
      <c r="FR58">
        <v>24.358899999999998</v>
      </c>
      <c r="FS58">
        <v>30</v>
      </c>
      <c r="FT58">
        <v>24.331800000000001</v>
      </c>
      <c r="FU58">
        <v>24.3322</v>
      </c>
      <c r="FV58">
        <v>11.3719</v>
      </c>
      <c r="FW58">
        <v>34.886699999999998</v>
      </c>
      <c r="FX58">
        <v>74.461100000000002</v>
      </c>
      <c r="FY58">
        <v>18.237300000000001</v>
      </c>
      <c r="FZ58">
        <v>150</v>
      </c>
      <c r="GA58">
        <v>14.3725</v>
      </c>
      <c r="GB58">
        <v>99.981899999999996</v>
      </c>
      <c r="GC58">
        <v>99.736599999999996</v>
      </c>
    </row>
    <row r="59" spans="1:185" x14ac:dyDescent="0.2">
      <c r="A59">
        <v>44</v>
      </c>
      <c r="B59">
        <v>1771086238</v>
      </c>
      <c r="C59">
        <v>918</v>
      </c>
      <c r="D59" t="s">
        <v>382</v>
      </c>
      <c r="E59" t="s">
        <v>383</v>
      </c>
      <c r="F59">
        <v>15</v>
      </c>
      <c r="G59">
        <v>1771086229.9333301</v>
      </c>
      <c r="H59">
        <f t="shared" si="0"/>
        <v>8.4879040443941412E-4</v>
      </c>
      <c r="I59">
        <v>0</v>
      </c>
      <c r="J59">
        <f t="shared" si="12"/>
        <v>-8.1678962618181132E-3</v>
      </c>
      <c r="K59">
        <f t="shared" si="1"/>
        <v>-0.22139846620241488</v>
      </c>
      <c r="L59">
        <f t="shared" si="2"/>
        <v>69.745403274836988</v>
      </c>
      <c r="M59">
        <f t="shared" si="3"/>
        <v>1.5377618567335634</v>
      </c>
      <c r="N59">
        <f t="shared" si="4"/>
        <v>2.2048218011929723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26219.143829123666</v>
      </c>
      <c r="T59">
        <f t="shared" si="8"/>
        <v>799.99919999999997</v>
      </c>
      <c r="U59">
        <f t="shared" si="9"/>
        <v>674.39906016026521</v>
      </c>
      <c r="V59">
        <f t="shared" si="10"/>
        <v>0.84299966819999972</v>
      </c>
      <c r="W59">
        <f t="shared" si="11"/>
        <v>0.15869931341199994</v>
      </c>
      <c r="X59">
        <v>1</v>
      </c>
      <c r="Y59">
        <v>1771086229.9333301</v>
      </c>
      <c r="Z59">
        <v>150.125133333333</v>
      </c>
      <c r="AA59">
        <v>150.00766666666701</v>
      </c>
      <c r="AB59">
        <v>15.3730933333333</v>
      </c>
      <c r="AC59">
        <v>14.328419999999999</v>
      </c>
      <c r="AD59">
        <v>150.791333333333</v>
      </c>
      <c r="AE59">
        <v>15.2330533333333</v>
      </c>
      <c r="AF59">
        <v>800.003066666667</v>
      </c>
      <c r="AG59">
        <v>99.964326666666693</v>
      </c>
      <c r="AH59">
        <v>6.5109399999999998E-2</v>
      </c>
      <c r="AI59">
        <v>18.997393333333299</v>
      </c>
      <c r="AJ59">
        <v>999.9</v>
      </c>
      <c r="AK59">
        <v>999.9</v>
      </c>
      <c r="AL59">
        <v>0</v>
      </c>
      <c r="AM59">
        <v>0</v>
      </c>
      <c r="AN59">
        <v>5001</v>
      </c>
      <c r="AO59">
        <v>0</v>
      </c>
      <c r="AP59">
        <v>1.9760899999999999</v>
      </c>
      <c r="AQ59">
        <v>0.117494773333333</v>
      </c>
      <c r="AR59">
        <v>152.46913333333299</v>
      </c>
      <c r="AS59">
        <v>152.188266666667</v>
      </c>
      <c r="AT59">
        <v>1.04467</v>
      </c>
      <c r="AU59">
        <v>150.00766666666701</v>
      </c>
      <c r="AV59">
        <v>14.328419999999999</v>
      </c>
      <c r="AW59">
        <v>1.5367613333333301</v>
      </c>
      <c r="AX59">
        <v>1.4323319999999999</v>
      </c>
      <c r="AY59">
        <v>13.3389066666667</v>
      </c>
      <c r="AZ59">
        <v>12.26432</v>
      </c>
      <c r="BA59">
        <v>799.99919999999997</v>
      </c>
      <c r="BB59">
        <v>0.90000893333333298</v>
      </c>
      <c r="BC59">
        <v>0</v>
      </c>
      <c r="BD59">
        <v>9.9990993333333306E-2</v>
      </c>
      <c r="BE59">
        <v>0</v>
      </c>
      <c r="BF59">
        <v>24</v>
      </c>
      <c r="BG59">
        <v>13191.0466666667</v>
      </c>
      <c r="BH59">
        <v>1771086026</v>
      </c>
      <c r="BI59" t="s">
        <v>353</v>
      </c>
      <c r="BJ59">
        <v>1771086026</v>
      </c>
      <c r="BK59">
        <v>1771086020</v>
      </c>
      <c r="BL59">
        <v>2</v>
      </c>
      <c r="BM59">
        <v>0.44600000000000001</v>
      </c>
      <c r="BN59">
        <v>1.2999999999999999E-2</v>
      </c>
      <c r="BO59">
        <v>-0.66600000000000004</v>
      </c>
      <c r="BP59">
        <v>0.14000000000000001</v>
      </c>
      <c r="BQ59">
        <v>150</v>
      </c>
      <c r="BR59">
        <v>15</v>
      </c>
      <c r="BS59">
        <v>0.05</v>
      </c>
      <c r="BT59">
        <v>0.13</v>
      </c>
      <c r="BU59">
        <v>0.123395695238095</v>
      </c>
      <c r="BV59">
        <v>-0.143735719480519</v>
      </c>
      <c r="BW59">
        <v>3.2103634714401003E-2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1.0429004761904801</v>
      </c>
      <c r="CD59">
        <v>3.4608311688311397E-2</v>
      </c>
      <c r="CE59">
        <v>4.0175916455490301E-3</v>
      </c>
      <c r="CF59">
        <v>1</v>
      </c>
      <c r="CG59">
        <v>2</v>
      </c>
      <c r="CH59">
        <v>2</v>
      </c>
      <c r="CI59" t="s">
        <v>310</v>
      </c>
      <c r="CJ59">
        <v>3.5325500000000001</v>
      </c>
      <c r="CK59">
        <v>2.7029800000000002</v>
      </c>
      <c r="CL59">
        <v>4.2187099999999998E-2</v>
      </c>
      <c r="CM59">
        <v>4.1508400000000001E-2</v>
      </c>
      <c r="CN59">
        <v>8.6919800000000005E-2</v>
      </c>
      <c r="CO59">
        <v>8.1821400000000002E-2</v>
      </c>
      <c r="CP59">
        <v>33635.199999999997</v>
      </c>
      <c r="CQ59">
        <v>29527.1</v>
      </c>
      <c r="CR59">
        <v>32496.9</v>
      </c>
      <c r="CS59">
        <v>30727.9</v>
      </c>
      <c r="CT59">
        <v>40155</v>
      </c>
      <c r="CU59">
        <v>39657</v>
      </c>
      <c r="CV59">
        <v>47441.2</v>
      </c>
      <c r="CW59">
        <v>46844.2</v>
      </c>
      <c r="CX59">
        <v>2.6398999999999999</v>
      </c>
      <c r="CY59">
        <v>2.1859000000000002</v>
      </c>
      <c r="CZ59">
        <v>0</v>
      </c>
      <c r="DA59">
        <v>0</v>
      </c>
      <c r="DB59">
        <v>999.9</v>
      </c>
      <c r="DC59">
        <v>999.9</v>
      </c>
      <c r="DD59">
        <v>71.010999999999996</v>
      </c>
      <c r="DE59">
        <v>23.463999999999999</v>
      </c>
      <c r="DF59">
        <v>20.601099999999999</v>
      </c>
      <c r="DG59">
        <v>27.507300000000001</v>
      </c>
      <c r="DH59">
        <v>14.863799999999999</v>
      </c>
      <c r="DI59">
        <v>2</v>
      </c>
      <c r="DJ59">
        <v>-0.209398</v>
      </c>
      <c r="DK59">
        <v>1.74139</v>
      </c>
      <c r="DL59">
        <v>20.2011</v>
      </c>
      <c r="DM59">
        <v>5.2472399999999997</v>
      </c>
      <c r="DN59">
        <v>12.033899999999999</v>
      </c>
      <c r="DO59">
        <v>4.9672799999999997</v>
      </c>
      <c r="DP59">
        <v>3.2909999999999999</v>
      </c>
      <c r="DQ59">
        <v>9999</v>
      </c>
      <c r="DR59">
        <v>9999</v>
      </c>
      <c r="DS59">
        <v>9999</v>
      </c>
      <c r="DT59">
        <v>604.1</v>
      </c>
      <c r="DU59">
        <v>1.8710100000000001</v>
      </c>
      <c r="DV59">
        <v>1.8760699999999999</v>
      </c>
      <c r="DW59">
        <v>1.8762399999999999</v>
      </c>
      <c r="DX59">
        <v>1.8827799999999999</v>
      </c>
      <c r="DY59">
        <v>1.8755500000000001</v>
      </c>
      <c r="DZ59">
        <v>1.8745499999999999</v>
      </c>
      <c r="EA59">
        <v>1.8707199999999999</v>
      </c>
      <c r="EB59">
        <v>1.87462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-0.66700000000000004</v>
      </c>
      <c r="EQ59">
        <v>0.14000000000000001</v>
      </c>
      <c r="ER59">
        <v>-0.66629999999995004</v>
      </c>
      <c r="ES59">
        <v>0</v>
      </c>
      <c r="ET59">
        <v>0</v>
      </c>
      <c r="EU59">
        <v>0</v>
      </c>
      <c r="EV59">
        <v>0.140039999999997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3.5</v>
      </c>
      <c r="FE59">
        <v>3.6</v>
      </c>
      <c r="FF59">
        <v>0.56518599999999997</v>
      </c>
      <c r="FG59">
        <v>2.5598100000000001</v>
      </c>
      <c r="FH59">
        <v>2.19604</v>
      </c>
      <c r="FI59">
        <v>2.5842299999999998</v>
      </c>
      <c r="FJ59">
        <v>2.4462899999999999</v>
      </c>
      <c r="FK59">
        <v>2.2912599999999999</v>
      </c>
      <c r="FL59">
        <v>29.028199999999998</v>
      </c>
      <c r="FM59">
        <v>24.157499999999999</v>
      </c>
      <c r="FN59">
        <v>19</v>
      </c>
      <c r="FO59">
        <v>862.27200000000005</v>
      </c>
      <c r="FP59">
        <v>606.428</v>
      </c>
      <c r="FQ59">
        <v>18.240600000000001</v>
      </c>
      <c r="FR59">
        <v>24.363399999999999</v>
      </c>
      <c r="FS59">
        <v>30.0002</v>
      </c>
      <c r="FT59">
        <v>24.3367</v>
      </c>
      <c r="FU59">
        <v>24.337599999999998</v>
      </c>
      <c r="FV59">
        <v>11.3706</v>
      </c>
      <c r="FW59">
        <v>34.886699999999998</v>
      </c>
      <c r="FX59">
        <v>74.088999999999999</v>
      </c>
      <c r="FY59">
        <v>18.2425</v>
      </c>
      <c r="FZ59">
        <v>150</v>
      </c>
      <c r="GA59">
        <v>14.373100000000001</v>
      </c>
      <c r="GB59">
        <v>99.980599999999995</v>
      </c>
      <c r="GC59">
        <v>99.735399999999998</v>
      </c>
    </row>
    <row r="60" spans="1:185" x14ac:dyDescent="0.2">
      <c r="A60">
        <v>45</v>
      </c>
      <c r="B60">
        <v>1771086253</v>
      </c>
      <c r="C60">
        <v>933</v>
      </c>
      <c r="D60" t="s">
        <v>384</v>
      </c>
      <c r="E60" t="s">
        <v>385</v>
      </c>
      <c r="F60">
        <v>15</v>
      </c>
      <c r="G60">
        <v>1771086244.9333301</v>
      </c>
      <c r="H60">
        <f t="shared" si="0"/>
        <v>8.5386989703470253E-4</v>
      </c>
      <c r="I60">
        <v>0</v>
      </c>
      <c r="J60">
        <f t="shared" si="12"/>
        <v>-8.8407193319487969E-3</v>
      </c>
      <c r="K60">
        <f t="shared" si="1"/>
        <v>-0.23963596469377982</v>
      </c>
      <c r="L60">
        <f t="shared" si="2"/>
        <v>69.727059173844012</v>
      </c>
      <c r="M60">
        <f t="shared" si="3"/>
        <v>1.5370683345945448</v>
      </c>
      <c r="N60">
        <f t="shared" si="4"/>
        <v>2.2044072312906744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26247.161593074892</v>
      </c>
      <c r="T60">
        <f t="shared" si="8"/>
        <v>800.00160000000005</v>
      </c>
      <c r="U60">
        <f t="shared" si="9"/>
        <v>674.4012633598295</v>
      </c>
      <c r="V60">
        <f t="shared" si="10"/>
        <v>0.84299989320000035</v>
      </c>
      <c r="W60">
        <f t="shared" si="11"/>
        <v>0.15869955111200007</v>
      </c>
      <c r="X60">
        <v>1</v>
      </c>
      <c r="Y60">
        <v>1771086244.9333301</v>
      </c>
      <c r="Z60">
        <v>150.16526666666701</v>
      </c>
      <c r="AA60">
        <v>150.02600000000001</v>
      </c>
      <c r="AB60">
        <v>15.36626</v>
      </c>
      <c r="AC60">
        <v>14.315333333333299</v>
      </c>
      <c r="AD60">
        <v>150.831533333333</v>
      </c>
      <c r="AE60">
        <v>15.2262066666667</v>
      </c>
      <c r="AF60">
        <v>800.00739999999996</v>
      </c>
      <c r="AG60">
        <v>99.963826666666705</v>
      </c>
      <c r="AH60">
        <v>6.4959426666666695E-2</v>
      </c>
      <c r="AI60">
        <v>18.99438</v>
      </c>
      <c r="AJ60">
        <v>999.9</v>
      </c>
      <c r="AK60">
        <v>999.9</v>
      </c>
      <c r="AL60">
        <v>0</v>
      </c>
      <c r="AM60">
        <v>0</v>
      </c>
      <c r="AN60">
        <v>5005.6000000000004</v>
      </c>
      <c r="AO60">
        <v>0</v>
      </c>
      <c r="AP60">
        <v>1.98971733333333</v>
      </c>
      <c r="AQ60">
        <v>0.1394492</v>
      </c>
      <c r="AR60">
        <v>152.5086</v>
      </c>
      <c r="AS60">
        <v>152.20466666666701</v>
      </c>
      <c r="AT60">
        <v>1.0509166666666701</v>
      </c>
      <c r="AU60">
        <v>150.02600000000001</v>
      </c>
      <c r="AV60">
        <v>14.315333333333299</v>
      </c>
      <c r="AW60">
        <v>1.5360686666666701</v>
      </c>
      <c r="AX60">
        <v>1.43101533333333</v>
      </c>
      <c r="AY60">
        <v>13.331993333333299</v>
      </c>
      <c r="AZ60">
        <v>12.2503333333333</v>
      </c>
      <c r="BA60">
        <v>800.00160000000005</v>
      </c>
      <c r="BB60">
        <v>0.90000626666666705</v>
      </c>
      <c r="BC60">
        <v>0</v>
      </c>
      <c r="BD60">
        <v>9.9993826666666702E-2</v>
      </c>
      <c r="BE60">
        <v>0</v>
      </c>
      <c r="BF60">
        <v>24</v>
      </c>
      <c r="BG60">
        <v>13191.073333333299</v>
      </c>
      <c r="BH60">
        <v>1771086026</v>
      </c>
      <c r="BI60" t="s">
        <v>353</v>
      </c>
      <c r="BJ60">
        <v>1771086026</v>
      </c>
      <c r="BK60">
        <v>1771086020</v>
      </c>
      <c r="BL60">
        <v>2</v>
      </c>
      <c r="BM60">
        <v>0.44600000000000001</v>
      </c>
      <c r="BN60">
        <v>1.2999999999999999E-2</v>
      </c>
      <c r="BO60">
        <v>-0.66600000000000004</v>
      </c>
      <c r="BP60">
        <v>0.14000000000000001</v>
      </c>
      <c r="BQ60">
        <v>150</v>
      </c>
      <c r="BR60">
        <v>15</v>
      </c>
      <c r="BS60">
        <v>0.05</v>
      </c>
      <c r="BT60">
        <v>0.13</v>
      </c>
      <c r="BU60">
        <v>0.13547216500000001</v>
      </c>
      <c r="BV60">
        <v>3.6255036090225699E-2</v>
      </c>
      <c r="BW60">
        <v>4.16129194664022E-2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1.049838</v>
      </c>
      <c r="CD60">
        <v>3.8267368421051003E-2</v>
      </c>
      <c r="CE60">
        <v>4.80138375887618E-3</v>
      </c>
      <c r="CF60">
        <v>1</v>
      </c>
      <c r="CG60">
        <v>2</v>
      </c>
      <c r="CH60">
        <v>2</v>
      </c>
      <c r="CI60" t="s">
        <v>310</v>
      </c>
      <c r="CJ60">
        <v>3.5325299999999999</v>
      </c>
      <c r="CK60">
        <v>2.7026599999999998</v>
      </c>
      <c r="CL60">
        <v>4.2159200000000001E-2</v>
      </c>
      <c r="CM60">
        <v>4.1504199999999998E-2</v>
      </c>
      <c r="CN60">
        <v>8.6890700000000001E-2</v>
      </c>
      <c r="CO60">
        <v>8.1766400000000003E-2</v>
      </c>
      <c r="CP60">
        <v>33636</v>
      </c>
      <c r="CQ60">
        <v>29528</v>
      </c>
      <c r="CR60">
        <v>32496.799999999999</v>
      </c>
      <c r="CS60">
        <v>30728.7</v>
      </c>
      <c r="CT60">
        <v>40156.400000000001</v>
      </c>
      <c r="CU60">
        <v>39660.199999999997</v>
      </c>
      <c r="CV60">
        <v>47441.3</v>
      </c>
      <c r="CW60">
        <v>46845.1</v>
      </c>
      <c r="CX60">
        <v>2.6398000000000001</v>
      </c>
      <c r="CY60">
        <v>2.1857000000000002</v>
      </c>
      <c r="CZ60">
        <v>0</v>
      </c>
      <c r="DA60">
        <v>0</v>
      </c>
      <c r="DB60">
        <v>999.9</v>
      </c>
      <c r="DC60">
        <v>999.9</v>
      </c>
      <c r="DD60">
        <v>70.894999999999996</v>
      </c>
      <c r="DE60">
        <v>23.474</v>
      </c>
      <c r="DF60">
        <v>20.577999999999999</v>
      </c>
      <c r="DG60">
        <v>27.747299999999999</v>
      </c>
      <c r="DH60">
        <v>14.8758</v>
      </c>
      <c r="DI60">
        <v>2</v>
      </c>
      <c r="DJ60">
        <v>-0.20910599999999999</v>
      </c>
      <c r="DK60">
        <v>1.72539</v>
      </c>
      <c r="DL60">
        <v>20.201599999999999</v>
      </c>
      <c r="DM60">
        <v>5.2472399999999997</v>
      </c>
      <c r="DN60">
        <v>12.033899999999999</v>
      </c>
      <c r="DO60">
        <v>4.9672400000000003</v>
      </c>
      <c r="DP60">
        <v>3.2909999999999999</v>
      </c>
      <c r="DQ60">
        <v>9999</v>
      </c>
      <c r="DR60">
        <v>9999</v>
      </c>
      <c r="DS60">
        <v>9999</v>
      </c>
      <c r="DT60">
        <v>604.1</v>
      </c>
      <c r="DU60">
        <v>1.871</v>
      </c>
      <c r="DV60">
        <v>1.8760699999999999</v>
      </c>
      <c r="DW60">
        <v>1.8762300000000001</v>
      </c>
      <c r="DX60">
        <v>1.8827799999999999</v>
      </c>
      <c r="DY60">
        <v>1.8755500000000001</v>
      </c>
      <c r="DZ60">
        <v>1.87456</v>
      </c>
      <c r="EA60">
        <v>1.87073</v>
      </c>
      <c r="EB60">
        <v>1.87463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-0.66700000000000004</v>
      </c>
      <c r="EQ60">
        <v>0.14000000000000001</v>
      </c>
      <c r="ER60">
        <v>-0.66629999999995004</v>
      </c>
      <c r="ES60">
        <v>0</v>
      </c>
      <c r="ET60">
        <v>0</v>
      </c>
      <c r="EU60">
        <v>0</v>
      </c>
      <c r="EV60">
        <v>0.140039999999997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3.8</v>
      </c>
      <c r="FE60">
        <v>3.9</v>
      </c>
      <c r="FF60">
        <v>0.56518599999999997</v>
      </c>
      <c r="FG60">
        <v>2.5610400000000002</v>
      </c>
      <c r="FH60">
        <v>2.19604</v>
      </c>
      <c r="FI60">
        <v>2.5842299999999998</v>
      </c>
      <c r="FJ60">
        <v>2.4462899999999999</v>
      </c>
      <c r="FK60">
        <v>2.2766099999999998</v>
      </c>
      <c r="FL60">
        <v>29.028199999999998</v>
      </c>
      <c r="FM60">
        <v>24.148800000000001</v>
      </c>
      <c r="FN60">
        <v>19</v>
      </c>
      <c r="FO60">
        <v>862.26700000000005</v>
      </c>
      <c r="FP60">
        <v>606.33100000000002</v>
      </c>
      <c r="FQ60">
        <v>18.251200000000001</v>
      </c>
      <c r="FR60">
        <v>24.3674</v>
      </c>
      <c r="FS60">
        <v>30</v>
      </c>
      <c r="FT60">
        <v>24.341999999999999</v>
      </c>
      <c r="FU60">
        <v>24.3428</v>
      </c>
      <c r="FV60">
        <v>11.367800000000001</v>
      </c>
      <c r="FW60">
        <v>34.886699999999998</v>
      </c>
      <c r="FX60">
        <v>73.708299999999994</v>
      </c>
      <c r="FY60">
        <v>18.2546</v>
      </c>
      <c r="FZ60">
        <v>150</v>
      </c>
      <c r="GA60">
        <v>14.378</v>
      </c>
      <c r="GB60">
        <v>99.980599999999995</v>
      </c>
      <c r="GC60">
        <v>99.7376</v>
      </c>
    </row>
    <row r="61" spans="1:185" x14ac:dyDescent="0.2">
      <c r="A61">
        <v>46</v>
      </c>
      <c r="B61">
        <v>1771086268</v>
      </c>
      <c r="C61">
        <v>948</v>
      </c>
      <c r="D61" t="s">
        <v>386</v>
      </c>
      <c r="E61" t="s">
        <v>387</v>
      </c>
      <c r="F61">
        <v>15</v>
      </c>
      <c r="G61">
        <v>1771086259.9333301</v>
      </c>
      <c r="H61">
        <f t="shared" si="0"/>
        <v>8.4418952394996151E-4</v>
      </c>
      <c r="I61">
        <v>0</v>
      </c>
      <c r="J61">
        <f t="shared" si="12"/>
        <v>-8.3426738870743151E-3</v>
      </c>
      <c r="K61">
        <f t="shared" si="1"/>
        <v>-0.22613597717437844</v>
      </c>
      <c r="L61">
        <f t="shared" si="2"/>
        <v>69.67330028923584</v>
      </c>
      <c r="M61">
        <f t="shared" si="3"/>
        <v>1.5362347462541299</v>
      </c>
      <c r="N61">
        <f t="shared" si="4"/>
        <v>2.2049116948339393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26201.666765483224</v>
      </c>
      <c r="T61">
        <f t="shared" si="8"/>
        <v>800.00006666666695</v>
      </c>
      <c r="U61">
        <f t="shared" si="9"/>
        <v>674.40003683999885</v>
      </c>
      <c r="V61">
        <f t="shared" si="10"/>
        <v>0.8429999758000003</v>
      </c>
      <c r="W61">
        <f t="shared" si="11"/>
        <v>0.15869966666800003</v>
      </c>
      <c r="X61">
        <v>1</v>
      </c>
      <c r="Y61">
        <v>1771086259.9333301</v>
      </c>
      <c r="Z61">
        <v>150.11113333333299</v>
      </c>
      <c r="AA61">
        <v>149.986866666667</v>
      </c>
      <c r="AB61">
        <v>15.3577666666667</v>
      </c>
      <c r="AC61">
        <v>14.31874</v>
      </c>
      <c r="AD61">
        <v>150.77746666666701</v>
      </c>
      <c r="AE61">
        <v>15.217726666666699</v>
      </c>
      <c r="AF61">
        <v>800.00319999999999</v>
      </c>
      <c r="AG61">
        <v>99.964933333333306</v>
      </c>
      <c r="AH61">
        <v>6.48938933333333E-2</v>
      </c>
      <c r="AI61">
        <v>18.998046666666699</v>
      </c>
      <c r="AJ61">
        <v>999.9</v>
      </c>
      <c r="AK61">
        <v>999.9</v>
      </c>
      <c r="AL61">
        <v>0</v>
      </c>
      <c r="AM61">
        <v>0</v>
      </c>
      <c r="AN61">
        <v>4998.1000000000004</v>
      </c>
      <c r="AO61">
        <v>0</v>
      </c>
      <c r="AP61">
        <v>2.0255506666666698</v>
      </c>
      <c r="AQ61">
        <v>0.12418322666666699</v>
      </c>
      <c r="AR61">
        <v>152.45246666666699</v>
      </c>
      <c r="AS61">
        <v>152.16579999999999</v>
      </c>
      <c r="AT61">
        <v>1.0390280000000001</v>
      </c>
      <c r="AU61">
        <v>149.986866666667</v>
      </c>
      <c r="AV61">
        <v>14.31874</v>
      </c>
      <c r="AW61">
        <v>1.53523866666667</v>
      </c>
      <c r="AX61">
        <v>1.4313720000000001</v>
      </c>
      <c r="AY61">
        <v>13.323686666666701</v>
      </c>
      <c r="AZ61">
        <v>12.254113333333301</v>
      </c>
      <c r="BA61">
        <v>800.00006666666695</v>
      </c>
      <c r="BB61">
        <v>0.90000486666666701</v>
      </c>
      <c r="BC61">
        <v>0</v>
      </c>
      <c r="BD61">
        <v>9.9995273333333301E-2</v>
      </c>
      <c r="BE61">
        <v>0</v>
      </c>
      <c r="BF61">
        <v>24</v>
      </c>
      <c r="BG61">
        <v>13191.0666666667</v>
      </c>
      <c r="BH61">
        <v>1771086026</v>
      </c>
      <c r="BI61" t="s">
        <v>353</v>
      </c>
      <c r="BJ61">
        <v>1771086026</v>
      </c>
      <c r="BK61">
        <v>1771086020</v>
      </c>
      <c r="BL61">
        <v>2</v>
      </c>
      <c r="BM61">
        <v>0.44600000000000001</v>
      </c>
      <c r="BN61">
        <v>1.2999999999999999E-2</v>
      </c>
      <c r="BO61">
        <v>-0.66600000000000004</v>
      </c>
      <c r="BP61">
        <v>0.14000000000000001</v>
      </c>
      <c r="BQ61">
        <v>150</v>
      </c>
      <c r="BR61">
        <v>15</v>
      </c>
      <c r="BS61">
        <v>0.05</v>
      </c>
      <c r="BT61">
        <v>0.13</v>
      </c>
      <c r="BU61">
        <v>0.12465349523809501</v>
      </c>
      <c r="BV61">
        <v>-8.43013168831169E-2</v>
      </c>
      <c r="BW61">
        <v>1.8711574377971499E-2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1.0435176190476201</v>
      </c>
      <c r="CD61">
        <v>-0.109405714285713</v>
      </c>
      <c r="CE61">
        <v>1.2253810643365099E-2</v>
      </c>
      <c r="CF61">
        <v>0</v>
      </c>
      <c r="CG61">
        <v>1</v>
      </c>
      <c r="CH61">
        <v>2</v>
      </c>
      <c r="CI61" t="s">
        <v>299</v>
      </c>
      <c r="CJ61">
        <v>3.5324900000000001</v>
      </c>
      <c r="CK61">
        <v>2.70262</v>
      </c>
      <c r="CL61">
        <v>4.2154299999999999E-2</v>
      </c>
      <c r="CM61">
        <v>4.1509699999999997E-2</v>
      </c>
      <c r="CN61">
        <v>8.6904300000000004E-2</v>
      </c>
      <c r="CO61">
        <v>8.1887799999999997E-2</v>
      </c>
      <c r="CP61">
        <v>33636.1</v>
      </c>
      <c r="CQ61">
        <v>29528.2</v>
      </c>
      <c r="CR61">
        <v>32496.7</v>
      </c>
      <c r="CS61">
        <v>30729.1</v>
      </c>
      <c r="CT61">
        <v>40155.800000000003</v>
      </c>
      <c r="CU61">
        <v>39655.5</v>
      </c>
      <c r="CV61">
        <v>47441.3</v>
      </c>
      <c r="CW61">
        <v>46845.9</v>
      </c>
      <c r="CX61">
        <v>2.6397200000000001</v>
      </c>
      <c r="CY61">
        <v>2.1850999999999998</v>
      </c>
      <c r="CZ61">
        <v>0</v>
      </c>
      <c r="DA61">
        <v>0</v>
      </c>
      <c r="DB61">
        <v>999.9</v>
      </c>
      <c r="DC61">
        <v>999.9</v>
      </c>
      <c r="DD61">
        <v>70.778999999999996</v>
      </c>
      <c r="DE61">
        <v>23.484000000000002</v>
      </c>
      <c r="DF61">
        <v>20.557500000000001</v>
      </c>
      <c r="DG61">
        <v>27.2073</v>
      </c>
      <c r="DH61">
        <v>14.895799999999999</v>
      </c>
      <c r="DI61">
        <v>2</v>
      </c>
      <c r="DJ61">
        <v>-0.20884800000000001</v>
      </c>
      <c r="DK61">
        <v>1.7310099999999999</v>
      </c>
      <c r="DL61">
        <v>20.2014</v>
      </c>
      <c r="DM61">
        <v>5.2473599999999996</v>
      </c>
      <c r="DN61">
        <v>12.033899999999999</v>
      </c>
      <c r="DO61">
        <v>4.96692</v>
      </c>
      <c r="DP61">
        <v>3.2909999999999999</v>
      </c>
      <c r="DQ61">
        <v>9999</v>
      </c>
      <c r="DR61">
        <v>9999</v>
      </c>
      <c r="DS61">
        <v>9999</v>
      </c>
      <c r="DT61">
        <v>604.1</v>
      </c>
      <c r="DU61">
        <v>1.8710199999999999</v>
      </c>
      <c r="DV61">
        <v>1.8760699999999999</v>
      </c>
      <c r="DW61">
        <v>1.8762300000000001</v>
      </c>
      <c r="DX61">
        <v>1.8827799999999999</v>
      </c>
      <c r="DY61">
        <v>1.87554</v>
      </c>
      <c r="DZ61">
        <v>1.8745799999999999</v>
      </c>
      <c r="EA61">
        <v>1.87073</v>
      </c>
      <c r="EB61">
        <v>1.8746400000000001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-0.66700000000000004</v>
      </c>
      <c r="EQ61">
        <v>0.14000000000000001</v>
      </c>
      <c r="ER61">
        <v>-0.66629999999995004</v>
      </c>
      <c r="ES61">
        <v>0</v>
      </c>
      <c r="ET61">
        <v>0</v>
      </c>
      <c r="EU61">
        <v>0</v>
      </c>
      <c r="EV61">
        <v>0.140039999999997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4</v>
      </c>
      <c r="FE61">
        <v>4.0999999999999996</v>
      </c>
      <c r="FF61">
        <v>0.56518599999999997</v>
      </c>
      <c r="FG61">
        <v>2.5634800000000002</v>
      </c>
      <c r="FH61">
        <v>2.19604</v>
      </c>
      <c r="FI61">
        <v>2.5842299999999998</v>
      </c>
      <c r="FJ61">
        <v>2.4462899999999999</v>
      </c>
      <c r="FK61">
        <v>2.2961399999999998</v>
      </c>
      <c r="FL61">
        <v>29.070599999999999</v>
      </c>
      <c r="FM61">
        <v>24.157499999999999</v>
      </c>
      <c r="FN61">
        <v>19</v>
      </c>
      <c r="FO61">
        <v>862.279</v>
      </c>
      <c r="FP61">
        <v>605.91700000000003</v>
      </c>
      <c r="FQ61">
        <v>18.259</v>
      </c>
      <c r="FR61">
        <v>24.372399999999999</v>
      </c>
      <c r="FS61">
        <v>30.000299999999999</v>
      </c>
      <c r="FT61">
        <v>24.347300000000001</v>
      </c>
      <c r="FU61">
        <v>24.348099999999999</v>
      </c>
      <c r="FV61">
        <v>11.3687</v>
      </c>
      <c r="FW61">
        <v>34.606299999999997</v>
      </c>
      <c r="FX61">
        <v>73.708299999999994</v>
      </c>
      <c r="FY61">
        <v>18.258900000000001</v>
      </c>
      <c r="FZ61">
        <v>150</v>
      </c>
      <c r="GA61">
        <v>14.376899999999999</v>
      </c>
      <c r="GB61">
        <v>99.980500000000006</v>
      </c>
      <c r="GC61">
        <v>99.739199999999997</v>
      </c>
    </row>
    <row r="62" spans="1:185" x14ac:dyDescent="0.2">
      <c r="A62">
        <v>47</v>
      </c>
      <c r="B62">
        <v>1771086283</v>
      </c>
      <c r="C62">
        <v>963</v>
      </c>
      <c r="D62" t="s">
        <v>388</v>
      </c>
      <c r="E62" t="s">
        <v>389</v>
      </c>
      <c r="F62">
        <v>15</v>
      </c>
      <c r="G62">
        <v>1771086274.9333301</v>
      </c>
      <c r="H62">
        <f t="shared" si="0"/>
        <v>8.3776160766300977E-4</v>
      </c>
      <c r="I62">
        <v>0</v>
      </c>
      <c r="J62">
        <f t="shared" si="12"/>
        <v>-8.0080515437655885E-3</v>
      </c>
      <c r="K62">
        <f t="shared" si="1"/>
        <v>-0.21706572564438176</v>
      </c>
      <c r="L62">
        <f t="shared" si="2"/>
        <v>69.696938051885525</v>
      </c>
      <c r="M62">
        <f t="shared" si="3"/>
        <v>1.5369164169539522</v>
      </c>
      <c r="N62">
        <f t="shared" si="4"/>
        <v>2.2051419472829679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25749.896940909766</v>
      </c>
      <c r="T62">
        <f t="shared" si="8"/>
        <v>799.99853333333294</v>
      </c>
      <c r="U62">
        <f t="shared" si="9"/>
        <v>674.3986026402946</v>
      </c>
      <c r="V62">
        <f t="shared" si="10"/>
        <v>0.84299979879999976</v>
      </c>
      <c r="W62">
        <f t="shared" si="11"/>
        <v>0.15869954896799995</v>
      </c>
      <c r="X62">
        <v>1</v>
      </c>
      <c r="Y62">
        <v>1771086274.9333301</v>
      </c>
      <c r="Z62">
        <v>150.1112</v>
      </c>
      <c r="AA62">
        <v>149.997066666667</v>
      </c>
      <c r="AB62">
        <v>15.364699999999999</v>
      </c>
      <c r="AC62">
        <v>14.3336066666667</v>
      </c>
      <c r="AD62">
        <v>150.77760000000001</v>
      </c>
      <c r="AE62">
        <v>15.2246466666667</v>
      </c>
      <c r="AF62">
        <v>800.01453333333302</v>
      </c>
      <c r="AG62">
        <v>99.964473333333302</v>
      </c>
      <c r="AH62">
        <v>6.4581379999999994E-2</v>
      </c>
      <c r="AI62">
        <v>18.99972</v>
      </c>
      <c r="AJ62">
        <v>999.9</v>
      </c>
      <c r="AK62">
        <v>999.9</v>
      </c>
      <c r="AL62">
        <v>0</v>
      </c>
      <c r="AM62">
        <v>0</v>
      </c>
      <c r="AN62">
        <v>4923.7</v>
      </c>
      <c r="AO62">
        <v>0</v>
      </c>
      <c r="AP62">
        <v>2.0325500000000001</v>
      </c>
      <c r="AQ62">
        <v>0.114136653333333</v>
      </c>
      <c r="AR62">
        <v>152.45353333333301</v>
      </c>
      <c r="AS62">
        <v>152.178333333333</v>
      </c>
      <c r="AT62">
        <v>1.031072</v>
      </c>
      <c r="AU62">
        <v>149.997066666667</v>
      </c>
      <c r="AV62">
        <v>14.3336066666667</v>
      </c>
      <c r="AW62">
        <v>1.5359240000000001</v>
      </c>
      <c r="AX62">
        <v>1.4328526666666701</v>
      </c>
      <c r="AY62">
        <v>13.330553333333301</v>
      </c>
      <c r="AZ62">
        <v>12.2698533333333</v>
      </c>
      <c r="BA62">
        <v>799.99853333333294</v>
      </c>
      <c r="BB62">
        <v>0.90000593333333301</v>
      </c>
      <c r="BC62">
        <v>0</v>
      </c>
      <c r="BD62">
        <v>9.9994040000000006E-2</v>
      </c>
      <c r="BE62">
        <v>0</v>
      </c>
      <c r="BF62">
        <v>24</v>
      </c>
      <c r="BG62">
        <v>13191.0333333333</v>
      </c>
      <c r="BH62">
        <v>1771086026</v>
      </c>
      <c r="BI62" t="s">
        <v>353</v>
      </c>
      <c r="BJ62">
        <v>1771086026</v>
      </c>
      <c r="BK62">
        <v>1771086020</v>
      </c>
      <c r="BL62">
        <v>2</v>
      </c>
      <c r="BM62">
        <v>0.44600000000000001</v>
      </c>
      <c r="BN62">
        <v>1.2999999999999999E-2</v>
      </c>
      <c r="BO62">
        <v>-0.66600000000000004</v>
      </c>
      <c r="BP62">
        <v>0.14000000000000001</v>
      </c>
      <c r="BQ62">
        <v>150</v>
      </c>
      <c r="BR62">
        <v>15</v>
      </c>
      <c r="BS62">
        <v>0.05</v>
      </c>
      <c r="BT62">
        <v>0.13</v>
      </c>
      <c r="BU62">
        <v>0.112180414285714</v>
      </c>
      <c r="BV62">
        <v>1.98076285714286E-2</v>
      </c>
      <c r="BW62">
        <v>1.26351747269388E-2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1.0299890476190501</v>
      </c>
      <c r="CD62">
        <v>2.2371428571428799E-2</v>
      </c>
      <c r="CE62">
        <v>5.5600984101961499E-3</v>
      </c>
      <c r="CF62">
        <v>1</v>
      </c>
      <c r="CG62">
        <v>2</v>
      </c>
      <c r="CH62">
        <v>2</v>
      </c>
      <c r="CI62" t="s">
        <v>310</v>
      </c>
      <c r="CJ62">
        <v>3.5325099999999998</v>
      </c>
      <c r="CK62">
        <v>2.7025899999999998</v>
      </c>
      <c r="CL62">
        <v>4.2151800000000003E-2</v>
      </c>
      <c r="CM62">
        <v>4.1509400000000002E-2</v>
      </c>
      <c r="CN62">
        <v>8.6878300000000006E-2</v>
      </c>
      <c r="CO62">
        <v>8.1838900000000006E-2</v>
      </c>
      <c r="CP62">
        <v>33635.800000000003</v>
      </c>
      <c r="CQ62">
        <v>29527.7</v>
      </c>
      <c r="CR62">
        <v>32496.3</v>
      </c>
      <c r="CS62">
        <v>30728.6</v>
      </c>
      <c r="CT62">
        <v>40156.699999999997</v>
      </c>
      <c r="CU62">
        <v>39657.1</v>
      </c>
      <c r="CV62">
        <v>47440.9</v>
      </c>
      <c r="CW62">
        <v>46845.2</v>
      </c>
      <c r="CX62">
        <v>2.6396999999999999</v>
      </c>
      <c r="CY62">
        <v>2.18512</v>
      </c>
      <c r="CZ62">
        <v>0</v>
      </c>
      <c r="DA62">
        <v>0</v>
      </c>
      <c r="DB62">
        <v>999.9</v>
      </c>
      <c r="DC62">
        <v>999.9</v>
      </c>
      <c r="DD62">
        <v>70.662999999999997</v>
      </c>
      <c r="DE62">
        <v>23.504000000000001</v>
      </c>
      <c r="DF62">
        <v>20.549900000000001</v>
      </c>
      <c r="DG62">
        <v>29.7273</v>
      </c>
      <c r="DH62">
        <v>14.992000000000001</v>
      </c>
      <c r="DI62">
        <v>2</v>
      </c>
      <c r="DJ62">
        <v>-0.20837800000000001</v>
      </c>
      <c r="DK62">
        <v>1.764</v>
      </c>
      <c r="DL62">
        <v>20.201599999999999</v>
      </c>
      <c r="DM62">
        <v>5.2472399999999997</v>
      </c>
      <c r="DN62">
        <v>12.033899999999999</v>
      </c>
      <c r="DO62">
        <v>4.9669600000000003</v>
      </c>
      <c r="DP62">
        <v>3.2909999999999999</v>
      </c>
      <c r="DQ62">
        <v>9999</v>
      </c>
      <c r="DR62">
        <v>9999</v>
      </c>
      <c r="DS62">
        <v>9999</v>
      </c>
      <c r="DT62">
        <v>604.1</v>
      </c>
      <c r="DU62">
        <v>1.871</v>
      </c>
      <c r="DV62">
        <v>1.8760699999999999</v>
      </c>
      <c r="DW62">
        <v>1.8762300000000001</v>
      </c>
      <c r="DX62">
        <v>1.8827799999999999</v>
      </c>
      <c r="DY62">
        <v>1.8754999999999999</v>
      </c>
      <c r="DZ62">
        <v>1.8745499999999999</v>
      </c>
      <c r="EA62">
        <v>1.87073</v>
      </c>
      <c r="EB62">
        <v>1.8746100000000001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-0.66600000000000004</v>
      </c>
      <c r="EQ62">
        <v>0.1401</v>
      </c>
      <c r="ER62">
        <v>-0.66629999999995004</v>
      </c>
      <c r="ES62">
        <v>0</v>
      </c>
      <c r="ET62">
        <v>0</v>
      </c>
      <c r="EU62">
        <v>0</v>
      </c>
      <c r="EV62">
        <v>0.140039999999997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4.3</v>
      </c>
      <c r="FE62">
        <v>4.4000000000000004</v>
      </c>
      <c r="FF62">
        <v>0.56518599999999997</v>
      </c>
      <c r="FG62">
        <v>2.5647000000000002</v>
      </c>
      <c r="FH62">
        <v>2.19604</v>
      </c>
      <c r="FI62">
        <v>2.5842299999999998</v>
      </c>
      <c r="FJ62">
        <v>2.4462899999999999</v>
      </c>
      <c r="FK62">
        <v>2.2424300000000001</v>
      </c>
      <c r="FL62">
        <v>29.091799999999999</v>
      </c>
      <c r="FM62">
        <v>24.148800000000001</v>
      </c>
      <c r="FN62">
        <v>19</v>
      </c>
      <c r="FO62">
        <v>862.34299999999996</v>
      </c>
      <c r="FP62">
        <v>605.99699999999996</v>
      </c>
      <c r="FQ62">
        <v>18.251000000000001</v>
      </c>
      <c r="FR62">
        <v>24.376100000000001</v>
      </c>
      <c r="FS62">
        <v>30.0001</v>
      </c>
      <c r="FT62">
        <v>24.3523</v>
      </c>
      <c r="FU62">
        <v>24.353400000000001</v>
      </c>
      <c r="FV62">
        <v>11.3691</v>
      </c>
      <c r="FW62">
        <v>34.606299999999997</v>
      </c>
      <c r="FX62">
        <v>73.330799999999996</v>
      </c>
      <c r="FY62">
        <v>18.2515</v>
      </c>
      <c r="FZ62">
        <v>150</v>
      </c>
      <c r="GA62">
        <v>14.3813</v>
      </c>
      <c r="GB62">
        <v>99.979399999999998</v>
      </c>
      <c r="GC62">
        <v>99.737799999999993</v>
      </c>
    </row>
    <row r="63" spans="1:185" x14ac:dyDescent="0.2">
      <c r="A63">
        <v>48</v>
      </c>
      <c r="B63">
        <v>1771086298</v>
      </c>
      <c r="C63">
        <v>978</v>
      </c>
      <c r="D63" t="s">
        <v>390</v>
      </c>
      <c r="E63" t="s">
        <v>391</v>
      </c>
      <c r="F63">
        <v>15</v>
      </c>
      <c r="G63">
        <v>1771086289.9333301</v>
      </c>
      <c r="H63">
        <f t="shared" si="0"/>
        <v>8.4372224273031196E-4</v>
      </c>
      <c r="I63">
        <v>0</v>
      </c>
      <c r="J63">
        <f t="shared" si="12"/>
        <v>-7.8972670968875322E-3</v>
      </c>
      <c r="K63">
        <f t="shared" si="1"/>
        <v>-0.21406280961414986</v>
      </c>
      <c r="L63">
        <f t="shared" si="2"/>
        <v>69.682338068433708</v>
      </c>
      <c r="M63">
        <f t="shared" si="3"/>
        <v>1.5366782108066983</v>
      </c>
      <c r="N63">
        <f t="shared" si="4"/>
        <v>2.2052621272517516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26106.499496006065</v>
      </c>
      <c r="T63">
        <f t="shared" si="8"/>
        <v>799.99980000000005</v>
      </c>
      <c r="U63">
        <f t="shared" si="9"/>
        <v>674.3995478800714</v>
      </c>
      <c r="V63">
        <f t="shared" si="10"/>
        <v>0.84299964560000062</v>
      </c>
      <c r="W63">
        <f t="shared" si="11"/>
        <v>0.15869934785600009</v>
      </c>
      <c r="X63">
        <v>1</v>
      </c>
      <c r="Y63">
        <v>1771086289.9333301</v>
      </c>
      <c r="Z63">
        <v>150.10693333333299</v>
      </c>
      <c r="AA63">
        <v>149.99766666666699</v>
      </c>
      <c r="AB63">
        <v>15.362306666666701</v>
      </c>
      <c r="AC63">
        <v>14.323866666666699</v>
      </c>
      <c r="AD63">
        <v>150.77326666666701</v>
      </c>
      <c r="AE63">
        <v>15.2222666666667</v>
      </c>
      <c r="AF63">
        <v>800.00840000000005</v>
      </c>
      <c r="AG63">
        <v>99.964340000000007</v>
      </c>
      <c r="AH63">
        <v>6.4792613333333304E-2</v>
      </c>
      <c r="AI63">
        <v>19.000593333333299</v>
      </c>
      <c r="AJ63">
        <v>999.9</v>
      </c>
      <c r="AK63">
        <v>999.9</v>
      </c>
      <c r="AL63">
        <v>0</v>
      </c>
      <c r="AM63">
        <v>0</v>
      </c>
      <c r="AN63">
        <v>4982.4666666666699</v>
      </c>
      <c r="AO63">
        <v>0</v>
      </c>
      <c r="AP63">
        <v>2.0325500000000001</v>
      </c>
      <c r="AQ63">
        <v>0.109368906666667</v>
      </c>
      <c r="AR63">
        <v>152.448933333333</v>
      </c>
      <c r="AS63">
        <v>152.177333333333</v>
      </c>
      <c r="AT63">
        <v>1.03844133333333</v>
      </c>
      <c r="AU63">
        <v>149.99766666666699</v>
      </c>
      <c r="AV63">
        <v>14.323866666666699</v>
      </c>
      <c r="AW63">
        <v>1.535682</v>
      </c>
      <c r="AX63">
        <v>1.4318753333333301</v>
      </c>
      <c r="AY63">
        <v>13.328139999999999</v>
      </c>
      <c r="AZ63">
        <v>12.259460000000001</v>
      </c>
      <c r="BA63">
        <v>799.99980000000005</v>
      </c>
      <c r="BB63">
        <v>0.90000833333333397</v>
      </c>
      <c r="BC63">
        <v>0</v>
      </c>
      <c r="BD63">
        <v>9.9991546666666695E-2</v>
      </c>
      <c r="BE63">
        <v>0</v>
      </c>
      <c r="BF63">
        <v>24</v>
      </c>
      <c r="BG63">
        <v>13191.053333333301</v>
      </c>
      <c r="BH63">
        <v>1771086026</v>
      </c>
      <c r="BI63" t="s">
        <v>353</v>
      </c>
      <c r="BJ63">
        <v>1771086026</v>
      </c>
      <c r="BK63">
        <v>1771086020</v>
      </c>
      <c r="BL63">
        <v>2</v>
      </c>
      <c r="BM63">
        <v>0.44600000000000001</v>
      </c>
      <c r="BN63">
        <v>1.2999999999999999E-2</v>
      </c>
      <c r="BO63">
        <v>-0.66600000000000004</v>
      </c>
      <c r="BP63">
        <v>0.14000000000000001</v>
      </c>
      <c r="BQ63">
        <v>150</v>
      </c>
      <c r="BR63">
        <v>15</v>
      </c>
      <c r="BS63">
        <v>0.05</v>
      </c>
      <c r="BT63">
        <v>0.13</v>
      </c>
      <c r="BU63">
        <v>0.10925519</v>
      </c>
      <c r="BV63">
        <v>-7.4291007518796697E-3</v>
      </c>
      <c r="BW63">
        <v>1.5358290516229301E-2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1.0367634999999999</v>
      </c>
      <c r="CD63">
        <v>4.4899398496238398E-2</v>
      </c>
      <c r="CE63">
        <v>6.1936170974641602E-3</v>
      </c>
      <c r="CF63">
        <v>1</v>
      </c>
      <c r="CG63">
        <v>2</v>
      </c>
      <c r="CH63">
        <v>2</v>
      </c>
      <c r="CI63" t="s">
        <v>310</v>
      </c>
      <c r="CJ63">
        <v>3.5325700000000002</v>
      </c>
      <c r="CK63">
        <v>2.7025299999999999</v>
      </c>
      <c r="CL63">
        <v>4.2147499999999997E-2</v>
      </c>
      <c r="CM63">
        <v>4.1511600000000003E-2</v>
      </c>
      <c r="CN63">
        <v>8.6900900000000003E-2</v>
      </c>
      <c r="CO63">
        <v>8.1789000000000001E-2</v>
      </c>
      <c r="CP63">
        <v>33635.5</v>
      </c>
      <c r="CQ63">
        <v>29528.6</v>
      </c>
      <c r="CR63">
        <v>32495.9</v>
      </c>
      <c r="CS63">
        <v>30729.599999999999</v>
      </c>
      <c r="CT63">
        <v>40155.5</v>
      </c>
      <c r="CU63">
        <v>39660.800000000003</v>
      </c>
      <c r="CV63">
        <v>47440.7</v>
      </c>
      <c r="CW63">
        <v>46846.9</v>
      </c>
      <c r="CX63">
        <v>2.6397599999999999</v>
      </c>
      <c r="CY63">
        <v>2.1849400000000001</v>
      </c>
      <c r="CZ63">
        <v>0</v>
      </c>
      <c r="DA63">
        <v>0</v>
      </c>
      <c r="DB63">
        <v>999.9</v>
      </c>
      <c r="DC63">
        <v>999.9</v>
      </c>
      <c r="DD63">
        <v>70.564999999999998</v>
      </c>
      <c r="DE63">
        <v>23.513999999999999</v>
      </c>
      <c r="DF63">
        <v>20.5321</v>
      </c>
      <c r="DG63">
        <v>29.817299999999999</v>
      </c>
      <c r="DH63">
        <v>14.803699999999999</v>
      </c>
      <c r="DI63">
        <v>2</v>
      </c>
      <c r="DJ63">
        <v>-0.20813599999999999</v>
      </c>
      <c r="DK63">
        <v>1.75404</v>
      </c>
      <c r="DL63">
        <v>20.2014</v>
      </c>
      <c r="DM63">
        <v>5.2473599999999996</v>
      </c>
      <c r="DN63">
        <v>12.033899999999999</v>
      </c>
      <c r="DO63">
        <v>4.9667199999999996</v>
      </c>
      <c r="DP63">
        <v>3.2909999999999999</v>
      </c>
      <c r="DQ63">
        <v>9999</v>
      </c>
      <c r="DR63">
        <v>9999</v>
      </c>
      <c r="DS63">
        <v>9999</v>
      </c>
      <c r="DT63">
        <v>604.1</v>
      </c>
      <c r="DU63">
        <v>1.8710100000000001</v>
      </c>
      <c r="DV63">
        <v>1.8760600000000001</v>
      </c>
      <c r="DW63">
        <v>1.8762300000000001</v>
      </c>
      <c r="DX63">
        <v>1.8827799999999999</v>
      </c>
      <c r="DY63">
        <v>1.8755200000000001</v>
      </c>
      <c r="DZ63">
        <v>1.8745700000000001</v>
      </c>
      <c r="EA63">
        <v>1.87073</v>
      </c>
      <c r="EB63">
        <v>1.8746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-0.66700000000000004</v>
      </c>
      <c r="EQ63">
        <v>0.14000000000000001</v>
      </c>
      <c r="ER63">
        <v>-0.66629999999995004</v>
      </c>
      <c r="ES63">
        <v>0</v>
      </c>
      <c r="ET63">
        <v>0</v>
      </c>
      <c r="EU63">
        <v>0</v>
      </c>
      <c r="EV63">
        <v>0.140039999999997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4.5</v>
      </c>
      <c r="FE63">
        <v>4.5999999999999996</v>
      </c>
      <c r="FF63">
        <v>0.56518599999999997</v>
      </c>
      <c r="FG63">
        <v>2.5561500000000001</v>
      </c>
      <c r="FH63">
        <v>2.19604</v>
      </c>
      <c r="FI63">
        <v>2.5842299999999998</v>
      </c>
      <c r="FJ63">
        <v>2.4462899999999999</v>
      </c>
      <c r="FK63">
        <v>2.3034699999999999</v>
      </c>
      <c r="FL63">
        <v>29.113</v>
      </c>
      <c r="FM63">
        <v>24.157499999999999</v>
      </c>
      <c r="FN63">
        <v>19</v>
      </c>
      <c r="FO63">
        <v>862.48400000000004</v>
      </c>
      <c r="FP63">
        <v>605.90899999999999</v>
      </c>
      <c r="FQ63">
        <v>18.250699999999998</v>
      </c>
      <c r="FR63">
        <v>24.380099999999999</v>
      </c>
      <c r="FS63">
        <v>30.0002</v>
      </c>
      <c r="FT63">
        <v>24.357500000000002</v>
      </c>
      <c r="FU63">
        <v>24.358000000000001</v>
      </c>
      <c r="FV63">
        <v>11.3688</v>
      </c>
      <c r="FW63">
        <v>34.606299999999997</v>
      </c>
      <c r="FX63">
        <v>72.958100000000002</v>
      </c>
      <c r="FY63">
        <v>18.250699999999998</v>
      </c>
      <c r="FZ63">
        <v>150</v>
      </c>
      <c r="GA63">
        <v>14.378500000000001</v>
      </c>
      <c r="GB63">
        <v>99.978800000000007</v>
      </c>
      <c r="GC63">
        <v>99.741200000000006</v>
      </c>
    </row>
    <row r="64" spans="1:185" x14ac:dyDescent="0.2">
      <c r="A64">
        <v>49</v>
      </c>
      <c r="B64">
        <v>1771086313</v>
      </c>
      <c r="C64">
        <v>993</v>
      </c>
      <c r="D64" t="s">
        <v>392</v>
      </c>
      <c r="E64" t="s">
        <v>393</v>
      </c>
      <c r="F64">
        <v>15</v>
      </c>
      <c r="G64">
        <v>1771086304.9333301</v>
      </c>
      <c r="H64">
        <f t="shared" si="0"/>
        <v>8.4274325486016885E-4</v>
      </c>
      <c r="I64">
        <v>0</v>
      </c>
      <c r="J64">
        <f t="shared" si="12"/>
        <v>-7.4466839816503981E-3</v>
      </c>
      <c r="K64">
        <f t="shared" si="1"/>
        <v>-0.20184933292290674</v>
      </c>
      <c r="L64">
        <f t="shared" si="2"/>
        <v>69.676315557357199</v>
      </c>
      <c r="M64">
        <f t="shared" si="3"/>
        <v>1.536568411039237</v>
      </c>
      <c r="N64">
        <f t="shared" si="4"/>
        <v>2.2052951548138933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26189.718000978883</v>
      </c>
      <c r="T64">
        <f t="shared" si="8"/>
        <v>800</v>
      </c>
      <c r="U64">
        <f t="shared" si="9"/>
        <v>674.39971439999977</v>
      </c>
      <c r="V64">
        <f t="shared" si="10"/>
        <v>0.84299964299999974</v>
      </c>
      <c r="W64">
        <f t="shared" si="11"/>
        <v>0.15869917245999995</v>
      </c>
      <c r="X64">
        <v>1</v>
      </c>
      <c r="Y64">
        <v>1771086304.9333301</v>
      </c>
      <c r="Z64">
        <v>150.09233333333299</v>
      </c>
      <c r="AA64">
        <v>149.99813333333299</v>
      </c>
      <c r="AB64">
        <v>15.361233333333301</v>
      </c>
      <c r="AC64">
        <v>14.3239866666667</v>
      </c>
      <c r="AD64">
        <v>150.758933333333</v>
      </c>
      <c r="AE64">
        <v>15.221166666666701</v>
      </c>
      <c r="AF64">
        <v>800.00033333333295</v>
      </c>
      <c r="AG64">
        <v>99.964240000000004</v>
      </c>
      <c r="AH64">
        <v>6.4734086666666704E-2</v>
      </c>
      <c r="AI64">
        <v>19.000833333333301</v>
      </c>
      <c r="AJ64">
        <v>999.9</v>
      </c>
      <c r="AK64">
        <v>999.9</v>
      </c>
      <c r="AL64">
        <v>0</v>
      </c>
      <c r="AM64">
        <v>0</v>
      </c>
      <c r="AN64">
        <v>4996.2</v>
      </c>
      <c r="AO64">
        <v>0</v>
      </c>
      <c r="AP64">
        <v>2.0325500000000001</v>
      </c>
      <c r="AQ64">
        <v>9.44082333333333E-2</v>
      </c>
      <c r="AR64">
        <v>152.43406666666701</v>
      </c>
      <c r="AS64">
        <v>152.178</v>
      </c>
      <c r="AT64">
        <v>1.03721206666667</v>
      </c>
      <c r="AU64">
        <v>149.99813333333299</v>
      </c>
      <c r="AV64">
        <v>14.3239866666667</v>
      </c>
      <c r="AW64">
        <v>1.53557266666667</v>
      </c>
      <c r="AX64">
        <v>1.4318866666666701</v>
      </c>
      <c r="AY64">
        <v>13.3270466666667</v>
      </c>
      <c r="AZ64">
        <v>12.259586666666699</v>
      </c>
      <c r="BA64">
        <v>800</v>
      </c>
      <c r="BB64">
        <v>0.90001093333333304</v>
      </c>
      <c r="BC64">
        <v>0</v>
      </c>
      <c r="BD64">
        <v>9.9989033333333296E-2</v>
      </c>
      <c r="BE64">
        <v>0</v>
      </c>
      <c r="BF64">
        <v>24</v>
      </c>
      <c r="BG64">
        <v>13191.073333333299</v>
      </c>
      <c r="BH64">
        <v>1771086026</v>
      </c>
      <c r="BI64" t="s">
        <v>353</v>
      </c>
      <c r="BJ64">
        <v>1771086026</v>
      </c>
      <c r="BK64">
        <v>1771086020</v>
      </c>
      <c r="BL64">
        <v>2</v>
      </c>
      <c r="BM64">
        <v>0.44600000000000001</v>
      </c>
      <c r="BN64">
        <v>1.2999999999999999E-2</v>
      </c>
      <c r="BO64">
        <v>-0.66600000000000004</v>
      </c>
      <c r="BP64">
        <v>0.14000000000000001</v>
      </c>
      <c r="BQ64">
        <v>150</v>
      </c>
      <c r="BR64">
        <v>15</v>
      </c>
      <c r="BS64">
        <v>0.05</v>
      </c>
      <c r="BT64">
        <v>0.13</v>
      </c>
      <c r="BU64">
        <v>9.2907779999999995E-2</v>
      </c>
      <c r="BV64">
        <v>8.0216012030075001E-2</v>
      </c>
      <c r="BW64">
        <v>1.32851915959688E-2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1.03960805</v>
      </c>
      <c r="CD64">
        <v>-9.9918541353383405E-2</v>
      </c>
      <c r="CE64">
        <v>1.44078187886821E-2</v>
      </c>
      <c r="CF64">
        <v>1</v>
      </c>
      <c r="CG64">
        <v>2</v>
      </c>
      <c r="CH64">
        <v>2</v>
      </c>
      <c r="CI64" t="s">
        <v>310</v>
      </c>
      <c r="CJ64">
        <v>3.5324800000000001</v>
      </c>
      <c r="CK64">
        <v>2.7026599999999998</v>
      </c>
      <c r="CL64">
        <v>4.2150899999999998E-2</v>
      </c>
      <c r="CM64">
        <v>4.15062E-2</v>
      </c>
      <c r="CN64">
        <v>8.6895899999999998E-2</v>
      </c>
      <c r="CO64">
        <v>8.2024799999999995E-2</v>
      </c>
      <c r="CP64">
        <v>33635.599999999999</v>
      </c>
      <c r="CQ64">
        <v>29528.5</v>
      </c>
      <c r="CR64">
        <v>32496.2</v>
      </c>
      <c r="CS64">
        <v>30729.3</v>
      </c>
      <c r="CT64">
        <v>40155.800000000003</v>
      </c>
      <c r="CU64">
        <v>39649.9</v>
      </c>
      <c r="CV64">
        <v>47440.7</v>
      </c>
      <c r="CW64">
        <v>46846.400000000001</v>
      </c>
      <c r="CX64">
        <v>2.63964</v>
      </c>
      <c r="CY64">
        <v>2.1844800000000002</v>
      </c>
      <c r="CZ64">
        <v>0</v>
      </c>
      <c r="DA64">
        <v>0</v>
      </c>
      <c r="DB64">
        <v>999.9</v>
      </c>
      <c r="DC64">
        <v>999.9</v>
      </c>
      <c r="DD64">
        <v>70.436999999999998</v>
      </c>
      <c r="DE64">
        <v>23.544</v>
      </c>
      <c r="DF64">
        <v>20.532800000000002</v>
      </c>
      <c r="DG64">
        <v>30.507300000000001</v>
      </c>
      <c r="DH64">
        <v>15.004</v>
      </c>
      <c r="DI64">
        <v>2</v>
      </c>
      <c r="DJ64">
        <v>-0.20788200000000001</v>
      </c>
      <c r="DK64">
        <v>1.7585</v>
      </c>
      <c r="DL64">
        <v>20.200900000000001</v>
      </c>
      <c r="DM64">
        <v>5.2473599999999996</v>
      </c>
      <c r="DN64">
        <v>12.033899999999999</v>
      </c>
      <c r="DO64">
        <v>4.9668000000000001</v>
      </c>
      <c r="DP64">
        <v>3.2909999999999999</v>
      </c>
      <c r="DQ64">
        <v>9999</v>
      </c>
      <c r="DR64">
        <v>9999</v>
      </c>
      <c r="DS64">
        <v>9999</v>
      </c>
      <c r="DT64">
        <v>604.1</v>
      </c>
      <c r="DU64">
        <v>1.8710199999999999</v>
      </c>
      <c r="DV64">
        <v>1.8760699999999999</v>
      </c>
      <c r="DW64">
        <v>1.87625</v>
      </c>
      <c r="DX64">
        <v>1.8827799999999999</v>
      </c>
      <c r="DY64">
        <v>1.87554</v>
      </c>
      <c r="DZ64">
        <v>1.8745700000000001</v>
      </c>
      <c r="EA64">
        <v>1.87073</v>
      </c>
      <c r="EB64">
        <v>1.87466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-0.66600000000000004</v>
      </c>
      <c r="EQ64">
        <v>0.14000000000000001</v>
      </c>
      <c r="ER64">
        <v>-0.66629999999995004</v>
      </c>
      <c r="ES64">
        <v>0</v>
      </c>
      <c r="ET64">
        <v>0</v>
      </c>
      <c r="EU64">
        <v>0</v>
      </c>
      <c r="EV64">
        <v>0.140039999999997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4.8</v>
      </c>
      <c r="FE64">
        <v>4.9000000000000004</v>
      </c>
      <c r="FF64">
        <v>0.56518599999999997</v>
      </c>
      <c r="FG64">
        <v>2.5671400000000002</v>
      </c>
      <c r="FH64">
        <v>2.19604</v>
      </c>
      <c r="FI64">
        <v>2.5842299999999998</v>
      </c>
      <c r="FJ64">
        <v>2.4462899999999999</v>
      </c>
      <c r="FK64">
        <v>2.3022499999999999</v>
      </c>
      <c r="FL64">
        <v>29.113</v>
      </c>
      <c r="FM64">
        <v>24.157499999999999</v>
      </c>
      <c r="FN64">
        <v>19</v>
      </c>
      <c r="FO64">
        <v>862.45299999999997</v>
      </c>
      <c r="FP64">
        <v>605.61099999999999</v>
      </c>
      <c r="FQ64">
        <v>18.247699999999998</v>
      </c>
      <c r="FR64">
        <v>24.383500000000002</v>
      </c>
      <c r="FS64">
        <v>30.0001</v>
      </c>
      <c r="FT64">
        <v>24.362500000000001</v>
      </c>
      <c r="FU64">
        <v>24.363600000000002</v>
      </c>
      <c r="FV64">
        <v>11.3697</v>
      </c>
      <c r="FW64">
        <v>34.325200000000002</v>
      </c>
      <c r="FX64">
        <v>72.579499999999996</v>
      </c>
      <c r="FY64">
        <v>18.249199999999998</v>
      </c>
      <c r="FZ64">
        <v>150</v>
      </c>
      <c r="GA64">
        <v>14.3804</v>
      </c>
      <c r="GB64">
        <v>99.979100000000003</v>
      </c>
      <c r="GC64">
        <v>99.740300000000005</v>
      </c>
    </row>
    <row r="65" spans="1:185" x14ac:dyDescent="0.2">
      <c r="A65">
        <v>50</v>
      </c>
      <c r="B65">
        <v>1771086328</v>
      </c>
      <c r="C65">
        <v>1008</v>
      </c>
      <c r="D65" t="s">
        <v>394</v>
      </c>
      <c r="E65" t="s">
        <v>395</v>
      </c>
      <c r="F65">
        <v>15</v>
      </c>
      <c r="G65">
        <v>1771086319.9333301</v>
      </c>
      <c r="H65">
        <f t="shared" si="0"/>
        <v>8.1842295138446867E-4</v>
      </c>
      <c r="I65">
        <v>0</v>
      </c>
      <c r="J65">
        <f t="shared" si="12"/>
        <v>-7.0856779408880214E-3</v>
      </c>
      <c r="K65">
        <f t="shared" si="1"/>
        <v>-0.19206392660130323</v>
      </c>
      <c r="L65">
        <f t="shared" si="2"/>
        <v>69.756180827738675</v>
      </c>
      <c r="M65">
        <f t="shared" si="3"/>
        <v>1.5385523996447585</v>
      </c>
      <c r="N65">
        <f t="shared" si="4"/>
        <v>2.2056144436063367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26178.602034541185</v>
      </c>
      <c r="T65">
        <f t="shared" si="8"/>
        <v>799.99886666666703</v>
      </c>
      <c r="U65">
        <f t="shared" si="9"/>
        <v>674.39877228038586</v>
      </c>
      <c r="V65">
        <f t="shared" si="10"/>
        <v>0.84299965959999967</v>
      </c>
      <c r="W65">
        <f t="shared" si="11"/>
        <v>0.15869912301599995</v>
      </c>
      <c r="X65">
        <v>1</v>
      </c>
      <c r="Y65">
        <v>1771086319.9333301</v>
      </c>
      <c r="Z65">
        <v>150.08906666666701</v>
      </c>
      <c r="AA65">
        <v>150.00253333333299</v>
      </c>
      <c r="AB65">
        <v>15.3810533333333</v>
      </c>
      <c r="AC65">
        <v>14.3737733333333</v>
      </c>
      <c r="AD65">
        <v>150.75526666666701</v>
      </c>
      <c r="AE65">
        <v>15.2410333333333</v>
      </c>
      <c r="AF65">
        <v>800.01066666666702</v>
      </c>
      <c r="AG65">
        <v>99.964253333333303</v>
      </c>
      <c r="AH65">
        <v>6.4812706666666706E-2</v>
      </c>
      <c r="AI65">
        <v>19.003153333333302</v>
      </c>
      <c r="AJ65">
        <v>999.9</v>
      </c>
      <c r="AK65">
        <v>999.9</v>
      </c>
      <c r="AL65">
        <v>0</v>
      </c>
      <c r="AM65">
        <v>0</v>
      </c>
      <c r="AN65">
        <v>4994.3999999999996</v>
      </c>
      <c r="AO65">
        <v>0</v>
      </c>
      <c r="AP65">
        <v>2.0325500000000001</v>
      </c>
      <c r="AQ65">
        <v>8.6430813333333301E-2</v>
      </c>
      <c r="AR65">
        <v>152.43360000000001</v>
      </c>
      <c r="AS65">
        <v>152.1902</v>
      </c>
      <c r="AT65">
        <v>1.00726926666667</v>
      </c>
      <c r="AU65">
        <v>150.00253333333299</v>
      </c>
      <c r="AV65">
        <v>14.3737733333333</v>
      </c>
      <c r="AW65">
        <v>1.53755666666667</v>
      </c>
      <c r="AX65">
        <v>1.43686466666667</v>
      </c>
      <c r="AY65">
        <v>13.346833333333301</v>
      </c>
      <c r="AZ65">
        <v>12.312379999999999</v>
      </c>
      <c r="BA65">
        <v>799.99886666666703</v>
      </c>
      <c r="BB65">
        <v>0.90001173333333295</v>
      </c>
      <c r="BC65">
        <v>0</v>
      </c>
      <c r="BD65">
        <v>9.9988279999999999E-2</v>
      </c>
      <c r="BE65">
        <v>0</v>
      </c>
      <c r="BF65">
        <v>24.106653333333298</v>
      </c>
      <c r="BG65">
        <v>13191.06</v>
      </c>
      <c r="BH65">
        <v>1771086026</v>
      </c>
      <c r="BI65" t="s">
        <v>353</v>
      </c>
      <c r="BJ65">
        <v>1771086026</v>
      </c>
      <c r="BK65">
        <v>1771086020</v>
      </c>
      <c r="BL65">
        <v>2</v>
      </c>
      <c r="BM65">
        <v>0.44600000000000001</v>
      </c>
      <c r="BN65">
        <v>1.2999999999999999E-2</v>
      </c>
      <c r="BO65">
        <v>-0.66600000000000004</v>
      </c>
      <c r="BP65">
        <v>0.14000000000000001</v>
      </c>
      <c r="BQ65">
        <v>150</v>
      </c>
      <c r="BR65">
        <v>15</v>
      </c>
      <c r="BS65">
        <v>0.05</v>
      </c>
      <c r="BT65">
        <v>0.13</v>
      </c>
      <c r="BU65">
        <v>9.0965609523809499E-2</v>
      </c>
      <c r="BV65">
        <v>-0.12629076623376601</v>
      </c>
      <c r="BW65">
        <v>1.7390973579168498E-2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1.0121701904761899</v>
      </c>
      <c r="CD65">
        <v>-2.2362545454544702E-2</v>
      </c>
      <c r="CE65">
        <v>1.64205594116732E-2</v>
      </c>
      <c r="CF65">
        <v>1</v>
      </c>
      <c r="CG65">
        <v>2</v>
      </c>
      <c r="CH65">
        <v>2</v>
      </c>
      <c r="CI65" t="s">
        <v>310</v>
      </c>
      <c r="CJ65">
        <v>3.53254</v>
      </c>
      <c r="CK65">
        <v>2.7027299999999999</v>
      </c>
      <c r="CL65">
        <v>4.2147200000000003E-2</v>
      </c>
      <c r="CM65">
        <v>4.1504399999999997E-2</v>
      </c>
      <c r="CN65">
        <v>8.7003999999999998E-2</v>
      </c>
      <c r="CO65">
        <v>8.1999000000000002E-2</v>
      </c>
      <c r="CP65">
        <v>33635.1</v>
      </c>
      <c r="CQ65">
        <v>29528.3</v>
      </c>
      <c r="CR65">
        <v>32495.599999999999</v>
      </c>
      <c r="CS65">
        <v>30729.1</v>
      </c>
      <c r="CT65">
        <v>40150.5</v>
      </c>
      <c r="CU65">
        <v>39651.199999999997</v>
      </c>
      <c r="CV65">
        <v>47440.3</v>
      </c>
      <c r="CW65">
        <v>46846.6</v>
      </c>
      <c r="CX65">
        <v>2.6393800000000001</v>
      </c>
      <c r="CY65">
        <v>2.1843599999999999</v>
      </c>
      <c r="CZ65">
        <v>0</v>
      </c>
      <c r="DA65">
        <v>0</v>
      </c>
      <c r="DB65">
        <v>999.9</v>
      </c>
      <c r="DC65">
        <v>999.9</v>
      </c>
      <c r="DD65">
        <v>70.326999999999998</v>
      </c>
      <c r="DE65">
        <v>23.555</v>
      </c>
      <c r="DF65">
        <v>20.514399999999998</v>
      </c>
      <c r="DG65">
        <v>30.417300000000001</v>
      </c>
      <c r="DH65">
        <v>14.931900000000001</v>
      </c>
      <c r="DI65">
        <v>2</v>
      </c>
      <c r="DJ65">
        <v>-0.207591</v>
      </c>
      <c r="DK65">
        <v>1.78169</v>
      </c>
      <c r="DL65">
        <v>20.200900000000001</v>
      </c>
      <c r="DM65">
        <v>5.2472399999999997</v>
      </c>
      <c r="DN65">
        <v>12.033899999999999</v>
      </c>
      <c r="DO65">
        <v>4.9669600000000003</v>
      </c>
      <c r="DP65">
        <v>3.2909999999999999</v>
      </c>
      <c r="DQ65">
        <v>9999</v>
      </c>
      <c r="DR65">
        <v>9999</v>
      </c>
      <c r="DS65">
        <v>9999</v>
      </c>
      <c r="DT65">
        <v>604.1</v>
      </c>
      <c r="DU65">
        <v>1.8710199999999999</v>
      </c>
      <c r="DV65">
        <v>1.8760699999999999</v>
      </c>
      <c r="DW65">
        <v>1.87625</v>
      </c>
      <c r="DX65">
        <v>1.8827799999999999</v>
      </c>
      <c r="DY65">
        <v>1.8755299999999999</v>
      </c>
      <c r="DZ65">
        <v>1.8745700000000001</v>
      </c>
      <c r="EA65">
        <v>1.8707199999999999</v>
      </c>
      <c r="EB65">
        <v>1.8746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-0.66600000000000004</v>
      </c>
      <c r="EQ65">
        <v>0.14000000000000001</v>
      </c>
      <c r="ER65">
        <v>-0.66629999999995004</v>
      </c>
      <c r="ES65">
        <v>0</v>
      </c>
      <c r="ET65">
        <v>0</v>
      </c>
      <c r="EU65">
        <v>0</v>
      </c>
      <c r="EV65">
        <v>0.140039999999997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5</v>
      </c>
      <c r="FE65">
        <v>5.0999999999999996</v>
      </c>
      <c r="FF65">
        <v>0.56518599999999997</v>
      </c>
      <c r="FG65">
        <v>2.5647000000000002</v>
      </c>
      <c r="FH65">
        <v>2.19604</v>
      </c>
      <c r="FI65">
        <v>2.5830099999999998</v>
      </c>
      <c r="FJ65">
        <v>2.4462899999999999</v>
      </c>
      <c r="FK65">
        <v>2.2460900000000001</v>
      </c>
      <c r="FL65">
        <v>29.1342</v>
      </c>
      <c r="FM65">
        <v>24.148800000000001</v>
      </c>
      <c r="FN65">
        <v>19</v>
      </c>
      <c r="FO65">
        <v>862.29300000000001</v>
      </c>
      <c r="FP65">
        <v>605.57100000000003</v>
      </c>
      <c r="FQ65">
        <v>18.246099999999998</v>
      </c>
      <c r="FR65">
        <v>24.387499999999999</v>
      </c>
      <c r="FS65">
        <v>30.000299999999999</v>
      </c>
      <c r="FT65">
        <v>24.3673</v>
      </c>
      <c r="FU65">
        <v>24.368200000000002</v>
      </c>
      <c r="FV65">
        <v>11.3704</v>
      </c>
      <c r="FW65">
        <v>34.325200000000002</v>
      </c>
      <c r="FX65">
        <v>72.202799999999996</v>
      </c>
      <c r="FY65">
        <v>18.241</v>
      </c>
      <c r="FZ65">
        <v>150</v>
      </c>
      <c r="GA65">
        <v>14.3804</v>
      </c>
      <c r="GB65">
        <v>99.977800000000002</v>
      </c>
      <c r="GC65">
        <v>99.740200000000002</v>
      </c>
    </row>
    <row r="66" spans="1:185" x14ac:dyDescent="0.2">
      <c r="A66">
        <v>51</v>
      </c>
      <c r="B66">
        <v>1771086343</v>
      </c>
      <c r="C66">
        <v>1023</v>
      </c>
      <c r="D66" t="s">
        <v>396</v>
      </c>
      <c r="E66" t="s">
        <v>397</v>
      </c>
      <c r="F66">
        <v>15</v>
      </c>
      <c r="G66">
        <v>1771086334.9333301</v>
      </c>
      <c r="H66">
        <f t="shared" si="0"/>
        <v>8.3430474431988222E-4</v>
      </c>
      <c r="I66">
        <v>0</v>
      </c>
      <c r="J66">
        <f t="shared" si="12"/>
        <v>-7.2605408522174349E-3</v>
      </c>
      <c r="K66">
        <f t="shared" si="1"/>
        <v>-0.19680374933203457</v>
      </c>
      <c r="L66">
        <f t="shared" si="2"/>
        <v>69.803728557280621</v>
      </c>
      <c r="M66">
        <f t="shared" si="3"/>
        <v>1.5395895904992061</v>
      </c>
      <c r="N66">
        <f t="shared" si="4"/>
        <v>2.2055979276749178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26239.988033523987</v>
      </c>
      <c r="T66">
        <f t="shared" si="8"/>
        <v>799.99933333333297</v>
      </c>
      <c r="U66">
        <f t="shared" si="9"/>
        <v>674.3991402402479</v>
      </c>
      <c r="V66">
        <f t="shared" si="10"/>
        <v>0.84299962780000004</v>
      </c>
      <c r="W66">
        <f t="shared" si="11"/>
        <v>0.15869905650800004</v>
      </c>
      <c r="X66">
        <v>1</v>
      </c>
      <c r="Y66">
        <v>1771086334.9333301</v>
      </c>
      <c r="Z66">
        <v>150.10073333333301</v>
      </c>
      <c r="AA66">
        <v>150.01126666666701</v>
      </c>
      <c r="AB66">
        <v>15.3914333333333</v>
      </c>
      <c r="AC66">
        <v>14.364613333333301</v>
      </c>
      <c r="AD66">
        <v>150.7672</v>
      </c>
      <c r="AE66">
        <v>15.2514</v>
      </c>
      <c r="AF66">
        <v>800.00739999999996</v>
      </c>
      <c r="AG66">
        <v>99.964086666666702</v>
      </c>
      <c r="AH66">
        <v>6.4907199999999998E-2</v>
      </c>
      <c r="AI66">
        <v>19.003033333333299</v>
      </c>
      <c r="AJ66">
        <v>999.9</v>
      </c>
      <c r="AK66">
        <v>999.9</v>
      </c>
      <c r="AL66">
        <v>0</v>
      </c>
      <c r="AM66">
        <v>0</v>
      </c>
      <c r="AN66">
        <v>5004.5333333333301</v>
      </c>
      <c r="AO66">
        <v>0</v>
      </c>
      <c r="AP66">
        <v>2.0325500000000001</v>
      </c>
      <c r="AQ66">
        <v>8.9469333333333304E-2</v>
      </c>
      <c r="AR66">
        <v>152.44706666666701</v>
      </c>
      <c r="AS66">
        <v>152.19753333333301</v>
      </c>
      <c r="AT66">
        <v>1.02681666666667</v>
      </c>
      <c r="AU66">
        <v>150.01126666666701</v>
      </c>
      <c r="AV66">
        <v>14.364613333333301</v>
      </c>
      <c r="AW66">
        <v>1.538592</v>
      </c>
      <c r="AX66">
        <v>1.4359459999999999</v>
      </c>
      <c r="AY66">
        <v>13.357153333333301</v>
      </c>
      <c r="AZ66">
        <v>12.3026466666667</v>
      </c>
      <c r="BA66">
        <v>799.99933333333297</v>
      </c>
      <c r="BB66">
        <v>0.90001260000000005</v>
      </c>
      <c r="BC66">
        <v>0</v>
      </c>
      <c r="BD66">
        <v>9.9987406666666695E-2</v>
      </c>
      <c r="BE66">
        <v>0</v>
      </c>
      <c r="BF66">
        <v>24.391106666666701</v>
      </c>
      <c r="BG66">
        <v>13191.073333333299</v>
      </c>
      <c r="BH66">
        <v>1771086026</v>
      </c>
      <c r="BI66" t="s">
        <v>353</v>
      </c>
      <c r="BJ66">
        <v>1771086026</v>
      </c>
      <c r="BK66">
        <v>1771086020</v>
      </c>
      <c r="BL66">
        <v>2</v>
      </c>
      <c r="BM66">
        <v>0.44600000000000001</v>
      </c>
      <c r="BN66">
        <v>1.2999999999999999E-2</v>
      </c>
      <c r="BO66">
        <v>-0.66600000000000004</v>
      </c>
      <c r="BP66">
        <v>0.14000000000000001</v>
      </c>
      <c r="BQ66">
        <v>150</v>
      </c>
      <c r="BR66">
        <v>15</v>
      </c>
      <c r="BS66">
        <v>0.05</v>
      </c>
      <c r="BT66">
        <v>0.13</v>
      </c>
      <c r="BU66">
        <v>8.5514019999999996E-2</v>
      </c>
      <c r="BV66">
        <v>2.8321678195488802E-2</v>
      </c>
      <c r="BW66">
        <v>1.3303568863414101E-2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1.0252779999999999</v>
      </c>
      <c r="CD66">
        <v>4.5206616541355098E-2</v>
      </c>
      <c r="CE66">
        <v>4.6475828126026899E-3</v>
      </c>
      <c r="CF66">
        <v>1</v>
      </c>
      <c r="CG66">
        <v>2</v>
      </c>
      <c r="CH66">
        <v>2</v>
      </c>
      <c r="CI66" t="s">
        <v>310</v>
      </c>
      <c r="CJ66">
        <v>3.5325099999999998</v>
      </c>
      <c r="CK66">
        <v>2.7027999999999999</v>
      </c>
      <c r="CL66">
        <v>4.2143600000000003E-2</v>
      </c>
      <c r="CM66">
        <v>4.15033E-2</v>
      </c>
      <c r="CN66">
        <v>8.7005200000000005E-2</v>
      </c>
      <c r="CO66">
        <v>8.1940600000000002E-2</v>
      </c>
      <c r="CP66">
        <v>33635</v>
      </c>
      <c r="CQ66">
        <v>29528.7</v>
      </c>
      <c r="CR66">
        <v>32495.3</v>
      </c>
      <c r="CS66">
        <v>30729.5</v>
      </c>
      <c r="CT66">
        <v>40150.1</v>
      </c>
      <c r="CU66">
        <v>39654.400000000001</v>
      </c>
      <c r="CV66">
        <v>47439.9</v>
      </c>
      <c r="CW66">
        <v>46847.4</v>
      </c>
      <c r="CX66">
        <v>2.6395200000000001</v>
      </c>
      <c r="CY66">
        <v>2.18404</v>
      </c>
      <c r="CZ66">
        <v>0</v>
      </c>
      <c r="DA66">
        <v>0</v>
      </c>
      <c r="DB66">
        <v>999.9</v>
      </c>
      <c r="DC66">
        <v>999.9</v>
      </c>
      <c r="DD66">
        <v>70.216999999999999</v>
      </c>
      <c r="DE66">
        <v>23.574999999999999</v>
      </c>
      <c r="DF66">
        <v>20.5062</v>
      </c>
      <c r="DG66">
        <v>30.237300000000001</v>
      </c>
      <c r="DH66">
        <v>14.883800000000001</v>
      </c>
      <c r="DI66">
        <v>2</v>
      </c>
      <c r="DJ66">
        <v>-0.207207</v>
      </c>
      <c r="DK66">
        <v>1.7946899999999999</v>
      </c>
      <c r="DL66">
        <v>20.200600000000001</v>
      </c>
      <c r="DM66">
        <v>5.25143</v>
      </c>
      <c r="DN66">
        <v>12.033899999999999</v>
      </c>
      <c r="DO66">
        <v>4.9669600000000003</v>
      </c>
      <c r="DP66">
        <v>3.2909999999999999</v>
      </c>
      <c r="DQ66">
        <v>9999</v>
      </c>
      <c r="DR66">
        <v>9999</v>
      </c>
      <c r="DS66">
        <v>9999</v>
      </c>
      <c r="DT66">
        <v>604.1</v>
      </c>
      <c r="DU66">
        <v>1.87103</v>
      </c>
      <c r="DV66">
        <v>1.8760699999999999</v>
      </c>
      <c r="DW66">
        <v>1.8762300000000001</v>
      </c>
      <c r="DX66">
        <v>1.8827799999999999</v>
      </c>
      <c r="DY66">
        <v>1.8755299999999999</v>
      </c>
      <c r="DZ66">
        <v>1.8745799999999999</v>
      </c>
      <c r="EA66">
        <v>1.87073</v>
      </c>
      <c r="EB66">
        <v>1.87462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-0.66700000000000004</v>
      </c>
      <c r="EQ66">
        <v>0.1401</v>
      </c>
      <c r="ER66">
        <v>-0.66629999999995004</v>
      </c>
      <c r="ES66">
        <v>0</v>
      </c>
      <c r="ET66">
        <v>0</v>
      </c>
      <c r="EU66">
        <v>0</v>
      </c>
      <c r="EV66">
        <v>0.140039999999997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5.3</v>
      </c>
      <c r="FE66">
        <v>5.4</v>
      </c>
      <c r="FF66">
        <v>0.56518599999999997</v>
      </c>
      <c r="FG66">
        <v>2.5585900000000001</v>
      </c>
      <c r="FH66">
        <v>2.19604</v>
      </c>
      <c r="FI66">
        <v>2.5842299999999998</v>
      </c>
      <c r="FJ66">
        <v>2.4462899999999999</v>
      </c>
      <c r="FK66">
        <v>2.31812</v>
      </c>
      <c r="FL66">
        <v>29.1554</v>
      </c>
      <c r="FM66">
        <v>24.157499999999999</v>
      </c>
      <c r="FN66">
        <v>19</v>
      </c>
      <c r="FO66">
        <v>862.50199999999995</v>
      </c>
      <c r="FP66">
        <v>605.38400000000001</v>
      </c>
      <c r="FQ66">
        <v>18.234500000000001</v>
      </c>
      <c r="FR66">
        <v>24.3916</v>
      </c>
      <c r="FS66">
        <v>30.0001</v>
      </c>
      <c r="FT66">
        <v>24.372299999999999</v>
      </c>
      <c r="FU66">
        <v>24.373799999999999</v>
      </c>
      <c r="FV66">
        <v>11.3681</v>
      </c>
      <c r="FW66">
        <v>34.325200000000002</v>
      </c>
      <c r="FX66">
        <v>71.831000000000003</v>
      </c>
      <c r="FY66">
        <v>18.2317</v>
      </c>
      <c r="FZ66">
        <v>150</v>
      </c>
      <c r="GA66">
        <v>14.3804</v>
      </c>
      <c r="GB66">
        <v>99.977000000000004</v>
      </c>
      <c r="GC66">
        <v>99.741699999999994</v>
      </c>
    </row>
    <row r="67" spans="1:185" x14ac:dyDescent="0.2">
      <c r="A67">
        <v>52</v>
      </c>
      <c r="B67">
        <v>1771086358</v>
      </c>
      <c r="C67">
        <v>1038</v>
      </c>
      <c r="D67" t="s">
        <v>398</v>
      </c>
      <c r="E67" t="s">
        <v>399</v>
      </c>
      <c r="F67">
        <v>15</v>
      </c>
      <c r="G67">
        <v>1771086349.9333301</v>
      </c>
      <c r="H67">
        <f t="shared" si="0"/>
        <v>8.4436605154178835E-4</v>
      </c>
      <c r="I67">
        <v>0</v>
      </c>
      <c r="J67">
        <f t="shared" si="12"/>
        <v>-6.9477425605353714E-3</v>
      </c>
      <c r="K67">
        <f t="shared" si="1"/>
        <v>-0.18832505912965322</v>
      </c>
      <c r="L67">
        <f t="shared" si="2"/>
        <v>69.801398379573612</v>
      </c>
      <c r="M67">
        <f t="shared" si="3"/>
        <v>1.5394946452824616</v>
      </c>
      <c r="N67">
        <f t="shared" si="4"/>
        <v>2.2055355351347417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26242.605799887038</v>
      </c>
      <c r="T67">
        <f t="shared" si="8"/>
        <v>799.99966666666705</v>
      </c>
      <c r="U67">
        <f t="shared" si="9"/>
        <v>674.39946300010672</v>
      </c>
      <c r="V67">
        <f t="shared" si="10"/>
        <v>0.8429996799999997</v>
      </c>
      <c r="W67">
        <f t="shared" si="11"/>
        <v>0.15869894015999997</v>
      </c>
      <c r="X67">
        <v>1</v>
      </c>
      <c r="Y67">
        <v>1771086349.9333301</v>
      </c>
      <c r="Z67">
        <v>150.08213333333299</v>
      </c>
      <c r="AA67">
        <v>150.00513333333299</v>
      </c>
      <c r="AB67">
        <v>15.3905333333333</v>
      </c>
      <c r="AC67">
        <v>14.351333333333301</v>
      </c>
      <c r="AD67">
        <v>150.748533333333</v>
      </c>
      <c r="AE67">
        <v>15.2505066666667</v>
      </c>
      <c r="AF67">
        <v>800.0104</v>
      </c>
      <c r="AG67">
        <v>99.963899999999995</v>
      </c>
      <c r="AH67">
        <v>6.4774246666666702E-2</v>
      </c>
      <c r="AI67">
        <v>19.002579999999998</v>
      </c>
      <c r="AJ67">
        <v>999.9</v>
      </c>
      <c r="AK67">
        <v>999.9</v>
      </c>
      <c r="AL67">
        <v>0</v>
      </c>
      <c r="AM67">
        <v>0</v>
      </c>
      <c r="AN67">
        <v>5004.9666666666699</v>
      </c>
      <c r="AO67">
        <v>0</v>
      </c>
      <c r="AP67">
        <v>2.0325500000000001</v>
      </c>
      <c r="AQ67">
        <v>7.7072139999999997E-2</v>
      </c>
      <c r="AR67">
        <v>152.4282</v>
      </c>
      <c r="AS67">
        <v>152.1892</v>
      </c>
      <c r="AT67">
        <v>1.0392066666666699</v>
      </c>
      <c r="AU67">
        <v>150.00513333333299</v>
      </c>
      <c r="AV67">
        <v>14.351333333333301</v>
      </c>
      <c r="AW67">
        <v>1.5384993333333301</v>
      </c>
      <c r="AX67">
        <v>1.43461666666667</v>
      </c>
      <c r="AY67">
        <v>13.3562333333333</v>
      </c>
      <c r="AZ67">
        <v>12.288553333333301</v>
      </c>
      <c r="BA67">
        <v>799.99966666666705</v>
      </c>
      <c r="BB67">
        <v>0.90001453333333303</v>
      </c>
      <c r="BC67">
        <v>0</v>
      </c>
      <c r="BD67">
        <v>9.9985599999999994E-2</v>
      </c>
      <c r="BE67">
        <v>0</v>
      </c>
      <c r="BF67">
        <v>24.608886666666699</v>
      </c>
      <c r="BG67">
        <v>13191.086666666701</v>
      </c>
      <c r="BH67">
        <v>1771086026</v>
      </c>
      <c r="BI67" t="s">
        <v>353</v>
      </c>
      <c r="BJ67">
        <v>1771086026</v>
      </c>
      <c r="BK67">
        <v>1771086020</v>
      </c>
      <c r="BL67">
        <v>2</v>
      </c>
      <c r="BM67">
        <v>0.44600000000000001</v>
      </c>
      <c r="BN67">
        <v>1.2999999999999999E-2</v>
      </c>
      <c r="BO67">
        <v>-0.66600000000000004</v>
      </c>
      <c r="BP67">
        <v>0.14000000000000001</v>
      </c>
      <c r="BQ67">
        <v>150</v>
      </c>
      <c r="BR67">
        <v>15</v>
      </c>
      <c r="BS67">
        <v>0.05</v>
      </c>
      <c r="BT67">
        <v>0.13</v>
      </c>
      <c r="BU67">
        <v>8.0119538095238099E-2</v>
      </c>
      <c r="BV67">
        <v>-4.7452846753246701E-2</v>
      </c>
      <c r="BW67">
        <v>8.4053515659441701E-3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1.0370699999999999</v>
      </c>
      <c r="CD67">
        <v>4.1738961038964101E-2</v>
      </c>
      <c r="CE67">
        <v>4.6252732223029096E-3</v>
      </c>
      <c r="CF67">
        <v>1</v>
      </c>
      <c r="CG67">
        <v>2</v>
      </c>
      <c r="CH67">
        <v>2</v>
      </c>
      <c r="CI67" t="s">
        <v>310</v>
      </c>
      <c r="CJ67">
        <v>3.5324300000000002</v>
      </c>
      <c r="CK67">
        <v>2.7024300000000001</v>
      </c>
      <c r="CL67">
        <v>4.2141699999999997E-2</v>
      </c>
      <c r="CM67">
        <v>4.1503199999999997E-2</v>
      </c>
      <c r="CN67">
        <v>8.6985000000000007E-2</v>
      </c>
      <c r="CO67">
        <v>8.1880599999999998E-2</v>
      </c>
      <c r="CP67">
        <v>33635.9</v>
      </c>
      <c r="CQ67">
        <v>29528.799999999999</v>
      </c>
      <c r="CR67">
        <v>32496.2</v>
      </c>
      <c r="CS67">
        <v>30729.599999999999</v>
      </c>
      <c r="CT67">
        <v>40152.300000000003</v>
      </c>
      <c r="CU67">
        <v>39657.1</v>
      </c>
      <c r="CV67">
        <v>47441.4</v>
      </c>
      <c r="CW67">
        <v>46847.4</v>
      </c>
      <c r="CX67">
        <v>2.6393399999999998</v>
      </c>
      <c r="CY67">
        <v>2.1837399999999998</v>
      </c>
      <c r="CZ67">
        <v>0</v>
      </c>
      <c r="DA67">
        <v>0</v>
      </c>
      <c r="DB67">
        <v>999.9</v>
      </c>
      <c r="DC67">
        <v>999.9</v>
      </c>
      <c r="DD67">
        <v>70.094999999999999</v>
      </c>
      <c r="DE67">
        <v>23.605</v>
      </c>
      <c r="DF67">
        <v>20.5075</v>
      </c>
      <c r="DG67">
        <v>30.237300000000001</v>
      </c>
      <c r="DH67">
        <v>14.984</v>
      </c>
      <c r="DI67">
        <v>2</v>
      </c>
      <c r="DJ67">
        <v>-0.20703299999999999</v>
      </c>
      <c r="DK67">
        <v>1.79756</v>
      </c>
      <c r="DL67">
        <v>20.200500000000002</v>
      </c>
      <c r="DM67">
        <v>5.2510700000000003</v>
      </c>
      <c r="DN67">
        <v>12.033899999999999</v>
      </c>
      <c r="DO67">
        <v>4.9664400000000004</v>
      </c>
      <c r="DP67">
        <v>3.2909999999999999</v>
      </c>
      <c r="DQ67">
        <v>9999</v>
      </c>
      <c r="DR67">
        <v>9999</v>
      </c>
      <c r="DS67">
        <v>9999</v>
      </c>
      <c r="DT67">
        <v>604.1</v>
      </c>
      <c r="DU67">
        <v>1.8710199999999999</v>
      </c>
      <c r="DV67">
        <v>1.8760699999999999</v>
      </c>
      <c r="DW67">
        <v>1.87626</v>
      </c>
      <c r="DX67">
        <v>1.8827799999999999</v>
      </c>
      <c r="DY67">
        <v>1.8755299999999999</v>
      </c>
      <c r="DZ67">
        <v>1.8745700000000001</v>
      </c>
      <c r="EA67">
        <v>1.87073</v>
      </c>
      <c r="EB67">
        <v>1.87462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-0.66600000000000004</v>
      </c>
      <c r="EQ67">
        <v>0.1401</v>
      </c>
      <c r="ER67">
        <v>-0.66629999999995004</v>
      </c>
      <c r="ES67">
        <v>0</v>
      </c>
      <c r="ET67">
        <v>0</v>
      </c>
      <c r="EU67">
        <v>0</v>
      </c>
      <c r="EV67">
        <v>0.140039999999997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5.5</v>
      </c>
      <c r="FE67">
        <v>5.6</v>
      </c>
      <c r="FF67">
        <v>0.56518599999999997</v>
      </c>
      <c r="FG67">
        <v>2.5610400000000002</v>
      </c>
      <c r="FH67">
        <v>2.19604</v>
      </c>
      <c r="FI67">
        <v>2.5830099999999998</v>
      </c>
      <c r="FJ67">
        <v>2.4462899999999999</v>
      </c>
      <c r="FK67">
        <v>2.2778299999999998</v>
      </c>
      <c r="FL67">
        <v>29.176600000000001</v>
      </c>
      <c r="FM67">
        <v>24.148800000000001</v>
      </c>
      <c r="FN67">
        <v>19</v>
      </c>
      <c r="FO67">
        <v>862.41700000000003</v>
      </c>
      <c r="FP67">
        <v>605.20399999999995</v>
      </c>
      <c r="FQ67">
        <v>18.225999999999999</v>
      </c>
      <c r="FR67">
        <v>24.395700000000001</v>
      </c>
      <c r="FS67">
        <v>30.0002</v>
      </c>
      <c r="FT67">
        <v>24.377199999999998</v>
      </c>
      <c r="FU67">
        <v>24.378699999999998</v>
      </c>
      <c r="FV67">
        <v>11.3681</v>
      </c>
      <c r="FW67">
        <v>34.325200000000002</v>
      </c>
      <c r="FX67">
        <v>71.458100000000002</v>
      </c>
      <c r="FY67">
        <v>18.2242</v>
      </c>
      <c r="FZ67">
        <v>150</v>
      </c>
      <c r="GA67">
        <v>14.3804</v>
      </c>
      <c r="GB67">
        <v>99.98</v>
      </c>
      <c r="GC67">
        <v>99.741799999999998</v>
      </c>
    </row>
    <row r="68" spans="1:185" x14ac:dyDescent="0.2">
      <c r="A68">
        <v>53</v>
      </c>
      <c r="B68">
        <v>1771086373</v>
      </c>
      <c r="C68">
        <v>1053</v>
      </c>
      <c r="D68" t="s">
        <v>400</v>
      </c>
      <c r="E68" t="s">
        <v>401</v>
      </c>
      <c r="F68">
        <v>15</v>
      </c>
      <c r="G68">
        <v>1771086364.9333301</v>
      </c>
      <c r="H68">
        <f t="shared" si="0"/>
        <v>8.4837622401810796E-4</v>
      </c>
      <c r="I68">
        <v>0</v>
      </c>
      <c r="J68">
        <f t="shared" si="12"/>
        <v>-7.2078747548682499E-3</v>
      </c>
      <c r="K68">
        <f t="shared" si="1"/>
        <v>-0.1953761855138598</v>
      </c>
      <c r="L68">
        <f t="shared" si="2"/>
        <v>69.76496452340615</v>
      </c>
      <c r="M68">
        <f t="shared" si="3"/>
        <v>1.5386347547146213</v>
      </c>
      <c r="N68">
        <f t="shared" si="4"/>
        <v>2.2054547941444294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26212.453858638899</v>
      </c>
      <c r="T68">
        <f t="shared" si="8"/>
        <v>799.99913333333302</v>
      </c>
      <c r="U68">
        <f t="shared" si="9"/>
        <v>674.39883804046724</v>
      </c>
      <c r="V68">
        <f t="shared" si="10"/>
        <v>0.84299946080000021</v>
      </c>
      <c r="W68">
        <f t="shared" si="11"/>
        <v>0.15869883388800005</v>
      </c>
      <c r="X68">
        <v>1</v>
      </c>
      <c r="Y68">
        <v>1771086364.9333301</v>
      </c>
      <c r="Z68">
        <v>150.07740000000001</v>
      </c>
      <c r="AA68">
        <v>149.99233333333299</v>
      </c>
      <c r="AB68">
        <v>15.3818933333333</v>
      </c>
      <c r="AC68">
        <v>14.3377466666667</v>
      </c>
      <c r="AD68">
        <v>150.74373333333301</v>
      </c>
      <c r="AE68">
        <v>15.241860000000001</v>
      </c>
      <c r="AF68">
        <v>800.00886666666702</v>
      </c>
      <c r="AG68">
        <v>99.964273333333296</v>
      </c>
      <c r="AH68">
        <v>6.4684179999999994E-2</v>
      </c>
      <c r="AI68">
        <v>19.001993333333299</v>
      </c>
      <c r="AJ68">
        <v>999.9</v>
      </c>
      <c r="AK68">
        <v>999.9</v>
      </c>
      <c r="AL68">
        <v>0</v>
      </c>
      <c r="AM68">
        <v>0</v>
      </c>
      <c r="AN68">
        <v>4999.9666666666699</v>
      </c>
      <c r="AO68">
        <v>0</v>
      </c>
      <c r="AP68">
        <v>2.0325500000000001</v>
      </c>
      <c r="AQ68">
        <v>8.5016919999999996E-2</v>
      </c>
      <c r="AR68">
        <v>152.421866666667</v>
      </c>
      <c r="AS68">
        <v>152.17426666666699</v>
      </c>
      <c r="AT68">
        <v>1.0441513333333301</v>
      </c>
      <c r="AU68">
        <v>149.99233333333299</v>
      </c>
      <c r="AV68">
        <v>14.3377466666667</v>
      </c>
      <c r="AW68">
        <v>1.53764066666667</v>
      </c>
      <c r="AX68">
        <v>1.4332613333333299</v>
      </c>
      <c r="AY68">
        <v>13.347659999999999</v>
      </c>
      <c r="AZ68">
        <v>12.274193333333301</v>
      </c>
      <c r="BA68">
        <v>799.99913333333302</v>
      </c>
      <c r="BB68">
        <v>0.90001526666666698</v>
      </c>
      <c r="BC68">
        <v>0</v>
      </c>
      <c r="BD68">
        <v>9.998464E-2</v>
      </c>
      <c r="BE68">
        <v>0</v>
      </c>
      <c r="BF68">
        <v>24.666699999999999</v>
      </c>
      <c r="BG68">
        <v>13191.073333333299</v>
      </c>
      <c r="BH68">
        <v>1771086026</v>
      </c>
      <c r="BI68" t="s">
        <v>353</v>
      </c>
      <c r="BJ68">
        <v>1771086026</v>
      </c>
      <c r="BK68">
        <v>1771086020</v>
      </c>
      <c r="BL68">
        <v>2</v>
      </c>
      <c r="BM68">
        <v>0.44600000000000001</v>
      </c>
      <c r="BN68">
        <v>1.2999999999999999E-2</v>
      </c>
      <c r="BO68">
        <v>-0.66600000000000004</v>
      </c>
      <c r="BP68">
        <v>0.14000000000000001</v>
      </c>
      <c r="BQ68">
        <v>150</v>
      </c>
      <c r="BR68">
        <v>15</v>
      </c>
      <c r="BS68">
        <v>0.05</v>
      </c>
      <c r="BT68">
        <v>0.13</v>
      </c>
      <c r="BU68">
        <v>8.2904080000000005E-2</v>
      </c>
      <c r="BV68">
        <v>2.6032574436090399E-2</v>
      </c>
      <c r="BW68">
        <v>1.3169427662187899E-2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1.0438495000000001</v>
      </c>
      <c r="CD68">
        <v>1.4159548872181E-2</v>
      </c>
      <c r="CE68">
        <v>3.1956790749385401E-3</v>
      </c>
      <c r="CF68">
        <v>1</v>
      </c>
      <c r="CG68">
        <v>2</v>
      </c>
      <c r="CH68">
        <v>2</v>
      </c>
      <c r="CI68" t="s">
        <v>310</v>
      </c>
      <c r="CJ68">
        <v>3.5324800000000001</v>
      </c>
      <c r="CK68">
        <v>2.7025199999999998</v>
      </c>
      <c r="CL68">
        <v>4.2139599999999999E-2</v>
      </c>
      <c r="CM68">
        <v>4.15045E-2</v>
      </c>
      <c r="CN68">
        <v>8.6941500000000005E-2</v>
      </c>
      <c r="CO68">
        <v>8.1812399999999993E-2</v>
      </c>
      <c r="CP68">
        <v>33636</v>
      </c>
      <c r="CQ68">
        <v>29529.5</v>
      </c>
      <c r="CR68">
        <v>32496.2</v>
      </c>
      <c r="CS68">
        <v>30730.3</v>
      </c>
      <c r="CT68">
        <v>40154.5</v>
      </c>
      <c r="CU68">
        <v>39661</v>
      </c>
      <c r="CV68">
        <v>47441.599999999999</v>
      </c>
      <c r="CW68">
        <v>46848.5</v>
      </c>
      <c r="CX68">
        <v>2.6392199999999999</v>
      </c>
      <c r="CY68">
        <v>2.1834199999999999</v>
      </c>
      <c r="CZ68">
        <v>0</v>
      </c>
      <c r="DA68">
        <v>0</v>
      </c>
      <c r="DB68">
        <v>999.9</v>
      </c>
      <c r="DC68">
        <v>999.9</v>
      </c>
      <c r="DD68">
        <v>70.004000000000005</v>
      </c>
      <c r="DE68">
        <v>23.614999999999998</v>
      </c>
      <c r="DF68">
        <v>20.492999999999999</v>
      </c>
      <c r="DG68">
        <v>30.237300000000001</v>
      </c>
      <c r="DH68">
        <v>14.9679</v>
      </c>
      <c r="DI68">
        <v>2</v>
      </c>
      <c r="DJ68">
        <v>-0.20651</v>
      </c>
      <c r="DK68">
        <v>1.80515</v>
      </c>
      <c r="DL68">
        <v>20.200700000000001</v>
      </c>
      <c r="DM68">
        <v>5.2503500000000001</v>
      </c>
      <c r="DN68">
        <v>12.033899999999999</v>
      </c>
      <c r="DO68">
        <v>4.9665600000000003</v>
      </c>
      <c r="DP68">
        <v>3.2909999999999999</v>
      </c>
      <c r="DQ68">
        <v>9999</v>
      </c>
      <c r="DR68">
        <v>9999</v>
      </c>
      <c r="DS68">
        <v>9999</v>
      </c>
      <c r="DT68">
        <v>604.1</v>
      </c>
      <c r="DU68">
        <v>1.8710199999999999</v>
      </c>
      <c r="DV68">
        <v>1.8760699999999999</v>
      </c>
      <c r="DW68">
        <v>1.8762300000000001</v>
      </c>
      <c r="DX68">
        <v>1.8827799999999999</v>
      </c>
      <c r="DY68">
        <v>1.87554</v>
      </c>
      <c r="DZ68">
        <v>1.87456</v>
      </c>
      <c r="EA68">
        <v>1.87073</v>
      </c>
      <c r="EB68">
        <v>1.8746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-0.66600000000000004</v>
      </c>
      <c r="EQ68">
        <v>0.1401</v>
      </c>
      <c r="ER68">
        <v>-0.66629999999995004</v>
      </c>
      <c r="ES68">
        <v>0</v>
      </c>
      <c r="ET68">
        <v>0</v>
      </c>
      <c r="EU68">
        <v>0</v>
      </c>
      <c r="EV68">
        <v>0.140039999999997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5.8</v>
      </c>
      <c r="FE68">
        <v>5.9</v>
      </c>
      <c r="FF68">
        <v>0.56518599999999997</v>
      </c>
      <c r="FG68">
        <v>2.5671400000000002</v>
      </c>
      <c r="FH68">
        <v>2.19604</v>
      </c>
      <c r="FI68">
        <v>2.5830099999999998</v>
      </c>
      <c r="FJ68">
        <v>2.4462899999999999</v>
      </c>
      <c r="FK68">
        <v>2.2509800000000002</v>
      </c>
      <c r="FL68">
        <v>29.176600000000001</v>
      </c>
      <c r="FM68">
        <v>24.148800000000001</v>
      </c>
      <c r="FN68">
        <v>19</v>
      </c>
      <c r="FO68">
        <v>862.38599999999997</v>
      </c>
      <c r="FP68">
        <v>605.00900000000001</v>
      </c>
      <c r="FQ68">
        <v>18.218699999999998</v>
      </c>
      <c r="FR68">
        <v>24.399000000000001</v>
      </c>
      <c r="FS68">
        <v>30.0001</v>
      </c>
      <c r="FT68">
        <v>24.382100000000001</v>
      </c>
      <c r="FU68">
        <v>24.383600000000001</v>
      </c>
      <c r="FV68">
        <v>11.3688</v>
      </c>
      <c r="FW68">
        <v>34.325200000000002</v>
      </c>
      <c r="FX68">
        <v>71.084999999999994</v>
      </c>
      <c r="FY68">
        <v>18.218</v>
      </c>
      <c r="FZ68">
        <v>150</v>
      </c>
      <c r="GA68">
        <v>14.3804</v>
      </c>
      <c r="GB68">
        <v>99.9803</v>
      </c>
      <c r="GC68">
        <v>99.744200000000006</v>
      </c>
    </row>
    <row r="69" spans="1:185" x14ac:dyDescent="0.2">
      <c r="A69">
        <v>54</v>
      </c>
      <c r="B69">
        <v>1771086388</v>
      </c>
      <c r="C69">
        <v>1068</v>
      </c>
      <c r="D69" t="s">
        <v>402</v>
      </c>
      <c r="E69" t="s">
        <v>403</v>
      </c>
      <c r="F69">
        <v>15</v>
      </c>
      <c r="G69">
        <v>1771086379.9333301</v>
      </c>
      <c r="H69">
        <f t="shared" si="0"/>
        <v>8.537154376110339E-4</v>
      </c>
      <c r="I69">
        <v>0</v>
      </c>
      <c r="J69">
        <f t="shared" si="12"/>
        <v>-6.7553423069606402E-3</v>
      </c>
      <c r="K69">
        <f t="shared" si="1"/>
        <v>-0.18310987033770848</v>
      </c>
      <c r="L69">
        <f t="shared" si="2"/>
        <v>69.726822229070663</v>
      </c>
      <c r="M69">
        <f t="shared" si="3"/>
        <v>1.5378152949903887</v>
      </c>
      <c r="N69">
        <f t="shared" si="4"/>
        <v>2.2054859892198548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26181.842437372667</v>
      </c>
      <c r="T69">
        <f t="shared" si="8"/>
        <v>799.99973333333298</v>
      </c>
      <c r="U69">
        <f t="shared" si="9"/>
        <v>674.39931088015442</v>
      </c>
      <c r="V69">
        <f t="shared" si="10"/>
        <v>0.84299941959999991</v>
      </c>
      <c r="W69">
        <f t="shared" si="11"/>
        <v>0.15869865293600002</v>
      </c>
      <c r="X69">
        <v>1</v>
      </c>
      <c r="Y69">
        <v>1771086379.9333301</v>
      </c>
      <c r="Z69">
        <v>150.076866666667</v>
      </c>
      <c r="AA69">
        <v>150.00813333333301</v>
      </c>
      <c r="AB69">
        <v>15.3736333333333</v>
      </c>
      <c r="AC69">
        <v>14.322900000000001</v>
      </c>
      <c r="AD69">
        <v>150.7432</v>
      </c>
      <c r="AE69">
        <v>15.233560000000001</v>
      </c>
      <c r="AF69">
        <v>800.00386666666702</v>
      </c>
      <c r="AG69">
        <v>99.964733333333299</v>
      </c>
      <c r="AH69">
        <v>6.4665159999999999E-2</v>
      </c>
      <c r="AI69">
        <v>19.002220000000001</v>
      </c>
      <c r="AJ69">
        <v>999.9</v>
      </c>
      <c r="AK69">
        <v>999.9</v>
      </c>
      <c r="AL69">
        <v>0</v>
      </c>
      <c r="AM69">
        <v>0</v>
      </c>
      <c r="AN69">
        <v>4994.8999999999996</v>
      </c>
      <c r="AO69">
        <v>0</v>
      </c>
      <c r="AP69">
        <v>2.0325500000000001</v>
      </c>
      <c r="AQ69">
        <v>6.87133733333333E-2</v>
      </c>
      <c r="AR69">
        <v>152.41999999999999</v>
      </c>
      <c r="AS69">
        <v>152.18786666666699</v>
      </c>
      <c r="AT69">
        <v>1.0507280000000001</v>
      </c>
      <c r="AU69">
        <v>150.00813333333301</v>
      </c>
      <c r="AV69">
        <v>14.322900000000001</v>
      </c>
      <c r="AW69">
        <v>1.5368200000000001</v>
      </c>
      <c r="AX69">
        <v>1.43178266666667</v>
      </c>
      <c r="AY69">
        <v>13.3394933333333</v>
      </c>
      <c r="AZ69">
        <v>12.25848</v>
      </c>
      <c r="BA69">
        <v>799.99973333333298</v>
      </c>
      <c r="BB69">
        <v>0.90001779999999998</v>
      </c>
      <c r="BC69">
        <v>0</v>
      </c>
      <c r="BD69">
        <v>9.9982146666666702E-2</v>
      </c>
      <c r="BE69">
        <v>0</v>
      </c>
      <c r="BF69">
        <v>24.666699999999999</v>
      </c>
      <c r="BG69">
        <v>13191.106666666699</v>
      </c>
      <c r="BH69">
        <v>1771086026</v>
      </c>
      <c r="BI69" t="s">
        <v>353</v>
      </c>
      <c r="BJ69">
        <v>1771086026</v>
      </c>
      <c r="BK69">
        <v>1771086020</v>
      </c>
      <c r="BL69">
        <v>2</v>
      </c>
      <c r="BM69">
        <v>0.44600000000000001</v>
      </c>
      <c r="BN69">
        <v>1.2999999999999999E-2</v>
      </c>
      <c r="BO69">
        <v>-0.66600000000000004</v>
      </c>
      <c r="BP69">
        <v>0.14000000000000001</v>
      </c>
      <c r="BQ69">
        <v>150</v>
      </c>
      <c r="BR69">
        <v>15</v>
      </c>
      <c r="BS69">
        <v>0.05</v>
      </c>
      <c r="BT69">
        <v>0.13</v>
      </c>
      <c r="BU69">
        <v>7.3732647619047603E-2</v>
      </c>
      <c r="BV69">
        <v>-5.7631831168831103E-2</v>
      </c>
      <c r="BW69">
        <v>1.2212469577702299E-2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1.0494090476190501</v>
      </c>
      <c r="CD69">
        <v>1.8575844155846E-2</v>
      </c>
      <c r="CE69">
        <v>3.25670137637382E-3</v>
      </c>
      <c r="CF69">
        <v>1</v>
      </c>
      <c r="CG69">
        <v>2</v>
      </c>
      <c r="CH69">
        <v>2</v>
      </c>
      <c r="CI69" t="s">
        <v>310</v>
      </c>
      <c r="CJ69">
        <v>3.5325500000000001</v>
      </c>
      <c r="CK69">
        <v>2.7026599999999998</v>
      </c>
      <c r="CL69">
        <v>4.2136E-2</v>
      </c>
      <c r="CM69">
        <v>4.1503400000000003E-2</v>
      </c>
      <c r="CN69">
        <v>8.6909200000000006E-2</v>
      </c>
      <c r="CO69">
        <v>8.1758399999999995E-2</v>
      </c>
      <c r="CP69">
        <v>33635.9</v>
      </c>
      <c r="CQ69">
        <v>29529.9</v>
      </c>
      <c r="CR69">
        <v>32496</v>
      </c>
      <c r="CS69">
        <v>30730.799999999999</v>
      </c>
      <c r="CT69">
        <v>40155.5</v>
      </c>
      <c r="CU69">
        <v>39664</v>
      </c>
      <c r="CV69">
        <v>47441.1</v>
      </c>
      <c r="CW69">
        <v>46849.2</v>
      </c>
      <c r="CX69">
        <v>2.6393200000000001</v>
      </c>
      <c r="CY69">
        <v>2.18316</v>
      </c>
      <c r="CZ69">
        <v>0</v>
      </c>
      <c r="DA69">
        <v>0</v>
      </c>
      <c r="DB69">
        <v>999.9</v>
      </c>
      <c r="DC69">
        <v>999.9</v>
      </c>
      <c r="DD69">
        <v>69.844999999999999</v>
      </c>
      <c r="DE69">
        <v>23.625</v>
      </c>
      <c r="DF69">
        <v>20.457100000000001</v>
      </c>
      <c r="DG69">
        <v>30.267299999999999</v>
      </c>
      <c r="DH69">
        <v>14.8317</v>
      </c>
      <c r="DI69">
        <v>2</v>
      </c>
      <c r="DJ69">
        <v>-0.206451</v>
      </c>
      <c r="DK69">
        <v>1.8143800000000001</v>
      </c>
      <c r="DL69">
        <v>20.200700000000001</v>
      </c>
      <c r="DM69">
        <v>5.2501199999999999</v>
      </c>
      <c r="DN69">
        <v>12.033899999999999</v>
      </c>
      <c r="DO69">
        <v>4.9666399999999999</v>
      </c>
      <c r="DP69">
        <v>3.2909999999999999</v>
      </c>
      <c r="DQ69">
        <v>9999</v>
      </c>
      <c r="DR69">
        <v>9999</v>
      </c>
      <c r="DS69">
        <v>9999</v>
      </c>
      <c r="DT69">
        <v>604.1</v>
      </c>
      <c r="DU69">
        <v>1.8710199999999999</v>
      </c>
      <c r="DV69">
        <v>1.8760600000000001</v>
      </c>
      <c r="DW69">
        <v>1.87622</v>
      </c>
      <c r="DX69">
        <v>1.8827799999999999</v>
      </c>
      <c r="DY69">
        <v>1.8755299999999999</v>
      </c>
      <c r="DZ69">
        <v>1.8745499999999999</v>
      </c>
      <c r="EA69">
        <v>1.87073</v>
      </c>
      <c r="EB69">
        <v>1.8745700000000001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-0.66700000000000004</v>
      </c>
      <c r="EQ69">
        <v>0.1401</v>
      </c>
      <c r="ER69">
        <v>-0.66629999999995004</v>
      </c>
      <c r="ES69">
        <v>0</v>
      </c>
      <c r="ET69">
        <v>0</v>
      </c>
      <c r="EU69">
        <v>0</v>
      </c>
      <c r="EV69">
        <v>0.140039999999997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6</v>
      </c>
      <c r="FE69">
        <v>6.1</v>
      </c>
      <c r="FF69">
        <v>0.56518599999999997</v>
      </c>
      <c r="FG69">
        <v>2.5598100000000001</v>
      </c>
      <c r="FH69">
        <v>2.19604</v>
      </c>
      <c r="FI69">
        <v>2.5830099999999998</v>
      </c>
      <c r="FJ69">
        <v>2.4462899999999999</v>
      </c>
      <c r="FK69">
        <v>2.3046899999999999</v>
      </c>
      <c r="FL69">
        <v>29.197800000000001</v>
      </c>
      <c r="FM69">
        <v>24.148800000000001</v>
      </c>
      <c r="FN69">
        <v>19</v>
      </c>
      <c r="FO69">
        <v>862.56</v>
      </c>
      <c r="FP69">
        <v>604.86300000000006</v>
      </c>
      <c r="FQ69">
        <v>18.2119</v>
      </c>
      <c r="FR69">
        <v>24.403099999999998</v>
      </c>
      <c r="FS69">
        <v>30.0002</v>
      </c>
      <c r="FT69">
        <v>24.387</v>
      </c>
      <c r="FU69">
        <v>24.3886</v>
      </c>
      <c r="FV69">
        <v>11.3672</v>
      </c>
      <c r="FW69">
        <v>34.325200000000002</v>
      </c>
      <c r="FX69">
        <v>70.706299999999999</v>
      </c>
      <c r="FY69">
        <v>18.210699999999999</v>
      </c>
      <c r="FZ69">
        <v>150</v>
      </c>
      <c r="GA69">
        <v>14.3804</v>
      </c>
      <c r="GB69">
        <v>99.979299999999995</v>
      </c>
      <c r="GC69">
        <v>99.745599999999996</v>
      </c>
    </row>
    <row r="70" spans="1:185" x14ac:dyDescent="0.2">
      <c r="A70">
        <v>55</v>
      </c>
      <c r="B70">
        <v>1771086403</v>
      </c>
      <c r="C70">
        <v>1083</v>
      </c>
      <c r="D70" t="s">
        <v>404</v>
      </c>
      <c r="E70" t="s">
        <v>405</v>
      </c>
      <c r="F70">
        <v>15</v>
      </c>
      <c r="G70">
        <v>1771086394.9333301</v>
      </c>
      <c r="H70">
        <f t="shared" si="0"/>
        <v>8.4574766466337099E-4</v>
      </c>
      <c r="I70">
        <v>0</v>
      </c>
      <c r="J70">
        <f t="shared" si="12"/>
        <v>-6.7679987101411376E-3</v>
      </c>
      <c r="K70">
        <f t="shared" si="1"/>
        <v>-0.18345293398126875</v>
      </c>
      <c r="L70">
        <f t="shared" si="2"/>
        <v>69.696234546157683</v>
      </c>
      <c r="M70">
        <f t="shared" si="3"/>
        <v>1.5368957886134564</v>
      </c>
      <c r="N70">
        <f t="shared" si="4"/>
        <v>2.205134608234276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26206.628474304278</v>
      </c>
      <c r="T70">
        <f t="shared" si="8"/>
        <v>799.99933333333297</v>
      </c>
      <c r="U70">
        <f t="shared" si="9"/>
        <v>674.39897416038616</v>
      </c>
      <c r="V70">
        <f t="shared" si="10"/>
        <v>0.84299942019999996</v>
      </c>
      <c r="W70">
        <f t="shared" si="11"/>
        <v>0.15869869341199999</v>
      </c>
      <c r="X70">
        <v>1</v>
      </c>
      <c r="Y70">
        <v>1771086394.9333301</v>
      </c>
      <c r="Z70">
        <v>150.06739999999999</v>
      </c>
      <c r="AA70">
        <v>149.996733333333</v>
      </c>
      <c r="AB70">
        <v>15.3644</v>
      </c>
      <c r="AC70">
        <v>14.3234666666667</v>
      </c>
      <c r="AD70">
        <v>150.73386666666701</v>
      </c>
      <c r="AE70">
        <v>15.224353333333299</v>
      </c>
      <c r="AF70">
        <v>800.00633333333303</v>
      </c>
      <c r="AG70">
        <v>99.965146666666698</v>
      </c>
      <c r="AH70">
        <v>6.4518573333333301E-2</v>
      </c>
      <c r="AI70">
        <v>18.999666666666698</v>
      </c>
      <c r="AJ70">
        <v>999.9</v>
      </c>
      <c r="AK70">
        <v>999.9</v>
      </c>
      <c r="AL70">
        <v>0</v>
      </c>
      <c r="AM70">
        <v>0</v>
      </c>
      <c r="AN70">
        <v>4998.9333333333298</v>
      </c>
      <c r="AO70">
        <v>0</v>
      </c>
      <c r="AP70">
        <v>2.0325500000000001</v>
      </c>
      <c r="AQ70">
        <v>7.0720413333333301E-2</v>
      </c>
      <c r="AR70">
        <v>152.409066666667</v>
      </c>
      <c r="AS70">
        <v>152.176533333333</v>
      </c>
      <c r="AT70">
        <v>1.040918</v>
      </c>
      <c r="AU70">
        <v>149.996733333333</v>
      </c>
      <c r="AV70">
        <v>14.3234666666667</v>
      </c>
      <c r="AW70">
        <v>1.5359033333333301</v>
      </c>
      <c r="AX70">
        <v>1.431848</v>
      </c>
      <c r="AY70">
        <v>13.330346666666699</v>
      </c>
      <c r="AZ70">
        <v>12.259166666666699</v>
      </c>
      <c r="BA70">
        <v>799.99933333333297</v>
      </c>
      <c r="BB70">
        <v>0.90001719999999996</v>
      </c>
      <c r="BC70">
        <v>0</v>
      </c>
      <c r="BD70">
        <v>9.9982726666666702E-2</v>
      </c>
      <c r="BE70">
        <v>0</v>
      </c>
      <c r="BF70">
        <v>24.666699999999999</v>
      </c>
      <c r="BG70">
        <v>13191.1</v>
      </c>
      <c r="BH70">
        <v>1771086026</v>
      </c>
      <c r="BI70" t="s">
        <v>353</v>
      </c>
      <c r="BJ70">
        <v>1771086026</v>
      </c>
      <c r="BK70">
        <v>1771086020</v>
      </c>
      <c r="BL70">
        <v>2</v>
      </c>
      <c r="BM70">
        <v>0.44600000000000001</v>
      </c>
      <c r="BN70">
        <v>1.2999999999999999E-2</v>
      </c>
      <c r="BO70">
        <v>-0.66600000000000004</v>
      </c>
      <c r="BP70">
        <v>0.14000000000000001</v>
      </c>
      <c r="BQ70">
        <v>150</v>
      </c>
      <c r="BR70">
        <v>15</v>
      </c>
      <c r="BS70">
        <v>0.05</v>
      </c>
      <c r="BT70">
        <v>0.13</v>
      </c>
      <c r="BU70">
        <v>7.0990750000000005E-2</v>
      </c>
      <c r="BV70">
        <v>3.2029082706766399E-3</v>
      </c>
      <c r="BW70">
        <v>8.6242541182701693E-3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1.0434559999999999</v>
      </c>
      <c r="CD70">
        <v>-0.112904661654137</v>
      </c>
      <c r="CE70">
        <v>1.36373792936913E-2</v>
      </c>
      <c r="CF70">
        <v>0</v>
      </c>
      <c r="CG70">
        <v>1</v>
      </c>
      <c r="CH70">
        <v>2</v>
      </c>
      <c r="CI70" t="s">
        <v>299</v>
      </c>
      <c r="CJ70">
        <v>3.53247</v>
      </c>
      <c r="CK70">
        <v>2.70214</v>
      </c>
      <c r="CL70">
        <v>4.2136100000000003E-2</v>
      </c>
      <c r="CM70">
        <v>4.1502400000000002E-2</v>
      </c>
      <c r="CN70">
        <v>8.6891800000000005E-2</v>
      </c>
      <c r="CO70">
        <v>8.1864999999999993E-2</v>
      </c>
      <c r="CP70">
        <v>33635.800000000003</v>
      </c>
      <c r="CQ70">
        <v>29529.9</v>
      </c>
      <c r="CR70">
        <v>32495.9</v>
      </c>
      <c r="CS70">
        <v>30730.799999999999</v>
      </c>
      <c r="CT70">
        <v>40156.300000000003</v>
      </c>
      <c r="CU70">
        <v>39659.4</v>
      </c>
      <c r="CV70">
        <v>47441.1</v>
      </c>
      <c r="CW70">
        <v>46849.4</v>
      </c>
      <c r="CX70">
        <v>2.6393399999999998</v>
      </c>
      <c r="CY70">
        <v>2.1830599999999998</v>
      </c>
      <c r="CZ70">
        <v>0</v>
      </c>
      <c r="DA70">
        <v>0</v>
      </c>
      <c r="DB70">
        <v>999.9</v>
      </c>
      <c r="DC70">
        <v>999.9</v>
      </c>
      <c r="DD70">
        <v>69.728999999999999</v>
      </c>
      <c r="DE70">
        <v>23.645</v>
      </c>
      <c r="DF70">
        <v>20.451000000000001</v>
      </c>
      <c r="DG70">
        <v>30.567299999999999</v>
      </c>
      <c r="DH70">
        <v>14.9359</v>
      </c>
      <c r="DI70">
        <v>2</v>
      </c>
      <c r="DJ70">
        <v>-0.20608499999999999</v>
      </c>
      <c r="DK70">
        <v>1.76997</v>
      </c>
      <c r="DL70">
        <v>20.2011</v>
      </c>
      <c r="DM70">
        <v>5.2505899999999999</v>
      </c>
      <c r="DN70">
        <v>12.033899999999999</v>
      </c>
      <c r="DO70">
        <v>4.9667199999999996</v>
      </c>
      <c r="DP70">
        <v>3.2909999999999999</v>
      </c>
      <c r="DQ70">
        <v>9999</v>
      </c>
      <c r="DR70">
        <v>9999</v>
      </c>
      <c r="DS70">
        <v>9999</v>
      </c>
      <c r="DT70">
        <v>604.1</v>
      </c>
      <c r="DU70">
        <v>1.8710199999999999</v>
      </c>
      <c r="DV70">
        <v>1.8760699999999999</v>
      </c>
      <c r="DW70">
        <v>1.8762300000000001</v>
      </c>
      <c r="DX70">
        <v>1.8827799999999999</v>
      </c>
      <c r="DY70">
        <v>1.87551</v>
      </c>
      <c r="DZ70">
        <v>1.8745499999999999</v>
      </c>
      <c r="EA70">
        <v>1.87073</v>
      </c>
      <c r="EB70">
        <v>1.8746100000000001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-0.66600000000000004</v>
      </c>
      <c r="EQ70">
        <v>0.14000000000000001</v>
      </c>
      <c r="ER70">
        <v>-0.66629999999995004</v>
      </c>
      <c r="ES70">
        <v>0</v>
      </c>
      <c r="ET70">
        <v>0</v>
      </c>
      <c r="EU70">
        <v>0</v>
      </c>
      <c r="EV70">
        <v>0.140039999999997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6.3</v>
      </c>
      <c r="FE70">
        <v>6.4</v>
      </c>
      <c r="FF70">
        <v>0.56518599999999997</v>
      </c>
      <c r="FG70">
        <v>2.5647000000000002</v>
      </c>
      <c r="FH70">
        <v>2.19604</v>
      </c>
      <c r="FI70">
        <v>2.5830099999999998</v>
      </c>
      <c r="FJ70">
        <v>2.4462899999999999</v>
      </c>
      <c r="FK70">
        <v>2.2973599999999998</v>
      </c>
      <c r="FL70">
        <v>29.219000000000001</v>
      </c>
      <c r="FM70">
        <v>24.157499999999999</v>
      </c>
      <c r="FN70">
        <v>19</v>
      </c>
      <c r="FO70">
        <v>862.65700000000004</v>
      </c>
      <c r="FP70">
        <v>604.84</v>
      </c>
      <c r="FQ70">
        <v>18.2315</v>
      </c>
      <c r="FR70">
        <v>24.407599999999999</v>
      </c>
      <c r="FS70">
        <v>30.0002</v>
      </c>
      <c r="FT70">
        <v>24.3919</v>
      </c>
      <c r="FU70">
        <v>24.3934</v>
      </c>
      <c r="FV70">
        <v>11.3675</v>
      </c>
      <c r="FW70">
        <v>34.0456</v>
      </c>
      <c r="FX70">
        <v>70.328199999999995</v>
      </c>
      <c r="FY70">
        <v>18.2302</v>
      </c>
      <c r="FZ70">
        <v>150</v>
      </c>
      <c r="GA70">
        <v>14.3812</v>
      </c>
      <c r="GB70">
        <v>99.979200000000006</v>
      </c>
      <c r="GC70">
        <v>99.745800000000003</v>
      </c>
    </row>
    <row r="71" spans="1:185" x14ac:dyDescent="0.2">
      <c r="A71">
        <v>56</v>
      </c>
      <c r="B71">
        <v>1771086570</v>
      </c>
      <c r="C71">
        <v>1250</v>
      </c>
      <c r="D71" t="s">
        <v>406</v>
      </c>
      <c r="E71" t="s">
        <v>407</v>
      </c>
      <c r="F71">
        <v>15</v>
      </c>
      <c r="G71">
        <v>1771086561.5</v>
      </c>
      <c r="H71">
        <f t="shared" si="0"/>
        <v>6.3875500430320793E-4</v>
      </c>
      <c r="I71">
        <v>0</v>
      </c>
      <c r="J71">
        <f t="shared" si="12"/>
        <v>-0.16876659814950376</v>
      </c>
      <c r="K71">
        <f t="shared" si="1"/>
        <v>-4.5745764611587196</v>
      </c>
      <c r="L71">
        <f t="shared" si="2"/>
        <v>73.163886521278869</v>
      </c>
      <c r="M71">
        <f t="shared" si="3"/>
        <v>1.6007967663639495</v>
      </c>
      <c r="N71">
        <f t="shared" si="4"/>
        <v>2.1879602662966464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26199.557014573929</v>
      </c>
      <c r="T71">
        <f t="shared" si="8"/>
        <v>800.00025000000005</v>
      </c>
      <c r="U71">
        <f t="shared" si="9"/>
        <v>674.40044025007171</v>
      </c>
      <c r="V71">
        <f t="shared" si="10"/>
        <v>0.84300028687499995</v>
      </c>
      <c r="W71">
        <f t="shared" si="11"/>
        <v>0.15870071718750001</v>
      </c>
      <c r="X71">
        <v>1</v>
      </c>
      <c r="Y71">
        <v>1771086561.5</v>
      </c>
      <c r="Z71">
        <v>55.669143750000003</v>
      </c>
      <c r="AA71">
        <v>49.995306249999999</v>
      </c>
      <c r="AB71">
        <v>16.003431249999998</v>
      </c>
      <c r="AC71">
        <v>15.217756250000001</v>
      </c>
      <c r="AD71">
        <v>56.335450000000002</v>
      </c>
      <c r="AE71">
        <v>15.8633875</v>
      </c>
      <c r="AF71">
        <v>799.99075000000005</v>
      </c>
      <c r="AG71">
        <v>99.963856250000006</v>
      </c>
      <c r="AH71">
        <v>6.4490256250000003E-2</v>
      </c>
      <c r="AI71">
        <v>18.874431250000001</v>
      </c>
      <c r="AJ71">
        <v>999.9</v>
      </c>
      <c r="AK71">
        <v>999.9</v>
      </c>
      <c r="AL71">
        <v>0</v>
      </c>
      <c r="AM71">
        <v>0</v>
      </c>
      <c r="AN71">
        <v>4995.96875</v>
      </c>
      <c r="AO71">
        <v>0</v>
      </c>
      <c r="AP71">
        <v>2.0230950000000001</v>
      </c>
      <c r="AQ71">
        <v>5.67383375</v>
      </c>
      <c r="AR71">
        <v>56.574575000000003</v>
      </c>
      <c r="AS71">
        <v>50.767881250000002</v>
      </c>
      <c r="AT71">
        <v>0.78566562500000003</v>
      </c>
      <c r="AU71">
        <v>49.995306249999999</v>
      </c>
      <c r="AV71">
        <v>15.217756250000001</v>
      </c>
      <c r="AW71">
        <v>1.5997637499999999</v>
      </c>
      <c r="AX71">
        <v>1.521226875</v>
      </c>
      <c r="AY71">
        <v>13.95650625</v>
      </c>
      <c r="AZ71">
        <v>13.182668749999999</v>
      </c>
      <c r="BA71">
        <v>800.00025000000005</v>
      </c>
      <c r="BB71">
        <v>0.89999043749999996</v>
      </c>
      <c r="BC71">
        <v>0</v>
      </c>
      <c r="BD71">
        <v>0.1000095625</v>
      </c>
      <c r="BE71">
        <v>0</v>
      </c>
      <c r="BF71">
        <v>24.666699999999999</v>
      </c>
      <c r="BG71">
        <v>13190.987499999999</v>
      </c>
      <c r="BH71">
        <v>1771086026</v>
      </c>
      <c r="BI71" t="s">
        <v>353</v>
      </c>
      <c r="BJ71">
        <v>1771086026</v>
      </c>
      <c r="BK71">
        <v>1771086020</v>
      </c>
      <c r="BL71">
        <v>2</v>
      </c>
      <c r="BM71">
        <v>0.44600000000000001</v>
      </c>
      <c r="BN71">
        <v>1.2999999999999999E-2</v>
      </c>
      <c r="BO71">
        <v>-0.66600000000000004</v>
      </c>
      <c r="BP71">
        <v>0.14000000000000001</v>
      </c>
      <c r="BQ71">
        <v>150</v>
      </c>
      <c r="BR71">
        <v>15</v>
      </c>
      <c r="BS71">
        <v>0.05</v>
      </c>
      <c r="BT71">
        <v>0.13</v>
      </c>
      <c r="BU71">
        <v>7.3864605000000001</v>
      </c>
      <c r="BV71">
        <v>-32.393365263157897</v>
      </c>
      <c r="BW71">
        <v>3.1832212268557099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0.69276590000000005</v>
      </c>
      <c r="CD71">
        <v>1.7977702556391</v>
      </c>
      <c r="CE71">
        <v>0.175264208898708</v>
      </c>
      <c r="CF71">
        <v>0</v>
      </c>
      <c r="CG71">
        <v>0</v>
      </c>
      <c r="CH71">
        <v>2</v>
      </c>
      <c r="CI71" t="s">
        <v>290</v>
      </c>
      <c r="CJ71">
        <v>3.5325000000000002</v>
      </c>
      <c r="CK71">
        <v>2.7023999999999999</v>
      </c>
      <c r="CL71">
        <v>1.5608E-2</v>
      </c>
      <c r="CM71">
        <v>1.4429000000000001E-2</v>
      </c>
      <c r="CN71">
        <v>8.9365399999999998E-2</v>
      </c>
      <c r="CO71">
        <v>8.4639099999999995E-2</v>
      </c>
      <c r="CP71">
        <v>34564.699999999997</v>
      </c>
      <c r="CQ71">
        <v>30363</v>
      </c>
      <c r="CR71">
        <v>32493.3</v>
      </c>
      <c r="CS71">
        <v>30729.8</v>
      </c>
      <c r="CT71">
        <v>40039.1</v>
      </c>
      <c r="CU71">
        <v>39534.199999999997</v>
      </c>
      <c r="CV71">
        <v>47438.5</v>
      </c>
      <c r="CW71">
        <v>46850.5</v>
      </c>
      <c r="CX71">
        <v>2.6382599999999998</v>
      </c>
      <c r="CY71">
        <v>2.1805599999999998</v>
      </c>
      <c r="CZ71">
        <v>0</v>
      </c>
      <c r="DA71">
        <v>0</v>
      </c>
      <c r="DB71">
        <v>999.9</v>
      </c>
      <c r="DC71">
        <v>999.9</v>
      </c>
      <c r="DD71">
        <v>68.703000000000003</v>
      </c>
      <c r="DE71">
        <v>23.837</v>
      </c>
      <c r="DF71">
        <v>20.384399999999999</v>
      </c>
      <c r="DG71">
        <v>30.587299999999999</v>
      </c>
      <c r="DH71">
        <v>15.023999999999999</v>
      </c>
      <c r="DI71">
        <v>2</v>
      </c>
      <c r="DJ71">
        <v>-0.20052200000000001</v>
      </c>
      <c r="DK71">
        <v>1.5402100000000001</v>
      </c>
      <c r="DL71">
        <v>20.203099999999999</v>
      </c>
      <c r="DM71">
        <v>5.2474800000000004</v>
      </c>
      <c r="DN71">
        <v>12.033899999999999</v>
      </c>
      <c r="DO71">
        <v>4.9664799999999998</v>
      </c>
      <c r="DP71">
        <v>3.2905799999999998</v>
      </c>
      <c r="DQ71">
        <v>9999</v>
      </c>
      <c r="DR71">
        <v>9999</v>
      </c>
      <c r="DS71">
        <v>9999</v>
      </c>
      <c r="DT71">
        <v>604.20000000000005</v>
      </c>
      <c r="DU71">
        <v>1.87103</v>
      </c>
      <c r="DV71">
        <v>1.8760699999999999</v>
      </c>
      <c r="DW71">
        <v>1.87626</v>
      </c>
      <c r="DX71">
        <v>1.88279</v>
      </c>
      <c r="DY71">
        <v>1.8755599999999999</v>
      </c>
      <c r="DZ71">
        <v>1.87462</v>
      </c>
      <c r="EA71">
        <v>1.87073</v>
      </c>
      <c r="EB71">
        <v>1.8746400000000001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-0.66600000000000004</v>
      </c>
      <c r="EQ71">
        <v>0.14000000000000001</v>
      </c>
      <c r="ER71">
        <v>-0.66629999999995004</v>
      </c>
      <c r="ES71">
        <v>0</v>
      </c>
      <c r="ET71">
        <v>0</v>
      </c>
      <c r="EU71">
        <v>0</v>
      </c>
      <c r="EV71">
        <v>0.140039999999997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9.1</v>
      </c>
      <c r="FE71">
        <v>9.1999999999999993</v>
      </c>
      <c r="FF71">
        <v>0.29052699999999998</v>
      </c>
      <c r="FG71">
        <v>2.5793499999999998</v>
      </c>
      <c r="FH71">
        <v>2.19604</v>
      </c>
      <c r="FI71">
        <v>2.5817899999999998</v>
      </c>
      <c r="FJ71">
        <v>2.4462899999999999</v>
      </c>
      <c r="FK71">
        <v>2.2888199999999999</v>
      </c>
      <c r="FL71">
        <v>29.4101</v>
      </c>
      <c r="FM71">
        <v>24.148800000000001</v>
      </c>
      <c r="FN71">
        <v>19</v>
      </c>
      <c r="FO71">
        <v>862.89300000000003</v>
      </c>
      <c r="FP71">
        <v>603.73699999999997</v>
      </c>
      <c r="FQ71">
        <v>18.0352</v>
      </c>
      <c r="FR71">
        <v>24.4922</v>
      </c>
      <c r="FS71">
        <v>30.0001</v>
      </c>
      <c r="FT71">
        <v>24.467400000000001</v>
      </c>
      <c r="FU71">
        <v>24.466999999999999</v>
      </c>
      <c r="FV71">
        <v>5.84788</v>
      </c>
      <c r="FW71">
        <v>31.416</v>
      </c>
      <c r="FX71">
        <v>68.545000000000002</v>
      </c>
      <c r="FY71">
        <v>18.072299999999998</v>
      </c>
      <c r="FZ71">
        <v>50</v>
      </c>
      <c r="GA71">
        <v>14.8131</v>
      </c>
      <c r="GB71">
        <v>99.972700000000003</v>
      </c>
      <c r="GC71">
        <v>99.745999999999995</v>
      </c>
    </row>
    <row r="72" spans="1:185" x14ac:dyDescent="0.2">
      <c r="A72">
        <v>57</v>
      </c>
      <c r="B72">
        <v>1771086585</v>
      </c>
      <c r="C72">
        <v>1265</v>
      </c>
      <c r="D72" t="s">
        <v>408</v>
      </c>
      <c r="E72" t="s">
        <v>409</v>
      </c>
      <c r="F72">
        <v>15</v>
      </c>
      <c r="G72">
        <v>1771086576.9333301</v>
      </c>
      <c r="H72">
        <f t="shared" si="0"/>
        <v>8.3019540754002911E-4</v>
      </c>
      <c r="I72">
        <v>0</v>
      </c>
      <c r="J72">
        <f t="shared" si="12"/>
        <v>-5.6627520768326688E-2</v>
      </c>
      <c r="K72">
        <f t="shared" si="1"/>
        <v>-1.5349419043872901</v>
      </c>
      <c r="L72">
        <f t="shared" si="2"/>
        <v>72.60326074798634</v>
      </c>
      <c r="M72">
        <f t="shared" si="3"/>
        <v>1.5894265928927673</v>
      </c>
      <c r="N72">
        <f t="shared" si="4"/>
        <v>2.1891945024478123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26265.857877386079</v>
      </c>
      <c r="T72">
        <f t="shared" si="8"/>
        <v>799.99919999999997</v>
      </c>
      <c r="U72">
        <f t="shared" si="9"/>
        <v>674.39954159978402</v>
      </c>
      <c r="V72">
        <f t="shared" si="10"/>
        <v>0.84300027</v>
      </c>
      <c r="W72">
        <f t="shared" si="11"/>
        <v>0.15870067499999999</v>
      </c>
      <c r="X72">
        <v>1</v>
      </c>
      <c r="Y72">
        <v>1771086576.9333301</v>
      </c>
      <c r="Z72">
        <v>51.865459999999999</v>
      </c>
      <c r="AA72">
        <v>50.000619999999998</v>
      </c>
      <c r="AB72">
        <v>15.8900066666667</v>
      </c>
      <c r="AC72">
        <v>14.86876</v>
      </c>
      <c r="AD72">
        <v>52.531759999999998</v>
      </c>
      <c r="AE72">
        <v>15.7499533333333</v>
      </c>
      <c r="AF72">
        <v>800.00613333333297</v>
      </c>
      <c r="AG72">
        <v>99.962413333333302</v>
      </c>
      <c r="AH72">
        <v>6.4391326666666707E-2</v>
      </c>
      <c r="AI72">
        <v>18.883459999999999</v>
      </c>
      <c r="AJ72">
        <v>999.9</v>
      </c>
      <c r="AK72">
        <v>999.9</v>
      </c>
      <c r="AL72">
        <v>0</v>
      </c>
      <c r="AM72">
        <v>0</v>
      </c>
      <c r="AN72">
        <v>5007.1000000000004</v>
      </c>
      <c r="AO72">
        <v>0</v>
      </c>
      <c r="AP72">
        <v>2.0305933333333299</v>
      </c>
      <c r="AQ72">
        <v>1.8648480000000001</v>
      </c>
      <c r="AR72">
        <v>52.702953333333298</v>
      </c>
      <c r="AS72">
        <v>50.755293333333299</v>
      </c>
      <c r="AT72">
        <v>1.0212298666666699</v>
      </c>
      <c r="AU72">
        <v>50.000619999999998</v>
      </c>
      <c r="AV72">
        <v>14.86876</v>
      </c>
      <c r="AW72">
        <v>1.5884033333333301</v>
      </c>
      <c r="AX72">
        <v>1.48631933333333</v>
      </c>
      <c r="AY72">
        <v>13.846726666666701</v>
      </c>
      <c r="AZ72">
        <v>12.8279266666667</v>
      </c>
      <c r="BA72">
        <v>799.99919999999997</v>
      </c>
      <c r="BB72">
        <v>0.89999099999999999</v>
      </c>
      <c r="BC72">
        <v>0</v>
      </c>
      <c r="BD72">
        <v>0.100009</v>
      </c>
      <c r="BE72">
        <v>0</v>
      </c>
      <c r="BF72">
        <v>24.691126666666701</v>
      </c>
      <c r="BG72">
        <v>13190.9666666667</v>
      </c>
      <c r="BH72">
        <v>1771086026</v>
      </c>
      <c r="BI72" t="s">
        <v>353</v>
      </c>
      <c r="BJ72">
        <v>1771086026</v>
      </c>
      <c r="BK72">
        <v>1771086020</v>
      </c>
      <c r="BL72">
        <v>2</v>
      </c>
      <c r="BM72">
        <v>0.44600000000000001</v>
      </c>
      <c r="BN72">
        <v>1.2999999999999999E-2</v>
      </c>
      <c r="BO72">
        <v>-0.66600000000000004</v>
      </c>
      <c r="BP72">
        <v>0.14000000000000001</v>
      </c>
      <c r="BQ72">
        <v>150</v>
      </c>
      <c r="BR72">
        <v>15</v>
      </c>
      <c r="BS72">
        <v>0.05</v>
      </c>
      <c r="BT72">
        <v>0.13</v>
      </c>
      <c r="BU72">
        <v>2.2876295</v>
      </c>
      <c r="BV72">
        <v>-9.24622150375939</v>
      </c>
      <c r="BW72">
        <v>0.90724478088592497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0.99384214999999998</v>
      </c>
      <c r="CD72">
        <v>0.65826699248120202</v>
      </c>
      <c r="CE72">
        <v>6.3433240826301002E-2</v>
      </c>
      <c r="CF72">
        <v>0</v>
      </c>
      <c r="CG72">
        <v>0</v>
      </c>
      <c r="CH72">
        <v>2</v>
      </c>
      <c r="CI72" t="s">
        <v>290</v>
      </c>
      <c r="CJ72">
        <v>3.5324800000000001</v>
      </c>
      <c r="CK72">
        <v>2.70241</v>
      </c>
      <c r="CL72">
        <v>1.50946E-2</v>
      </c>
      <c r="CM72">
        <v>1.44324E-2</v>
      </c>
      <c r="CN72">
        <v>8.8815500000000006E-2</v>
      </c>
      <c r="CO72">
        <v>8.3477599999999999E-2</v>
      </c>
      <c r="CP72">
        <v>34582.199999999997</v>
      </c>
      <c r="CQ72">
        <v>30363.1</v>
      </c>
      <c r="CR72">
        <v>32492.7</v>
      </c>
      <c r="CS72">
        <v>30730</v>
      </c>
      <c r="CT72">
        <v>40063.699999999997</v>
      </c>
      <c r="CU72">
        <v>39586.300000000003</v>
      </c>
      <c r="CV72">
        <v>47438</v>
      </c>
      <c r="CW72">
        <v>46850.9</v>
      </c>
      <c r="CX72">
        <v>2.6383399999999999</v>
      </c>
      <c r="CY72">
        <v>2.1796799999999998</v>
      </c>
      <c r="CZ72">
        <v>0</v>
      </c>
      <c r="DA72">
        <v>0</v>
      </c>
      <c r="DB72">
        <v>999.9</v>
      </c>
      <c r="DC72">
        <v>999.9</v>
      </c>
      <c r="DD72">
        <v>68.611999999999995</v>
      </c>
      <c r="DE72">
        <v>23.856999999999999</v>
      </c>
      <c r="DF72">
        <v>20.3811</v>
      </c>
      <c r="DG72">
        <v>30.197299999999998</v>
      </c>
      <c r="DH72">
        <v>15.0321</v>
      </c>
      <c r="DI72">
        <v>2</v>
      </c>
      <c r="DJ72">
        <v>-0.20006099999999999</v>
      </c>
      <c r="DK72">
        <v>1.32972</v>
      </c>
      <c r="DL72">
        <v>20.206099999999999</v>
      </c>
      <c r="DM72">
        <v>5.2511900000000002</v>
      </c>
      <c r="DN72">
        <v>12.033899999999999</v>
      </c>
      <c r="DO72">
        <v>4.9667199999999996</v>
      </c>
      <c r="DP72">
        <v>3.2909999999999999</v>
      </c>
      <c r="DQ72">
        <v>9999</v>
      </c>
      <c r="DR72">
        <v>9999</v>
      </c>
      <c r="DS72">
        <v>9999</v>
      </c>
      <c r="DT72">
        <v>604.20000000000005</v>
      </c>
      <c r="DU72">
        <v>1.87103</v>
      </c>
      <c r="DV72">
        <v>1.87608</v>
      </c>
      <c r="DW72">
        <v>1.8762799999999999</v>
      </c>
      <c r="DX72">
        <v>1.8828</v>
      </c>
      <c r="DY72">
        <v>1.8755900000000001</v>
      </c>
      <c r="DZ72">
        <v>1.8746499999999999</v>
      </c>
      <c r="EA72">
        <v>1.8707400000000001</v>
      </c>
      <c r="EB72">
        <v>1.8746400000000001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-0.66600000000000004</v>
      </c>
      <c r="EQ72">
        <v>0.1401</v>
      </c>
      <c r="ER72">
        <v>-0.66629999999995004</v>
      </c>
      <c r="ES72">
        <v>0</v>
      </c>
      <c r="ET72">
        <v>0</v>
      </c>
      <c r="EU72">
        <v>0</v>
      </c>
      <c r="EV72">
        <v>0.140039999999997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9.3000000000000007</v>
      </c>
      <c r="FE72">
        <v>9.4</v>
      </c>
      <c r="FF72">
        <v>0.29052699999999998</v>
      </c>
      <c r="FG72">
        <v>2.5793499999999998</v>
      </c>
      <c r="FH72">
        <v>2.19604</v>
      </c>
      <c r="FI72">
        <v>2.5830099999999998</v>
      </c>
      <c r="FJ72">
        <v>2.4462899999999999</v>
      </c>
      <c r="FK72">
        <v>2.2973599999999998</v>
      </c>
      <c r="FL72">
        <v>29.4101</v>
      </c>
      <c r="FM72">
        <v>24.157499999999999</v>
      </c>
      <c r="FN72">
        <v>19</v>
      </c>
      <c r="FO72">
        <v>863.08799999999997</v>
      </c>
      <c r="FP72">
        <v>603.13599999999997</v>
      </c>
      <c r="FQ72">
        <v>18.2973</v>
      </c>
      <c r="FR72">
        <v>24.501300000000001</v>
      </c>
      <c r="FS72">
        <v>30.000399999999999</v>
      </c>
      <c r="FT72">
        <v>24.474799999999998</v>
      </c>
      <c r="FU72">
        <v>24.475100000000001</v>
      </c>
      <c r="FV72">
        <v>5.8472400000000002</v>
      </c>
      <c r="FW72">
        <v>32.296700000000001</v>
      </c>
      <c r="FX72">
        <v>68.164199999999994</v>
      </c>
      <c r="FY72">
        <v>18.325299999999999</v>
      </c>
      <c r="FZ72">
        <v>50</v>
      </c>
      <c r="GA72">
        <v>14.5862</v>
      </c>
      <c r="GB72">
        <v>99.971400000000003</v>
      </c>
      <c r="GC72">
        <v>99.746899999999997</v>
      </c>
    </row>
    <row r="73" spans="1:185" x14ac:dyDescent="0.2">
      <c r="A73">
        <v>58</v>
      </c>
      <c r="B73">
        <v>1771086600</v>
      </c>
      <c r="C73">
        <v>1280</v>
      </c>
      <c r="D73" t="s">
        <v>410</v>
      </c>
      <c r="E73" t="s">
        <v>411</v>
      </c>
      <c r="F73">
        <v>15</v>
      </c>
      <c r="G73">
        <v>1771086591.9333301</v>
      </c>
      <c r="H73">
        <f t="shared" si="0"/>
        <v>9.0577151678514667E-4</v>
      </c>
      <c r="I73">
        <v>0</v>
      </c>
      <c r="J73">
        <f t="shared" si="12"/>
        <v>-2.4304006827538593E-2</v>
      </c>
      <c r="K73">
        <f t="shared" si="1"/>
        <v>-0.65878283240981339</v>
      </c>
      <c r="L73">
        <f t="shared" si="2"/>
        <v>71.857629509748804</v>
      </c>
      <c r="M73">
        <f t="shared" si="3"/>
        <v>1.5762652558422519</v>
      </c>
      <c r="N73">
        <f t="shared" si="4"/>
        <v>2.1935948438549628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26237.886079678112</v>
      </c>
      <c r="T73">
        <f t="shared" si="8"/>
        <v>800.00033333333295</v>
      </c>
      <c r="U73">
        <f t="shared" si="9"/>
        <v>674.40051300009634</v>
      </c>
      <c r="V73">
        <f t="shared" si="10"/>
        <v>0.84300028999999999</v>
      </c>
      <c r="W73">
        <f t="shared" si="11"/>
        <v>0.15870072500000001</v>
      </c>
      <c r="X73">
        <v>1</v>
      </c>
      <c r="Y73">
        <v>1771086591.9333301</v>
      </c>
      <c r="Z73">
        <v>50.7588133333333</v>
      </c>
      <c r="AA73">
        <v>49.992813333333302</v>
      </c>
      <c r="AB73">
        <v>15.758293333333301</v>
      </c>
      <c r="AC73">
        <v>14.643933333333299</v>
      </c>
      <c r="AD73">
        <v>51.42512</v>
      </c>
      <c r="AE73">
        <v>15.6182533333333</v>
      </c>
      <c r="AF73">
        <v>800.00906666666697</v>
      </c>
      <c r="AG73">
        <v>99.963093333333305</v>
      </c>
      <c r="AH73">
        <v>6.4569719999999997E-2</v>
      </c>
      <c r="AI73">
        <v>18.915613333333301</v>
      </c>
      <c r="AJ73">
        <v>999.9</v>
      </c>
      <c r="AK73">
        <v>999.9</v>
      </c>
      <c r="AL73">
        <v>0</v>
      </c>
      <c r="AM73">
        <v>0</v>
      </c>
      <c r="AN73">
        <v>5002.9333333333298</v>
      </c>
      <c r="AO73">
        <v>0</v>
      </c>
      <c r="AP73">
        <v>2.0325500000000001</v>
      </c>
      <c r="AQ73">
        <v>0.76599399999999995</v>
      </c>
      <c r="AR73">
        <v>51.571493333333301</v>
      </c>
      <c r="AS73">
        <v>50.735799999999998</v>
      </c>
      <c r="AT73">
        <v>1.11435066666667</v>
      </c>
      <c r="AU73">
        <v>49.992813333333302</v>
      </c>
      <c r="AV73">
        <v>14.643933333333299</v>
      </c>
      <c r="AW73">
        <v>1.57524666666667</v>
      </c>
      <c r="AX73">
        <v>1.4638533333333299</v>
      </c>
      <c r="AY73">
        <v>13.71874</v>
      </c>
      <c r="AZ73">
        <v>12.595660000000001</v>
      </c>
      <c r="BA73">
        <v>800.00033333333295</v>
      </c>
      <c r="BB73">
        <v>0.899990333333333</v>
      </c>
      <c r="BC73">
        <v>0</v>
      </c>
      <c r="BD73">
        <v>0.100009666666667</v>
      </c>
      <c r="BE73">
        <v>0</v>
      </c>
      <c r="BF73">
        <v>24.871106666666702</v>
      </c>
      <c r="BG73">
        <v>13190.993333333299</v>
      </c>
      <c r="BH73">
        <v>1771086026</v>
      </c>
      <c r="BI73" t="s">
        <v>353</v>
      </c>
      <c r="BJ73">
        <v>1771086026</v>
      </c>
      <c r="BK73">
        <v>1771086020</v>
      </c>
      <c r="BL73">
        <v>2</v>
      </c>
      <c r="BM73">
        <v>0.44600000000000001</v>
      </c>
      <c r="BN73">
        <v>1.2999999999999999E-2</v>
      </c>
      <c r="BO73">
        <v>-0.66600000000000004</v>
      </c>
      <c r="BP73">
        <v>0.14000000000000001</v>
      </c>
      <c r="BQ73">
        <v>150</v>
      </c>
      <c r="BR73">
        <v>15</v>
      </c>
      <c r="BS73">
        <v>0.05</v>
      </c>
      <c r="BT73">
        <v>0.13</v>
      </c>
      <c r="BU73">
        <v>0.922746190476191</v>
      </c>
      <c r="BV73">
        <v>-2.8777597402597399</v>
      </c>
      <c r="BW73">
        <v>0.29709625849187099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1.10136285714286</v>
      </c>
      <c r="CD73">
        <v>0.248183376623377</v>
      </c>
      <c r="CE73">
        <v>2.6232709524172101E-2</v>
      </c>
      <c r="CF73">
        <v>0</v>
      </c>
      <c r="CG73">
        <v>0</v>
      </c>
      <c r="CH73">
        <v>2</v>
      </c>
      <c r="CI73" t="s">
        <v>290</v>
      </c>
      <c r="CJ73">
        <v>3.5325299999999999</v>
      </c>
      <c r="CK73">
        <v>2.7023899999999998</v>
      </c>
      <c r="CL73">
        <v>1.49322E-2</v>
      </c>
      <c r="CM73">
        <v>1.44309E-2</v>
      </c>
      <c r="CN73">
        <v>8.8281999999999999E-2</v>
      </c>
      <c r="CO73">
        <v>8.2770300000000005E-2</v>
      </c>
      <c r="CP73">
        <v>34587.599999999999</v>
      </c>
      <c r="CQ73">
        <v>30362.2</v>
      </c>
      <c r="CR73">
        <v>32492.5</v>
      </c>
      <c r="CS73">
        <v>30729.1</v>
      </c>
      <c r="CT73">
        <v>40087.9</v>
      </c>
      <c r="CU73">
        <v>39616.9</v>
      </c>
      <c r="CV73">
        <v>47437.8</v>
      </c>
      <c r="CW73">
        <v>46849.8</v>
      </c>
      <c r="CX73">
        <v>2.6381399999999999</v>
      </c>
      <c r="CY73">
        <v>2.17902</v>
      </c>
      <c r="CZ73">
        <v>0</v>
      </c>
      <c r="DA73">
        <v>0</v>
      </c>
      <c r="DB73">
        <v>999.9</v>
      </c>
      <c r="DC73">
        <v>999.9</v>
      </c>
      <c r="DD73">
        <v>68.495999999999995</v>
      </c>
      <c r="DE73">
        <v>23.867000000000001</v>
      </c>
      <c r="DF73">
        <v>20.359300000000001</v>
      </c>
      <c r="DG73">
        <v>30.287299999999998</v>
      </c>
      <c r="DH73">
        <v>15.068099999999999</v>
      </c>
      <c r="DI73">
        <v>2</v>
      </c>
      <c r="DJ73">
        <v>-0.199577</v>
      </c>
      <c r="DK73">
        <v>1.25875</v>
      </c>
      <c r="DL73">
        <v>20.206600000000002</v>
      </c>
      <c r="DM73">
        <v>5.2507099999999998</v>
      </c>
      <c r="DN73">
        <v>12.033899999999999</v>
      </c>
      <c r="DO73">
        <v>4.9668000000000001</v>
      </c>
      <c r="DP73">
        <v>3.2909999999999999</v>
      </c>
      <c r="DQ73">
        <v>9999</v>
      </c>
      <c r="DR73">
        <v>9999</v>
      </c>
      <c r="DS73">
        <v>9999</v>
      </c>
      <c r="DT73">
        <v>604.20000000000005</v>
      </c>
      <c r="DU73">
        <v>1.8710199999999999</v>
      </c>
      <c r="DV73">
        <v>1.8760699999999999</v>
      </c>
      <c r="DW73">
        <v>1.8762700000000001</v>
      </c>
      <c r="DX73">
        <v>1.8827799999999999</v>
      </c>
      <c r="DY73">
        <v>1.8755900000000001</v>
      </c>
      <c r="DZ73">
        <v>1.87459</v>
      </c>
      <c r="EA73">
        <v>1.8707400000000001</v>
      </c>
      <c r="EB73">
        <v>1.87456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-0.66600000000000004</v>
      </c>
      <c r="EQ73">
        <v>0.14000000000000001</v>
      </c>
      <c r="ER73">
        <v>-0.66629999999995004</v>
      </c>
      <c r="ES73">
        <v>0</v>
      </c>
      <c r="ET73">
        <v>0</v>
      </c>
      <c r="EU73">
        <v>0</v>
      </c>
      <c r="EV73">
        <v>0.140039999999997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9.6</v>
      </c>
      <c r="FE73">
        <v>9.6999999999999993</v>
      </c>
      <c r="FF73">
        <v>0.29052699999999998</v>
      </c>
      <c r="FG73">
        <v>2.5817899999999998</v>
      </c>
      <c r="FH73">
        <v>2.19604</v>
      </c>
      <c r="FI73">
        <v>2.5830099999999998</v>
      </c>
      <c r="FJ73">
        <v>2.4462899999999999</v>
      </c>
      <c r="FK73">
        <v>2.3059099999999999</v>
      </c>
      <c r="FL73">
        <v>29.4314</v>
      </c>
      <c r="FM73">
        <v>24.157499999999999</v>
      </c>
      <c r="FN73">
        <v>19</v>
      </c>
      <c r="FO73">
        <v>863.03</v>
      </c>
      <c r="FP73">
        <v>602.70600000000002</v>
      </c>
      <c r="FQ73">
        <v>18.503599999999999</v>
      </c>
      <c r="FR73">
        <v>24.509899999999998</v>
      </c>
      <c r="FS73">
        <v>30.000299999999999</v>
      </c>
      <c r="FT73">
        <v>24.482600000000001</v>
      </c>
      <c r="FU73">
        <v>24.482900000000001</v>
      </c>
      <c r="FV73">
        <v>5.84802</v>
      </c>
      <c r="FW73">
        <v>33.132899999999999</v>
      </c>
      <c r="FX73">
        <v>67.783600000000007</v>
      </c>
      <c r="FY73">
        <v>18.5185</v>
      </c>
      <c r="FZ73">
        <v>50</v>
      </c>
      <c r="GA73">
        <v>14.444900000000001</v>
      </c>
      <c r="GB73">
        <v>99.9709</v>
      </c>
      <c r="GC73">
        <v>99.744299999999996</v>
      </c>
    </row>
    <row r="74" spans="1:185" x14ac:dyDescent="0.2">
      <c r="A74">
        <v>59</v>
      </c>
      <c r="B74">
        <v>1771086615</v>
      </c>
      <c r="C74">
        <v>1295</v>
      </c>
      <c r="D74" t="s">
        <v>412</v>
      </c>
      <c r="E74" t="s">
        <v>413</v>
      </c>
      <c r="F74">
        <v>15</v>
      </c>
      <c r="G74">
        <v>1771086606.9333301</v>
      </c>
      <c r="H74">
        <f t="shared" si="0"/>
        <v>9.3872130935292587E-4</v>
      </c>
      <c r="I74">
        <v>0</v>
      </c>
      <c r="J74">
        <f t="shared" si="12"/>
        <v>-1.3851546082296327E-2</v>
      </c>
      <c r="K74">
        <f t="shared" si="1"/>
        <v>-0.37545910952471478</v>
      </c>
      <c r="L74">
        <f t="shared" si="2"/>
        <v>71.140279288495591</v>
      </c>
      <c r="M74">
        <f t="shared" si="3"/>
        <v>1.5648456755279527</v>
      </c>
      <c r="N74">
        <f t="shared" si="4"/>
        <v>2.1996619793718057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26156.754825630887</v>
      </c>
      <c r="T74">
        <f t="shared" si="8"/>
        <v>800.00006666666695</v>
      </c>
      <c r="U74">
        <f t="shared" si="9"/>
        <v>674.4003106000215</v>
      </c>
      <c r="V74">
        <f t="shared" si="10"/>
        <v>0.84300031800000008</v>
      </c>
      <c r="W74">
        <f t="shared" si="11"/>
        <v>0.15870079500000001</v>
      </c>
      <c r="X74">
        <v>1</v>
      </c>
      <c r="Y74">
        <v>1771086606.9333301</v>
      </c>
      <c r="Z74">
        <v>50.411713333333303</v>
      </c>
      <c r="AA74">
        <v>50.001546666666698</v>
      </c>
      <c r="AB74">
        <v>15.644213333333299</v>
      </c>
      <c r="AC74">
        <v>14.489179999999999</v>
      </c>
      <c r="AD74">
        <v>51.078013333333303</v>
      </c>
      <c r="AE74">
        <v>15.50418</v>
      </c>
      <c r="AF74">
        <v>800.00786666666704</v>
      </c>
      <c r="AG74">
        <v>99.962473333333307</v>
      </c>
      <c r="AH74">
        <v>6.4651213333333304E-2</v>
      </c>
      <c r="AI74">
        <v>18.959853333333299</v>
      </c>
      <c r="AJ74">
        <v>999.9</v>
      </c>
      <c r="AK74">
        <v>999.9</v>
      </c>
      <c r="AL74">
        <v>0</v>
      </c>
      <c r="AM74">
        <v>0</v>
      </c>
      <c r="AN74">
        <v>4990.2333333333299</v>
      </c>
      <c r="AO74">
        <v>0</v>
      </c>
      <c r="AP74">
        <v>2.0325500000000001</v>
      </c>
      <c r="AQ74">
        <v>0.41016493333333298</v>
      </c>
      <c r="AR74">
        <v>51.212906666666697</v>
      </c>
      <c r="AS74">
        <v>50.73668</v>
      </c>
      <c r="AT74">
        <v>1.1550466666666701</v>
      </c>
      <c r="AU74">
        <v>50.001546666666698</v>
      </c>
      <c r="AV74">
        <v>14.489179999999999</v>
      </c>
      <c r="AW74">
        <v>1.5638353333333299</v>
      </c>
      <c r="AX74">
        <v>1.4483746666666699</v>
      </c>
      <c r="AY74">
        <v>13.60698</v>
      </c>
      <c r="AZ74">
        <v>12.4337466666667</v>
      </c>
      <c r="BA74">
        <v>800.00006666666695</v>
      </c>
      <c r="BB74">
        <v>0.89998940000000005</v>
      </c>
      <c r="BC74">
        <v>0</v>
      </c>
      <c r="BD74">
        <v>0.10001060000000001</v>
      </c>
      <c r="BE74">
        <v>0</v>
      </c>
      <c r="BF74">
        <v>24.988893333333301</v>
      </c>
      <c r="BG74">
        <v>13190.993333333299</v>
      </c>
      <c r="BH74">
        <v>1771086026</v>
      </c>
      <c r="BI74" t="s">
        <v>353</v>
      </c>
      <c r="BJ74">
        <v>1771086026</v>
      </c>
      <c r="BK74">
        <v>1771086020</v>
      </c>
      <c r="BL74">
        <v>2</v>
      </c>
      <c r="BM74">
        <v>0.44600000000000001</v>
      </c>
      <c r="BN74">
        <v>1.2999999999999999E-2</v>
      </c>
      <c r="BO74">
        <v>-0.66600000000000004</v>
      </c>
      <c r="BP74">
        <v>0.14000000000000001</v>
      </c>
      <c r="BQ74">
        <v>150</v>
      </c>
      <c r="BR74">
        <v>15</v>
      </c>
      <c r="BS74">
        <v>0.05</v>
      </c>
      <c r="BT74">
        <v>0.13</v>
      </c>
      <c r="BU74">
        <v>0.45459329999999998</v>
      </c>
      <c r="BV74">
        <v>-0.99086057142857198</v>
      </c>
      <c r="BW74">
        <v>9.7160062577738196E-2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1.1485445000000001</v>
      </c>
      <c r="CD74">
        <v>9.4559548872179197E-2</v>
      </c>
      <c r="CE74">
        <v>1.6305268006077098E-2</v>
      </c>
      <c r="CF74">
        <v>1</v>
      </c>
      <c r="CG74">
        <v>1</v>
      </c>
      <c r="CH74">
        <v>2</v>
      </c>
      <c r="CI74" t="s">
        <v>299</v>
      </c>
      <c r="CJ74">
        <v>3.5324300000000002</v>
      </c>
      <c r="CK74">
        <v>2.7024699999999999</v>
      </c>
      <c r="CL74">
        <v>1.48808E-2</v>
      </c>
      <c r="CM74">
        <v>1.44385E-2</v>
      </c>
      <c r="CN74">
        <v>8.7847300000000003E-2</v>
      </c>
      <c r="CO74">
        <v>8.2330500000000001E-2</v>
      </c>
      <c r="CP74">
        <v>34589.199999999997</v>
      </c>
      <c r="CQ74">
        <v>30361.599999999999</v>
      </c>
      <c r="CR74">
        <v>32492.400000000001</v>
      </c>
      <c r="CS74">
        <v>30728.9</v>
      </c>
      <c r="CT74">
        <v>40107.699999999997</v>
      </c>
      <c r="CU74">
        <v>39636.1</v>
      </c>
      <c r="CV74">
        <v>47437.8</v>
      </c>
      <c r="CW74">
        <v>46849.3</v>
      </c>
      <c r="CX74">
        <v>2.6380599999999998</v>
      </c>
      <c r="CY74">
        <v>2.1781199999999998</v>
      </c>
      <c r="CZ74">
        <v>0</v>
      </c>
      <c r="DA74">
        <v>0</v>
      </c>
      <c r="DB74">
        <v>999.9</v>
      </c>
      <c r="DC74">
        <v>999.9</v>
      </c>
      <c r="DD74">
        <v>68.373999999999995</v>
      </c>
      <c r="DE74">
        <v>23.876999999999999</v>
      </c>
      <c r="DF74">
        <v>20.3325</v>
      </c>
      <c r="DG74">
        <v>30.467300000000002</v>
      </c>
      <c r="DH74">
        <v>15.1122</v>
      </c>
      <c r="DI74">
        <v>2</v>
      </c>
      <c r="DJ74">
        <v>-0.19881499999999999</v>
      </c>
      <c r="DK74">
        <v>1.31508</v>
      </c>
      <c r="DL74">
        <v>20.206</v>
      </c>
      <c r="DM74">
        <v>5.2503500000000001</v>
      </c>
      <c r="DN74">
        <v>12.033899999999999</v>
      </c>
      <c r="DO74">
        <v>4.9667599999999998</v>
      </c>
      <c r="DP74">
        <v>3.2909999999999999</v>
      </c>
      <c r="DQ74">
        <v>9999</v>
      </c>
      <c r="DR74">
        <v>9999</v>
      </c>
      <c r="DS74">
        <v>9999</v>
      </c>
      <c r="DT74">
        <v>604.20000000000005</v>
      </c>
      <c r="DU74">
        <v>1.87103</v>
      </c>
      <c r="DV74">
        <v>1.87608</v>
      </c>
      <c r="DW74">
        <v>1.8763000000000001</v>
      </c>
      <c r="DX74">
        <v>1.8827799999999999</v>
      </c>
      <c r="DY74">
        <v>1.8755900000000001</v>
      </c>
      <c r="DZ74">
        <v>1.8746499999999999</v>
      </c>
      <c r="EA74">
        <v>1.8707400000000001</v>
      </c>
      <c r="EB74">
        <v>1.8746100000000001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-0.66600000000000004</v>
      </c>
      <c r="EQ74">
        <v>0.14000000000000001</v>
      </c>
      <c r="ER74">
        <v>-0.66629999999995004</v>
      </c>
      <c r="ES74">
        <v>0</v>
      </c>
      <c r="ET74">
        <v>0</v>
      </c>
      <c r="EU74">
        <v>0</v>
      </c>
      <c r="EV74">
        <v>0.140039999999997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9.8000000000000007</v>
      </c>
      <c r="FE74">
        <v>9.9</v>
      </c>
      <c r="FF74">
        <v>0.29052699999999998</v>
      </c>
      <c r="FG74">
        <v>2.5830099999999998</v>
      </c>
      <c r="FH74">
        <v>2.19604</v>
      </c>
      <c r="FI74">
        <v>2.5830099999999998</v>
      </c>
      <c r="FJ74">
        <v>2.4462899999999999</v>
      </c>
      <c r="FK74">
        <v>2.2936999999999999</v>
      </c>
      <c r="FL74">
        <v>29.4527</v>
      </c>
      <c r="FM74">
        <v>24.157499999999999</v>
      </c>
      <c r="FN74">
        <v>19</v>
      </c>
      <c r="FO74">
        <v>863.07600000000002</v>
      </c>
      <c r="FP74">
        <v>602.08299999999997</v>
      </c>
      <c r="FQ74">
        <v>18.6219</v>
      </c>
      <c r="FR74">
        <v>24.517800000000001</v>
      </c>
      <c r="FS74">
        <v>30.000399999999999</v>
      </c>
      <c r="FT74">
        <v>24.49</v>
      </c>
      <c r="FU74">
        <v>24.490400000000001</v>
      </c>
      <c r="FV74">
        <v>5.8478599999999998</v>
      </c>
      <c r="FW74">
        <v>33.414700000000003</v>
      </c>
      <c r="FX74">
        <v>67.405500000000004</v>
      </c>
      <c r="FY74">
        <v>18.622</v>
      </c>
      <c r="FZ74">
        <v>50</v>
      </c>
      <c r="GA74">
        <v>14.362299999999999</v>
      </c>
      <c r="GB74">
        <v>99.970600000000005</v>
      </c>
      <c r="GC74">
        <v>99.743300000000005</v>
      </c>
    </row>
    <row r="75" spans="1:185" x14ac:dyDescent="0.2">
      <c r="A75">
        <v>60</v>
      </c>
      <c r="B75">
        <v>1771086630</v>
      </c>
      <c r="C75">
        <v>1310</v>
      </c>
      <c r="D75" t="s">
        <v>414</v>
      </c>
      <c r="E75" t="s">
        <v>415</v>
      </c>
      <c r="F75">
        <v>15</v>
      </c>
      <c r="G75">
        <v>1771086621.9333301</v>
      </c>
      <c r="H75">
        <f t="shared" si="0"/>
        <v>8.9757046601898543E-4</v>
      </c>
      <c r="I75">
        <v>0</v>
      </c>
      <c r="J75">
        <f t="shared" si="12"/>
        <v>-1.5893214415052759E-2</v>
      </c>
      <c r="K75">
        <f t="shared" si="1"/>
        <v>-0.43080043890463748</v>
      </c>
      <c r="L75">
        <f t="shared" si="2"/>
        <v>70.384813508961514</v>
      </c>
      <c r="M75">
        <f t="shared" si="3"/>
        <v>1.5524570082687665</v>
      </c>
      <c r="N75">
        <f t="shared" si="4"/>
        <v>2.2056704150691613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26220.664681663384</v>
      </c>
      <c r="T75">
        <f t="shared" si="8"/>
        <v>800.00106666666602</v>
      </c>
      <c r="U75">
        <f t="shared" si="9"/>
        <v>674.40114080032163</v>
      </c>
      <c r="V75">
        <f t="shared" si="10"/>
        <v>0.84300030199999998</v>
      </c>
      <c r="W75">
        <f t="shared" si="11"/>
        <v>0.15870075500000003</v>
      </c>
      <c r="X75">
        <v>1</v>
      </c>
      <c r="Y75">
        <v>1771086621.9333301</v>
      </c>
      <c r="Z75">
        <v>50.4829333333333</v>
      </c>
      <c r="AA75">
        <v>50.001080000000002</v>
      </c>
      <c r="AB75">
        <v>15.52028</v>
      </c>
      <c r="AC75">
        <v>14.415746666666699</v>
      </c>
      <c r="AD75">
        <v>50.969933333333302</v>
      </c>
      <c r="AE75">
        <v>15.41628</v>
      </c>
      <c r="AF75">
        <v>800.01199999999994</v>
      </c>
      <c r="AG75">
        <v>99.962993333333301</v>
      </c>
      <c r="AH75">
        <v>6.46484533333333E-2</v>
      </c>
      <c r="AI75">
        <v>19.00356</v>
      </c>
      <c r="AJ75">
        <v>999.9</v>
      </c>
      <c r="AK75">
        <v>999.9</v>
      </c>
      <c r="AL75">
        <v>0</v>
      </c>
      <c r="AM75">
        <v>0</v>
      </c>
      <c r="AN75">
        <v>5001.3999999999996</v>
      </c>
      <c r="AO75">
        <v>0</v>
      </c>
      <c r="AP75">
        <v>2.0325500000000001</v>
      </c>
      <c r="AQ75">
        <v>0.30254639999999999</v>
      </c>
      <c r="AR75">
        <v>51.09854</v>
      </c>
      <c r="AS75">
        <v>50.732439999999997</v>
      </c>
      <c r="AT75">
        <v>1.1405799999999999</v>
      </c>
      <c r="AU75">
        <v>50.001080000000002</v>
      </c>
      <c r="AV75">
        <v>14.415746666666699</v>
      </c>
      <c r="AW75">
        <v>1.5550580000000001</v>
      </c>
      <c r="AX75">
        <v>1.4410413333333301</v>
      </c>
      <c r="AY75">
        <v>13.5205066666667</v>
      </c>
      <c r="AZ75">
        <v>12.35652</v>
      </c>
      <c r="BA75">
        <v>800.00106666666602</v>
      </c>
      <c r="BB75">
        <v>0.89998993333333299</v>
      </c>
      <c r="BC75">
        <v>0</v>
      </c>
      <c r="BD75">
        <v>0.10001006666666699</v>
      </c>
      <c r="BE75">
        <v>0</v>
      </c>
      <c r="BF75">
        <v>25</v>
      </c>
      <c r="BG75">
        <v>13191.0133333333</v>
      </c>
      <c r="BH75">
        <v>1771086652</v>
      </c>
      <c r="BI75" t="s">
        <v>416</v>
      </c>
      <c r="BJ75">
        <v>1771086652</v>
      </c>
      <c r="BK75">
        <v>1771086652</v>
      </c>
      <c r="BL75">
        <v>3</v>
      </c>
      <c r="BM75">
        <v>0.17899999999999999</v>
      </c>
      <c r="BN75">
        <v>-3.5999999999999997E-2</v>
      </c>
      <c r="BO75">
        <v>-0.48699999999999999</v>
      </c>
      <c r="BP75">
        <v>0.104</v>
      </c>
      <c r="BQ75">
        <v>50</v>
      </c>
      <c r="BR75">
        <v>14</v>
      </c>
      <c r="BS75">
        <v>0.14000000000000001</v>
      </c>
      <c r="BT75">
        <v>0.03</v>
      </c>
      <c r="BU75">
        <v>0.31641876190476198</v>
      </c>
      <c r="BV75">
        <v>-0.248272987012987</v>
      </c>
      <c r="BW75">
        <v>3.21766692465279E-2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1.1434023809523799</v>
      </c>
      <c r="CD75">
        <v>-5.42968831168806E-2</v>
      </c>
      <c r="CE75">
        <v>8.2138500367552204E-3</v>
      </c>
      <c r="CF75">
        <v>1</v>
      </c>
      <c r="CG75">
        <v>2</v>
      </c>
      <c r="CH75">
        <v>2</v>
      </c>
      <c r="CI75" t="s">
        <v>310</v>
      </c>
      <c r="CJ75">
        <v>3.53247</v>
      </c>
      <c r="CK75">
        <v>2.7023600000000001</v>
      </c>
      <c r="CL75">
        <v>1.486E-2</v>
      </c>
      <c r="CM75">
        <v>1.4426100000000001E-2</v>
      </c>
      <c r="CN75">
        <v>8.7554900000000005E-2</v>
      </c>
      <c r="CO75">
        <v>8.2084199999999996E-2</v>
      </c>
      <c r="CP75">
        <v>34589.199999999997</v>
      </c>
      <c r="CQ75">
        <v>30362.5</v>
      </c>
      <c r="CR75">
        <v>32491.7</v>
      </c>
      <c r="CS75">
        <v>30729.4</v>
      </c>
      <c r="CT75">
        <v>40120.400000000001</v>
      </c>
      <c r="CU75">
        <v>39648</v>
      </c>
      <c r="CV75">
        <v>47437.1</v>
      </c>
      <c r="CW75">
        <v>46850.400000000001</v>
      </c>
      <c r="CX75">
        <v>2.6377600000000001</v>
      </c>
      <c r="CY75">
        <v>2.1776399999999998</v>
      </c>
      <c r="CZ75">
        <v>0</v>
      </c>
      <c r="DA75">
        <v>0</v>
      </c>
      <c r="DB75">
        <v>999.9</v>
      </c>
      <c r="DC75">
        <v>999.9</v>
      </c>
      <c r="DD75">
        <v>68.275999999999996</v>
      </c>
      <c r="DE75">
        <v>23.907</v>
      </c>
      <c r="DF75">
        <v>20.341799999999999</v>
      </c>
      <c r="DG75">
        <v>30.467300000000002</v>
      </c>
      <c r="DH75">
        <v>15.1082</v>
      </c>
      <c r="DI75">
        <v>2</v>
      </c>
      <c r="DJ75">
        <v>-0.19469700000000001</v>
      </c>
      <c r="DK75">
        <v>3.1994199999999999</v>
      </c>
      <c r="DL75">
        <v>20.1708</v>
      </c>
      <c r="DM75">
        <v>5.2511900000000002</v>
      </c>
      <c r="DN75">
        <v>12.033899999999999</v>
      </c>
      <c r="DO75">
        <v>4.9669600000000003</v>
      </c>
      <c r="DP75">
        <v>3.2909999999999999</v>
      </c>
      <c r="DQ75">
        <v>9999</v>
      </c>
      <c r="DR75">
        <v>9999</v>
      </c>
      <c r="DS75">
        <v>9999</v>
      </c>
      <c r="DT75">
        <v>604.20000000000005</v>
      </c>
      <c r="DU75">
        <v>1.87103</v>
      </c>
      <c r="DV75">
        <v>1.8760699999999999</v>
      </c>
      <c r="DW75">
        <v>1.87626</v>
      </c>
      <c r="DX75">
        <v>1.8827799999999999</v>
      </c>
      <c r="DY75">
        <v>1.87554</v>
      </c>
      <c r="DZ75">
        <v>1.8746</v>
      </c>
      <c r="EA75">
        <v>1.8707400000000001</v>
      </c>
      <c r="EB75">
        <v>1.8745700000000001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-0.48699999999999999</v>
      </c>
      <c r="EQ75">
        <v>0.104</v>
      </c>
      <c r="ER75">
        <v>-0.66629999999995004</v>
      </c>
      <c r="ES75">
        <v>0</v>
      </c>
      <c r="ET75">
        <v>0</v>
      </c>
      <c r="EU75">
        <v>0</v>
      </c>
      <c r="EV75">
        <v>0.140039999999997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10.1</v>
      </c>
      <c r="FE75">
        <v>10.199999999999999</v>
      </c>
      <c r="FF75">
        <v>0.29052699999999998</v>
      </c>
      <c r="FG75">
        <v>2.5903299999999998</v>
      </c>
      <c r="FH75">
        <v>2.19604</v>
      </c>
      <c r="FI75">
        <v>2.5830099999999998</v>
      </c>
      <c r="FJ75">
        <v>2.4462899999999999</v>
      </c>
      <c r="FK75">
        <v>2.3107899999999999</v>
      </c>
      <c r="FL75">
        <v>29.4527</v>
      </c>
      <c r="FM75">
        <v>24.14</v>
      </c>
      <c r="FN75">
        <v>19</v>
      </c>
      <c r="FO75">
        <v>862.92</v>
      </c>
      <c r="FP75">
        <v>601.80200000000002</v>
      </c>
      <c r="FQ75">
        <v>18.4846</v>
      </c>
      <c r="FR75">
        <v>24.5244</v>
      </c>
      <c r="FS75">
        <v>30.002700000000001</v>
      </c>
      <c r="FT75">
        <v>24.497399999999999</v>
      </c>
      <c r="FU75">
        <v>24.4986</v>
      </c>
      <c r="FV75">
        <v>5.8477300000000003</v>
      </c>
      <c r="FW75">
        <v>33.414700000000003</v>
      </c>
      <c r="FX75">
        <v>67.024199999999993</v>
      </c>
      <c r="FY75">
        <v>18.129200000000001</v>
      </c>
      <c r="FZ75">
        <v>50</v>
      </c>
      <c r="GA75">
        <v>14.313599999999999</v>
      </c>
      <c r="GB75">
        <v>99.968999999999994</v>
      </c>
      <c r="GC75">
        <v>99.745400000000004</v>
      </c>
    </row>
    <row r="76" spans="1:185" x14ac:dyDescent="0.2">
      <c r="A76">
        <v>61</v>
      </c>
      <c r="B76">
        <v>1771086654</v>
      </c>
      <c r="C76">
        <v>1334</v>
      </c>
      <c r="D76" t="s">
        <v>417</v>
      </c>
      <c r="E76" t="s">
        <v>418</v>
      </c>
      <c r="F76">
        <v>15</v>
      </c>
      <c r="G76">
        <v>1771086653</v>
      </c>
      <c r="H76">
        <f t="shared" si="0"/>
        <v>-4.8699399929111823E-7</v>
      </c>
      <c r="I76">
        <v>0</v>
      </c>
      <c r="J76">
        <f t="shared" si="12"/>
        <v>-2.2635692914755391E-4</v>
      </c>
      <c r="K76">
        <f t="shared" si="1"/>
        <v>-6.1356162371731552E-3</v>
      </c>
      <c r="L76">
        <f t="shared" si="2"/>
        <v>65.21418760027737</v>
      </c>
      <c r="M76">
        <f t="shared" si="3"/>
        <v>1.4371664627451501</v>
      </c>
      <c r="N76">
        <f t="shared" si="4"/>
        <v>2.2037634993693267</v>
      </c>
      <c r="O76">
        <v>505</v>
      </c>
      <c r="P76">
        <v>63</v>
      </c>
      <c r="Q76">
        <f t="shared" si="5"/>
        <v>1</v>
      </c>
      <c r="R76">
        <f t="shared" si="6"/>
        <v>0</v>
      </c>
      <c r="S76">
        <f t="shared" si="7"/>
        <v>26161.58457391919</v>
      </c>
      <c r="T76">
        <f t="shared" si="8"/>
        <v>799.995</v>
      </c>
      <c r="U76">
        <f t="shared" si="9"/>
        <v>674.39621699730003</v>
      </c>
      <c r="V76">
        <f t="shared" si="10"/>
        <v>0.84300054000000002</v>
      </c>
      <c r="W76">
        <f t="shared" si="11"/>
        <v>0.15870134999999999</v>
      </c>
      <c r="X76">
        <v>1</v>
      </c>
      <c r="Y76">
        <v>1771086653</v>
      </c>
      <c r="Z76">
        <v>50.006700000000002</v>
      </c>
      <c r="AA76">
        <v>49.999000000000002</v>
      </c>
      <c r="AB76">
        <v>14.3665</v>
      </c>
      <c r="AC76">
        <v>14.367100000000001</v>
      </c>
      <c r="AD76">
        <v>50.494</v>
      </c>
      <c r="AE76">
        <v>14.262499999999999</v>
      </c>
      <c r="AF76">
        <v>799.99599999999998</v>
      </c>
      <c r="AG76">
        <v>99.961799999999997</v>
      </c>
      <c r="AH76">
        <v>7.4149099999999996E-2</v>
      </c>
      <c r="AI76">
        <v>18.989699999999999</v>
      </c>
      <c r="AJ76">
        <v>999.9</v>
      </c>
      <c r="AK76">
        <v>999.9</v>
      </c>
      <c r="AL76">
        <v>0</v>
      </c>
      <c r="AM76">
        <v>0</v>
      </c>
      <c r="AN76">
        <v>4991.5</v>
      </c>
      <c r="AO76">
        <v>0</v>
      </c>
      <c r="AP76">
        <v>2.0325500000000001</v>
      </c>
      <c r="AQ76">
        <v>7.6751700000000003E-3</v>
      </c>
      <c r="AR76">
        <v>50.735599999999998</v>
      </c>
      <c r="AS76">
        <v>50.727899999999998</v>
      </c>
      <c r="AT76">
        <v>-5.8460200000000004E-4</v>
      </c>
      <c r="AU76">
        <v>49.999000000000002</v>
      </c>
      <c r="AV76">
        <v>14.367100000000001</v>
      </c>
      <c r="AW76">
        <v>1.43611</v>
      </c>
      <c r="AX76">
        <v>1.4361600000000001</v>
      </c>
      <c r="AY76">
        <v>12.3043</v>
      </c>
      <c r="AZ76">
        <v>12.305</v>
      </c>
      <c r="BA76">
        <v>799.995</v>
      </c>
      <c r="BB76">
        <v>0.89998199999999995</v>
      </c>
      <c r="BC76">
        <v>0</v>
      </c>
      <c r="BD76">
        <v>0.100018</v>
      </c>
      <c r="BE76">
        <v>0</v>
      </c>
      <c r="BF76">
        <v>25</v>
      </c>
      <c r="BG76">
        <v>13190.9</v>
      </c>
      <c r="BH76">
        <v>1771086652</v>
      </c>
      <c r="BI76" t="s">
        <v>416</v>
      </c>
      <c r="BJ76">
        <v>1771086652</v>
      </c>
      <c r="BK76">
        <v>1771086652</v>
      </c>
      <c r="BL76">
        <v>3</v>
      </c>
      <c r="BM76">
        <v>0.17899999999999999</v>
      </c>
      <c r="BN76">
        <v>-3.5999999999999997E-2</v>
      </c>
      <c r="BO76">
        <v>-0.48699999999999999</v>
      </c>
      <c r="BP76">
        <v>0.104</v>
      </c>
      <c r="BQ76">
        <v>50</v>
      </c>
      <c r="BR76">
        <v>14</v>
      </c>
      <c r="BS76">
        <v>0.14000000000000001</v>
      </c>
      <c r="BT76">
        <v>0.03</v>
      </c>
      <c r="BU76">
        <v>-0.121841814761905</v>
      </c>
      <c r="BV76">
        <v>-0.498640243636363</v>
      </c>
      <c r="BW76">
        <v>9.7401122243367194E-2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0.14331448085714299</v>
      </c>
      <c r="CD76">
        <v>-1.6150692794805199</v>
      </c>
      <c r="CE76">
        <v>0.242511912267523</v>
      </c>
      <c r="CF76">
        <v>0</v>
      </c>
      <c r="CG76">
        <v>1</v>
      </c>
      <c r="CH76">
        <v>2</v>
      </c>
      <c r="CI76" t="s">
        <v>299</v>
      </c>
      <c r="CJ76">
        <v>3.5332400000000002</v>
      </c>
      <c r="CK76">
        <v>2.7117800000000001</v>
      </c>
      <c r="CL76">
        <v>1.47327E-2</v>
      </c>
      <c r="CM76">
        <v>1.4430500000000001E-2</v>
      </c>
      <c r="CN76">
        <v>8.2690100000000002E-2</v>
      </c>
      <c r="CO76">
        <v>8.19632E-2</v>
      </c>
      <c r="CP76">
        <v>34592.9</v>
      </c>
      <c r="CQ76">
        <v>30361.7</v>
      </c>
      <c r="CR76">
        <v>32491.1</v>
      </c>
      <c r="CS76">
        <v>30728.7</v>
      </c>
      <c r="CT76">
        <v>40341.4</v>
      </c>
      <c r="CU76">
        <v>39652.699999999997</v>
      </c>
      <c r="CV76">
        <v>47436.6</v>
      </c>
      <c r="CW76">
        <v>46849.5</v>
      </c>
      <c r="CX76">
        <v>1.6607400000000001</v>
      </c>
      <c r="CY76">
        <v>1.6045799999999999</v>
      </c>
      <c r="CZ76">
        <v>0</v>
      </c>
      <c r="DA76">
        <v>0</v>
      </c>
      <c r="DB76">
        <v>999.9</v>
      </c>
      <c r="DC76">
        <v>999.9</v>
      </c>
      <c r="DD76">
        <v>68.075000000000003</v>
      </c>
      <c r="DE76">
        <v>23.937000000000001</v>
      </c>
      <c r="DF76">
        <v>20.319299999999998</v>
      </c>
      <c r="DG76">
        <v>29.537299999999998</v>
      </c>
      <c r="DH76">
        <v>15.677099999999999</v>
      </c>
      <c r="DI76">
        <v>2</v>
      </c>
      <c r="DJ76">
        <v>-0.19561600000000001</v>
      </c>
      <c r="DK76">
        <v>1.9409000000000001</v>
      </c>
      <c r="DL76">
        <v>20.197399999999998</v>
      </c>
      <c r="DM76">
        <v>5.2454400000000003</v>
      </c>
      <c r="DN76">
        <v>12.033899999999999</v>
      </c>
      <c r="DO76">
        <v>4.96584</v>
      </c>
      <c r="DP76">
        <v>3.2901400000000001</v>
      </c>
      <c r="DQ76">
        <v>9999</v>
      </c>
      <c r="DR76">
        <v>9999</v>
      </c>
      <c r="DS76">
        <v>9999</v>
      </c>
      <c r="DT76">
        <v>604.20000000000005</v>
      </c>
      <c r="DU76">
        <v>1.87103</v>
      </c>
      <c r="DV76">
        <v>1.8760699999999999</v>
      </c>
      <c r="DW76">
        <v>1.8762700000000001</v>
      </c>
      <c r="DX76">
        <v>1.8828</v>
      </c>
      <c r="DY76">
        <v>1.87558</v>
      </c>
      <c r="DZ76">
        <v>1.8746499999999999</v>
      </c>
      <c r="EA76">
        <v>1.8707400000000001</v>
      </c>
      <c r="EB76">
        <v>1.8746700000000001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-0.48699999999999999</v>
      </c>
      <c r="EQ76">
        <v>0.1041</v>
      </c>
      <c r="ER76">
        <v>-0.48728000000000499</v>
      </c>
      <c r="ES76">
        <v>0</v>
      </c>
      <c r="ET76">
        <v>0</v>
      </c>
      <c r="EU76">
        <v>0</v>
      </c>
      <c r="EV76">
        <v>0.10407000000000199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</v>
      </c>
      <c r="FE76">
        <v>0</v>
      </c>
      <c r="FF76">
        <v>0.29052699999999998</v>
      </c>
      <c r="FG76">
        <v>2.5903299999999998</v>
      </c>
      <c r="FH76">
        <v>2.19604</v>
      </c>
      <c r="FI76">
        <v>2.5830099999999998</v>
      </c>
      <c r="FJ76">
        <v>2.4462899999999999</v>
      </c>
      <c r="FK76">
        <v>2.2875999999999999</v>
      </c>
      <c r="FL76">
        <v>29.495200000000001</v>
      </c>
      <c r="FM76">
        <v>24.148800000000001</v>
      </c>
      <c r="FN76">
        <v>19</v>
      </c>
      <c r="FO76">
        <v>271.02800000000002</v>
      </c>
      <c r="FP76">
        <v>269.06299999999999</v>
      </c>
      <c r="FQ76">
        <v>18.041599999999999</v>
      </c>
      <c r="FR76">
        <v>24.535900000000002</v>
      </c>
      <c r="FS76">
        <v>29.999700000000001</v>
      </c>
      <c r="FT76">
        <v>24.527899999999999</v>
      </c>
      <c r="FU76">
        <v>24.526599999999998</v>
      </c>
      <c r="FV76">
        <v>5.8476600000000003</v>
      </c>
      <c r="FW76">
        <v>31.1541</v>
      </c>
      <c r="FX76">
        <v>67.024199999999993</v>
      </c>
      <c r="FY76">
        <v>18.079699999999999</v>
      </c>
      <c r="FZ76">
        <v>50</v>
      </c>
      <c r="GA76">
        <v>15.1332</v>
      </c>
      <c r="GB76">
        <v>99.967600000000004</v>
      </c>
      <c r="GC76">
        <v>99.743499999999997</v>
      </c>
    </row>
    <row r="77" spans="1:185" x14ac:dyDescent="0.2">
      <c r="A77">
        <v>62</v>
      </c>
      <c r="B77">
        <v>1771086669</v>
      </c>
      <c r="C77">
        <v>1349</v>
      </c>
      <c r="D77" t="s">
        <v>419</v>
      </c>
      <c r="E77" t="s">
        <v>420</v>
      </c>
      <c r="F77">
        <v>15</v>
      </c>
      <c r="G77">
        <v>1771086660.9333301</v>
      </c>
      <c r="H77">
        <f t="shared" si="0"/>
        <v>5.8247715014675904E-4</v>
      </c>
      <c r="I77">
        <v>0</v>
      </c>
      <c r="J77">
        <f t="shared" si="12"/>
        <v>-1.0642815877144095E-2</v>
      </c>
      <c r="K77">
        <f t="shared" si="1"/>
        <v>-0.28848347674164948</v>
      </c>
      <c r="L77">
        <f t="shared" si="2"/>
        <v>69.02855911771789</v>
      </c>
      <c r="M77">
        <f t="shared" si="3"/>
        <v>1.5206098462957824</v>
      </c>
      <c r="N77">
        <f t="shared" si="4"/>
        <v>2.2028706172217931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26134.73512271927</v>
      </c>
      <c r="T77">
        <f t="shared" si="8"/>
        <v>799.99720000000002</v>
      </c>
      <c r="U77">
        <f t="shared" si="9"/>
        <v>674.39791159904792</v>
      </c>
      <c r="V77">
        <f t="shared" si="10"/>
        <v>0.8430003399999999</v>
      </c>
      <c r="W77">
        <f t="shared" si="11"/>
        <v>0.15870084999999998</v>
      </c>
      <c r="X77">
        <v>1</v>
      </c>
      <c r="Y77">
        <v>1771086660.9333301</v>
      </c>
      <c r="Z77">
        <v>50.314453333333297</v>
      </c>
      <c r="AA77">
        <v>49.990639999999999</v>
      </c>
      <c r="AB77">
        <v>15.2018733333333</v>
      </c>
      <c r="AC77">
        <v>14.485193333333299</v>
      </c>
      <c r="AD77">
        <v>50.801720000000003</v>
      </c>
      <c r="AE77">
        <v>15.097813333333299</v>
      </c>
      <c r="AF77">
        <v>800.388466666667</v>
      </c>
      <c r="AG77">
        <v>99.961240000000004</v>
      </c>
      <c r="AH77">
        <v>6.6553479999999998E-2</v>
      </c>
      <c r="AI77">
        <v>18.9832066666667</v>
      </c>
      <c r="AJ77">
        <v>999.9</v>
      </c>
      <c r="AK77">
        <v>999.9</v>
      </c>
      <c r="AL77">
        <v>0</v>
      </c>
      <c r="AM77">
        <v>0</v>
      </c>
      <c r="AN77">
        <v>4987</v>
      </c>
      <c r="AO77">
        <v>0</v>
      </c>
      <c r="AP77">
        <v>2.0357893333333301</v>
      </c>
      <c r="AQ77">
        <v>0.323812298</v>
      </c>
      <c r="AR77">
        <v>51.091180000000001</v>
      </c>
      <c r="AS77">
        <v>50.7254133333333</v>
      </c>
      <c r="AT77">
        <v>0.71667469319999999</v>
      </c>
      <c r="AU77">
        <v>49.990639999999999</v>
      </c>
      <c r="AV77">
        <v>14.485193333333299</v>
      </c>
      <c r="AW77">
        <v>1.5195986666666701</v>
      </c>
      <c r="AX77">
        <v>1.44795933333333</v>
      </c>
      <c r="AY77">
        <v>13.163133333333301</v>
      </c>
      <c r="AZ77">
        <v>12.429320000000001</v>
      </c>
      <c r="BA77">
        <v>799.99720000000002</v>
      </c>
      <c r="BB77">
        <v>0.89998866666666699</v>
      </c>
      <c r="BC77">
        <v>0</v>
      </c>
      <c r="BD77">
        <v>0.10001133333333299</v>
      </c>
      <c r="BE77">
        <v>0</v>
      </c>
      <c r="BF77">
        <v>25</v>
      </c>
      <c r="BG77">
        <v>13190.9333333333</v>
      </c>
      <c r="BH77">
        <v>1771086652</v>
      </c>
      <c r="BI77" t="s">
        <v>416</v>
      </c>
      <c r="BJ77">
        <v>1771086652</v>
      </c>
      <c r="BK77">
        <v>1771086652</v>
      </c>
      <c r="BL77">
        <v>3</v>
      </c>
      <c r="BM77">
        <v>0.17899999999999999</v>
      </c>
      <c r="BN77">
        <v>-3.5999999999999997E-2</v>
      </c>
      <c r="BO77">
        <v>-0.48699999999999999</v>
      </c>
      <c r="BP77">
        <v>0.104</v>
      </c>
      <c r="BQ77">
        <v>50</v>
      </c>
      <c r="BR77">
        <v>14</v>
      </c>
      <c r="BS77">
        <v>0.14000000000000001</v>
      </c>
      <c r="BT77">
        <v>0.03</v>
      </c>
      <c r="BU77">
        <v>0.162817679761905</v>
      </c>
      <c r="BV77">
        <v>2.2945211146753199</v>
      </c>
      <c r="BW77">
        <v>0.24951526089875001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0.478184923714286</v>
      </c>
      <c r="CD77">
        <v>3.6852804629610398</v>
      </c>
      <c r="CE77">
        <v>0.39938724031649098</v>
      </c>
      <c r="CF77">
        <v>0</v>
      </c>
      <c r="CG77">
        <v>0</v>
      </c>
      <c r="CH77">
        <v>2</v>
      </c>
      <c r="CI77" t="s">
        <v>290</v>
      </c>
      <c r="CJ77">
        <v>3.5324300000000002</v>
      </c>
      <c r="CK77">
        <v>2.7026699999999999</v>
      </c>
      <c r="CL77">
        <v>1.4841200000000001E-2</v>
      </c>
      <c r="CM77">
        <v>1.4427199999999999E-2</v>
      </c>
      <c r="CN77">
        <v>8.7368699999999994E-2</v>
      </c>
      <c r="CO77">
        <v>8.2586999999999994E-2</v>
      </c>
      <c r="CP77">
        <v>34588.800000000003</v>
      </c>
      <c r="CQ77">
        <v>30361.200000000001</v>
      </c>
      <c r="CR77">
        <v>32490.9</v>
      </c>
      <c r="CS77">
        <v>30728.2</v>
      </c>
      <c r="CT77">
        <v>40128</v>
      </c>
      <c r="CU77">
        <v>39624.6</v>
      </c>
      <c r="CV77">
        <v>47436</v>
      </c>
      <c r="CW77">
        <v>46849.2</v>
      </c>
      <c r="CX77">
        <v>2.6345399999999999</v>
      </c>
      <c r="CY77">
        <v>2.1757599999999999</v>
      </c>
      <c r="CZ77">
        <v>0</v>
      </c>
      <c r="DA77">
        <v>0</v>
      </c>
      <c r="DB77">
        <v>999.9</v>
      </c>
      <c r="DC77">
        <v>999.9</v>
      </c>
      <c r="DD77">
        <v>67.983000000000004</v>
      </c>
      <c r="DE77">
        <v>23.946999999999999</v>
      </c>
      <c r="DF77">
        <v>20.3035</v>
      </c>
      <c r="DG77">
        <v>30.017299999999999</v>
      </c>
      <c r="DH77">
        <v>15.1242</v>
      </c>
      <c r="DI77">
        <v>2</v>
      </c>
      <c r="DJ77">
        <v>-0.195441</v>
      </c>
      <c r="DK77">
        <v>1.8955900000000001</v>
      </c>
      <c r="DL77">
        <v>20.199400000000001</v>
      </c>
      <c r="DM77">
        <v>5.2502399999999998</v>
      </c>
      <c r="DN77">
        <v>12.033899999999999</v>
      </c>
      <c r="DO77">
        <v>4.9666800000000002</v>
      </c>
      <c r="DP77">
        <v>3.2909999999999999</v>
      </c>
      <c r="DQ77">
        <v>9999</v>
      </c>
      <c r="DR77">
        <v>9999</v>
      </c>
      <c r="DS77">
        <v>9999</v>
      </c>
      <c r="DT77">
        <v>604.20000000000005</v>
      </c>
      <c r="DU77">
        <v>1.87103</v>
      </c>
      <c r="DV77">
        <v>1.87608</v>
      </c>
      <c r="DW77">
        <v>1.8763000000000001</v>
      </c>
      <c r="DX77">
        <v>1.88279</v>
      </c>
      <c r="DY77">
        <v>1.8755900000000001</v>
      </c>
      <c r="DZ77">
        <v>1.8746499999999999</v>
      </c>
      <c r="EA77">
        <v>1.8707400000000001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-0.48699999999999999</v>
      </c>
      <c r="EQ77">
        <v>0.1041</v>
      </c>
      <c r="ER77">
        <v>-0.48728000000000499</v>
      </c>
      <c r="ES77">
        <v>0</v>
      </c>
      <c r="ET77">
        <v>0</v>
      </c>
      <c r="EU77">
        <v>0</v>
      </c>
      <c r="EV77">
        <v>0.10407000000000199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0.3</v>
      </c>
      <c r="FE77">
        <v>0.3</v>
      </c>
      <c r="FF77">
        <v>0.29052699999999998</v>
      </c>
      <c r="FG77">
        <v>2.5891099999999998</v>
      </c>
      <c r="FH77">
        <v>2.19604</v>
      </c>
      <c r="FI77">
        <v>2.5830099999999998</v>
      </c>
      <c r="FJ77">
        <v>2.4462899999999999</v>
      </c>
      <c r="FK77">
        <v>2.2644000000000002</v>
      </c>
      <c r="FL77">
        <v>29.495200000000001</v>
      </c>
      <c r="FM77">
        <v>24.148800000000001</v>
      </c>
      <c r="FN77">
        <v>19</v>
      </c>
      <c r="FO77">
        <v>860.31600000000003</v>
      </c>
      <c r="FP77">
        <v>600.56700000000001</v>
      </c>
      <c r="FQ77">
        <v>18.104099999999999</v>
      </c>
      <c r="FR77">
        <v>24.5441</v>
      </c>
      <c r="FS77">
        <v>30.0002</v>
      </c>
      <c r="FT77">
        <v>24.52</v>
      </c>
      <c r="FU77">
        <v>24.5197</v>
      </c>
      <c r="FV77">
        <v>5.8496100000000002</v>
      </c>
      <c r="FW77">
        <v>32.682000000000002</v>
      </c>
      <c r="FX77">
        <v>66.651499999999999</v>
      </c>
      <c r="FY77">
        <v>18.112500000000001</v>
      </c>
      <c r="FZ77">
        <v>50</v>
      </c>
      <c r="GA77">
        <v>14.455299999999999</v>
      </c>
      <c r="GB77">
        <v>99.966499999999996</v>
      </c>
      <c r="GC77">
        <v>99.742400000000004</v>
      </c>
    </row>
    <row r="78" spans="1:185" x14ac:dyDescent="0.2">
      <c r="A78">
        <v>63</v>
      </c>
      <c r="B78">
        <v>1771086684</v>
      </c>
      <c r="C78">
        <v>1364</v>
      </c>
      <c r="D78" t="s">
        <v>421</v>
      </c>
      <c r="E78" t="s">
        <v>422</v>
      </c>
      <c r="F78">
        <v>15</v>
      </c>
      <c r="G78">
        <v>1771086675.9333301</v>
      </c>
      <c r="H78">
        <f t="shared" si="0"/>
        <v>7.7690382400885888E-4</v>
      </c>
      <c r="I78">
        <v>0</v>
      </c>
      <c r="J78">
        <f t="shared" si="12"/>
        <v>-1.2841892970639195E-2</v>
      </c>
      <c r="K78">
        <f t="shared" si="1"/>
        <v>-0.34809151777868208</v>
      </c>
      <c r="L78">
        <f t="shared" si="2"/>
        <v>70.221916586364316</v>
      </c>
      <c r="M78">
        <f t="shared" si="3"/>
        <v>1.546298857225813</v>
      </c>
      <c r="N78">
        <f t="shared" si="4"/>
        <v>2.2020174503839631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26248.4505171534</v>
      </c>
      <c r="T78">
        <f t="shared" si="8"/>
        <v>799.99993333333305</v>
      </c>
      <c r="U78">
        <f t="shared" si="9"/>
        <v>674.4001917999791</v>
      </c>
      <c r="V78">
        <f t="shared" si="10"/>
        <v>0.84300030999999997</v>
      </c>
      <c r="W78">
        <f t="shared" si="11"/>
        <v>0.15870077499999996</v>
      </c>
      <c r="X78">
        <v>1</v>
      </c>
      <c r="Y78">
        <v>1771086675.9333301</v>
      </c>
      <c r="Z78">
        <v>50.391666666666701</v>
      </c>
      <c r="AA78">
        <v>50.005493333333298</v>
      </c>
      <c r="AB78">
        <v>15.45898</v>
      </c>
      <c r="AC78">
        <v>14.5028733333333</v>
      </c>
      <c r="AD78">
        <v>50.8789466666667</v>
      </c>
      <c r="AE78">
        <v>15.35492</v>
      </c>
      <c r="AF78">
        <v>800.008733333333</v>
      </c>
      <c r="AG78">
        <v>99.961246666666696</v>
      </c>
      <c r="AH78">
        <v>6.4683713333333295E-2</v>
      </c>
      <c r="AI78">
        <v>18.977</v>
      </c>
      <c r="AJ78">
        <v>999.9</v>
      </c>
      <c r="AK78">
        <v>999.9</v>
      </c>
      <c r="AL78">
        <v>0</v>
      </c>
      <c r="AM78">
        <v>0</v>
      </c>
      <c r="AN78">
        <v>5005.6666666666697</v>
      </c>
      <c r="AO78">
        <v>0</v>
      </c>
      <c r="AP78">
        <v>2.0325500000000001</v>
      </c>
      <c r="AQ78">
        <v>0.38617653333333302</v>
      </c>
      <c r="AR78">
        <v>51.182893333333297</v>
      </c>
      <c r="AS78">
        <v>50.741386666666699</v>
      </c>
      <c r="AT78">
        <v>0.95611726666666697</v>
      </c>
      <c r="AU78">
        <v>50.005493333333298</v>
      </c>
      <c r="AV78">
        <v>14.5028733333333</v>
      </c>
      <c r="AW78">
        <v>1.5452999999999999</v>
      </c>
      <c r="AX78">
        <v>1.4497246666666701</v>
      </c>
      <c r="AY78">
        <v>13.4238866666667</v>
      </c>
      <c r="AZ78">
        <v>12.4479733333333</v>
      </c>
      <c r="BA78">
        <v>799.99993333333305</v>
      </c>
      <c r="BB78">
        <v>0.89998966666666702</v>
      </c>
      <c r="BC78">
        <v>0</v>
      </c>
      <c r="BD78">
        <v>0.10001033333333301</v>
      </c>
      <c r="BE78">
        <v>0</v>
      </c>
      <c r="BF78">
        <v>25</v>
      </c>
      <c r="BG78">
        <v>13190.98</v>
      </c>
      <c r="BH78">
        <v>1771086652</v>
      </c>
      <c r="BI78" t="s">
        <v>416</v>
      </c>
      <c r="BJ78">
        <v>1771086652</v>
      </c>
      <c r="BK78">
        <v>1771086652</v>
      </c>
      <c r="BL78">
        <v>3</v>
      </c>
      <c r="BM78">
        <v>0.17899999999999999</v>
      </c>
      <c r="BN78">
        <v>-3.5999999999999997E-2</v>
      </c>
      <c r="BO78">
        <v>-0.48699999999999999</v>
      </c>
      <c r="BP78">
        <v>0.104</v>
      </c>
      <c r="BQ78">
        <v>50</v>
      </c>
      <c r="BR78">
        <v>14</v>
      </c>
      <c r="BS78">
        <v>0.14000000000000001</v>
      </c>
      <c r="BT78">
        <v>0.03</v>
      </c>
      <c r="BU78">
        <v>0.38816519047619003</v>
      </c>
      <c r="BV78">
        <v>-7.4906493506493393E-2</v>
      </c>
      <c r="BW78">
        <v>1.8360029862043999E-2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0.94579671428571399</v>
      </c>
      <c r="CD78">
        <v>0.186739636363638</v>
      </c>
      <c r="CE78">
        <v>1.9638155272066599E-2</v>
      </c>
      <c r="CF78">
        <v>0</v>
      </c>
      <c r="CG78">
        <v>1</v>
      </c>
      <c r="CH78">
        <v>2</v>
      </c>
      <c r="CI78" t="s">
        <v>299</v>
      </c>
      <c r="CJ78">
        <v>3.5325000000000002</v>
      </c>
      <c r="CK78">
        <v>2.7026500000000002</v>
      </c>
      <c r="CL78">
        <v>1.4838499999999999E-2</v>
      </c>
      <c r="CM78">
        <v>1.44262E-2</v>
      </c>
      <c r="CN78">
        <v>8.7457199999999999E-2</v>
      </c>
      <c r="CO78">
        <v>8.2517800000000002E-2</v>
      </c>
      <c r="CP78">
        <v>34588.199999999997</v>
      </c>
      <c r="CQ78">
        <v>30361.5</v>
      </c>
      <c r="CR78">
        <v>32490.2</v>
      </c>
      <c r="CS78">
        <v>30728.5</v>
      </c>
      <c r="CT78">
        <v>40123</v>
      </c>
      <c r="CU78">
        <v>39627.9</v>
      </c>
      <c r="CV78">
        <v>47434.8</v>
      </c>
      <c r="CW78">
        <v>46849.5</v>
      </c>
      <c r="CX78">
        <v>2.63646</v>
      </c>
      <c r="CY78">
        <v>2.17624</v>
      </c>
      <c r="CZ78">
        <v>0</v>
      </c>
      <c r="DA78">
        <v>0</v>
      </c>
      <c r="DB78">
        <v>999.9</v>
      </c>
      <c r="DC78">
        <v>999.9</v>
      </c>
      <c r="DD78">
        <v>67.891999999999996</v>
      </c>
      <c r="DE78">
        <v>23.966999999999999</v>
      </c>
      <c r="DF78">
        <v>20.300599999999999</v>
      </c>
      <c r="DG78">
        <v>30.2273</v>
      </c>
      <c r="DH78">
        <v>15.0962</v>
      </c>
      <c r="DI78">
        <v>2</v>
      </c>
      <c r="DJ78">
        <v>-0.19494300000000001</v>
      </c>
      <c r="DK78">
        <v>1.83646</v>
      </c>
      <c r="DL78">
        <v>20.1999</v>
      </c>
      <c r="DM78">
        <v>5.25</v>
      </c>
      <c r="DN78">
        <v>12.033899999999999</v>
      </c>
      <c r="DO78">
        <v>4.96652</v>
      </c>
      <c r="DP78">
        <v>3.29088</v>
      </c>
      <c r="DQ78">
        <v>9999</v>
      </c>
      <c r="DR78">
        <v>9999</v>
      </c>
      <c r="DS78">
        <v>9999</v>
      </c>
      <c r="DT78">
        <v>604.20000000000005</v>
      </c>
      <c r="DU78">
        <v>1.87103</v>
      </c>
      <c r="DV78">
        <v>1.87608</v>
      </c>
      <c r="DW78">
        <v>1.87629</v>
      </c>
      <c r="DX78">
        <v>1.8828</v>
      </c>
      <c r="DY78">
        <v>1.87558</v>
      </c>
      <c r="DZ78">
        <v>1.87466</v>
      </c>
      <c r="EA78">
        <v>1.8707400000000001</v>
      </c>
      <c r="EB78">
        <v>1.8746700000000001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-0.48699999999999999</v>
      </c>
      <c r="EQ78">
        <v>0.104</v>
      </c>
      <c r="ER78">
        <v>-0.48728000000000499</v>
      </c>
      <c r="ES78">
        <v>0</v>
      </c>
      <c r="ET78">
        <v>0</v>
      </c>
      <c r="EU78">
        <v>0</v>
      </c>
      <c r="EV78">
        <v>0.10407000000000199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0.5</v>
      </c>
      <c r="FE78">
        <v>0.5</v>
      </c>
      <c r="FF78">
        <v>0.29052699999999998</v>
      </c>
      <c r="FG78">
        <v>2.5915499999999998</v>
      </c>
      <c r="FH78">
        <v>2.19604</v>
      </c>
      <c r="FI78">
        <v>2.5830099999999998</v>
      </c>
      <c r="FJ78">
        <v>2.4462899999999999</v>
      </c>
      <c r="FK78">
        <v>2.2717299999999998</v>
      </c>
      <c r="FL78">
        <v>29.537800000000001</v>
      </c>
      <c r="FM78">
        <v>24.148800000000001</v>
      </c>
      <c r="FN78">
        <v>19</v>
      </c>
      <c r="FO78">
        <v>862.18200000000002</v>
      </c>
      <c r="FP78">
        <v>601.03099999999995</v>
      </c>
      <c r="FQ78">
        <v>18.148299999999999</v>
      </c>
      <c r="FR78">
        <v>24.552399999999999</v>
      </c>
      <c r="FS78">
        <v>30.0001</v>
      </c>
      <c r="FT78">
        <v>24.5258</v>
      </c>
      <c r="FU78">
        <v>24.527000000000001</v>
      </c>
      <c r="FV78">
        <v>5.8491600000000004</v>
      </c>
      <c r="FW78">
        <v>32.682000000000002</v>
      </c>
      <c r="FX78">
        <v>66.651499999999999</v>
      </c>
      <c r="FY78">
        <v>18.159600000000001</v>
      </c>
      <c r="FZ78">
        <v>50</v>
      </c>
      <c r="GA78">
        <v>14.440799999999999</v>
      </c>
      <c r="GB78">
        <v>99.964200000000005</v>
      </c>
      <c r="GC78">
        <v>99.742999999999995</v>
      </c>
    </row>
    <row r="79" spans="1:185" x14ac:dyDescent="0.2">
      <c r="A79">
        <v>64</v>
      </c>
      <c r="B79">
        <v>1771086699</v>
      </c>
      <c r="C79">
        <v>1379</v>
      </c>
      <c r="D79" t="s">
        <v>423</v>
      </c>
      <c r="E79" t="s">
        <v>424</v>
      </c>
      <c r="F79">
        <v>15</v>
      </c>
      <c r="G79">
        <v>1771086690.9333301</v>
      </c>
      <c r="H79">
        <f t="shared" si="0"/>
        <v>7.9936388416589445E-4</v>
      </c>
      <c r="I79">
        <v>0</v>
      </c>
      <c r="J79">
        <f t="shared" si="12"/>
        <v>-1.2035179450219664E-2</v>
      </c>
      <c r="K79">
        <f t="shared" si="1"/>
        <v>-0.32622479342757255</v>
      </c>
      <c r="L79">
        <f t="shared" si="2"/>
        <v>70.283464520340061</v>
      </c>
      <c r="M79">
        <f t="shared" si="3"/>
        <v>1.5476882840598332</v>
      </c>
      <c r="N79">
        <f t="shared" si="4"/>
        <v>2.2020660117173527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26178.997375232957</v>
      </c>
      <c r="T79">
        <f t="shared" si="8"/>
        <v>799.99953333333303</v>
      </c>
      <c r="U79">
        <f t="shared" si="9"/>
        <v>674.39984979985786</v>
      </c>
      <c r="V79">
        <f t="shared" si="10"/>
        <v>0.84300030400000003</v>
      </c>
      <c r="W79">
        <f t="shared" si="11"/>
        <v>0.15870075999999997</v>
      </c>
      <c r="X79">
        <v>1</v>
      </c>
      <c r="Y79">
        <v>1771086690.9333301</v>
      </c>
      <c r="Z79">
        <v>50.363713333333301</v>
      </c>
      <c r="AA79">
        <v>50.006259999999997</v>
      </c>
      <c r="AB79">
        <v>15.47284</v>
      </c>
      <c r="AC79">
        <v>14.4891066666667</v>
      </c>
      <c r="AD79">
        <v>50.8509933333333</v>
      </c>
      <c r="AE79">
        <v>15.3687733333333</v>
      </c>
      <c r="AF79">
        <v>800.00893333333295</v>
      </c>
      <c r="AG79">
        <v>99.961560000000006</v>
      </c>
      <c r="AH79">
        <v>6.4568626666666698E-2</v>
      </c>
      <c r="AI79">
        <v>18.977353333333301</v>
      </c>
      <c r="AJ79">
        <v>999.9</v>
      </c>
      <c r="AK79">
        <v>999.9</v>
      </c>
      <c r="AL79">
        <v>0</v>
      </c>
      <c r="AM79">
        <v>0</v>
      </c>
      <c r="AN79">
        <v>4994.2</v>
      </c>
      <c r="AO79">
        <v>0</v>
      </c>
      <c r="AP79">
        <v>2.0325500000000001</v>
      </c>
      <c r="AQ79">
        <v>0.35744906666666698</v>
      </c>
      <c r="AR79">
        <v>51.155246666666699</v>
      </c>
      <c r="AS79">
        <v>50.741466666666703</v>
      </c>
      <c r="AT79">
        <v>0.98374106666666705</v>
      </c>
      <c r="AU79">
        <v>50.006259999999997</v>
      </c>
      <c r="AV79">
        <v>14.4891066666667</v>
      </c>
      <c r="AW79">
        <v>1.5466899999999999</v>
      </c>
      <c r="AX79">
        <v>1.44835266666667</v>
      </c>
      <c r="AY79">
        <v>13.4377</v>
      </c>
      <c r="AZ79">
        <v>12.433579999999999</v>
      </c>
      <c r="BA79">
        <v>799.99953333333303</v>
      </c>
      <c r="BB79">
        <v>0.89998986666666703</v>
      </c>
      <c r="BC79">
        <v>0</v>
      </c>
      <c r="BD79">
        <v>0.100010133333333</v>
      </c>
      <c r="BE79">
        <v>0</v>
      </c>
      <c r="BF79">
        <v>25</v>
      </c>
      <c r="BG79">
        <v>13190.973333333301</v>
      </c>
      <c r="BH79">
        <v>1771086652</v>
      </c>
      <c r="BI79" t="s">
        <v>416</v>
      </c>
      <c r="BJ79">
        <v>1771086652</v>
      </c>
      <c r="BK79">
        <v>1771086652</v>
      </c>
      <c r="BL79">
        <v>3</v>
      </c>
      <c r="BM79">
        <v>0.17899999999999999</v>
      </c>
      <c r="BN79">
        <v>-3.5999999999999997E-2</v>
      </c>
      <c r="BO79">
        <v>-0.48699999999999999</v>
      </c>
      <c r="BP79">
        <v>0.104</v>
      </c>
      <c r="BQ79">
        <v>50</v>
      </c>
      <c r="BR79">
        <v>14</v>
      </c>
      <c r="BS79">
        <v>0.14000000000000001</v>
      </c>
      <c r="BT79">
        <v>0.03</v>
      </c>
      <c r="BU79">
        <v>0.36385504761904802</v>
      </c>
      <c r="BV79">
        <v>-0.16958275324675201</v>
      </c>
      <c r="BW79">
        <v>2.6793774473215601E-2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0.97698623809523799</v>
      </c>
      <c r="CD79">
        <v>0.11995090909091</v>
      </c>
      <c r="CE79">
        <v>1.28605581597925E-2</v>
      </c>
      <c r="CF79">
        <v>0</v>
      </c>
      <c r="CG79">
        <v>1</v>
      </c>
      <c r="CH79">
        <v>2</v>
      </c>
      <c r="CI79" t="s">
        <v>299</v>
      </c>
      <c r="CJ79">
        <v>3.5324900000000001</v>
      </c>
      <c r="CK79">
        <v>2.7023299999999999</v>
      </c>
      <c r="CL79">
        <v>1.4825100000000001E-2</v>
      </c>
      <c r="CM79">
        <v>1.4424599999999999E-2</v>
      </c>
      <c r="CN79">
        <v>8.74727E-2</v>
      </c>
      <c r="CO79">
        <v>8.2433800000000002E-2</v>
      </c>
      <c r="CP79">
        <v>34588.300000000003</v>
      </c>
      <c r="CQ79">
        <v>30361.3</v>
      </c>
      <c r="CR79">
        <v>32489.9</v>
      </c>
      <c r="CS79">
        <v>30728.3</v>
      </c>
      <c r="CT79">
        <v>40122.400000000001</v>
      </c>
      <c r="CU79">
        <v>39631.300000000003</v>
      </c>
      <c r="CV79">
        <v>47434.9</v>
      </c>
      <c r="CW79">
        <v>46849.1</v>
      </c>
      <c r="CX79">
        <v>2.6368</v>
      </c>
      <c r="CY79">
        <v>2.1762800000000002</v>
      </c>
      <c r="CZ79">
        <v>0</v>
      </c>
      <c r="DA79">
        <v>0</v>
      </c>
      <c r="DB79">
        <v>999.9</v>
      </c>
      <c r="DC79">
        <v>999.9</v>
      </c>
      <c r="DD79">
        <v>67.781999999999996</v>
      </c>
      <c r="DE79">
        <v>23.978000000000002</v>
      </c>
      <c r="DF79">
        <v>20.283000000000001</v>
      </c>
      <c r="DG79">
        <v>30.4373</v>
      </c>
      <c r="DH79">
        <v>15.120200000000001</v>
      </c>
      <c r="DI79">
        <v>2</v>
      </c>
      <c r="DJ79">
        <v>-0.19425799999999999</v>
      </c>
      <c r="DK79">
        <v>1.7902499999999999</v>
      </c>
      <c r="DL79">
        <v>20.200800000000001</v>
      </c>
      <c r="DM79">
        <v>5.2503500000000001</v>
      </c>
      <c r="DN79">
        <v>12.033899999999999</v>
      </c>
      <c r="DO79">
        <v>4.9668000000000001</v>
      </c>
      <c r="DP79">
        <v>3.2909999999999999</v>
      </c>
      <c r="DQ79">
        <v>9999</v>
      </c>
      <c r="DR79">
        <v>9999</v>
      </c>
      <c r="DS79">
        <v>9999</v>
      </c>
      <c r="DT79">
        <v>604.20000000000005</v>
      </c>
      <c r="DU79">
        <v>1.87103</v>
      </c>
      <c r="DV79">
        <v>1.87608</v>
      </c>
      <c r="DW79">
        <v>1.87632</v>
      </c>
      <c r="DX79">
        <v>1.8828</v>
      </c>
      <c r="DY79">
        <v>1.8755999999999999</v>
      </c>
      <c r="DZ79">
        <v>1.87466</v>
      </c>
      <c r="EA79">
        <v>1.87073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-0.48699999999999999</v>
      </c>
      <c r="EQ79">
        <v>0.1041</v>
      </c>
      <c r="ER79">
        <v>-0.48728000000000499</v>
      </c>
      <c r="ES79">
        <v>0</v>
      </c>
      <c r="ET79">
        <v>0</v>
      </c>
      <c r="EU79">
        <v>0</v>
      </c>
      <c r="EV79">
        <v>0.10407000000000199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0.8</v>
      </c>
      <c r="FE79">
        <v>0.8</v>
      </c>
      <c r="FF79">
        <v>0.29052699999999998</v>
      </c>
      <c r="FG79">
        <v>2.5927699999999998</v>
      </c>
      <c r="FH79">
        <v>2.19604</v>
      </c>
      <c r="FI79">
        <v>2.5830099999999998</v>
      </c>
      <c r="FJ79">
        <v>2.4462899999999999</v>
      </c>
      <c r="FK79">
        <v>2.2668499999999998</v>
      </c>
      <c r="FL79">
        <v>29.537800000000001</v>
      </c>
      <c r="FM79">
        <v>24.14</v>
      </c>
      <c r="FN79">
        <v>19</v>
      </c>
      <c r="FO79">
        <v>862.61099999999999</v>
      </c>
      <c r="FP79">
        <v>601.14099999999996</v>
      </c>
      <c r="FQ79">
        <v>18.1983</v>
      </c>
      <c r="FR79">
        <v>24.559799999999999</v>
      </c>
      <c r="FS79">
        <v>30.000299999999999</v>
      </c>
      <c r="FT79">
        <v>24.532800000000002</v>
      </c>
      <c r="FU79">
        <v>24.5335</v>
      </c>
      <c r="FV79">
        <v>5.8488899999999999</v>
      </c>
      <c r="FW79">
        <v>32.682000000000002</v>
      </c>
      <c r="FX79">
        <v>66.269400000000005</v>
      </c>
      <c r="FY79">
        <v>18.2075</v>
      </c>
      <c r="FZ79">
        <v>50</v>
      </c>
      <c r="GA79">
        <v>14.4251</v>
      </c>
      <c r="GB79">
        <v>99.963899999999995</v>
      </c>
      <c r="GC79">
        <v>99.7423</v>
      </c>
    </row>
    <row r="80" spans="1:185" x14ac:dyDescent="0.2">
      <c r="A80">
        <v>65</v>
      </c>
      <c r="B80">
        <v>1771086714</v>
      </c>
      <c r="C80">
        <v>1394</v>
      </c>
      <c r="D80" t="s">
        <v>425</v>
      </c>
      <c r="E80" t="s">
        <v>426</v>
      </c>
      <c r="F80">
        <v>15</v>
      </c>
      <c r="G80">
        <v>1771086705.9333301</v>
      </c>
      <c r="H80">
        <f t="shared" ref="H80:H143" si="13">AF80*Q80*(AB80-AC80)/(1000*X80*(1000-Q80*AB80))</f>
        <v>8.0875716449482445E-4</v>
      </c>
      <c r="I80">
        <v>0</v>
      </c>
      <c r="J80">
        <f t="shared" si="12"/>
        <v>-1.1590146114471322E-2</v>
      </c>
      <c r="K80">
        <f t="shared" ref="K80:K143" si="14">AF80*Q80*(AA80-Z80*(1000-Q80*AC80)/(1000-Q80*AB80))/(1000*X80)</f>
        <v>-0.31416174869912555</v>
      </c>
      <c r="L80">
        <f t="shared" ref="L80:L143" si="15">(M80/N80*100)</f>
        <v>70.251789054727325</v>
      </c>
      <c r="M80">
        <f t="shared" ref="M80:M143" si="16">AB80*(AG80+AH80)/1000</f>
        <v>1.5473429026010448</v>
      </c>
      <c r="N80">
        <f t="shared" ref="N80:N143" si="17">0.61365*EXP(17.502*AI80/(240.97+AI80))</f>
        <v>2.2025672561813887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26175.187481636403</v>
      </c>
      <c r="T80">
        <f t="shared" ref="T80:T143" si="21">$B$11*AO80+$C$11*AP80+$D$11*BA80</f>
        <v>799.99993333333305</v>
      </c>
      <c r="U80">
        <f t="shared" ref="U80:U143" si="22">T80*V80</f>
        <v>674.40011499998548</v>
      </c>
      <c r="V80">
        <f t="shared" ref="V80:V143" si="23">($B$11*$D$9+$C$11*$D$9+$D$11*(BB80*$E$9+BC80*$F$9+BD80*$G$9+BE80*$H$9))/($B$11+$C$11+$D$11)</f>
        <v>0.84300021400000003</v>
      </c>
      <c r="W80">
        <f t="shared" ref="W80:W143" si="24">($B$11*$L$9+$C$11*$L$9+$D$11*(BB80*$M$9+BC80*$N$9+BD80*$O$9+BE80*$P$9))/($B$11+$C$11+$D$11)</f>
        <v>0.15870053499999998</v>
      </c>
      <c r="X80">
        <v>1</v>
      </c>
      <c r="Y80">
        <v>1771086705.9333301</v>
      </c>
      <c r="Z80">
        <v>50.339579999999998</v>
      </c>
      <c r="AA80">
        <v>49.997773333333299</v>
      </c>
      <c r="AB80">
        <v>15.469519999999999</v>
      </c>
      <c r="AC80">
        <v>14.4742266666667</v>
      </c>
      <c r="AD80">
        <v>50.826873333333303</v>
      </c>
      <c r="AE80">
        <v>15.365446666666699</v>
      </c>
      <c r="AF80">
        <v>800.01146666666705</v>
      </c>
      <c r="AG80">
        <v>99.960606666666706</v>
      </c>
      <c r="AH80">
        <v>6.4662546666666695E-2</v>
      </c>
      <c r="AI80">
        <v>18.981000000000002</v>
      </c>
      <c r="AJ80">
        <v>999.9</v>
      </c>
      <c r="AK80">
        <v>999.9</v>
      </c>
      <c r="AL80">
        <v>0</v>
      </c>
      <c r="AM80">
        <v>0</v>
      </c>
      <c r="AN80">
        <v>4993.6666666666697</v>
      </c>
      <c r="AO80">
        <v>0</v>
      </c>
      <c r="AP80">
        <v>2.0325500000000001</v>
      </c>
      <c r="AQ80">
        <v>0.341813266666667</v>
      </c>
      <c r="AR80">
        <v>51.130560000000003</v>
      </c>
      <c r="AS80">
        <v>50.732086666666703</v>
      </c>
      <c r="AT80">
        <v>0.99528819999999996</v>
      </c>
      <c r="AU80">
        <v>49.997773333333299</v>
      </c>
      <c r="AV80">
        <v>14.4742266666667</v>
      </c>
      <c r="AW80">
        <v>1.54634266666667</v>
      </c>
      <c r="AX80">
        <v>1.446852</v>
      </c>
      <c r="AY80">
        <v>13.434253333333301</v>
      </c>
      <c r="AZ80">
        <v>12.41778</v>
      </c>
      <c r="BA80">
        <v>799.99993333333305</v>
      </c>
      <c r="BB80">
        <v>0.899992866666667</v>
      </c>
      <c r="BC80">
        <v>0</v>
      </c>
      <c r="BD80">
        <v>0.100007133333333</v>
      </c>
      <c r="BE80">
        <v>0</v>
      </c>
      <c r="BF80">
        <v>25</v>
      </c>
      <c r="BG80">
        <v>13191.006666666701</v>
      </c>
      <c r="BH80">
        <v>1771086652</v>
      </c>
      <c r="BI80" t="s">
        <v>416</v>
      </c>
      <c r="BJ80">
        <v>1771086652</v>
      </c>
      <c r="BK80">
        <v>1771086652</v>
      </c>
      <c r="BL80">
        <v>3</v>
      </c>
      <c r="BM80">
        <v>0.17899999999999999</v>
      </c>
      <c r="BN80">
        <v>-3.5999999999999997E-2</v>
      </c>
      <c r="BO80">
        <v>-0.48699999999999999</v>
      </c>
      <c r="BP80">
        <v>0.104</v>
      </c>
      <c r="BQ80">
        <v>50</v>
      </c>
      <c r="BR80">
        <v>14</v>
      </c>
      <c r="BS80">
        <v>0.14000000000000001</v>
      </c>
      <c r="BT80">
        <v>0.03</v>
      </c>
      <c r="BU80">
        <v>0.338117761904762</v>
      </c>
      <c r="BV80">
        <v>3.2436311688311598E-2</v>
      </c>
      <c r="BW80">
        <v>1.8630585628156501E-2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0.995303761904762</v>
      </c>
      <c r="CD80">
        <v>2.49435584415597E-2</v>
      </c>
      <c r="CE80">
        <v>5.3012912255031098E-3</v>
      </c>
      <c r="CF80">
        <v>1</v>
      </c>
      <c r="CG80">
        <v>2</v>
      </c>
      <c r="CH80">
        <v>2</v>
      </c>
      <c r="CI80" t="s">
        <v>310</v>
      </c>
      <c r="CJ80">
        <v>3.5324900000000001</v>
      </c>
      <c r="CK80">
        <v>2.7026599999999998</v>
      </c>
      <c r="CL80">
        <v>1.4821600000000001E-2</v>
      </c>
      <c r="CM80">
        <v>1.44274E-2</v>
      </c>
      <c r="CN80">
        <v>8.7434399999999995E-2</v>
      </c>
      <c r="CO80">
        <v>8.2356899999999997E-2</v>
      </c>
      <c r="CP80">
        <v>34588.1</v>
      </c>
      <c r="CQ80">
        <v>30361.8</v>
      </c>
      <c r="CR80">
        <v>32489.599999999999</v>
      </c>
      <c r="CS80">
        <v>30728.9</v>
      </c>
      <c r="CT80">
        <v>40123.5</v>
      </c>
      <c r="CU80">
        <v>39635.699999999997</v>
      </c>
      <c r="CV80">
        <v>47434.1</v>
      </c>
      <c r="CW80">
        <v>46850.2</v>
      </c>
      <c r="CX80">
        <v>2.63686</v>
      </c>
      <c r="CY80">
        <v>2.1762800000000002</v>
      </c>
      <c r="CZ80">
        <v>0</v>
      </c>
      <c r="DA80">
        <v>0</v>
      </c>
      <c r="DB80">
        <v>999.9</v>
      </c>
      <c r="DC80">
        <v>999.9</v>
      </c>
      <c r="DD80">
        <v>67.665999999999997</v>
      </c>
      <c r="DE80">
        <v>23.988</v>
      </c>
      <c r="DF80">
        <v>20.258299999999998</v>
      </c>
      <c r="DG80">
        <v>30.1373</v>
      </c>
      <c r="DH80">
        <v>15.120200000000001</v>
      </c>
      <c r="DI80">
        <v>2</v>
      </c>
      <c r="DJ80">
        <v>-0.19409999999999999</v>
      </c>
      <c r="DK80">
        <v>1.7620100000000001</v>
      </c>
      <c r="DL80">
        <v>20.2014</v>
      </c>
      <c r="DM80">
        <v>5.2502399999999998</v>
      </c>
      <c r="DN80">
        <v>12.033899999999999</v>
      </c>
      <c r="DO80">
        <v>4.9668400000000004</v>
      </c>
      <c r="DP80">
        <v>3.2909999999999999</v>
      </c>
      <c r="DQ80">
        <v>9999</v>
      </c>
      <c r="DR80">
        <v>9999</v>
      </c>
      <c r="DS80">
        <v>9999</v>
      </c>
      <c r="DT80">
        <v>604.20000000000005</v>
      </c>
      <c r="DU80">
        <v>1.87103</v>
      </c>
      <c r="DV80">
        <v>1.8760699999999999</v>
      </c>
      <c r="DW80">
        <v>1.87629</v>
      </c>
      <c r="DX80">
        <v>1.8827799999999999</v>
      </c>
      <c r="DY80">
        <v>1.87557</v>
      </c>
      <c r="DZ80">
        <v>1.87463</v>
      </c>
      <c r="EA80">
        <v>1.87073</v>
      </c>
      <c r="EB80">
        <v>1.8746700000000001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-0.48699999999999999</v>
      </c>
      <c r="EQ80">
        <v>0.104</v>
      </c>
      <c r="ER80">
        <v>-0.48728000000000499</v>
      </c>
      <c r="ES80">
        <v>0</v>
      </c>
      <c r="ET80">
        <v>0</v>
      </c>
      <c r="EU80">
        <v>0</v>
      </c>
      <c r="EV80">
        <v>0.10407000000000199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</v>
      </c>
      <c r="FE80">
        <v>1</v>
      </c>
      <c r="FF80">
        <v>0.29052699999999998</v>
      </c>
      <c r="FG80">
        <v>2.5903299999999998</v>
      </c>
      <c r="FH80">
        <v>2.19604</v>
      </c>
      <c r="FI80">
        <v>2.5830099999999998</v>
      </c>
      <c r="FJ80">
        <v>2.4462899999999999</v>
      </c>
      <c r="FK80">
        <v>2.2766099999999998</v>
      </c>
      <c r="FL80">
        <v>29.559100000000001</v>
      </c>
      <c r="FM80">
        <v>24.148800000000001</v>
      </c>
      <c r="FN80">
        <v>19</v>
      </c>
      <c r="FO80">
        <v>862.78</v>
      </c>
      <c r="FP80">
        <v>601.22199999999998</v>
      </c>
      <c r="FQ80">
        <v>18.242899999999999</v>
      </c>
      <c r="FR80">
        <v>24.566500000000001</v>
      </c>
      <c r="FS80">
        <v>30.0002</v>
      </c>
      <c r="FT80">
        <v>24.5398</v>
      </c>
      <c r="FU80">
        <v>24.540400000000002</v>
      </c>
      <c r="FV80">
        <v>5.8478000000000003</v>
      </c>
      <c r="FW80">
        <v>32.682000000000002</v>
      </c>
      <c r="FX80">
        <v>65.897199999999998</v>
      </c>
      <c r="FY80">
        <v>18.249199999999998</v>
      </c>
      <c r="FZ80">
        <v>50</v>
      </c>
      <c r="GA80">
        <v>14.4199</v>
      </c>
      <c r="GB80">
        <v>99.962699999999998</v>
      </c>
      <c r="GC80">
        <v>99.744500000000002</v>
      </c>
    </row>
    <row r="81" spans="1:185" x14ac:dyDescent="0.2">
      <c r="A81">
        <v>66</v>
      </c>
      <c r="B81">
        <v>1771086729</v>
      </c>
      <c r="C81">
        <v>1409</v>
      </c>
      <c r="D81" t="s">
        <v>427</v>
      </c>
      <c r="E81" t="s">
        <v>428</v>
      </c>
      <c r="F81">
        <v>15</v>
      </c>
      <c r="G81">
        <v>1771086720.9333301</v>
      </c>
      <c r="H81">
        <f t="shared" si="13"/>
        <v>8.1310341850693974E-4</v>
      </c>
      <c r="I81">
        <v>0</v>
      </c>
      <c r="J81">
        <f t="shared" ref="J81:J144" si="25">K81*(0.0002898/0.0078553)</f>
        <v>-1.0932873727279078E-2</v>
      </c>
      <c r="K81">
        <f t="shared" si="14"/>
        <v>-0.29634576601068097</v>
      </c>
      <c r="L81">
        <f t="shared" si="15"/>
        <v>70.180945357557562</v>
      </c>
      <c r="M81">
        <f t="shared" si="16"/>
        <v>1.5465255387227022</v>
      </c>
      <c r="N81">
        <f t="shared" si="17"/>
        <v>2.2036259711855841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26224.55822262435</v>
      </c>
      <c r="T81">
        <f t="shared" si="21"/>
        <v>799.99846666666701</v>
      </c>
      <c r="U81">
        <f t="shared" si="22"/>
        <v>674.3988273997702</v>
      </c>
      <c r="V81">
        <f t="shared" si="23"/>
        <v>0.84300014999999995</v>
      </c>
      <c r="W81">
        <f t="shared" si="24"/>
        <v>0.15870037499999998</v>
      </c>
      <c r="X81">
        <v>1</v>
      </c>
      <c r="Y81">
        <v>1771086720.9333301</v>
      </c>
      <c r="Z81">
        <v>50.324313333333301</v>
      </c>
      <c r="AA81">
        <v>50.005033333333301</v>
      </c>
      <c r="AB81">
        <v>15.4613533333333</v>
      </c>
      <c r="AC81">
        <v>14.460699999999999</v>
      </c>
      <c r="AD81">
        <v>50.811579999999999</v>
      </c>
      <c r="AE81">
        <v>15.3573</v>
      </c>
      <c r="AF81">
        <v>800.00906666666697</v>
      </c>
      <c r="AG81">
        <v>99.960426666666706</v>
      </c>
      <c r="AH81">
        <v>6.4810800000000002E-2</v>
      </c>
      <c r="AI81">
        <v>18.988700000000001</v>
      </c>
      <c r="AJ81">
        <v>999.9</v>
      </c>
      <c r="AK81">
        <v>999.9</v>
      </c>
      <c r="AL81">
        <v>0</v>
      </c>
      <c r="AM81">
        <v>0</v>
      </c>
      <c r="AN81">
        <v>5001.9333333333298</v>
      </c>
      <c r="AO81">
        <v>0</v>
      </c>
      <c r="AP81">
        <v>2.0325500000000001</v>
      </c>
      <c r="AQ81">
        <v>0.31927820000000001</v>
      </c>
      <c r="AR81">
        <v>51.114620000000002</v>
      </c>
      <c r="AS81">
        <v>50.738759999999999</v>
      </c>
      <c r="AT81">
        <v>1.00067586666667</v>
      </c>
      <c r="AU81">
        <v>50.005033333333301</v>
      </c>
      <c r="AV81">
        <v>14.460699999999999</v>
      </c>
      <c r="AW81">
        <v>1.5455253333333301</v>
      </c>
      <c r="AX81">
        <v>1.4454979999999999</v>
      </c>
      <c r="AY81">
        <v>13.426126666666701</v>
      </c>
      <c r="AZ81">
        <v>12.403506666666701</v>
      </c>
      <c r="BA81">
        <v>799.99846666666701</v>
      </c>
      <c r="BB81">
        <v>0.89999499999999999</v>
      </c>
      <c r="BC81">
        <v>0</v>
      </c>
      <c r="BD81">
        <v>0.100005</v>
      </c>
      <c r="BE81">
        <v>0</v>
      </c>
      <c r="BF81">
        <v>25</v>
      </c>
      <c r="BG81">
        <v>13190.96</v>
      </c>
      <c r="BH81">
        <v>1771086652</v>
      </c>
      <c r="BI81" t="s">
        <v>416</v>
      </c>
      <c r="BJ81">
        <v>1771086652</v>
      </c>
      <c r="BK81">
        <v>1771086652</v>
      </c>
      <c r="BL81">
        <v>3</v>
      </c>
      <c r="BM81">
        <v>0.17899999999999999</v>
      </c>
      <c r="BN81">
        <v>-3.5999999999999997E-2</v>
      </c>
      <c r="BO81">
        <v>-0.48699999999999999</v>
      </c>
      <c r="BP81">
        <v>0.104</v>
      </c>
      <c r="BQ81">
        <v>50</v>
      </c>
      <c r="BR81">
        <v>14</v>
      </c>
      <c r="BS81">
        <v>0.14000000000000001</v>
      </c>
      <c r="BT81">
        <v>0.03</v>
      </c>
      <c r="BU81">
        <v>0.32463150000000002</v>
      </c>
      <c r="BV81">
        <v>-0.108430646616541</v>
      </c>
      <c r="BW81">
        <v>1.5323685318812799E-2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1.0012219</v>
      </c>
      <c r="CD81">
        <v>1.4625563909784101E-3</v>
      </c>
      <c r="CE81">
        <v>3.81143766707526E-3</v>
      </c>
      <c r="CF81">
        <v>1</v>
      </c>
      <c r="CG81">
        <v>2</v>
      </c>
      <c r="CH81">
        <v>2</v>
      </c>
      <c r="CI81" t="s">
        <v>310</v>
      </c>
      <c r="CJ81">
        <v>3.5325099999999998</v>
      </c>
      <c r="CK81">
        <v>2.7027299999999999</v>
      </c>
      <c r="CL81">
        <v>1.48197E-2</v>
      </c>
      <c r="CM81">
        <v>1.44327E-2</v>
      </c>
      <c r="CN81">
        <v>8.7415099999999996E-2</v>
      </c>
      <c r="CO81">
        <v>8.2301700000000005E-2</v>
      </c>
      <c r="CP81">
        <v>34587.699999999997</v>
      </c>
      <c r="CQ81">
        <v>30361.3</v>
      </c>
      <c r="CR81">
        <v>32489.200000000001</v>
      </c>
      <c r="CS81">
        <v>30728.6</v>
      </c>
      <c r="CT81">
        <v>40124.199999999997</v>
      </c>
      <c r="CU81">
        <v>39637.699999999997</v>
      </c>
      <c r="CV81">
        <v>47433.8</v>
      </c>
      <c r="CW81">
        <v>46849.7</v>
      </c>
      <c r="CX81">
        <v>2.637</v>
      </c>
      <c r="CY81">
        <v>2.1758199999999999</v>
      </c>
      <c r="CZ81">
        <v>0</v>
      </c>
      <c r="DA81">
        <v>0</v>
      </c>
      <c r="DB81">
        <v>999.9</v>
      </c>
      <c r="DC81">
        <v>999.9</v>
      </c>
      <c r="DD81">
        <v>67.531000000000006</v>
      </c>
      <c r="DE81">
        <v>24.018000000000001</v>
      </c>
      <c r="DF81">
        <v>20.2559</v>
      </c>
      <c r="DG81">
        <v>30.5273</v>
      </c>
      <c r="DH81">
        <v>15.1242</v>
      </c>
      <c r="DI81">
        <v>2</v>
      </c>
      <c r="DJ81">
        <v>-0.193634</v>
      </c>
      <c r="DK81">
        <v>1.7544999999999999</v>
      </c>
      <c r="DL81">
        <v>20.2013</v>
      </c>
      <c r="DM81">
        <v>5.25047</v>
      </c>
      <c r="DN81">
        <v>12.033899999999999</v>
      </c>
      <c r="DO81">
        <v>4.9666800000000002</v>
      </c>
      <c r="DP81">
        <v>3.2909999999999999</v>
      </c>
      <c r="DQ81">
        <v>9999</v>
      </c>
      <c r="DR81">
        <v>9999</v>
      </c>
      <c r="DS81">
        <v>9999</v>
      </c>
      <c r="DT81">
        <v>604.20000000000005</v>
      </c>
      <c r="DU81">
        <v>1.87103</v>
      </c>
      <c r="DV81">
        <v>1.87608</v>
      </c>
      <c r="DW81">
        <v>1.8763000000000001</v>
      </c>
      <c r="DX81">
        <v>1.8828</v>
      </c>
      <c r="DY81">
        <v>1.87561</v>
      </c>
      <c r="DZ81">
        <v>1.87466</v>
      </c>
      <c r="EA81">
        <v>1.87076</v>
      </c>
      <c r="EB81">
        <v>1.8746700000000001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-0.48699999999999999</v>
      </c>
      <c r="EQ81">
        <v>0.1041</v>
      </c>
      <c r="ER81">
        <v>-0.48728000000000499</v>
      </c>
      <c r="ES81">
        <v>0</v>
      </c>
      <c r="ET81">
        <v>0</v>
      </c>
      <c r="EU81">
        <v>0</v>
      </c>
      <c r="EV81">
        <v>0.10407000000000199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1.3</v>
      </c>
      <c r="FE81">
        <v>1.3</v>
      </c>
      <c r="FF81">
        <v>0.29052699999999998</v>
      </c>
      <c r="FG81">
        <v>2.5952099999999998</v>
      </c>
      <c r="FH81">
        <v>2.19604</v>
      </c>
      <c r="FI81">
        <v>2.5830099999999998</v>
      </c>
      <c r="FJ81">
        <v>2.4462899999999999</v>
      </c>
      <c r="FK81">
        <v>2.2778299999999998</v>
      </c>
      <c r="FL81">
        <v>29.559100000000001</v>
      </c>
      <c r="FM81">
        <v>24.148800000000001</v>
      </c>
      <c r="FN81">
        <v>19</v>
      </c>
      <c r="FO81">
        <v>863.01</v>
      </c>
      <c r="FP81">
        <v>600.93799999999999</v>
      </c>
      <c r="FQ81">
        <v>18.271899999999999</v>
      </c>
      <c r="FR81">
        <v>24.572700000000001</v>
      </c>
      <c r="FS81">
        <v>30.0002</v>
      </c>
      <c r="FT81">
        <v>24.545999999999999</v>
      </c>
      <c r="FU81">
        <v>24.5471</v>
      </c>
      <c r="FV81">
        <v>5.8471000000000002</v>
      </c>
      <c r="FW81">
        <v>32.682000000000002</v>
      </c>
      <c r="FX81">
        <v>65.527100000000004</v>
      </c>
      <c r="FY81">
        <v>18.275300000000001</v>
      </c>
      <c r="FZ81">
        <v>50</v>
      </c>
      <c r="GA81">
        <v>14.4175</v>
      </c>
      <c r="GB81">
        <v>99.961699999999993</v>
      </c>
      <c r="GC81">
        <v>99.743499999999997</v>
      </c>
    </row>
    <row r="82" spans="1:185" x14ac:dyDescent="0.2">
      <c r="A82">
        <v>67</v>
      </c>
      <c r="B82">
        <v>1771086744</v>
      </c>
      <c r="C82">
        <v>1424</v>
      </c>
      <c r="D82" t="s">
        <v>429</v>
      </c>
      <c r="E82" t="s">
        <v>430</v>
      </c>
      <c r="F82">
        <v>15</v>
      </c>
      <c r="G82">
        <v>1771086735.9333301</v>
      </c>
      <c r="H82">
        <f t="shared" si="13"/>
        <v>8.1627429644886521E-4</v>
      </c>
      <c r="I82">
        <v>0</v>
      </c>
      <c r="J82">
        <f t="shared" si="25"/>
        <v>-1.0680056456256269E-2</v>
      </c>
      <c r="K82">
        <f t="shared" si="14"/>
        <v>-0.28949291746318107</v>
      </c>
      <c r="L82">
        <f t="shared" si="15"/>
        <v>70.105482827617365</v>
      </c>
      <c r="M82">
        <f t="shared" si="16"/>
        <v>1.5457987160591025</v>
      </c>
      <c r="N82">
        <f t="shared" si="17"/>
        <v>2.2049612294377501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26245.568405423281</v>
      </c>
      <c r="T82">
        <f t="shared" si="21"/>
        <v>800.00226666666697</v>
      </c>
      <c r="U82">
        <f t="shared" si="22"/>
        <v>674.40206920044909</v>
      </c>
      <c r="V82">
        <f t="shared" si="23"/>
        <v>0.84300019800000003</v>
      </c>
      <c r="W82">
        <f t="shared" si="24"/>
        <v>0.158700495</v>
      </c>
      <c r="X82">
        <v>1</v>
      </c>
      <c r="Y82">
        <v>1771086735.9333301</v>
      </c>
      <c r="Z82">
        <v>50.3115733333333</v>
      </c>
      <c r="AA82">
        <v>50.001046666666703</v>
      </c>
      <c r="AB82">
        <v>15.4541733333333</v>
      </c>
      <c r="AC82">
        <v>14.4496133333333</v>
      </c>
      <c r="AD82">
        <v>50.798859999999998</v>
      </c>
      <c r="AE82">
        <v>15.3500866666667</v>
      </c>
      <c r="AF82">
        <v>800.01139999999998</v>
      </c>
      <c r="AG82">
        <v>99.959906666666697</v>
      </c>
      <c r="AH82">
        <v>6.4771633333333301E-2</v>
      </c>
      <c r="AI82">
        <v>18.9984066666667</v>
      </c>
      <c r="AJ82">
        <v>999.9</v>
      </c>
      <c r="AK82">
        <v>999.9</v>
      </c>
      <c r="AL82">
        <v>0</v>
      </c>
      <c r="AM82">
        <v>0</v>
      </c>
      <c r="AN82">
        <v>5005.5666666666702</v>
      </c>
      <c r="AO82">
        <v>0</v>
      </c>
      <c r="AP82">
        <v>2.0325500000000001</v>
      </c>
      <c r="AQ82">
        <v>0.31052493333333298</v>
      </c>
      <c r="AR82">
        <v>51.101300000000002</v>
      </c>
      <c r="AS82">
        <v>50.734139999999996</v>
      </c>
      <c r="AT82">
        <v>1.004564</v>
      </c>
      <c r="AU82">
        <v>50.001046666666703</v>
      </c>
      <c r="AV82">
        <v>14.4496133333333</v>
      </c>
      <c r="AW82">
        <v>1.54479733333333</v>
      </c>
      <c r="AX82">
        <v>1.44438133333333</v>
      </c>
      <c r="AY82">
        <v>13.418900000000001</v>
      </c>
      <c r="AZ82">
        <v>12.3917533333333</v>
      </c>
      <c r="BA82">
        <v>800.00226666666697</v>
      </c>
      <c r="BB82">
        <v>0.89999340000000005</v>
      </c>
      <c r="BC82">
        <v>0</v>
      </c>
      <c r="BD82">
        <v>0.1000066</v>
      </c>
      <c r="BE82">
        <v>0</v>
      </c>
      <c r="BF82">
        <v>25</v>
      </c>
      <c r="BG82">
        <v>13191.0333333333</v>
      </c>
      <c r="BH82">
        <v>1771086652</v>
      </c>
      <c r="BI82" t="s">
        <v>416</v>
      </c>
      <c r="BJ82">
        <v>1771086652</v>
      </c>
      <c r="BK82">
        <v>1771086652</v>
      </c>
      <c r="BL82">
        <v>3</v>
      </c>
      <c r="BM82">
        <v>0.17899999999999999</v>
      </c>
      <c r="BN82">
        <v>-3.5999999999999997E-2</v>
      </c>
      <c r="BO82">
        <v>-0.48699999999999999</v>
      </c>
      <c r="BP82">
        <v>0.104</v>
      </c>
      <c r="BQ82">
        <v>50</v>
      </c>
      <c r="BR82">
        <v>14</v>
      </c>
      <c r="BS82">
        <v>0.14000000000000001</v>
      </c>
      <c r="BT82">
        <v>0.03</v>
      </c>
      <c r="BU82">
        <v>0.31425625000000001</v>
      </c>
      <c r="BV82">
        <v>-2.96029624060156E-2</v>
      </c>
      <c r="BW82">
        <v>1.08586838469264E-2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1.0042768</v>
      </c>
      <c r="CD82">
        <v>-9.3972631578956196E-3</v>
      </c>
      <c r="CE82">
        <v>4.2330073541159896E-3</v>
      </c>
      <c r="CF82">
        <v>1</v>
      </c>
      <c r="CG82">
        <v>2</v>
      </c>
      <c r="CH82">
        <v>2</v>
      </c>
      <c r="CI82" t="s">
        <v>310</v>
      </c>
      <c r="CJ82">
        <v>3.5325500000000001</v>
      </c>
      <c r="CK82">
        <v>2.7025100000000002</v>
      </c>
      <c r="CL82">
        <v>1.48121E-2</v>
      </c>
      <c r="CM82">
        <v>1.4430699999999999E-2</v>
      </c>
      <c r="CN82">
        <v>8.7371000000000004E-2</v>
      </c>
      <c r="CO82">
        <v>8.2269099999999998E-2</v>
      </c>
      <c r="CP82">
        <v>34588.300000000003</v>
      </c>
      <c r="CQ82">
        <v>30361.3</v>
      </c>
      <c r="CR82">
        <v>32489.5</v>
      </c>
      <c r="CS82">
        <v>30728.6</v>
      </c>
      <c r="CT82">
        <v>40126.699999999997</v>
      </c>
      <c r="CU82">
        <v>39639.5</v>
      </c>
      <c r="CV82">
        <v>47434.400000000001</v>
      </c>
      <c r="CW82">
        <v>46850.1</v>
      </c>
      <c r="CX82">
        <v>2.6368800000000001</v>
      </c>
      <c r="CY82">
        <v>2.1756799999999998</v>
      </c>
      <c r="CZ82">
        <v>0</v>
      </c>
      <c r="DA82">
        <v>0</v>
      </c>
      <c r="DB82">
        <v>999.9</v>
      </c>
      <c r="DC82">
        <v>999.9</v>
      </c>
      <c r="DD82">
        <v>67.44</v>
      </c>
      <c r="DE82">
        <v>24.038</v>
      </c>
      <c r="DF82">
        <v>20.251999999999999</v>
      </c>
      <c r="DG82">
        <v>30.0473</v>
      </c>
      <c r="DH82">
        <v>15.068099999999999</v>
      </c>
      <c r="DI82">
        <v>2</v>
      </c>
      <c r="DJ82">
        <v>-0.193132</v>
      </c>
      <c r="DK82">
        <v>1.7809200000000001</v>
      </c>
      <c r="DL82">
        <v>20.201000000000001</v>
      </c>
      <c r="DM82">
        <v>5.2508299999999997</v>
      </c>
      <c r="DN82">
        <v>12.033899999999999</v>
      </c>
      <c r="DO82">
        <v>4.9668799999999997</v>
      </c>
      <c r="DP82">
        <v>3.2909999999999999</v>
      </c>
      <c r="DQ82">
        <v>9999</v>
      </c>
      <c r="DR82">
        <v>9999</v>
      </c>
      <c r="DS82">
        <v>9999</v>
      </c>
      <c r="DT82">
        <v>604.20000000000005</v>
      </c>
      <c r="DU82">
        <v>1.87103</v>
      </c>
      <c r="DV82">
        <v>1.87608</v>
      </c>
      <c r="DW82">
        <v>1.8763099999999999</v>
      </c>
      <c r="DX82">
        <v>1.8828</v>
      </c>
      <c r="DY82">
        <v>1.87558</v>
      </c>
      <c r="DZ82">
        <v>1.8746100000000001</v>
      </c>
      <c r="EA82">
        <v>1.87073</v>
      </c>
      <c r="EB82">
        <v>1.8746400000000001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-0.48699999999999999</v>
      </c>
      <c r="EQ82">
        <v>0.1041</v>
      </c>
      <c r="ER82">
        <v>-0.48728000000000499</v>
      </c>
      <c r="ES82">
        <v>0</v>
      </c>
      <c r="ET82">
        <v>0</v>
      </c>
      <c r="EU82">
        <v>0</v>
      </c>
      <c r="EV82">
        <v>0.10407000000000199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1.5</v>
      </c>
      <c r="FE82">
        <v>1.5</v>
      </c>
      <c r="FF82">
        <v>0.29052699999999998</v>
      </c>
      <c r="FG82">
        <v>2.5988799999999999</v>
      </c>
      <c r="FH82">
        <v>2.19604</v>
      </c>
      <c r="FI82">
        <v>2.5830099999999998</v>
      </c>
      <c r="FJ82">
        <v>2.4462899999999999</v>
      </c>
      <c r="FK82">
        <v>2.2558600000000002</v>
      </c>
      <c r="FL82">
        <v>29.580400000000001</v>
      </c>
      <c r="FM82">
        <v>24.148800000000001</v>
      </c>
      <c r="FN82">
        <v>19</v>
      </c>
      <c r="FO82">
        <v>863</v>
      </c>
      <c r="FP82">
        <v>600.90099999999995</v>
      </c>
      <c r="FQ82">
        <v>18.283200000000001</v>
      </c>
      <c r="FR82">
        <v>24.578399999999998</v>
      </c>
      <c r="FS82">
        <v>30.0001</v>
      </c>
      <c r="FT82">
        <v>24.552199999999999</v>
      </c>
      <c r="FU82">
        <v>24.5533</v>
      </c>
      <c r="FV82">
        <v>5.8463900000000004</v>
      </c>
      <c r="FW82">
        <v>32.682000000000002</v>
      </c>
      <c r="FX82">
        <v>65.146100000000004</v>
      </c>
      <c r="FY82">
        <v>18.281500000000001</v>
      </c>
      <c r="FZ82">
        <v>50</v>
      </c>
      <c r="GA82">
        <v>14.4198</v>
      </c>
      <c r="GB82">
        <v>99.962900000000005</v>
      </c>
      <c r="GC82">
        <v>99.744</v>
      </c>
    </row>
    <row r="83" spans="1:185" x14ac:dyDescent="0.2">
      <c r="A83">
        <v>68</v>
      </c>
      <c r="B83">
        <v>1771086759</v>
      </c>
      <c r="C83">
        <v>1439</v>
      </c>
      <c r="D83" t="s">
        <v>431</v>
      </c>
      <c r="E83" t="s">
        <v>432</v>
      </c>
      <c r="F83">
        <v>15</v>
      </c>
      <c r="G83">
        <v>1771086750.9333301</v>
      </c>
      <c r="H83">
        <f t="shared" si="13"/>
        <v>8.2183835912909471E-4</v>
      </c>
      <c r="I83">
        <v>0</v>
      </c>
      <c r="J83">
        <f t="shared" si="25"/>
        <v>-1.0232108630485697E-2</v>
      </c>
      <c r="K83">
        <f t="shared" si="14"/>
        <v>-0.27735087275726122</v>
      </c>
      <c r="L83">
        <f t="shared" si="15"/>
        <v>70.032040484721804</v>
      </c>
      <c r="M83">
        <f t="shared" si="16"/>
        <v>1.5448398677977888</v>
      </c>
      <c r="N83">
        <f t="shared" si="17"/>
        <v>2.2059044076186973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26240.268165816233</v>
      </c>
      <c r="T83">
        <f t="shared" si="21"/>
        <v>799.9982</v>
      </c>
      <c r="U83">
        <f t="shared" si="22"/>
        <v>674.39861379970478</v>
      </c>
      <c r="V83">
        <f t="shared" si="23"/>
        <v>0.843000164</v>
      </c>
      <c r="W83">
        <f t="shared" si="24"/>
        <v>0.15870041000000001</v>
      </c>
      <c r="X83">
        <v>1</v>
      </c>
      <c r="Y83">
        <v>1771086750.9333301</v>
      </c>
      <c r="Z83">
        <v>50.2987866666667</v>
      </c>
      <c r="AA83">
        <v>50.003773333333299</v>
      </c>
      <c r="AB83">
        <v>15.4446266666667</v>
      </c>
      <c r="AC83">
        <v>14.433206666666701</v>
      </c>
      <c r="AD83">
        <v>50.786066666666699</v>
      </c>
      <c r="AE83">
        <v>15.34056</v>
      </c>
      <c r="AF83">
        <v>800.00926666666703</v>
      </c>
      <c r="AG83">
        <v>99.959760000000003</v>
      </c>
      <c r="AH83">
        <v>6.4662806666666697E-2</v>
      </c>
      <c r="AI83">
        <v>19.00526</v>
      </c>
      <c r="AJ83">
        <v>999.9</v>
      </c>
      <c r="AK83">
        <v>999.9</v>
      </c>
      <c r="AL83">
        <v>0</v>
      </c>
      <c r="AM83">
        <v>0</v>
      </c>
      <c r="AN83">
        <v>5004.8</v>
      </c>
      <c r="AO83">
        <v>0</v>
      </c>
      <c r="AP83">
        <v>2.0325500000000001</v>
      </c>
      <c r="AQ83">
        <v>0.29500353333333301</v>
      </c>
      <c r="AR83">
        <v>51.087806666666701</v>
      </c>
      <c r="AS83">
        <v>50.736060000000002</v>
      </c>
      <c r="AT83">
        <v>1.0114333333333301</v>
      </c>
      <c r="AU83">
        <v>50.003773333333299</v>
      </c>
      <c r="AV83">
        <v>14.433206666666701</v>
      </c>
      <c r="AW83">
        <v>1.54384266666667</v>
      </c>
      <c r="AX83">
        <v>1.44273933333333</v>
      </c>
      <c r="AY83">
        <v>13.409420000000001</v>
      </c>
      <c r="AZ83">
        <v>12.374446666666699</v>
      </c>
      <c r="BA83">
        <v>799.9982</v>
      </c>
      <c r="BB83">
        <v>0.89999453333333301</v>
      </c>
      <c r="BC83">
        <v>0</v>
      </c>
      <c r="BD83">
        <v>0.100005466666667</v>
      </c>
      <c r="BE83">
        <v>0</v>
      </c>
      <c r="BF83">
        <v>25</v>
      </c>
      <c r="BG83">
        <v>13190.98</v>
      </c>
      <c r="BH83">
        <v>1771086652</v>
      </c>
      <c r="BI83" t="s">
        <v>416</v>
      </c>
      <c r="BJ83">
        <v>1771086652</v>
      </c>
      <c r="BK83">
        <v>1771086652</v>
      </c>
      <c r="BL83">
        <v>3</v>
      </c>
      <c r="BM83">
        <v>0.17899999999999999</v>
      </c>
      <c r="BN83">
        <v>-3.5999999999999997E-2</v>
      </c>
      <c r="BO83">
        <v>-0.48699999999999999</v>
      </c>
      <c r="BP83">
        <v>0.104</v>
      </c>
      <c r="BQ83">
        <v>50</v>
      </c>
      <c r="BR83">
        <v>14</v>
      </c>
      <c r="BS83">
        <v>0.14000000000000001</v>
      </c>
      <c r="BT83">
        <v>0.03</v>
      </c>
      <c r="BU83">
        <v>0.29818515000000001</v>
      </c>
      <c r="BV83">
        <v>3.0343624060150301E-2</v>
      </c>
      <c r="BW83">
        <v>2.0571487538034301E-2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1.0088575</v>
      </c>
      <c r="CD83">
        <v>2.1829263157895001E-2</v>
      </c>
      <c r="CE83">
        <v>6.4491702063133498E-3</v>
      </c>
      <c r="CF83">
        <v>1</v>
      </c>
      <c r="CG83">
        <v>2</v>
      </c>
      <c r="CH83">
        <v>2</v>
      </c>
      <c r="CI83" t="s">
        <v>310</v>
      </c>
      <c r="CJ83">
        <v>3.5325099999999998</v>
      </c>
      <c r="CK83">
        <v>2.70235</v>
      </c>
      <c r="CL83">
        <v>1.48142E-2</v>
      </c>
      <c r="CM83">
        <v>1.44204E-2</v>
      </c>
      <c r="CN83">
        <v>8.7300699999999995E-2</v>
      </c>
      <c r="CO83">
        <v>8.2232200000000005E-2</v>
      </c>
      <c r="CP83">
        <v>34587.599999999999</v>
      </c>
      <c r="CQ83">
        <v>30361.4</v>
      </c>
      <c r="CR83">
        <v>32489</v>
      </c>
      <c r="CS83">
        <v>30728.400000000001</v>
      </c>
      <c r="CT83">
        <v>40129.199999999997</v>
      </c>
      <c r="CU83">
        <v>39640.9</v>
      </c>
      <c r="CV83">
        <v>47433.5</v>
      </c>
      <c r="CW83">
        <v>46849.9</v>
      </c>
      <c r="CX83">
        <v>2.63666</v>
      </c>
      <c r="CY83">
        <v>2.1754799999999999</v>
      </c>
      <c r="CZ83">
        <v>0</v>
      </c>
      <c r="DA83">
        <v>0</v>
      </c>
      <c r="DB83">
        <v>999.9</v>
      </c>
      <c r="DC83">
        <v>999.9</v>
      </c>
      <c r="DD83">
        <v>67.323999999999998</v>
      </c>
      <c r="DE83">
        <v>24.047999999999998</v>
      </c>
      <c r="DF83">
        <v>20.23</v>
      </c>
      <c r="DG83">
        <v>29.807300000000001</v>
      </c>
      <c r="DH83">
        <v>15.100199999999999</v>
      </c>
      <c r="DI83">
        <v>2</v>
      </c>
      <c r="DJ83">
        <v>-0.191884</v>
      </c>
      <c r="DK83">
        <v>1.9803299999999999</v>
      </c>
      <c r="DL83">
        <v>20.1983</v>
      </c>
      <c r="DM83">
        <v>5.25143</v>
      </c>
      <c r="DN83">
        <v>12.033899999999999</v>
      </c>
      <c r="DO83">
        <v>4.9668400000000004</v>
      </c>
      <c r="DP83">
        <v>3.2909999999999999</v>
      </c>
      <c r="DQ83">
        <v>9999</v>
      </c>
      <c r="DR83">
        <v>9999</v>
      </c>
      <c r="DS83">
        <v>9999</v>
      </c>
      <c r="DT83">
        <v>604.20000000000005</v>
      </c>
      <c r="DU83">
        <v>1.87103</v>
      </c>
      <c r="DV83">
        <v>1.87609</v>
      </c>
      <c r="DW83">
        <v>1.8763099999999999</v>
      </c>
      <c r="DX83">
        <v>1.8828100000000001</v>
      </c>
      <c r="DY83">
        <v>1.8755999999999999</v>
      </c>
      <c r="DZ83">
        <v>1.87463</v>
      </c>
      <c r="EA83">
        <v>1.87076</v>
      </c>
      <c r="EB83">
        <v>1.8746700000000001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-0.48699999999999999</v>
      </c>
      <c r="EQ83">
        <v>0.1041</v>
      </c>
      <c r="ER83">
        <v>-0.48728000000000499</v>
      </c>
      <c r="ES83">
        <v>0</v>
      </c>
      <c r="ET83">
        <v>0</v>
      </c>
      <c r="EU83">
        <v>0</v>
      </c>
      <c r="EV83">
        <v>0.10407000000000199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1.8</v>
      </c>
      <c r="FE83">
        <v>1.8</v>
      </c>
      <c r="FF83">
        <v>0.29052699999999998</v>
      </c>
      <c r="FG83">
        <v>2.5927699999999998</v>
      </c>
      <c r="FH83">
        <v>2.19604</v>
      </c>
      <c r="FI83">
        <v>2.5830099999999998</v>
      </c>
      <c r="FJ83">
        <v>2.4462899999999999</v>
      </c>
      <c r="FK83">
        <v>2.2839399999999999</v>
      </c>
      <c r="FL83">
        <v>29.601700000000001</v>
      </c>
      <c r="FM83">
        <v>24.148800000000001</v>
      </c>
      <c r="FN83">
        <v>19</v>
      </c>
      <c r="FO83">
        <v>862.90499999999997</v>
      </c>
      <c r="FP83">
        <v>600.81600000000003</v>
      </c>
      <c r="FQ83">
        <v>18.164899999999999</v>
      </c>
      <c r="FR83">
        <v>24.583400000000001</v>
      </c>
      <c r="FS83">
        <v>30.0001</v>
      </c>
      <c r="FT83">
        <v>24.558800000000002</v>
      </c>
      <c r="FU83">
        <v>24.5594</v>
      </c>
      <c r="FV83">
        <v>5.8477699999999997</v>
      </c>
      <c r="FW83">
        <v>32.682000000000002</v>
      </c>
      <c r="FX83">
        <v>64.774900000000002</v>
      </c>
      <c r="FY83">
        <v>18.170300000000001</v>
      </c>
      <c r="FZ83">
        <v>50</v>
      </c>
      <c r="GA83">
        <v>14.419600000000001</v>
      </c>
      <c r="GB83">
        <v>99.961100000000002</v>
      </c>
      <c r="GC83">
        <v>99.743499999999997</v>
      </c>
    </row>
    <row r="84" spans="1:185" x14ac:dyDescent="0.2">
      <c r="A84">
        <v>69</v>
      </c>
      <c r="B84">
        <v>1771086774</v>
      </c>
      <c r="C84">
        <v>1454</v>
      </c>
      <c r="D84" t="s">
        <v>433</v>
      </c>
      <c r="E84" t="s">
        <v>434</v>
      </c>
      <c r="F84">
        <v>15</v>
      </c>
      <c r="G84">
        <v>1771086765.9333301</v>
      </c>
      <c r="H84">
        <f t="shared" si="13"/>
        <v>8.163702918055904E-4</v>
      </c>
      <c r="I84">
        <v>0</v>
      </c>
      <c r="J84">
        <f t="shared" si="25"/>
        <v>-1.0475930269758795E-2</v>
      </c>
      <c r="K84">
        <f t="shared" si="14"/>
        <v>-0.283959886294121</v>
      </c>
      <c r="L84">
        <f t="shared" si="15"/>
        <v>69.962540335758874</v>
      </c>
      <c r="M84">
        <f t="shared" si="16"/>
        <v>1.5429260850825073</v>
      </c>
      <c r="N84">
        <f t="shared" si="17"/>
        <v>2.2053602937769474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26180.352087064457</v>
      </c>
      <c r="T84">
        <f t="shared" si="21"/>
        <v>799.99940000000004</v>
      </c>
      <c r="U84">
        <f t="shared" si="22"/>
        <v>674.39954539996154</v>
      </c>
      <c r="V84">
        <f t="shared" si="23"/>
        <v>0.84300006399999994</v>
      </c>
      <c r="W84">
        <f t="shared" si="24"/>
        <v>0.15870015999999998</v>
      </c>
      <c r="X84">
        <v>1</v>
      </c>
      <c r="Y84">
        <v>1771086765.9333301</v>
      </c>
      <c r="Z84">
        <v>50.29806</v>
      </c>
      <c r="AA84">
        <v>49.994439999999997</v>
      </c>
      <c r="AB84">
        <v>15.4254266666667</v>
      </c>
      <c r="AC84">
        <v>14.4207133333333</v>
      </c>
      <c r="AD84">
        <v>50.785339999999998</v>
      </c>
      <c r="AE84">
        <v>15.321346666666701</v>
      </c>
      <c r="AF84">
        <v>800.00673333333305</v>
      </c>
      <c r="AG84">
        <v>99.960273333333305</v>
      </c>
      <c r="AH84">
        <v>6.4582926666666707E-2</v>
      </c>
      <c r="AI84">
        <v>19.0013066666667</v>
      </c>
      <c r="AJ84">
        <v>999.9</v>
      </c>
      <c r="AK84">
        <v>999.9</v>
      </c>
      <c r="AL84">
        <v>0</v>
      </c>
      <c r="AM84">
        <v>0</v>
      </c>
      <c r="AN84">
        <v>4994.8333333333303</v>
      </c>
      <c r="AO84">
        <v>0</v>
      </c>
      <c r="AP84">
        <v>2.0325500000000001</v>
      </c>
      <c r="AQ84">
        <v>0.30362719999999999</v>
      </c>
      <c r="AR84">
        <v>51.086080000000003</v>
      </c>
      <c r="AS84">
        <v>50.725933333333302</v>
      </c>
      <c r="AT84">
        <v>1.0046933333333301</v>
      </c>
      <c r="AU84">
        <v>49.994439999999997</v>
      </c>
      <c r="AV84">
        <v>14.4207133333333</v>
      </c>
      <c r="AW84">
        <v>1.5419293333333299</v>
      </c>
      <c r="AX84">
        <v>1.4415</v>
      </c>
      <c r="AY84">
        <v>13.3903933333333</v>
      </c>
      <c r="AZ84">
        <v>12.361366666666701</v>
      </c>
      <c r="BA84">
        <v>799.99940000000004</v>
      </c>
      <c r="BB84">
        <v>0.89999786666666703</v>
      </c>
      <c r="BC84">
        <v>0</v>
      </c>
      <c r="BD84">
        <v>0.10000213333333299</v>
      </c>
      <c r="BE84">
        <v>0</v>
      </c>
      <c r="BF84">
        <v>25</v>
      </c>
      <c r="BG84">
        <v>13191</v>
      </c>
      <c r="BH84">
        <v>1771086652</v>
      </c>
      <c r="BI84" t="s">
        <v>416</v>
      </c>
      <c r="BJ84">
        <v>1771086652</v>
      </c>
      <c r="BK84">
        <v>1771086652</v>
      </c>
      <c r="BL84">
        <v>3</v>
      </c>
      <c r="BM84">
        <v>0.17899999999999999</v>
      </c>
      <c r="BN84">
        <v>-3.5999999999999997E-2</v>
      </c>
      <c r="BO84">
        <v>-0.48699999999999999</v>
      </c>
      <c r="BP84">
        <v>0.104</v>
      </c>
      <c r="BQ84">
        <v>50</v>
      </c>
      <c r="BR84">
        <v>14</v>
      </c>
      <c r="BS84">
        <v>0.14000000000000001</v>
      </c>
      <c r="BT84">
        <v>0.03</v>
      </c>
      <c r="BU84">
        <v>0.304591</v>
      </c>
      <c r="BV84">
        <v>2.2883064935064801E-2</v>
      </c>
      <c r="BW84">
        <v>1.1755807371354E-2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1.0054557142857099</v>
      </c>
      <c r="CD84">
        <v>-1.106805194805E-2</v>
      </c>
      <c r="CE84">
        <v>2.9839659953197202E-3</v>
      </c>
      <c r="CF84">
        <v>1</v>
      </c>
      <c r="CG84">
        <v>2</v>
      </c>
      <c r="CH84">
        <v>2</v>
      </c>
      <c r="CI84" t="s">
        <v>310</v>
      </c>
      <c r="CJ84">
        <v>3.5324900000000001</v>
      </c>
      <c r="CK84">
        <v>2.7025899999999998</v>
      </c>
      <c r="CL84">
        <v>1.48136E-2</v>
      </c>
      <c r="CM84">
        <v>1.4418800000000001E-2</v>
      </c>
      <c r="CN84">
        <v>8.7254100000000001E-2</v>
      </c>
      <c r="CO84">
        <v>8.2167000000000004E-2</v>
      </c>
      <c r="CP84">
        <v>34588.1</v>
      </c>
      <c r="CQ84">
        <v>30360.9</v>
      </c>
      <c r="CR84">
        <v>32489.4</v>
      </c>
      <c r="CS84">
        <v>30727.9</v>
      </c>
      <c r="CT84">
        <v>40132</v>
      </c>
      <c r="CU84">
        <v>39643.4</v>
      </c>
      <c r="CV84">
        <v>47434.400000000001</v>
      </c>
      <c r="CW84">
        <v>46849.4</v>
      </c>
      <c r="CX84">
        <v>2.6367400000000001</v>
      </c>
      <c r="CY84">
        <v>2.1749399999999999</v>
      </c>
      <c r="CZ84">
        <v>0</v>
      </c>
      <c r="DA84">
        <v>0</v>
      </c>
      <c r="DB84">
        <v>999.9</v>
      </c>
      <c r="DC84">
        <v>999.9</v>
      </c>
      <c r="DD84">
        <v>67.201999999999998</v>
      </c>
      <c r="DE84">
        <v>24.077999999999999</v>
      </c>
      <c r="DF84">
        <v>20.23</v>
      </c>
      <c r="DG84">
        <v>29.7773</v>
      </c>
      <c r="DH84">
        <v>15.084099999999999</v>
      </c>
      <c r="DI84">
        <v>2</v>
      </c>
      <c r="DJ84">
        <v>-0.191939</v>
      </c>
      <c r="DK84">
        <v>1.89889</v>
      </c>
      <c r="DL84">
        <v>20.199400000000001</v>
      </c>
      <c r="DM84">
        <v>5.25143</v>
      </c>
      <c r="DN84">
        <v>12.033899999999999</v>
      </c>
      <c r="DO84">
        <v>4.9668400000000004</v>
      </c>
      <c r="DP84">
        <v>3.2909999999999999</v>
      </c>
      <c r="DQ84">
        <v>9999</v>
      </c>
      <c r="DR84">
        <v>9999</v>
      </c>
      <c r="DS84">
        <v>9999</v>
      </c>
      <c r="DT84">
        <v>604.20000000000005</v>
      </c>
      <c r="DU84">
        <v>1.87103</v>
      </c>
      <c r="DV84">
        <v>1.87608</v>
      </c>
      <c r="DW84">
        <v>1.8763099999999999</v>
      </c>
      <c r="DX84">
        <v>1.88279</v>
      </c>
      <c r="DY84">
        <v>1.8755999999999999</v>
      </c>
      <c r="DZ84">
        <v>1.8746499999999999</v>
      </c>
      <c r="EA84">
        <v>1.8707400000000001</v>
      </c>
      <c r="EB84">
        <v>1.8746700000000001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-0.48699999999999999</v>
      </c>
      <c r="EQ84">
        <v>0.1041</v>
      </c>
      <c r="ER84">
        <v>-0.48728000000000499</v>
      </c>
      <c r="ES84">
        <v>0</v>
      </c>
      <c r="ET84">
        <v>0</v>
      </c>
      <c r="EU84">
        <v>0</v>
      </c>
      <c r="EV84">
        <v>0.10407000000000199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</v>
      </c>
      <c r="FE84">
        <v>2</v>
      </c>
      <c r="FF84">
        <v>0.29052699999999998</v>
      </c>
      <c r="FG84">
        <v>2.5952099999999998</v>
      </c>
      <c r="FH84">
        <v>2.19604</v>
      </c>
      <c r="FI84">
        <v>2.5830099999999998</v>
      </c>
      <c r="FJ84">
        <v>2.4462899999999999</v>
      </c>
      <c r="FK84">
        <v>2.2534200000000002</v>
      </c>
      <c r="FL84">
        <v>29.623000000000001</v>
      </c>
      <c r="FM84">
        <v>24.14</v>
      </c>
      <c r="FN84">
        <v>19</v>
      </c>
      <c r="FO84">
        <v>863.07299999999998</v>
      </c>
      <c r="FP84">
        <v>600.46199999999999</v>
      </c>
      <c r="FQ84">
        <v>18.160399999999999</v>
      </c>
      <c r="FR84">
        <v>24.588699999999999</v>
      </c>
      <c r="FS84">
        <v>30.0001</v>
      </c>
      <c r="FT84">
        <v>24.564599999999999</v>
      </c>
      <c r="FU84">
        <v>24.5656</v>
      </c>
      <c r="FV84">
        <v>5.8480299999999996</v>
      </c>
      <c r="FW84">
        <v>32.682000000000002</v>
      </c>
      <c r="FX84">
        <v>64.774900000000002</v>
      </c>
      <c r="FY84">
        <v>18.164200000000001</v>
      </c>
      <c r="FZ84">
        <v>50</v>
      </c>
      <c r="GA84">
        <v>14.419600000000001</v>
      </c>
      <c r="GB84">
        <v>99.962699999999998</v>
      </c>
      <c r="GC84">
        <v>99.742099999999994</v>
      </c>
    </row>
    <row r="85" spans="1:185" x14ac:dyDescent="0.2">
      <c r="A85">
        <v>70</v>
      </c>
      <c r="B85">
        <v>1771086789</v>
      </c>
      <c r="C85">
        <v>1469</v>
      </c>
      <c r="D85" t="s">
        <v>435</v>
      </c>
      <c r="E85" t="s">
        <v>436</v>
      </c>
      <c r="F85">
        <v>15</v>
      </c>
      <c r="G85">
        <v>1771086780.9333301</v>
      </c>
      <c r="H85">
        <f t="shared" si="13"/>
        <v>8.2128293257294465E-4</v>
      </c>
      <c r="I85">
        <v>0</v>
      </c>
      <c r="J85">
        <f t="shared" si="25"/>
        <v>-1.0192189641854584E-2</v>
      </c>
      <c r="K85">
        <f t="shared" si="14"/>
        <v>-0.27626883124106388</v>
      </c>
      <c r="L85">
        <f t="shared" si="15"/>
        <v>69.944624644129391</v>
      </c>
      <c r="M85">
        <f t="shared" si="16"/>
        <v>1.542137651966917</v>
      </c>
      <c r="N85">
        <f t="shared" si="17"/>
        <v>2.2047979523989798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26225.398665887886</v>
      </c>
      <c r="T85">
        <f t="shared" si="21"/>
        <v>800.00073333333296</v>
      </c>
      <c r="U85">
        <f t="shared" si="22"/>
        <v>674.40069820007295</v>
      </c>
      <c r="V85">
        <f t="shared" si="23"/>
        <v>0.84300009999999992</v>
      </c>
      <c r="W85">
        <f t="shared" si="24"/>
        <v>0.15870024999999999</v>
      </c>
      <c r="X85">
        <v>1</v>
      </c>
      <c r="Y85">
        <v>1771086780.9333301</v>
      </c>
      <c r="Z85">
        <v>50.293399999999998</v>
      </c>
      <c r="AA85">
        <v>49.999699999999997</v>
      </c>
      <c r="AB85">
        <v>15.4175</v>
      </c>
      <c r="AC85">
        <v>14.406739999999999</v>
      </c>
      <c r="AD85">
        <v>50.780679999999997</v>
      </c>
      <c r="AE85">
        <v>15.3134333333333</v>
      </c>
      <c r="AF85">
        <v>800.01266666666697</v>
      </c>
      <c r="AG85">
        <v>99.960386666666693</v>
      </c>
      <c r="AH85">
        <v>6.4756966666666693E-2</v>
      </c>
      <c r="AI85">
        <v>18.997219999999999</v>
      </c>
      <c r="AJ85">
        <v>999.9</v>
      </c>
      <c r="AK85">
        <v>999.9</v>
      </c>
      <c r="AL85">
        <v>0</v>
      </c>
      <c r="AM85">
        <v>0</v>
      </c>
      <c r="AN85">
        <v>5002.2</v>
      </c>
      <c r="AO85">
        <v>0</v>
      </c>
      <c r="AP85">
        <v>2.0325500000000001</v>
      </c>
      <c r="AQ85">
        <v>0.29369426666666698</v>
      </c>
      <c r="AR85">
        <v>51.080939999999998</v>
      </c>
      <c r="AS85">
        <v>50.730566666666697</v>
      </c>
      <c r="AT85">
        <v>1.0107666666666699</v>
      </c>
      <c r="AU85">
        <v>49.999699999999997</v>
      </c>
      <c r="AV85">
        <v>14.406739999999999</v>
      </c>
      <c r="AW85">
        <v>1.54113866666667</v>
      </c>
      <c r="AX85">
        <v>1.4401046666666699</v>
      </c>
      <c r="AY85">
        <v>13.3825533333333</v>
      </c>
      <c r="AZ85">
        <v>12.34662</v>
      </c>
      <c r="BA85">
        <v>800.00073333333296</v>
      </c>
      <c r="BB85">
        <v>0.899996666666667</v>
      </c>
      <c r="BC85">
        <v>0</v>
      </c>
      <c r="BD85">
        <v>0.100003333333333</v>
      </c>
      <c r="BE85">
        <v>0</v>
      </c>
      <c r="BF85">
        <v>25</v>
      </c>
      <c r="BG85">
        <v>13191.02</v>
      </c>
      <c r="BH85">
        <v>1771086652</v>
      </c>
      <c r="BI85" t="s">
        <v>416</v>
      </c>
      <c r="BJ85">
        <v>1771086652</v>
      </c>
      <c r="BK85">
        <v>1771086652</v>
      </c>
      <c r="BL85">
        <v>3</v>
      </c>
      <c r="BM85">
        <v>0.17899999999999999</v>
      </c>
      <c r="BN85">
        <v>-3.5999999999999997E-2</v>
      </c>
      <c r="BO85">
        <v>-0.48699999999999999</v>
      </c>
      <c r="BP85">
        <v>0.104</v>
      </c>
      <c r="BQ85">
        <v>50</v>
      </c>
      <c r="BR85">
        <v>14</v>
      </c>
      <c r="BS85">
        <v>0.14000000000000001</v>
      </c>
      <c r="BT85">
        <v>0.03</v>
      </c>
      <c r="BU85">
        <v>0.29794920000000003</v>
      </c>
      <c r="BV85">
        <v>-9.0740661654135801E-2</v>
      </c>
      <c r="BW85">
        <v>1.4098132743735999E-2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1.0091019999999999</v>
      </c>
      <c r="CD85">
        <v>5.08556390977438E-2</v>
      </c>
      <c r="CE85">
        <v>5.6124019813267199E-3</v>
      </c>
      <c r="CF85">
        <v>1</v>
      </c>
      <c r="CG85">
        <v>2</v>
      </c>
      <c r="CH85">
        <v>2</v>
      </c>
      <c r="CI85" t="s">
        <v>310</v>
      </c>
      <c r="CJ85">
        <v>3.5325000000000002</v>
      </c>
      <c r="CK85">
        <v>2.7022699999999999</v>
      </c>
      <c r="CL85">
        <v>1.4812000000000001E-2</v>
      </c>
      <c r="CM85">
        <v>1.44215E-2</v>
      </c>
      <c r="CN85">
        <v>8.7211200000000003E-2</v>
      </c>
      <c r="CO85">
        <v>8.2085199999999997E-2</v>
      </c>
      <c r="CP85">
        <v>34587.9</v>
      </c>
      <c r="CQ85">
        <v>30361.5</v>
      </c>
      <c r="CR85">
        <v>32489.200000000001</v>
      </c>
      <c r="CS85">
        <v>30728.6</v>
      </c>
      <c r="CT85">
        <v>40133.9</v>
      </c>
      <c r="CU85">
        <v>39647.699999999997</v>
      </c>
      <c r="CV85">
        <v>47434.2</v>
      </c>
      <c r="CW85">
        <v>46850.1</v>
      </c>
      <c r="CX85">
        <v>2.6367400000000001</v>
      </c>
      <c r="CY85">
        <v>2.1746400000000001</v>
      </c>
      <c r="CZ85">
        <v>0</v>
      </c>
      <c r="DA85">
        <v>0</v>
      </c>
      <c r="DB85">
        <v>999.9</v>
      </c>
      <c r="DC85">
        <v>999.9</v>
      </c>
      <c r="DD85">
        <v>67.085999999999999</v>
      </c>
      <c r="DE85">
        <v>24.108000000000001</v>
      </c>
      <c r="DF85">
        <v>20.230699999999999</v>
      </c>
      <c r="DG85">
        <v>30.2273</v>
      </c>
      <c r="DH85">
        <v>15.160299999999999</v>
      </c>
      <c r="DI85">
        <v>2</v>
      </c>
      <c r="DJ85">
        <v>-0.19184100000000001</v>
      </c>
      <c r="DK85">
        <v>1.8712</v>
      </c>
      <c r="DL85">
        <v>20.2</v>
      </c>
      <c r="DM85">
        <v>5.2507099999999998</v>
      </c>
      <c r="DN85">
        <v>12.033899999999999</v>
      </c>
      <c r="DO85">
        <v>4.96692</v>
      </c>
      <c r="DP85">
        <v>3.2909999999999999</v>
      </c>
      <c r="DQ85">
        <v>9999</v>
      </c>
      <c r="DR85">
        <v>9999</v>
      </c>
      <c r="DS85">
        <v>9999</v>
      </c>
      <c r="DT85">
        <v>604.20000000000005</v>
      </c>
      <c r="DU85">
        <v>1.87103</v>
      </c>
      <c r="DV85">
        <v>1.8760699999999999</v>
      </c>
      <c r="DW85">
        <v>1.8762399999999999</v>
      </c>
      <c r="DX85">
        <v>1.8827799999999999</v>
      </c>
      <c r="DY85">
        <v>1.87557</v>
      </c>
      <c r="DZ85">
        <v>1.8746</v>
      </c>
      <c r="EA85">
        <v>1.87073</v>
      </c>
      <c r="EB85">
        <v>1.87463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-0.48699999999999999</v>
      </c>
      <c r="EQ85">
        <v>0.1041</v>
      </c>
      <c r="ER85">
        <v>-0.48728000000000499</v>
      </c>
      <c r="ES85">
        <v>0</v>
      </c>
      <c r="ET85">
        <v>0</v>
      </c>
      <c r="EU85">
        <v>0</v>
      </c>
      <c r="EV85">
        <v>0.10407000000000199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2.2999999999999998</v>
      </c>
      <c r="FE85">
        <v>2.2999999999999998</v>
      </c>
      <c r="FF85">
        <v>0.29052699999999998</v>
      </c>
      <c r="FG85">
        <v>2.5903299999999998</v>
      </c>
      <c r="FH85">
        <v>2.19604</v>
      </c>
      <c r="FI85">
        <v>2.5830099999999998</v>
      </c>
      <c r="FJ85">
        <v>2.4462899999999999</v>
      </c>
      <c r="FK85">
        <v>2.2814899999999998</v>
      </c>
      <c r="FL85">
        <v>29.644300000000001</v>
      </c>
      <c r="FM85">
        <v>24.148800000000001</v>
      </c>
      <c r="FN85">
        <v>19</v>
      </c>
      <c r="FO85">
        <v>863.16099999999994</v>
      </c>
      <c r="FP85">
        <v>600.29100000000005</v>
      </c>
      <c r="FQ85">
        <v>18.174099999999999</v>
      </c>
      <c r="FR85">
        <v>24.593299999999999</v>
      </c>
      <c r="FS85">
        <v>30.0002</v>
      </c>
      <c r="FT85">
        <v>24.57</v>
      </c>
      <c r="FU85">
        <v>24.571100000000001</v>
      </c>
      <c r="FV85">
        <v>5.8486200000000004</v>
      </c>
      <c r="FW85">
        <v>32.682000000000002</v>
      </c>
      <c r="FX85">
        <v>64.401300000000006</v>
      </c>
      <c r="FY85">
        <v>18.175799999999999</v>
      </c>
      <c r="FZ85">
        <v>50</v>
      </c>
      <c r="GA85">
        <v>14.419600000000001</v>
      </c>
      <c r="GB85">
        <v>99.962299999999999</v>
      </c>
      <c r="GC85">
        <v>99.744</v>
      </c>
    </row>
    <row r="86" spans="1:185" x14ac:dyDescent="0.2">
      <c r="A86">
        <v>71</v>
      </c>
      <c r="B86">
        <v>1771086804</v>
      </c>
      <c r="C86">
        <v>1484</v>
      </c>
      <c r="D86" t="s">
        <v>437</v>
      </c>
      <c r="E86" t="s">
        <v>438</v>
      </c>
      <c r="F86">
        <v>15</v>
      </c>
      <c r="G86">
        <v>1771086795.9333301</v>
      </c>
      <c r="H86">
        <f t="shared" si="13"/>
        <v>8.2676538458040889E-4</v>
      </c>
      <c r="I86">
        <v>0</v>
      </c>
      <c r="J86">
        <f t="shared" si="25"/>
        <v>-9.8890800778823427E-3</v>
      </c>
      <c r="K86">
        <f t="shared" si="14"/>
        <v>-0.26805276306345471</v>
      </c>
      <c r="L86">
        <f t="shared" si="15"/>
        <v>69.912531191017095</v>
      </c>
      <c r="M86">
        <f t="shared" si="16"/>
        <v>1.5413729833936161</v>
      </c>
      <c r="N86">
        <f t="shared" si="17"/>
        <v>2.2047163178547078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26179.760108610204</v>
      </c>
      <c r="T86">
        <f t="shared" si="21"/>
        <v>799.99953333333303</v>
      </c>
      <c r="U86">
        <f t="shared" si="22"/>
        <v>674.39972019993343</v>
      </c>
      <c r="V86">
        <f t="shared" si="23"/>
        <v>0.84300014199999995</v>
      </c>
      <c r="W86">
        <f t="shared" si="24"/>
        <v>0.15870035499999996</v>
      </c>
      <c r="X86">
        <v>1</v>
      </c>
      <c r="Y86">
        <v>1771086795.9333301</v>
      </c>
      <c r="Z86">
        <v>50.287019999999998</v>
      </c>
      <c r="AA86">
        <v>50.0039266666667</v>
      </c>
      <c r="AB86">
        <v>15.4098066666667</v>
      </c>
      <c r="AC86">
        <v>14.392286666666701</v>
      </c>
      <c r="AD86">
        <v>50.774299999999997</v>
      </c>
      <c r="AE86">
        <v>15.3057266666667</v>
      </c>
      <c r="AF86">
        <v>800.00893333333295</v>
      </c>
      <c r="AG86">
        <v>99.961039999999997</v>
      </c>
      <c r="AH86">
        <v>6.4418900000000001E-2</v>
      </c>
      <c r="AI86">
        <v>18.9966266666667</v>
      </c>
      <c r="AJ86">
        <v>999.9</v>
      </c>
      <c r="AK86">
        <v>999.9</v>
      </c>
      <c r="AL86">
        <v>0</v>
      </c>
      <c r="AM86">
        <v>0</v>
      </c>
      <c r="AN86">
        <v>4994.6333333333296</v>
      </c>
      <c r="AO86">
        <v>0</v>
      </c>
      <c r="AP86">
        <v>2.0325500000000001</v>
      </c>
      <c r="AQ86">
        <v>0.28309926666666702</v>
      </c>
      <c r="AR86">
        <v>51.074060000000003</v>
      </c>
      <c r="AS86">
        <v>50.734106666666698</v>
      </c>
      <c r="AT86">
        <v>1.01750266666667</v>
      </c>
      <c r="AU86">
        <v>50.0039266666667</v>
      </c>
      <c r="AV86">
        <v>14.392286666666701</v>
      </c>
      <c r="AW86">
        <v>1.5403786666666699</v>
      </c>
      <c r="AX86">
        <v>1.4386686666666699</v>
      </c>
      <c r="AY86">
        <v>13.374980000000001</v>
      </c>
      <c r="AZ86">
        <v>12.3314533333333</v>
      </c>
      <c r="BA86">
        <v>799.99953333333303</v>
      </c>
      <c r="BB86">
        <v>0.89999526666666696</v>
      </c>
      <c r="BC86">
        <v>0</v>
      </c>
      <c r="BD86">
        <v>0.100004733333333</v>
      </c>
      <c r="BE86">
        <v>0</v>
      </c>
      <c r="BF86">
        <v>25</v>
      </c>
      <c r="BG86">
        <v>13191</v>
      </c>
      <c r="BH86">
        <v>1771086652</v>
      </c>
      <c r="BI86" t="s">
        <v>416</v>
      </c>
      <c r="BJ86">
        <v>1771086652</v>
      </c>
      <c r="BK86">
        <v>1771086652</v>
      </c>
      <c r="BL86">
        <v>3</v>
      </c>
      <c r="BM86">
        <v>0.17899999999999999</v>
      </c>
      <c r="BN86">
        <v>-3.5999999999999997E-2</v>
      </c>
      <c r="BO86">
        <v>-0.48699999999999999</v>
      </c>
      <c r="BP86">
        <v>0.104</v>
      </c>
      <c r="BQ86">
        <v>50</v>
      </c>
      <c r="BR86">
        <v>14</v>
      </c>
      <c r="BS86">
        <v>0.14000000000000001</v>
      </c>
      <c r="BT86">
        <v>0.03</v>
      </c>
      <c r="BU86">
        <v>0.28461214285714298</v>
      </c>
      <c r="BV86">
        <v>-4.8194181818181303E-2</v>
      </c>
      <c r="BW86">
        <v>1.46717405637528E-2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1.0169876190476199</v>
      </c>
      <c r="CD86">
        <v>3.33062337662356E-2</v>
      </c>
      <c r="CE86">
        <v>5.6052602036046001E-3</v>
      </c>
      <c r="CF86">
        <v>1</v>
      </c>
      <c r="CG86">
        <v>2</v>
      </c>
      <c r="CH86">
        <v>2</v>
      </c>
      <c r="CI86" t="s">
        <v>310</v>
      </c>
      <c r="CJ86">
        <v>3.53247</v>
      </c>
      <c r="CK86">
        <v>2.7023700000000002</v>
      </c>
      <c r="CL86">
        <v>1.48104E-2</v>
      </c>
      <c r="CM86">
        <v>1.44257E-2</v>
      </c>
      <c r="CN86">
        <v>8.7192199999999997E-2</v>
      </c>
      <c r="CO86">
        <v>8.2006800000000005E-2</v>
      </c>
      <c r="CP86">
        <v>34587.5</v>
      </c>
      <c r="CQ86">
        <v>30361.5</v>
      </c>
      <c r="CR86">
        <v>32488.9</v>
      </c>
      <c r="CS86">
        <v>30728.7</v>
      </c>
      <c r="CT86">
        <v>40134.5</v>
      </c>
      <c r="CU86">
        <v>39651.300000000003</v>
      </c>
      <c r="CV86">
        <v>47434</v>
      </c>
      <c r="CW86">
        <v>46850.2</v>
      </c>
      <c r="CX86">
        <v>2.63652</v>
      </c>
      <c r="CY86">
        <v>2.1744400000000002</v>
      </c>
      <c r="CZ86">
        <v>0</v>
      </c>
      <c r="DA86">
        <v>0</v>
      </c>
      <c r="DB86">
        <v>999.9</v>
      </c>
      <c r="DC86">
        <v>999.9</v>
      </c>
      <c r="DD86">
        <v>66.951999999999998</v>
      </c>
      <c r="DE86">
        <v>24.108000000000001</v>
      </c>
      <c r="DF86">
        <v>20.190100000000001</v>
      </c>
      <c r="DG86">
        <v>30.077300000000001</v>
      </c>
      <c r="DH86">
        <v>15.1242</v>
      </c>
      <c r="DI86">
        <v>2</v>
      </c>
      <c r="DJ86">
        <v>-0.191358</v>
      </c>
      <c r="DK86">
        <v>1.8649</v>
      </c>
      <c r="DL86">
        <v>20.1999</v>
      </c>
      <c r="DM86">
        <v>5.2509499999999996</v>
      </c>
      <c r="DN86">
        <v>12.033899999999999</v>
      </c>
      <c r="DO86">
        <v>4.9668799999999997</v>
      </c>
      <c r="DP86">
        <v>3.2909999999999999</v>
      </c>
      <c r="DQ86">
        <v>9999</v>
      </c>
      <c r="DR86">
        <v>9999</v>
      </c>
      <c r="DS86">
        <v>9999</v>
      </c>
      <c r="DT86">
        <v>604.20000000000005</v>
      </c>
      <c r="DU86">
        <v>1.87103</v>
      </c>
      <c r="DV86">
        <v>1.87608</v>
      </c>
      <c r="DW86">
        <v>1.87626</v>
      </c>
      <c r="DX86">
        <v>1.88279</v>
      </c>
      <c r="DY86">
        <v>1.8755999999999999</v>
      </c>
      <c r="DZ86">
        <v>1.8746100000000001</v>
      </c>
      <c r="EA86">
        <v>1.8707400000000001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-0.48699999999999999</v>
      </c>
      <c r="EQ86">
        <v>0.1041</v>
      </c>
      <c r="ER86">
        <v>-0.48728000000000499</v>
      </c>
      <c r="ES86">
        <v>0</v>
      </c>
      <c r="ET86">
        <v>0</v>
      </c>
      <c r="EU86">
        <v>0</v>
      </c>
      <c r="EV86">
        <v>0.10407000000000199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2.5</v>
      </c>
      <c r="FE86">
        <v>2.5</v>
      </c>
      <c r="FF86">
        <v>0.29052699999999998</v>
      </c>
      <c r="FG86">
        <v>2.5915499999999998</v>
      </c>
      <c r="FH86">
        <v>2.19604</v>
      </c>
      <c r="FI86">
        <v>2.5817899999999998</v>
      </c>
      <c r="FJ86">
        <v>2.4462899999999999</v>
      </c>
      <c r="FK86">
        <v>2.3083499999999999</v>
      </c>
      <c r="FL86">
        <v>29.644300000000001</v>
      </c>
      <c r="FM86">
        <v>24.148800000000001</v>
      </c>
      <c r="FN86">
        <v>19</v>
      </c>
      <c r="FO86">
        <v>863.05100000000004</v>
      </c>
      <c r="FP86">
        <v>600.19899999999996</v>
      </c>
      <c r="FQ86">
        <v>18.182099999999998</v>
      </c>
      <c r="FR86">
        <v>24.5975</v>
      </c>
      <c r="FS86">
        <v>30.0002</v>
      </c>
      <c r="FT86">
        <v>24.575700000000001</v>
      </c>
      <c r="FU86">
        <v>24.576699999999999</v>
      </c>
      <c r="FV86">
        <v>5.8476600000000003</v>
      </c>
      <c r="FW86">
        <v>32.682000000000002</v>
      </c>
      <c r="FX86">
        <v>64.018299999999996</v>
      </c>
      <c r="FY86">
        <v>18.183199999999999</v>
      </c>
      <c r="FZ86">
        <v>50</v>
      </c>
      <c r="GA86">
        <v>14.419600000000001</v>
      </c>
      <c r="GB86">
        <v>99.961500000000001</v>
      </c>
      <c r="GC86">
        <v>99.744299999999996</v>
      </c>
    </row>
    <row r="87" spans="1:185" x14ac:dyDescent="0.2">
      <c r="A87">
        <v>72</v>
      </c>
      <c r="B87">
        <v>1771086819</v>
      </c>
      <c r="C87">
        <v>1499</v>
      </c>
      <c r="D87" t="s">
        <v>439</v>
      </c>
      <c r="E87" t="s">
        <v>440</v>
      </c>
      <c r="F87">
        <v>15</v>
      </c>
      <c r="G87">
        <v>1771086810.9333301</v>
      </c>
      <c r="H87">
        <f t="shared" si="13"/>
        <v>8.3361183773246526E-4</v>
      </c>
      <c r="I87">
        <v>0</v>
      </c>
      <c r="J87">
        <f t="shared" si="25"/>
        <v>-9.8207850905286283E-3</v>
      </c>
      <c r="K87">
        <f t="shared" si="14"/>
        <v>-0.26620156356669955</v>
      </c>
      <c r="L87">
        <f t="shared" si="15"/>
        <v>69.882643475409537</v>
      </c>
      <c r="M87">
        <f t="shared" si="16"/>
        <v>1.5408749380484776</v>
      </c>
      <c r="N87">
        <f t="shared" si="17"/>
        <v>2.2049465524163869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26201.161532295166</v>
      </c>
      <c r="T87">
        <f t="shared" si="21"/>
        <v>799.99926666666704</v>
      </c>
      <c r="U87">
        <f t="shared" si="22"/>
        <v>674.39944899993873</v>
      </c>
      <c r="V87">
        <f t="shared" si="23"/>
        <v>0.84300008400000004</v>
      </c>
      <c r="W87">
        <f t="shared" si="24"/>
        <v>0.15870021000000001</v>
      </c>
      <c r="X87">
        <v>1</v>
      </c>
      <c r="Y87">
        <v>1771086810.9333301</v>
      </c>
      <c r="Z87">
        <v>50.288053333333302</v>
      </c>
      <c r="AA87">
        <v>50.007706666666699</v>
      </c>
      <c r="AB87">
        <v>15.4048266666667</v>
      </c>
      <c r="AC87">
        <v>14.378880000000001</v>
      </c>
      <c r="AD87">
        <v>50.7753333333333</v>
      </c>
      <c r="AE87">
        <v>15.3007666666667</v>
      </c>
      <c r="AF87">
        <v>800.01253333333295</v>
      </c>
      <c r="AG87">
        <v>99.96078</v>
      </c>
      <c r="AH87">
        <v>6.4684186666666699E-2</v>
      </c>
      <c r="AI87">
        <v>18.9983</v>
      </c>
      <c r="AJ87">
        <v>999.9</v>
      </c>
      <c r="AK87">
        <v>999.9</v>
      </c>
      <c r="AL87">
        <v>0</v>
      </c>
      <c r="AM87">
        <v>0</v>
      </c>
      <c r="AN87">
        <v>4998.2</v>
      </c>
      <c r="AO87">
        <v>0</v>
      </c>
      <c r="AP87">
        <v>2.0325500000000001</v>
      </c>
      <c r="AQ87">
        <v>0.28034073333333298</v>
      </c>
      <c r="AR87">
        <v>51.074853333333301</v>
      </c>
      <c r="AS87">
        <v>50.7372533333333</v>
      </c>
      <c r="AT87">
        <v>1.02594933333333</v>
      </c>
      <c r="AU87">
        <v>50.007706666666699</v>
      </c>
      <c r="AV87">
        <v>14.378880000000001</v>
      </c>
      <c r="AW87">
        <v>1.5398786666666699</v>
      </c>
      <c r="AX87">
        <v>1.43732533333333</v>
      </c>
      <c r="AY87">
        <v>13.3699866666667</v>
      </c>
      <c r="AZ87">
        <v>12.31724</v>
      </c>
      <c r="BA87">
        <v>799.99926666666704</v>
      </c>
      <c r="BB87">
        <v>0.89999720000000005</v>
      </c>
      <c r="BC87">
        <v>0</v>
      </c>
      <c r="BD87">
        <v>0.1000028</v>
      </c>
      <c r="BE87">
        <v>0</v>
      </c>
      <c r="BF87">
        <v>25</v>
      </c>
      <c r="BG87">
        <v>13191.006666666701</v>
      </c>
      <c r="BH87">
        <v>1771086652</v>
      </c>
      <c r="BI87" t="s">
        <v>416</v>
      </c>
      <c r="BJ87">
        <v>1771086652</v>
      </c>
      <c r="BK87">
        <v>1771086652</v>
      </c>
      <c r="BL87">
        <v>3</v>
      </c>
      <c r="BM87">
        <v>0.17899999999999999</v>
      </c>
      <c r="BN87">
        <v>-3.5999999999999997E-2</v>
      </c>
      <c r="BO87">
        <v>-0.48699999999999999</v>
      </c>
      <c r="BP87">
        <v>0.104</v>
      </c>
      <c r="BQ87">
        <v>50</v>
      </c>
      <c r="BR87">
        <v>14</v>
      </c>
      <c r="BS87">
        <v>0.14000000000000001</v>
      </c>
      <c r="BT87">
        <v>0.03</v>
      </c>
      <c r="BU87">
        <v>0.28150799999999998</v>
      </c>
      <c r="BV87">
        <v>-6.0586466165417499E-3</v>
      </c>
      <c r="BW87">
        <v>4.8765304059341201E-3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1.0260514999999999</v>
      </c>
      <c r="CD87">
        <v>5.6774436090213098E-3</v>
      </c>
      <c r="CE87">
        <v>2.6234867543024E-3</v>
      </c>
      <c r="CF87">
        <v>1</v>
      </c>
      <c r="CG87">
        <v>2</v>
      </c>
      <c r="CH87">
        <v>2</v>
      </c>
      <c r="CI87" t="s">
        <v>310</v>
      </c>
      <c r="CJ87">
        <v>3.5324499999999999</v>
      </c>
      <c r="CK87">
        <v>2.7025000000000001</v>
      </c>
      <c r="CL87">
        <v>1.4806700000000001E-2</v>
      </c>
      <c r="CM87">
        <v>1.44245E-2</v>
      </c>
      <c r="CN87">
        <v>8.7146299999999996E-2</v>
      </c>
      <c r="CO87">
        <v>8.1936899999999993E-2</v>
      </c>
      <c r="CP87">
        <v>34587.4</v>
      </c>
      <c r="CQ87">
        <v>30362.1</v>
      </c>
      <c r="CR87">
        <v>32488.7</v>
      </c>
      <c r="CS87">
        <v>30729.3</v>
      </c>
      <c r="CT87">
        <v>40136.400000000001</v>
      </c>
      <c r="CU87">
        <v>39655.300000000003</v>
      </c>
      <c r="CV87">
        <v>47433.7</v>
      </c>
      <c r="CW87">
        <v>46851.4</v>
      </c>
      <c r="CX87">
        <v>2.6366000000000001</v>
      </c>
      <c r="CY87">
        <v>2.17414</v>
      </c>
      <c r="CZ87">
        <v>0</v>
      </c>
      <c r="DA87">
        <v>0</v>
      </c>
      <c r="DB87">
        <v>999.9</v>
      </c>
      <c r="DC87">
        <v>999.9</v>
      </c>
      <c r="DD87">
        <v>66.853999999999999</v>
      </c>
      <c r="DE87">
        <v>24.119</v>
      </c>
      <c r="DF87">
        <v>20.174499999999998</v>
      </c>
      <c r="DG87">
        <v>30.287299999999998</v>
      </c>
      <c r="DH87">
        <v>15.160299999999999</v>
      </c>
      <c r="DI87">
        <v>2</v>
      </c>
      <c r="DJ87">
        <v>-0.19119700000000001</v>
      </c>
      <c r="DK87">
        <v>1.8656999999999999</v>
      </c>
      <c r="DL87">
        <v>20.2</v>
      </c>
      <c r="DM87">
        <v>5.2513100000000001</v>
      </c>
      <c r="DN87">
        <v>12.033899999999999</v>
      </c>
      <c r="DO87">
        <v>4.9668400000000004</v>
      </c>
      <c r="DP87">
        <v>3.2909999999999999</v>
      </c>
      <c r="DQ87">
        <v>9999</v>
      </c>
      <c r="DR87">
        <v>9999</v>
      </c>
      <c r="DS87">
        <v>9999</v>
      </c>
      <c r="DT87">
        <v>604.29999999999995</v>
      </c>
      <c r="DU87">
        <v>1.87104</v>
      </c>
      <c r="DV87">
        <v>1.87609</v>
      </c>
      <c r="DW87">
        <v>1.87635</v>
      </c>
      <c r="DX87">
        <v>1.8828</v>
      </c>
      <c r="DY87">
        <v>1.87561</v>
      </c>
      <c r="DZ87">
        <v>1.8746700000000001</v>
      </c>
      <c r="EA87">
        <v>1.87076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-0.48699999999999999</v>
      </c>
      <c r="EQ87">
        <v>0.1041</v>
      </c>
      <c r="ER87">
        <v>-0.48728000000000499</v>
      </c>
      <c r="ES87">
        <v>0</v>
      </c>
      <c r="ET87">
        <v>0</v>
      </c>
      <c r="EU87">
        <v>0</v>
      </c>
      <c r="EV87">
        <v>0.10407000000000199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2.8</v>
      </c>
      <c r="FE87">
        <v>2.8</v>
      </c>
      <c r="FF87">
        <v>0.29052699999999998</v>
      </c>
      <c r="FG87">
        <v>2.5903299999999998</v>
      </c>
      <c r="FH87">
        <v>2.19604</v>
      </c>
      <c r="FI87">
        <v>2.5817899999999998</v>
      </c>
      <c r="FJ87">
        <v>2.4462899999999999</v>
      </c>
      <c r="FK87">
        <v>2.3046899999999999</v>
      </c>
      <c r="FL87">
        <v>29.665700000000001</v>
      </c>
      <c r="FM87">
        <v>24.148800000000001</v>
      </c>
      <c r="FN87">
        <v>19</v>
      </c>
      <c r="FO87">
        <v>863.20600000000002</v>
      </c>
      <c r="FP87">
        <v>600.02599999999995</v>
      </c>
      <c r="FQ87">
        <v>18.186499999999999</v>
      </c>
      <c r="FR87">
        <v>24.602</v>
      </c>
      <c r="FS87">
        <v>30.0002</v>
      </c>
      <c r="FT87">
        <v>24.5807</v>
      </c>
      <c r="FU87">
        <v>24.582100000000001</v>
      </c>
      <c r="FV87">
        <v>5.8465699999999998</v>
      </c>
      <c r="FW87">
        <v>32.682000000000002</v>
      </c>
      <c r="FX87">
        <v>63.642699999999998</v>
      </c>
      <c r="FY87">
        <v>18.187000000000001</v>
      </c>
      <c r="FZ87">
        <v>50</v>
      </c>
      <c r="GA87">
        <v>14.419600000000001</v>
      </c>
      <c r="GB87">
        <v>99.960899999999995</v>
      </c>
      <c r="GC87">
        <v>99.746499999999997</v>
      </c>
    </row>
    <row r="88" spans="1:185" x14ac:dyDescent="0.2">
      <c r="A88">
        <v>73</v>
      </c>
      <c r="B88">
        <v>1771086834</v>
      </c>
      <c r="C88">
        <v>1514</v>
      </c>
      <c r="D88" t="s">
        <v>441</v>
      </c>
      <c r="E88" t="s">
        <v>442</v>
      </c>
      <c r="F88">
        <v>15</v>
      </c>
      <c r="G88">
        <v>1771086825.9333301</v>
      </c>
      <c r="H88">
        <f t="shared" si="13"/>
        <v>8.3580923800104321E-4</v>
      </c>
      <c r="I88">
        <v>0</v>
      </c>
      <c r="J88">
        <f t="shared" si="25"/>
        <v>-9.834904653033022E-3</v>
      </c>
      <c r="K88">
        <f t="shared" si="14"/>
        <v>-0.26658428751197483</v>
      </c>
      <c r="L88">
        <f t="shared" si="15"/>
        <v>69.823445951380009</v>
      </c>
      <c r="M88">
        <f t="shared" si="16"/>
        <v>1.5395286728730135</v>
      </c>
      <c r="N88">
        <f t="shared" si="17"/>
        <v>2.2048878451874598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26249.918744985898</v>
      </c>
      <c r="T88">
        <f t="shared" si="21"/>
        <v>799.99919999999997</v>
      </c>
      <c r="U88">
        <f t="shared" si="22"/>
        <v>674.39933439999118</v>
      </c>
      <c r="V88">
        <f t="shared" si="23"/>
        <v>0.84300001099999999</v>
      </c>
      <c r="W88">
        <f t="shared" si="24"/>
        <v>0.15869996254000002</v>
      </c>
      <c r="X88">
        <v>1</v>
      </c>
      <c r="Y88">
        <v>1771086825.9333301</v>
      </c>
      <c r="Z88">
        <v>50.275953333333298</v>
      </c>
      <c r="AA88">
        <v>49.995253333333302</v>
      </c>
      <c r="AB88">
        <v>15.3913666666667</v>
      </c>
      <c r="AC88">
        <v>14.3627</v>
      </c>
      <c r="AD88">
        <v>50.763233333333297</v>
      </c>
      <c r="AE88">
        <v>15.2873066666667</v>
      </c>
      <c r="AF88">
        <v>800.01133333333303</v>
      </c>
      <c r="AG88">
        <v>99.960906666666702</v>
      </c>
      <c r="AH88">
        <v>6.4562560000000005E-2</v>
      </c>
      <c r="AI88">
        <v>18.997873333333299</v>
      </c>
      <c r="AJ88">
        <v>999.9</v>
      </c>
      <c r="AK88">
        <v>999.9</v>
      </c>
      <c r="AL88">
        <v>0</v>
      </c>
      <c r="AM88">
        <v>0</v>
      </c>
      <c r="AN88">
        <v>5006.2333333333299</v>
      </c>
      <c r="AO88">
        <v>0</v>
      </c>
      <c r="AP88">
        <v>2.0325500000000001</v>
      </c>
      <c r="AQ88">
        <v>0.28069460000000002</v>
      </c>
      <c r="AR88">
        <v>51.061853333333303</v>
      </c>
      <c r="AS88">
        <v>50.723793333333298</v>
      </c>
      <c r="AT88">
        <v>1.0286519999999999</v>
      </c>
      <c r="AU88">
        <v>49.995253333333302</v>
      </c>
      <c r="AV88">
        <v>14.3627</v>
      </c>
      <c r="AW88">
        <v>1.53853533333333</v>
      </c>
      <c r="AX88">
        <v>1.4357106666666699</v>
      </c>
      <c r="AY88">
        <v>13.3566</v>
      </c>
      <c r="AZ88">
        <v>12.300140000000001</v>
      </c>
      <c r="BA88">
        <v>799.99919999999997</v>
      </c>
      <c r="BB88">
        <v>0.90000060000000004</v>
      </c>
      <c r="BC88">
        <v>0</v>
      </c>
      <c r="BD88">
        <v>9.9999433333333304E-2</v>
      </c>
      <c r="BE88">
        <v>0</v>
      </c>
      <c r="BF88">
        <v>25</v>
      </c>
      <c r="BG88">
        <v>13191.02</v>
      </c>
      <c r="BH88">
        <v>1771086652</v>
      </c>
      <c r="BI88" t="s">
        <v>416</v>
      </c>
      <c r="BJ88">
        <v>1771086652</v>
      </c>
      <c r="BK88">
        <v>1771086652</v>
      </c>
      <c r="BL88">
        <v>3</v>
      </c>
      <c r="BM88">
        <v>0.17899999999999999</v>
      </c>
      <c r="BN88">
        <v>-3.5999999999999997E-2</v>
      </c>
      <c r="BO88">
        <v>-0.48699999999999999</v>
      </c>
      <c r="BP88">
        <v>0.104</v>
      </c>
      <c r="BQ88">
        <v>50</v>
      </c>
      <c r="BR88">
        <v>14</v>
      </c>
      <c r="BS88">
        <v>0.14000000000000001</v>
      </c>
      <c r="BT88">
        <v>0.03</v>
      </c>
      <c r="BU88">
        <v>0.281171</v>
      </c>
      <c r="BV88">
        <v>-3.6032961038960802E-2</v>
      </c>
      <c r="BW88">
        <v>9.6751072394696495E-3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1.02832285714286</v>
      </c>
      <c r="CD88">
        <v>-1.1538701298699499E-2</v>
      </c>
      <c r="CE88">
        <v>3.9033320843279802E-3</v>
      </c>
      <c r="CF88">
        <v>1</v>
      </c>
      <c r="CG88">
        <v>2</v>
      </c>
      <c r="CH88">
        <v>2</v>
      </c>
      <c r="CI88" t="s">
        <v>310</v>
      </c>
      <c r="CJ88">
        <v>3.5325099999999998</v>
      </c>
      <c r="CK88">
        <v>2.70255</v>
      </c>
      <c r="CL88">
        <v>1.48069E-2</v>
      </c>
      <c r="CM88">
        <v>1.4420000000000001E-2</v>
      </c>
      <c r="CN88">
        <v>8.7091500000000002E-2</v>
      </c>
      <c r="CO88">
        <v>8.1917599999999993E-2</v>
      </c>
      <c r="CP88">
        <v>34588</v>
      </c>
      <c r="CQ88">
        <v>30361.8</v>
      </c>
      <c r="CR88">
        <v>32489.200000000001</v>
      </c>
      <c r="CS88">
        <v>30728.9</v>
      </c>
      <c r="CT88">
        <v>40139.599999999999</v>
      </c>
      <c r="CU88">
        <v>39655.9</v>
      </c>
      <c r="CV88">
        <v>47434.5</v>
      </c>
      <c r="CW88">
        <v>46851</v>
      </c>
      <c r="CX88">
        <v>2.6364200000000002</v>
      </c>
      <c r="CY88">
        <v>2.1740599999999999</v>
      </c>
      <c r="CZ88">
        <v>0</v>
      </c>
      <c r="DA88">
        <v>0</v>
      </c>
      <c r="DB88">
        <v>999.9</v>
      </c>
      <c r="DC88">
        <v>999.9</v>
      </c>
      <c r="DD88">
        <v>66.731999999999999</v>
      </c>
      <c r="DE88">
        <v>24.149000000000001</v>
      </c>
      <c r="DF88">
        <v>20.172599999999999</v>
      </c>
      <c r="DG88">
        <v>30.287299999999998</v>
      </c>
      <c r="DH88">
        <v>15.0962</v>
      </c>
      <c r="DI88">
        <v>2</v>
      </c>
      <c r="DJ88">
        <v>-0.190717</v>
      </c>
      <c r="DK88">
        <v>1.8591500000000001</v>
      </c>
      <c r="DL88">
        <v>20.2</v>
      </c>
      <c r="DM88">
        <v>5.2508299999999997</v>
      </c>
      <c r="DN88">
        <v>12.033899999999999</v>
      </c>
      <c r="DO88">
        <v>4.96692</v>
      </c>
      <c r="DP88">
        <v>3.2909999999999999</v>
      </c>
      <c r="DQ88">
        <v>9999</v>
      </c>
      <c r="DR88">
        <v>9999</v>
      </c>
      <c r="DS88">
        <v>9999</v>
      </c>
      <c r="DT88">
        <v>604.29999999999995</v>
      </c>
      <c r="DU88">
        <v>1.87104</v>
      </c>
      <c r="DV88">
        <v>1.87609</v>
      </c>
      <c r="DW88">
        <v>1.8763399999999999</v>
      </c>
      <c r="DX88">
        <v>1.8828199999999999</v>
      </c>
      <c r="DY88">
        <v>1.87561</v>
      </c>
      <c r="DZ88">
        <v>1.8746799999999999</v>
      </c>
      <c r="EA88">
        <v>1.87077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-0.48699999999999999</v>
      </c>
      <c r="EQ88">
        <v>0.104</v>
      </c>
      <c r="ER88">
        <v>-0.48728000000000499</v>
      </c>
      <c r="ES88">
        <v>0</v>
      </c>
      <c r="ET88">
        <v>0</v>
      </c>
      <c r="EU88">
        <v>0</v>
      </c>
      <c r="EV88">
        <v>0.10407000000000199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3</v>
      </c>
      <c r="FE88">
        <v>3</v>
      </c>
      <c r="FF88">
        <v>0.29052699999999998</v>
      </c>
      <c r="FG88">
        <v>2.5866699999999998</v>
      </c>
      <c r="FH88">
        <v>2.19604</v>
      </c>
      <c r="FI88">
        <v>2.5817899999999998</v>
      </c>
      <c r="FJ88">
        <v>2.4462899999999999</v>
      </c>
      <c r="FK88">
        <v>2.2973599999999998</v>
      </c>
      <c r="FL88">
        <v>29.687000000000001</v>
      </c>
      <c r="FM88">
        <v>24.157499999999999</v>
      </c>
      <c r="FN88">
        <v>19</v>
      </c>
      <c r="FO88">
        <v>863.12599999999998</v>
      </c>
      <c r="FP88">
        <v>600.02800000000002</v>
      </c>
      <c r="FQ88">
        <v>18.1891</v>
      </c>
      <c r="FR88">
        <v>24.606100000000001</v>
      </c>
      <c r="FS88">
        <v>30.0002</v>
      </c>
      <c r="FT88">
        <v>24.586099999999998</v>
      </c>
      <c r="FU88">
        <v>24.587499999999999</v>
      </c>
      <c r="FV88">
        <v>5.8476900000000001</v>
      </c>
      <c r="FW88">
        <v>32.682000000000002</v>
      </c>
      <c r="FX88">
        <v>63.270099999999999</v>
      </c>
      <c r="FY88">
        <v>18.190999999999999</v>
      </c>
      <c r="FZ88">
        <v>50</v>
      </c>
      <c r="GA88">
        <v>14.4297</v>
      </c>
      <c r="GB88">
        <v>99.962699999999998</v>
      </c>
      <c r="GC88">
        <v>99.745599999999996</v>
      </c>
    </row>
    <row r="89" spans="1:185" x14ac:dyDescent="0.2">
      <c r="A89">
        <v>74</v>
      </c>
      <c r="B89">
        <v>1771086849</v>
      </c>
      <c r="C89">
        <v>1529</v>
      </c>
      <c r="D89" t="s">
        <v>443</v>
      </c>
      <c r="E89" t="s">
        <v>444</v>
      </c>
      <c r="F89">
        <v>15</v>
      </c>
      <c r="G89">
        <v>1771086840.9333301</v>
      </c>
      <c r="H89">
        <f t="shared" si="13"/>
        <v>8.2804688915823839E-4</v>
      </c>
      <c r="I89">
        <v>0</v>
      </c>
      <c r="J89">
        <f t="shared" si="25"/>
        <v>-9.8780120373027375E-3</v>
      </c>
      <c r="K89">
        <f t="shared" si="14"/>
        <v>-0.26775275347351346</v>
      </c>
      <c r="L89">
        <f t="shared" si="15"/>
        <v>69.772516912011838</v>
      </c>
      <c r="M89">
        <f t="shared" si="16"/>
        <v>1.5384755078206445</v>
      </c>
      <c r="N89">
        <f t="shared" si="17"/>
        <v>2.2049878317572702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26234.391384044819</v>
      </c>
      <c r="T89">
        <f t="shared" si="21"/>
        <v>799.99766666666699</v>
      </c>
      <c r="U89">
        <f t="shared" si="22"/>
        <v>674.39801076006518</v>
      </c>
      <c r="V89">
        <f t="shared" si="23"/>
        <v>0.84299997220000011</v>
      </c>
      <c r="W89">
        <f t="shared" si="24"/>
        <v>0.15869981357200003</v>
      </c>
      <c r="X89">
        <v>1</v>
      </c>
      <c r="Y89">
        <v>1771086840.9333301</v>
      </c>
      <c r="Z89">
        <v>50.278313333333301</v>
      </c>
      <c r="AA89">
        <v>49.9956666666667</v>
      </c>
      <c r="AB89">
        <v>15.3809066666667</v>
      </c>
      <c r="AC89">
        <v>14.36178</v>
      </c>
      <c r="AD89">
        <v>50.765599999999999</v>
      </c>
      <c r="AE89">
        <v>15.2768333333333</v>
      </c>
      <c r="AF89">
        <v>800.00926666666703</v>
      </c>
      <c r="AG89">
        <v>99.960486666666696</v>
      </c>
      <c r="AH89">
        <v>6.4534040000000001E-2</v>
      </c>
      <c r="AI89">
        <v>18.9986</v>
      </c>
      <c r="AJ89">
        <v>999.9</v>
      </c>
      <c r="AK89">
        <v>999.9</v>
      </c>
      <c r="AL89">
        <v>0</v>
      </c>
      <c r="AM89">
        <v>0</v>
      </c>
      <c r="AN89">
        <v>5003.7</v>
      </c>
      <c r="AO89">
        <v>0</v>
      </c>
      <c r="AP89">
        <v>2.0325500000000001</v>
      </c>
      <c r="AQ89">
        <v>0.28264240000000002</v>
      </c>
      <c r="AR89">
        <v>51.063720000000004</v>
      </c>
      <c r="AS89">
        <v>50.724146666666698</v>
      </c>
      <c r="AT89">
        <v>1.0191159999999999</v>
      </c>
      <c r="AU89">
        <v>49.9956666666667</v>
      </c>
      <c r="AV89">
        <v>14.36178</v>
      </c>
      <c r="AW89">
        <v>1.537482</v>
      </c>
      <c r="AX89">
        <v>1.4356106666666699</v>
      </c>
      <c r="AY89">
        <v>13.3461</v>
      </c>
      <c r="AZ89">
        <v>12.2990933333333</v>
      </c>
      <c r="BA89">
        <v>799.99766666666699</v>
      </c>
      <c r="BB89">
        <v>0.90000266666666695</v>
      </c>
      <c r="BC89">
        <v>0</v>
      </c>
      <c r="BD89">
        <v>9.9997393333333295E-2</v>
      </c>
      <c r="BE89">
        <v>0</v>
      </c>
      <c r="BF89">
        <v>25</v>
      </c>
      <c r="BG89">
        <v>13190.993333333299</v>
      </c>
      <c r="BH89">
        <v>1771086652</v>
      </c>
      <c r="BI89" t="s">
        <v>416</v>
      </c>
      <c r="BJ89">
        <v>1771086652</v>
      </c>
      <c r="BK89">
        <v>1771086652</v>
      </c>
      <c r="BL89">
        <v>3</v>
      </c>
      <c r="BM89">
        <v>0.17899999999999999</v>
      </c>
      <c r="BN89">
        <v>-3.5999999999999997E-2</v>
      </c>
      <c r="BO89">
        <v>-0.48699999999999999</v>
      </c>
      <c r="BP89">
        <v>0.104</v>
      </c>
      <c r="BQ89">
        <v>50</v>
      </c>
      <c r="BR89">
        <v>14</v>
      </c>
      <c r="BS89">
        <v>0.14000000000000001</v>
      </c>
      <c r="BT89">
        <v>0.03</v>
      </c>
      <c r="BU89">
        <v>0.28035244999999998</v>
      </c>
      <c r="BV89">
        <v>4.8140436090225301E-2</v>
      </c>
      <c r="BW89">
        <v>8.5330947110353796E-3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1.0205964999999999</v>
      </c>
      <c r="CD89">
        <v>-9.8220902255638398E-2</v>
      </c>
      <c r="CE89">
        <v>1.37380720463244E-2</v>
      </c>
      <c r="CF89">
        <v>1</v>
      </c>
      <c r="CG89">
        <v>2</v>
      </c>
      <c r="CH89">
        <v>2</v>
      </c>
      <c r="CI89" t="s">
        <v>310</v>
      </c>
      <c r="CJ89">
        <v>3.5325299999999999</v>
      </c>
      <c r="CK89">
        <v>2.70235</v>
      </c>
      <c r="CL89">
        <v>1.4808399999999999E-2</v>
      </c>
      <c r="CM89">
        <v>1.44207E-2</v>
      </c>
      <c r="CN89">
        <v>8.7066000000000004E-2</v>
      </c>
      <c r="CO89">
        <v>8.2022899999999996E-2</v>
      </c>
      <c r="CP89">
        <v>34587.300000000003</v>
      </c>
      <c r="CQ89">
        <v>30361.9</v>
      </c>
      <c r="CR89">
        <v>32488.6</v>
      </c>
      <c r="CS89">
        <v>30729</v>
      </c>
      <c r="CT89">
        <v>40140.199999999997</v>
      </c>
      <c r="CU89">
        <v>39651.599999999999</v>
      </c>
      <c r="CV89">
        <v>47433.8</v>
      </c>
      <c r="CW89">
        <v>46851.5</v>
      </c>
      <c r="CX89">
        <v>2.6362199999999998</v>
      </c>
      <c r="CY89">
        <v>2.1735600000000002</v>
      </c>
      <c r="CZ89">
        <v>0</v>
      </c>
      <c r="DA89">
        <v>0</v>
      </c>
      <c r="DB89">
        <v>999.9</v>
      </c>
      <c r="DC89">
        <v>999.9</v>
      </c>
      <c r="DD89">
        <v>66.61</v>
      </c>
      <c r="DE89">
        <v>24.149000000000001</v>
      </c>
      <c r="DF89">
        <v>20.136399999999998</v>
      </c>
      <c r="DG89">
        <v>30.017299999999999</v>
      </c>
      <c r="DH89">
        <v>15</v>
      </c>
      <c r="DI89">
        <v>2</v>
      </c>
      <c r="DJ89">
        <v>-0.19064800000000001</v>
      </c>
      <c r="DK89">
        <v>1.85484</v>
      </c>
      <c r="DL89">
        <v>20.200199999999999</v>
      </c>
      <c r="DM89">
        <v>5.25143</v>
      </c>
      <c r="DN89">
        <v>12.033899999999999</v>
      </c>
      <c r="DO89">
        <v>4.9668400000000004</v>
      </c>
      <c r="DP89">
        <v>3.2909999999999999</v>
      </c>
      <c r="DQ89">
        <v>9999</v>
      </c>
      <c r="DR89">
        <v>9999</v>
      </c>
      <c r="DS89">
        <v>9999</v>
      </c>
      <c r="DT89">
        <v>604.29999999999995</v>
      </c>
      <c r="DU89">
        <v>1.87103</v>
      </c>
      <c r="DV89">
        <v>1.87608</v>
      </c>
      <c r="DW89">
        <v>1.8763000000000001</v>
      </c>
      <c r="DX89">
        <v>1.88279</v>
      </c>
      <c r="DY89">
        <v>1.87561</v>
      </c>
      <c r="DZ89">
        <v>1.8746499999999999</v>
      </c>
      <c r="EA89">
        <v>1.8707400000000001</v>
      </c>
      <c r="EB89">
        <v>1.8746700000000001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-0.48699999999999999</v>
      </c>
      <c r="EQ89">
        <v>0.1041</v>
      </c>
      <c r="ER89">
        <v>-0.48728000000000499</v>
      </c>
      <c r="ES89">
        <v>0</v>
      </c>
      <c r="ET89">
        <v>0</v>
      </c>
      <c r="EU89">
        <v>0</v>
      </c>
      <c r="EV89">
        <v>0.10407000000000199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3.3</v>
      </c>
      <c r="FE89">
        <v>3.3</v>
      </c>
      <c r="FF89">
        <v>0.29052699999999998</v>
      </c>
      <c r="FG89">
        <v>2.5854499999999998</v>
      </c>
      <c r="FH89">
        <v>2.19604</v>
      </c>
      <c r="FI89">
        <v>2.5817899999999998</v>
      </c>
      <c r="FJ89">
        <v>2.4462899999999999</v>
      </c>
      <c r="FK89">
        <v>2.32056</v>
      </c>
      <c r="FL89">
        <v>29.708300000000001</v>
      </c>
      <c r="FM89">
        <v>24.148800000000001</v>
      </c>
      <c r="FN89">
        <v>19</v>
      </c>
      <c r="FO89">
        <v>863.02200000000005</v>
      </c>
      <c r="FP89">
        <v>599.69500000000005</v>
      </c>
      <c r="FQ89">
        <v>18.1936</v>
      </c>
      <c r="FR89">
        <v>24.6099</v>
      </c>
      <c r="FS89">
        <v>30.0002</v>
      </c>
      <c r="FT89">
        <v>24.591000000000001</v>
      </c>
      <c r="FU89">
        <v>24.5928</v>
      </c>
      <c r="FV89">
        <v>5.84755</v>
      </c>
      <c r="FW89">
        <v>32.4099</v>
      </c>
      <c r="FX89">
        <v>63.270099999999999</v>
      </c>
      <c r="FY89">
        <v>18.194199999999999</v>
      </c>
      <c r="FZ89">
        <v>50</v>
      </c>
      <c r="GA89">
        <v>14.439299999999999</v>
      </c>
      <c r="GB89">
        <v>99.960999999999999</v>
      </c>
      <c r="GC89">
        <v>99.746300000000005</v>
      </c>
    </row>
    <row r="90" spans="1:185" x14ac:dyDescent="0.2">
      <c r="A90">
        <v>75</v>
      </c>
      <c r="B90">
        <v>1771086864</v>
      </c>
      <c r="C90">
        <v>1544</v>
      </c>
      <c r="D90" t="s">
        <v>445</v>
      </c>
      <c r="E90" t="s">
        <v>446</v>
      </c>
      <c r="F90">
        <v>15</v>
      </c>
      <c r="G90">
        <v>1771086855.9333301</v>
      </c>
      <c r="H90">
        <f t="shared" si="13"/>
        <v>8.1902119892005314E-4</v>
      </c>
      <c r="I90">
        <v>0</v>
      </c>
      <c r="J90">
        <f t="shared" si="25"/>
        <v>-9.6552880666865327E-3</v>
      </c>
      <c r="K90">
        <f t="shared" si="14"/>
        <v>-0.26171561197461257</v>
      </c>
      <c r="L90">
        <f t="shared" si="15"/>
        <v>69.767302878721992</v>
      </c>
      <c r="M90">
        <f t="shared" si="16"/>
        <v>1.5386754442038726</v>
      </c>
      <c r="N90">
        <f t="shared" si="17"/>
        <v>2.205439196751787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26176.120701380754</v>
      </c>
      <c r="T90">
        <f t="shared" si="21"/>
        <v>800.00206666666702</v>
      </c>
      <c r="U90">
        <f t="shared" si="22"/>
        <v>674.40173259997528</v>
      </c>
      <c r="V90">
        <f t="shared" si="23"/>
        <v>0.84299998799999976</v>
      </c>
      <c r="W90">
        <f t="shared" si="24"/>
        <v>0.15869984007999993</v>
      </c>
      <c r="X90">
        <v>1</v>
      </c>
      <c r="Y90">
        <v>1771086855.9333301</v>
      </c>
      <c r="Z90">
        <v>50.278406666666697</v>
      </c>
      <c r="AA90">
        <v>50.002740000000003</v>
      </c>
      <c r="AB90">
        <v>15.3828</v>
      </c>
      <c r="AC90">
        <v>14.374786666666701</v>
      </c>
      <c r="AD90">
        <v>50.765680000000003</v>
      </c>
      <c r="AE90">
        <v>15.2787333333333</v>
      </c>
      <c r="AF90">
        <v>800.01160000000004</v>
      </c>
      <c r="AG90">
        <v>99.961286666666695</v>
      </c>
      <c r="AH90">
        <v>6.4420240000000004E-2</v>
      </c>
      <c r="AI90">
        <v>19.00188</v>
      </c>
      <c r="AJ90">
        <v>999.9</v>
      </c>
      <c r="AK90">
        <v>999.9</v>
      </c>
      <c r="AL90">
        <v>0</v>
      </c>
      <c r="AM90">
        <v>0</v>
      </c>
      <c r="AN90">
        <v>4994.1000000000004</v>
      </c>
      <c r="AO90">
        <v>0</v>
      </c>
      <c r="AP90">
        <v>2.0325500000000001</v>
      </c>
      <c r="AQ90">
        <v>0.27566726666666702</v>
      </c>
      <c r="AR90">
        <v>51.063913333333304</v>
      </c>
      <c r="AS90">
        <v>50.7319866666667</v>
      </c>
      <c r="AT90">
        <v>1.0080248000000001</v>
      </c>
      <c r="AU90">
        <v>50.002740000000003</v>
      </c>
      <c r="AV90">
        <v>14.374786666666701</v>
      </c>
      <c r="AW90">
        <v>1.53768533333333</v>
      </c>
      <c r="AX90">
        <v>1.4369206666666701</v>
      </c>
      <c r="AY90">
        <v>13.3481066666667</v>
      </c>
      <c r="AZ90">
        <v>12.3129733333333</v>
      </c>
      <c r="BA90">
        <v>800.00206666666702</v>
      </c>
      <c r="BB90">
        <v>0.90000233333333302</v>
      </c>
      <c r="BC90">
        <v>0</v>
      </c>
      <c r="BD90">
        <v>9.9997733333333297E-2</v>
      </c>
      <c r="BE90">
        <v>0</v>
      </c>
      <c r="BF90">
        <v>25</v>
      </c>
      <c r="BG90">
        <v>13191.0666666667</v>
      </c>
      <c r="BH90">
        <v>1771086652</v>
      </c>
      <c r="BI90" t="s">
        <v>416</v>
      </c>
      <c r="BJ90">
        <v>1771086652</v>
      </c>
      <c r="BK90">
        <v>1771086652</v>
      </c>
      <c r="BL90">
        <v>3</v>
      </c>
      <c r="BM90">
        <v>0.17899999999999999</v>
      </c>
      <c r="BN90">
        <v>-3.5999999999999997E-2</v>
      </c>
      <c r="BO90">
        <v>-0.48699999999999999</v>
      </c>
      <c r="BP90">
        <v>0.104</v>
      </c>
      <c r="BQ90">
        <v>50</v>
      </c>
      <c r="BR90">
        <v>14</v>
      </c>
      <c r="BS90">
        <v>0.14000000000000001</v>
      </c>
      <c r="BT90">
        <v>0.03</v>
      </c>
      <c r="BU90">
        <v>0.27846309523809498</v>
      </c>
      <c r="BV90">
        <v>-3.5678259740259503E-2</v>
      </c>
      <c r="BW90">
        <v>8.9734563012770999E-3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1.0061284761904801</v>
      </c>
      <c r="CD90">
        <v>5.1183896103896502E-2</v>
      </c>
      <c r="CE90">
        <v>8.5436695953316801E-3</v>
      </c>
      <c r="CF90">
        <v>1</v>
      </c>
      <c r="CG90">
        <v>2</v>
      </c>
      <c r="CH90">
        <v>2</v>
      </c>
      <c r="CI90" t="s">
        <v>310</v>
      </c>
      <c r="CJ90">
        <v>3.53254</v>
      </c>
      <c r="CK90">
        <v>2.7023799999999998</v>
      </c>
      <c r="CL90">
        <v>1.48066E-2</v>
      </c>
      <c r="CM90">
        <v>1.4420199999999999E-2</v>
      </c>
      <c r="CN90">
        <v>8.7067199999999997E-2</v>
      </c>
      <c r="CO90">
        <v>8.2010399999999997E-2</v>
      </c>
      <c r="CP90">
        <v>34587.199999999997</v>
      </c>
      <c r="CQ90">
        <v>30361.4</v>
      </c>
      <c r="CR90">
        <v>32488.5</v>
      </c>
      <c r="CS90">
        <v>30728.5</v>
      </c>
      <c r="CT90">
        <v>40140.1</v>
      </c>
      <c r="CU90">
        <v>39651.699999999997</v>
      </c>
      <c r="CV90">
        <v>47433.8</v>
      </c>
      <c r="CW90">
        <v>46850.9</v>
      </c>
      <c r="CX90">
        <v>2.6360999999999999</v>
      </c>
      <c r="CY90">
        <v>2.1736</v>
      </c>
      <c r="CZ90">
        <v>0</v>
      </c>
      <c r="DA90">
        <v>0</v>
      </c>
      <c r="DB90">
        <v>999.9</v>
      </c>
      <c r="DC90">
        <v>999.9</v>
      </c>
      <c r="DD90">
        <v>66.494</v>
      </c>
      <c r="DE90">
        <v>24.158999999999999</v>
      </c>
      <c r="DF90">
        <v>20.1127</v>
      </c>
      <c r="DG90">
        <v>30.257400000000001</v>
      </c>
      <c r="DH90">
        <v>15.004</v>
      </c>
      <c r="DI90">
        <v>2</v>
      </c>
      <c r="DJ90">
        <v>-0.19009400000000001</v>
      </c>
      <c r="DK90">
        <v>1.8956200000000001</v>
      </c>
      <c r="DL90">
        <v>20.1998</v>
      </c>
      <c r="DM90">
        <v>5.2513100000000001</v>
      </c>
      <c r="DN90">
        <v>12.033899999999999</v>
      </c>
      <c r="DO90">
        <v>4.96692</v>
      </c>
      <c r="DP90">
        <v>3.2909999999999999</v>
      </c>
      <c r="DQ90">
        <v>9999</v>
      </c>
      <c r="DR90">
        <v>9999</v>
      </c>
      <c r="DS90">
        <v>9999</v>
      </c>
      <c r="DT90">
        <v>604.29999999999995</v>
      </c>
      <c r="DU90">
        <v>1.87103</v>
      </c>
      <c r="DV90">
        <v>1.87608</v>
      </c>
      <c r="DW90">
        <v>1.8763099999999999</v>
      </c>
      <c r="DX90">
        <v>1.88279</v>
      </c>
      <c r="DY90">
        <v>1.8755999999999999</v>
      </c>
      <c r="DZ90">
        <v>1.8746400000000001</v>
      </c>
      <c r="EA90">
        <v>1.87073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-0.48699999999999999</v>
      </c>
      <c r="EQ90">
        <v>0.104</v>
      </c>
      <c r="ER90">
        <v>-0.48728000000000499</v>
      </c>
      <c r="ES90">
        <v>0</v>
      </c>
      <c r="ET90">
        <v>0</v>
      </c>
      <c r="EU90">
        <v>0</v>
      </c>
      <c r="EV90">
        <v>0.10407000000000199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3.5</v>
      </c>
      <c r="FE90">
        <v>3.5</v>
      </c>
      <c r="FF90">
        <v>0.29052699999999998</v>
      </c>
      <c r="FG90">
        <v>2.5854499999999998</v>
      </c>
      <c r="FH90">
        <v>2.19604</v>
      </c>
      <c r="FI90">
        <v>2.5817899999999998</v>
      </c>
      <c r="FJ90">
        <v>2.4462899999999999</v>
      </c>
      <c r="FK90">
        <v>2.32056</v>
      </c>
      <c r="FL90">
        <v>29.708300000000001</v>
      </c>
      <c r="FM90">
        <v>24.148800000000001</v>
      </c>
      <c r="FN90">
        <v>19</v>
      </c>
      <c r="FO90">
        <v>862.99900000000002</v>
      </c>
      <c r="FP90">
        <v>599.78499999999997</v>
      </c>
      <c r="FQ90">
        <v>18.183700000000002</v>
      </c>
      <c r="FR90">
        <v>24.614000000000001</v>
      </c>
      <c r="FS90">
        <v>30.000299999999999</v>
      </c>
      <c r="FT90">
        <v>24.596399999999999</v>
      </c>
      <c r="FU90">
        <v>24.5977</v>
      </c>
      <c r="FV90">
        <v>5.8481399999999999</v>
      </c>
      <c r="FW90">
        <v>32.135800000000003</v>
      </c>
      <c r="FX90">
        <v>62.891399999999997</v>
      </c>
      <c r="FY90">
        <v>18.180800000000001</v>
      </c>
      <c r="FZ90">
        <v>50</v>
      </c>
      <c r="GA90">
        <v>14.4453</v>
      </c>
      <c r="GB90">
        <v>99.960800000000006</v>
      </c>
      <c r="GC90">
        <v>99.745000000000005</v>
      </c>
    </row>
    <row r="91" spans="1:185" x14ac:dyDescent="0.2">
      <c r="A91">
        <v>76</v>
      </c>
      <c r="B91">
        <v>1771086879</v>
      </c>
      <c r="C91">
        <v>1559</v>
      </c>
      <c r="D91" t="s">
        <v>447</v>
      </c>
      <c r="E91" t="s">
        <v>448</v>
      </c>
      <c r="F91">
        <v>15</v>
      </c>
      <c r="G91">
        <v>1771086870.9333301</v>
      </c>
      <c r="H91">
        <f t="shared" si="13"/>
        <v>8.0766491742922171E-4</v>
      </c>
      <c r="I91">
        <v>0</v>
      </c>
      <c r="J91">
        <f t="shared" si="25"/>
        <v>-9.8894586948844211E-3</v>
      </c>
      <c r="K91">
        <f t="shared" si="14"/>
        <v>-0.26806302583135128</v>
      </c>
      <c r="L91">
        <f t="shared" si="15"/>
        <v>69.792251841262953</v>
      </c>
      <c r="M91">
        <f t="shared" si="16"/>
        <v>1.5391200258915412</v>
      </c>
      <c r="N91">
        <f t="shared" si="17"/>
        <v>2.2052878153181674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26248.693687733019</v>
      </c>
      <c r="T91">
        <f t="shared" si="21"/>
        <v>799.99959999999999</v>
      </c>
      <c r="U91">
        <f t="shared" si="22"/>
        <v>674.39959560003388</v>
      </c>
      <c r="V91">
        <f t="shared" si="23"/>
        <v>0.84299991600000035</v>
      </c>
      <c r="W91">
        <f t="shared" si="24"/>
        <v>0.15869991992000007</v>
      </c>
      <c r="X91">
        <v>1</v>
      </c>
      <c r="Y91">
        <v>1771086870.9333301</v>
      </c>
      <c r="Z91">
        <v>50.281866666666701</v>
      </c>
      <c r="AA91">
        <v>49.9975533333333</v>
      </c>
      <c r="AB91">
        <v>15.38734</v>
      </c>
      <c r="AC91">
        <v>14.3933</v>
      </c>
      <c r="AD91">
        <v>50.7691533333333</v>
      </c>
      <c r="AE91">
        <v>15.283253333333301</v>
      </c>
      <c r="AF91">
        <v>800.00513333333299</v>
      </c>
      <c r="AG91">
        <v>99.960313333333303</v>
      </c>
      <c r="AH91">
        <v>6.47739066666667E-2</v>
      </c>
      <c r="AI91">
        <v>19.000779999999999</v>
      </c>
      <c r="AJ91">
        <v>999.9</v>
      </c>
      <c r="AK91">
        <v>999.9</v>
      </c>
      <c r="AL91">
        <v>0</v>
      </c>
      <c r="AM91">
        <v>0</v>
      </c>
      <c r="AN91">
        <v>5006.1000000000004</v>
      </c>
      <c r="AO91">
        <v>0</v>
      </c>
      <c r="AP91">
        <v>2.0325500000000001</v>
      </c>
      <c r="AQ91">
        <v>0.28432619999999997</v>
      </c>
      <c r="AR91">
        <v>51.067659999999997</v>
      </c>
      <c r="AS91">
        <v>50.72766</v>
      </c>
      <c r="AT91">
        <v>0.99402926666666702</v>
      </c>
      <c r="AU91">
        <v>49.9975533333333</v>
      </c>
      <c r="AV91">
        <v>14.3933</v>
      </c>
      <c r="AW91">
        <v>1.5381226666666701</v>
      </c>
      <c r="AX91">
        <v>1.438758</v>
      </c>
      <c r="AY91">
        <v>13.35248</v>
      </c>
      <c r="AZ91">
        <v>12.332413333333299</v>
      </c>
      <c r="BA91">
        <v>799.99959999999999</v>
      </c>
      <c r="BB91">
        <v>0.90000086666666701</v>
      </c>
      <c r="BC91">
        <v>0</v>
      </c>
      <c r="BD91">
        <v>9.9999066666666706E-2</v>
      </c>
      <c r="BE91">
        <v>0</v>
      </c>
      <c r="BF91">
        <v>25</v>
      </c>
      <c r="BG91">
        <v>13191.026666666699</v>
      </c>
      <c r="BH91">
        <v>1771086652</v>
      </c>
      <c r="BI91" t="s">
        <v>416</v>
      </c>
      <c r="BJ91">
        <v>1771086652</v>
      </c>
      <c r="BK91">
        <v>1771086652</v>
      </c>
      <c r="BL91">
        <v>3</v>
      </c>
      <c r="BM91">
        <v>0.17899999999999999</v>
      </c>
      <c r="BN91">
        <v>-3.5999999999999997E-2</v>
      </c>
      <c r="BO91">
        <v>-0.48699999999999999</v>
      </c>
      <c r="BP91">
        <v>0.104</v>
      </c>
      <c r="BQ91">
        <v>50</v>
      </c>
      <c r="BR91">
        <v>14</v>
      </c>
      <c r="BS91">
        <v>0.14000000000000001</v>
      </c>
      <c r="BT91">
        <v>0.03</v>
      </c>
      <c r="BU91">
        <v>0.28223209999999999</v>
      </c>
      <c r="BV91">
        <v>3.8608060150376197E-2</v>
      </c>
      <c r="BW91">
        <v>1.4980671306386801E-2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0.99858400000000003</v>
      </c>
      <c r="CD91">
        <v>-3.57212030075214E-2</v>
      </c>
      <c r="CE91">
        <v>1.16279341458404E-2</v>
      </c>
      <c r="CF91">
        <v>1</v>
      </c>
      <c r="CG91">
        <v>2</v>
      </c>
      <c r="CH91">
        <v>2</v>
      </c>
      <c r="CI91" t="s">
        <v>310</v>
      </c>
      <c r="CJ91">
        <v>3.5325700000000002</v>
      </c>
      <c r="CK91">
        <v>2.70255</v>
      </c>
      <c r="CL91">
        <v>1.48094E-2</v>
      </c>
      <c r="CM91">
        <v>1.44309E-2</v>
      </c>
      <c r="CN91">
        <v>8.7104899999999999E-2</v>
      </c>
      <c r="CO91">
        <v>8.2018400000000005E-2</v>
      </c>
      <c r="CP91">
        <v>34587.5</v>
      </c>
      <c r="CQ91">
        <v>30361.599999999999</v>
      </c>
      <c r="CR91">
        <v>32488.9</v>
      </c>
      <c r="CS91">
        <v>30729</v>
      </c>
      <c r="CT91">
        <v>40138.699999999997</v>
      </c>
      <c r="CU91">
        <v>39652</v>
      </c>
      <c r="CV91">
        <v>47434.2</v>
      </c>
      <c r="CW91">
        <v>46851.7</v>
      </c>
      <c r="CX91">
        <v>2.6362999999999999</v>
      </c>
      <c r="CY91">
        <v>2.1732399999999998</v>
      </c>
      <c r="CZ91">
        <v>0</v>
      </c>
      <c r="DA91">
        <v>0</v>
      </c>
      <c r="DB91">
        <v>999.9</v>
      </c>
      <c r="DC91">
        <v>999.9</v>
      </c>
      <c r="DD91">
        <v>66.396000000000001</v>
      </c>
      <c r="DE91">
        <v>24.199000000000002</v>
      </c>
      <c r="DF91">
        <v>20.1327</v>
      </c>
      <c r="DG91">
        <v>30.227399999999999</v>
      </c>
      <c r="DH91">
        <v>14.9679</v>
      </c>
      <c r="DI91">
        <v>2</v>
      </c>
      <c r="DJ91">
        <v>-0.19007099999999999</v>
      </c>
      <c r="DK91">
        <v>1.8730500000000001</v>
      </c>
      <c r="DL91">
        <v>20.2</v>
      </c>
      <c r="DM91">
        <v>5.2510700000000003</v>
      </c>
      <c r="DN91">
        <v>12.033899999999999</v>
      </c>
      <c r="DO91">
        <v>4.9670399999999999</v>
      </c>
      <c r="DP91">
        <v>3.2909999999999999</v>
      </c>
      <c r="DQ91">
        <v>9999</v>
      </c>
      <c r="DR91">
        <v>9999</v>
      </c>
      <c r="DS91">
        <v>9999</v>
      </c>
      <c r="DT91">
        <v>604.29999999999995</v>
      </c>
      <c r="DU91">
        <v>1.87103</v>
      </c>
      <c r="DV91">
        <v>1.87608</v>
      </c>
      <c r="DW91">
        <v>1.8763000000000001</v>
      </c>
      <c r="DX91">
        <v>1.88279</v>
      </c>
      <c r="DY91">
        <v>1.87561</v>
      </c>
      <c r="DZ91">
        <v>1.8746499999999999</v>
      </c>
      <c r="EA91">
        <v>1.8707400000000001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-0.48699999999999999</v>
      </c>
      <c r="EQ91">
        <v>0.1041</v>
      </c>
      <c r="ER91">
        <v>-0.48728000000000499</v>
      </c>
      <c r="ES91">
        <v>0</v>
      </c>
      <c r="ET91">
        <v>0</v>
      </c>
      <c r="EU91">
        <v>0</v>
      </c>
      <c r="EV91">
        <v>0.10407000000000199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3.8</v>
      </c>
      <c r="FE91">
        <v>3.8</v>
      </c>
      <c r="FF91">
        <v>0.29052699999999998</v>
      </c>
      <c r="FG91">
        <v>2.5915499999999998</v>
      </c>
      <c r="FH91">
        <v>2.19604</v>
      </c>
      <c r="FI91">
        <v>2.5817899999999998</v>
      </c>
      <c r="FJ91">
        <v>2.4462899999999999</v>
      </c>
      <c r="FK91">
        <v>2.2473100000000001</v>
      </c>
      <c r="FL91">
        <v>29.729700000000001</v>
      </c>
      <c r="FM91">
        <v>24.148800000000001</v>
      </c>
      <c r="FN91">
        <v>19</v>
      </c>
      <c r="FO91">
        <v>863.25900000000001</v>
      </c>
      <c r="FP91">
        <v>599.55399999999997</v>
      </c>
      <c r="FQ91">
        <v>18.1767</v>
      </c>
      <c r="FR91">
        <v>24.618099999999998</v>
      </c>
      <c r="FS91">
        <v>30.0001</v>
      </c>
      <c r="FT91">
        <v>24.600999999999999</v>
      </c>
      <c r="FU91">
        <v>24.6022</v>
      </c>
      <c r="FV91">
        <v>5.8465699999999998</v>
      </c>
      <c r="FW91">
        <v>32.135800000000003</v>
      </c>
      <c r="FX91">
        <v>62.515999999999998</v>
      </c>
      <c r="FY91">
        <v>18.18</v>
      </c>
      <c r="FZ91">
        <v>50</v>
      </c>
      <c r="GA91">
        <v>14.4427</v>
      </c>
      <c r="GB91">
        <v>99.961799999999997</v>
      </c>
      <c r="GC91">
        <v>99.746600000000001</v>
      </c>
    </row>
    <row r="92" spans="1:185" x14ac:dyDescent="0.2">
      <c r="A92">
        <v>77</v>
      </c>
      <c r="B92">
        <v>1771086894</v>
      </c>
      <c r="C92">
        <v>1574</v>
      </c>
      <c r="D92" t="s">
        <v>449</v>
      </c>
      <c r="E92" t="s">
        <v>450</v>
      </c>
      <c r="F92">
        <v>15</v>
      </c>
      <c r="G92">
        <v>1771086885.9333301</v>
      </c>
      <c r="H92">
        <f t="shared" si="13"/>
        <v>8.1699520640712451E-4</v>
      </c>
      <c r="I92">
        <v>0</v>
      </c>
      <c r="J92">
        <f t="shared" si="25"/>
        <v>-9.3885916434441382E-3</v>
      </c>
      <c r="K92">
        <f t="shared" si="14"/>
        <v>-0.25448655602742148</v>
      </c>
      <c r="L92">
        <f t="shared" si="15"/>
        <v>69.79970490119581</v>
      </c>
      <c r="M92">
        <f t="shared" si="16"/>
        <v>1.5393356174503774</v>
      </c>
      <c r="N92">
        <f t="shared" si="17"/>
        <v>2.2053612112391687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26203.245004583525</v>
      </c>
      <c r="T92">
        <f t="shared" si="21"/>
        <v>800.00053333333301</v>
      </c>
      <c r="U92">
        <f t="shared" si="22"/>
        <v>674.40042639998467</v>
      </c>
      <c r="V92">
        <f t="shared" si="23"/>
        <v>0.84299997100000046</v>
      </c>
      <c r="W92">
        <f t="shared" si="24"/>
        <v>0.1586998625400001</v>
      </c>
      <c r="X92">
        <v>1</v>
      </c>
      <c r="Y92">
        <v>1771086885.9333301</v>
      </c>
      <c r="Z92">
        <v>50.27158</v>
      </c>
      <c r="AA92">
        <v>50.004813333333303</v>
      </c>
      <c r="AB92">
        <v>15.389613333333299</v>
      </c>
      <c r="AC92">
        <v>14.384093333333301</v>
      </c>
      <c r="AD92">
        <v>50.758859999999999</v>
      </c>
      <c r="AE92">
        <v>15.285553333333301</v>
      </c>
      <c r="AF92">
        <v>800.00593333333302</v>
      </c>
      <c r="AG92">
        <v>99.959739999999996</v>
      </c>
      <c r="AH92">
        <v>6.45805666666667E-2</v>
      </c>
      <c r="AI92">
        <v>19.0013133333333</v>
      </c>
      <c r="AJ92">
        <v>999.9</v>
      </c>
      <c r="AK92">
        <v>999.9</v>
      </c>
      <c r="AL92">
        <v>0</v>
      </c>
      <c r="AM92">
        <v>0</v>
      </c>
      <c r="AN92">
        <v>4998.6333333333296</v>
      </c>
      <c r="AO92">
        <v>0</v>
      </c>
      <c r="AP92">
        <v>2.0325500000000001</v>
      </c>
      <c r="AQ92">
        <v>0.26676313333333301</v>
      </c>
      <c r="AR92">
        <v>51.057319999999997</v>
      </c>
      <c r="AS92">
        <v>50.734573333333302</v>
      </c>
      <c r="AT92">
        <v>1.005512</v>
      </c>
      <c r="AU92">
        <v>50.004813333333303</v>
      </c>
      <c r="AV92">
        <v>14.384093333333301</v>
      </c>
      <c r="AW92">
        <v>1.5383420000000001</v>
      </c>
      <c r="AX92">
        <v>1.4378299999999999</v>
      </c>
      <c r="AY92">
        <v>13.354660000000001</v>
      </c>
      <c r="AZ92">
        <v>12.3225866666667</v>
      </c>
      <c r="BA92">
        <v>800.00053333333301</v>
      </c>
      <c r="BB92">
        <v>0.900001933333334</v>
      </c>
      <c r="BC92">
        <v>0</v>
      </c>
      <c r="BD92">
        <v>9.9998100000000006E-2</v>
      </c>
      <c r="BE92">
        <v>0</v>
      </c>
      <c r="BF92">
        <v>25</v>
      </c>
      <c r="BG92">
        <v>13191.053333333301</v>
      </c>
      <c r="BH92">
        <v>1771086652</v>
      </c>
      <c r="BI92" t="s">
        <v>416</v>
      </c>
      <c r="BJ92">
        <v>1771086652</v>
      </c>
      <c r="BK92">
        <v>1771086652</v>
      </c>
      <c r="BL92">
        <v>3</v>
      </c>
      <c r="BM92">
        <v>0.17899999999999999</v>
      </c>
      <c r="BN92">
        <v>-3.5999999999999997E-2</v>
      </c>
      <c r="BO92">
        <v>-0.48699999999999999</v>
      </c>
      <c r="BP92">
        <v>0.104</v>
      </c>
      <c r="BQ92">
        <v>50</v>
      </c>
      <c r="BR92">
        <v>14</v>
      </c>
      <c r="BS92">
        <v>0.14000000000000001</v>
      </c>
      <c r="BT92">
        <v>0.03</v>
      </c>
      <c r="BU92">
        <v>0.27286442857142901</v>
      </c>
      <c r="BV92">
        <v>-7.8279350649351195E-2</v>
      </c>
      <c r="BW92">
        <v>1.6123888065232201E-2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1.00461</v>
      </c>
      <c r="CD92">
        <v>2.14259220779217E-2</v>
      </c>
      <c r="CE92">
        <v>3.6111704473757601E-3</v>
      </c>
      <c r="CF92">
        <v>1</v>
      </c>
      <c r="CG92">
        <v>2</v>
      </c>
      <c r="CH92">
        <v>2</v>
      </c>
      <c r="CI92" t="s">
        <v>310</v>
      </c>
      <c r="CJ92">
        <v>3.5325299999999999</v>
      </c>
      <c r="CK92">
        <v>2.7022599999999999</v>
      </c>
      <c r="CL92">
        <v>1.47995E-2</v>
      </c>
      <c r="CM92">
        <v>1.4420199999999999E-2</v>
      </c>
      <c r="CN92">
        <v>8.7104500000000001E-2</v>
      </c>
      <c r="CO92">
        <v>8.1968700000000005E-2</v>
      </c>
      <c r="CP92">
        <v>34587.5</v>
      </c>
      <c r="CQ92">
        <v>30362.6</v>
      </c>
      <c r="CR92">
        <v>32488.5</v>
      </c>
      <c r="CS92">
        <v>30729.7</v>
      </c>
      <c r="CT92">
        <v>40138.699999999997</v>
      </c>
      <c r="CU92">
        <v>39655.1</v>
      </c>
      <c r="CV92">
        <v>47434</v>
      </c>
      <c r="CW92">
        <v>46852.800000000003</v>
      </c>
      <c r="CX92">
        <v>2.6360800000000002</v>
      </c>
      <c r="CY92">
        <v>2.1730800000000001</v>
      </c>
      <c r="CZ92">
        <v>0</v>
      </c>
      <c r="DA92">
        <v>0</v>
      </c>
      <c r="DB92">
        <v>999.9</v>
      </c>
      <c r="DC92">
        <v>999.9</v>
      </c>
      <c r="DD92">
        <v>66.274000000000001</v>
      </c>
      <c r="DE92">
        <v>24.199000000000002</v>
      </c>
      <c r="DF92">
        <v>20.096599999999999</v>
      </c>
      <c r="DG92">
        <v>29.987400000000001</v>
      </c>
      <c r="DH92">
        <v>15.023999999999999</v>
      </c>
      <c r="DI92">
        <v>2</v>
      </c>
      <c r="DJ92">
        <v>-0.189778</v>
      </c>
      <c r="DK92">
        <v>1.8834200000000001</v>
      </c>
      <c r="DL92">
        <v>20.1998</v>
      </c>
      <c r="DM92">
        <v>5.25143</v>
      </c>
      <c r="DN92">
        <v>12.033899999999999</v>
      </c>
      <c r="DO92">
        <v>4.9668799999999997</v>
      </c>
      <c r="DP92">
        <v>3.2909999999999999</v>
      </c>
      <c r="DQ92">
        <v>9999</v>
      </c>
      <c r="DR92">
        <v>9999</v>
      </c>
      <c r="DS92">
        <v>9999</v>
      </c>
      <c r="DT92">
        <v>604.29999999999995</v>
      </c>
      <c r="DU92">
        <v>1.87103</v>
      </c>
      <c r="DV92">
        <v>1.87609</v>
      </c>
      <c r="DW92">
        <v>1.8763399999999999</v>
      </c>
      <c r="DX92">
        <v>1.8828</v>
      </c>
      <c r="DY92">
        <v>1.8755999999999999</v>
      </c>
      <c r="DZ92">
        <v>1.87466</v>
      </c>
      <c r="EA92">
        <v>1.8707400000000001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-0.48699999999999999</v>
      </c>
      <c r="EQ92">
        <v>0.1041</v>
      </c>
      <c r="ER92">
        <v>-0.48728000000000499</v>
      </c>
      <c r="ES92">
        <v>0</v>
      </c>
      <c r="ET92">
        <v>0</v>
      </c>
      <c r="EU92">
        <v>0</v>
      </c>
      <c r="EV92">
        <v>0.10407000000000199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4</v>
      </c>
      <c r="FE92">
        <v>4</v>
      </c>
      <c r="FF92">
        <v>0.29052699999999998</v>
      </c>
      <c r="FG92">
        <v>2.5952099999999998</v>
      </c>
      <c r="FH92">
        <v>2.19604</v>
      </c>
      <c r="FI92">
        <v>2.5817899999999998</v>
      </c>
      <c r="FJ92">
        <v>2.4462899999999999</v>
      </c>
      <c r="FK92">
        <v>2.2619600000000002</v>
      </c>
      <c r="FL92">
        <v>29.729700000000001</v>
      </c>
      <c r="FM92">
        <v>24.14</v>
      </c>
      <c r="FN92">
        <v>19</v>
      </c>
      <c r="FO92">
        <v>863.13499999999999</v>
      </c>
      <c r="FP92">
        <v>599.49099999999999</v>
      </c>
      <c r="FQ92">
        <v>18.177700000000002</v>
      </c>
      <c r="FR92">
        <v>24.621400000000001</v>
      </c>
      <c r="FS92">
        <v>30.000299999999999</v>
      </c>
      <c r="FT92">
        <v>24.605899999999998</v>
      </c>
      <c r="FU92">
        <v>24.607600000000001</v>
      </c>
      <c r="FV92">
        <v>5.8476600000000003</v>
      </c>
      <c r="FW92">
        <v>32.135800000000003</v>
      </c>
      <c r="FX92">
        <v>62.14</v>
      </c>
      <c r="FY92">
        <v>18.176500000000001</v>
      </c>
      <c r="FZ92">
        <v>50</v>
      </c>
      <c r="GA92">
        <v>14.443199999999999</v>
      </c>
      <c r="GB92">
        <v>99.961200000000005</v>
      </c>
      <c r="GC92">
        <v>99.748900000000006</v>
      </c>
    </row>
    <row r="93" spans="1:185" x14ac:dyDescent="0.2">
      <c r="A93">
        <v>78</v>
      </c>
      <c r="B93">
        <v>1771086909</v>
      </c>
      <c r="C93">
        <v>1589</v>
      </c>
      <c r="D93" t="s">
        <v>451</v>
      </c>
      <c r="E93" t="s">
        <v>452</v>
      </c>
      <c r="F93">
        <v>15</v>
      </c>
      <c r="G93">
        <v>1771086900.9333301</v>
      </c>
      <c r="H93">
        <f t="shared" si="13"/>
        <v>7.9736134252601212E-4</v>
      </c>
      <c r="I93">
        <v>0</v>
      </c>
      <c r="J93">
        <f t="shared" si="25"/>
        <v>-9.4735248907464216E-3</v>
      </c>
      <c r="K93">
        <f t="shared" si="14"/>
        <v>-0.25678875111897986</v>
      </c>
      <c r="L93">
        <f t="shared" si="15"/>
        <v>69.80984134498398</v>
      </c>
      <c r="M93">
        <f t="shared" si="16"/>
        <v>1.5397032763479181</v>
      </c>
      <c r="N93">
        <f t="shared" si="17"/>
        <v>2.2055676487489251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26182.202143010254</v>
      </c>
      <c r="T93">
        <f t="shared" si="21"/>
        <v>799.99933333333297</v>
      </c>
      <c r="U93">
        <f t="shared" si="22"/>
        <v>674.39946679997581</v>
      </c>
      <c r="V93">
        <f t="shared" si="23"/>
        <v>0.84300003600000017</v>
      </c>
      <c r="W93">
        <f t="shared" si="24"/>
        <v>0.15869983016000005</v>
      </c>
      <c r="X93">
        <v>1</v>
      </c>
      <c r="Y93">
        <v>1771086900.9333301</v>
      </c>
      <c r="Z93">
        <v>50.261620000000001</v>
      </c>
      <c r="AA93">
        <v>49.990733333333303</v>
      </c>
      <c r="AB93">
        <v>15.3933533333333</v>
      </c>
      <c r="AC93">
        <v>14.4120066666667</v>
      </c>
      <c r="AD93">
        <v>50.748919999999998</v>
      </c>
      <c r="AE93">
        <v>15.28928</v>
      </c>
      <c r="AF93">
        <v>800.01013333333299</v>
      </c>
      <c r="AG93">
        <v>99.959366666666696</v>
      </c>
      <c r="AH93">
        <v>6.4536053333333301E-2</v>
      </c>
      <c r="AI93">
        <v>19.0028133333333</v>
      </c>
      <c r="AJ93">
        <v>999.9</v>
      </c>
      <c r="AK93">
        <v>999.9</v>
      </c>
      <c r="AL93">
        <v>0</v>
      </c>
      <c r="AM93">
        <v>0</v>
      </c>
      <c r="AN93">
        <v>4995.2</v>
      </c>
      <c r="AO93">
        <v>0</v>
      </c>
      <c r="AP93">
        <v>2.0325500000000001</v>
      </c>
      <c r="AQ93">
        <v>0.27091393333333302</v>
      </c>
      <c r="AR93">
        <v>51.047433333333302</v>
      </c>
      <c r="AS93">
        <v>50.721733333333297</v>
      </c>
      <c r="AT93">
        <v>0.98135386666666702</v>
      </c>
      <c r="AU93">
        <v>49.990733333333303</v>
      </c>
      <c r="AV93">
        <v>14.4120066666667</v>
      </c>
      <c r="AW93">
        <v>1.5387093333333299</v>
      </c>
      <c r="AX93">
        <v>1.4406140000000001</v>
      </c>
      <c r="AY93">
        <v>13.3583266666667</v>
      </c>
      <c r="AZ93">
        <v>12.351993333333301</v>
      </c>
      <c r="BA93">
        <v>799.99933333333297</v>
      </c>
      <c r="BB93">
        <v>0.90000266666666695</v>
      </c>
      <c r="BC93">
        <v>0</v>
      </c>
      <c r="BD93">
        <v>9.9997466666666701E-2</v>
      </c>
      <c r="BE93">
        <v>0</v>
      </c>
      <c r="BF93">
        <v>25</v>
      </c>
      <c r="BG93">
        <v>13191.04</v>
      </c>
      <c r="BH93">
        <v>1771086652</v>
      </c>
      <c r="BI93" t="s">
        <v>416</v>
      </c>
      <c r="BJ93">
        <v>1771086652</v>
      </c>
      <c r="BK93">
        <v>1771086652</v>
      </c>
      <c r="BL93">
        <v>3</v>
      </c>
      <c r="BM93">
        <v>0.17899999999999999</v>
      </c>
      <c r="BN93">
        <v>-3.5999999999999997E-2</v>
      </c>
      <c r="BO93">
        <v>-0.48699999999999999</v>
      </c>
      <c r="BP93">
        <v>0.104</v>
      </c>
      <c r="BQ93">
        <v>50</v>
      </c>
      <c r="BR93">
        <v>14</v>
      </c>
      <c r="BS93">
        <v>0.14000000000000001</v>
      </c>
      <c r="BT93">
        <v>0.03</v>
      </c>
      <c r="BU93">
        <v>0.27102989999999999</v>
      </c>
      <c r="BV93">
        <v>2.2578406015037501E-2</v>
      </c>
      <c r="BW93">
        <v>7.9386173286032594E-3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0.98816689999999996</v>
      </c>
      <c r="CD93">
        <v>-0.22846691729323401</v>
      </c>
      <c r="CE93">
        <v>2.5422322336678901E-2</v>
      </c>
      <c r="CF93">
        <v>0</v>
      </c>
      <c r="CG93">
        <v>1</v>
      </c>
      <c r="CH93">
        <v>2</v>
      </c>
      <c r="CI93" t="s">
        <v>299</v>
      </c>
      <c r="CJ93">
        <v>3.5325099999999998</v>
      </c>
      <c r="CK93">
        <v>2.7021500000000001</v>
      </c>
      <c r="CL93">
        <v>1.48004E-2</v>
      </c>
      <c r="CM93">
        <v>1.44213E-2</v>
      </c>
      <c r="CN93">
        <v>8.7169499999999997E-2</v>
      </c>
      <c r="CO93">
        <v>8.2273100000000002E-2</v>
      </c>
      <c r="CP93">
        <v>34587.199999999997</v>
      </c>
      <c r="CQ93">
        <v>30362</v>
      </c>
      <c r="CR93">
        <v>32488.3</v>
      </c>
      <c r="CS93">
        <v>30729.200000000001</v>
      </c>
      <c r="CT93">
        <v>40135.300000000003</v>
      </c>
      <c r="CU93">
        <v>39641</v>
      </c>
      <c r="CV93">
        <v>47433.599999999999</v>
      </c>
      <c r="CW93">
        <v>46852.2</v>
      </c>
      <c r="CX93">
        <v>2.6358799999999998</v>
      </c>
      <c r="CY93">
        <v>2.1730200000000002</v>
      </c>
      <c r="CZ93">
        <v>0</v>
      </c>
      <c r="DA93">
        <v>0</v>
      </c>
      <c r="DB93">
        <v>999.9</v>
      </c>
      <c r="DC93">
        <v>999.9</v>
      </c>
      <c r="DD93">
        <v>66.152000000000001</v>
      </c>
      <c r="DE93">
        <v>24.228999999999999</v>
      </c>
      <c r="DF93">
        <v>20.096</v>
      </c>
      <c r="DG93">
        <v>29.8673</v>
      </c>
      <c r="DH93">
        <v>15.116199999999999</v>
      </c>
      <c r="DI93">
        <v>2</v>
      </c>
      <c r="DJ93">
        <v>-0.189415</v>
      </c>
      <c r="DK93">
        <v>1.90191</v>
      </c>
      <c r="DL93">
        <v>20.1996</v>
      </c>
      <c r="DM93">
        <v>5.2516699999999998</v>
      </c>
      <c r="DN93">
        <v>12.033899999999999</v>
      </c>
      <c r="DO93">
        <v>4.9670399999999999</v>
      </c>
      <c r="DP93">
        <v>3.2909999999999999</v>
      </c>
      <c r="DQ93">
        <v>9999</v>
      </c>
      <c r="DR93">
        <v>9999</v>
      </c>
      <c r="DS93">
        <v>9999</v>
      </c>
      <c r="DT93">
        <v>604.29999999999995</v>
      </c>
      <c r="DU93">
        <v>1.87103</v>
      </c>
      <c r="DV93">
        <v>1.87608</v>
      </c>
      <c r="DW93">
        <v>1.8763099999999999</v>
      </c>
      <c r="DX93">
        <v>1.88279</v>
      </c>
      <c r="DY93">
        <v>1.87557</v>
      </c>
      <c r="DZ93">
        <v>1.87463</v>
      </c>
      <c r="EA93">
        <v>1.87073</v>
      </c>
      <c r="EB93">
        <v>1.8746700000000001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-0.48699999999999999</v>
      </c>
      <c r="EQ93">
        <v>0.1041</v>
      </c>
      <c r="ER93">
        <v>-0.48728000000000499</v>
      </c>
      <c r="ES93">
        <v>0</v>
      </c>
      <c r="ET93">
        <v>0</v>
      </c>
      <c r="EU93">
        <v>0</v>
      </c>
      <c r="EV93">
        <v>0.10407000000000199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4.3</v>
      </c>
      <c r="FE93">
        <v>4.3</v>
      </c>
      <c r="FF93">
        <v>0.29052699999999998</v>
      </c>
      <c r="FG93">
        <v>2.5939899999999998</v>
      </c>
      <c r="FH93">
        <v>2.19604</v>
      </c>
      <c r="FI93">
        <v>2.5817899999999998</v>
      </c>
      <c r="FJ93">
        <v>2.4462899999999999</v>
      </c>
      <c r="FK93">
        <v>2.2985799999999998</v>
      </c>
      <c r="FL93">
        <v>29.751000000000001</v>
      </c>
      <c r="FM93">
        <v>24.148800000000001</v>
      </c>
      <c r="FN93">
        <v>19</v>
      </c>
      <c r="FO93">
        <v>863.03099999999995</v>
      </c>
      <c r="FP93">
        <v>599.50300000000004</v>
      </c>
      <c r="FQ93">
        <v>18.169499999999999</v>
      </c>
      <c r="FR93">
        <v>24.6251</v>
      </c>
      <c r="FS93">
        <v>30.000299999999999</v>
      </c>
      <c r="FT93">
        <v>24.610900000000001</v>
      </c>
      <c r="FU93">
        <v>24.6126</v>
      </c>
      <c r="FV93">
        <v>5.8484999999999996</v>
      </c>
      <c r="FW93">
        <v>31.8552</v>
      </c>
      <c r="FX93">
        <v>61.762900000000002</v>
      </c>
      <c r="FY93">
        <v>18.1677</v>
      </c>
      <c r="FZ93">
        <v>50</v>
      </c>
      <c r="GA93">
        <v>14.4427</v>
      </c>
      <c r="GB93">
        <v>99.960400000000007</v>
      </c>
      <c r="GC93">
        <v>99.747399999999999</v>
      </c>
    </row>
    <row r="94" spans="1:185" x14ac:dyDescent="0.2">
      <c r="A94">
        <v>79</v>
      </c>
      <c r="B94">
        <v>1771086924</v>
      </c>
      <c r="C94">
        <v>1604</v>
      </c>
      <c r="D94" t="s">
        <v>453</v>
      </c>
      <c r="E94" t="s">
        <v>454</v>
      </c>
      <c r="F94">
        <v>15</v>
      </c>
      <c r="G94">
        <v>1771086915.9333301</v>
      </c>
      <c r="H94">
        <f t="shared" si="13"/>
        <v>7.9160069669409277E-4</v>
      </c>
      <c r="I94">
        <v>0</v>
      </c>
      <c r="J94">
        <f t="shared" si="25"/>
        <v>-8.4622407692345452E-3</v>
      </c>
      <c r="K94">
        <f t="shared" si="14"/>
        <v>-0.22937694932563188</v>
      </c>
      <c r="L94">
        <f t="shared" si="15"/>
        <v>69.882210013986523</v>
      </c>
      <c r="M94">
        <f t="shared" si="16"/>
        <v>1.5410769354994669</v>
      </c>
      <c r="N94">
        <f t="shared" si="17"/>
        <v>2.2052492833169262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26167.64152294644</v>
      </c>
      <c r="T94">
        <f t="shared" si="21"/>
        <v>800.00026666666702</v>
      </c>
      <c r="U94">
        <f t="shared" si="22"/>
        <v>674.40005151994251</v>
      </c>
      <c r="V94">
        <f t="shared" si="23"/>
        <v>0.84299978339999992</v>
      </c>
      <c r="W94">
        <f t="shared" si="24"/>
        <v>0.15869980928399999</v>
      </c>
      <c r="X94">
        <v>1</v>
      </c>
      <c r="Y94">
        <v>1771086915.9333301</v>
      </c>
      <c r="Z94">
        <v>50.254953333333297</v>
      </c>
      <c r="AA94">
        <v>50.017960000000002</v>
      </c>
      <c r="AB94">
        <v>15.407106666666699</v>
      </c>
      <c r="AC94">
        <v>14.4328533333333</v>
      </c>
      <c r="AD94">
        <v>50.742220000000003</v>
      </c>
      <c r="AE94">
        <v>15.3030333333333</v>
      </c>
      <c r="AF94">
        <v>800.0018</v>
      </c>
      <c r="AG94">
        <v>99.959299999999999</v>
      </c>
      <c r="AH94">
        <v>6.4472719999999997E-2</v>
      </c>
      <c r="AI94">
        <v>19.000499999999999</v>
      </c>
      <c r="AJ94">
        <v>999.9</v>
      </c>
      <c r="AK94">
        <v>999.9</v>
      </c>
      <c r="AL94">
        <v>0</v>
      </c>
      <c r="AM94">
        <v>0</v>
      </c>
      <c r="AN94">
        <v>4992.7666666666701</v>
      </c>
      <c r="AO94">
        <v>0</v>
      </c>
      <c r="AP94">
        <v>2.0325500000000001</v>
      </c>
      <c r="AQ94">
        <v>0.23700246666666699</v>
      </c>
      <c r="AR94">
        <v>51.041346666666698</v>
      </c>
      <c r="AS94">
        <v>50.750419999999998</v>
      </c>
      <c r="AT94">
        <v>0.97424453333333305</v>
      </c>
      <c r="AU94">
        <v>50.017960000000002</v>
      </c>
      <c r="AV94">
        <v>14.4328533333333</v>
      </c>
      <c r="AW94">
        <v>1.54008266666667</v>
      </c>
      <c r="AX94">
        <v>1.4426973333333299</v>
      </c>
      <c r="AY94">
        <v>13.372006666666699</v>
      </c>
      <c r="AZ94">
        <v>12.3740066666667</v>
      </c>
      <c r="BA94">
        <v>800.00026666666702</v>
      </c>
      <c r="BB94">
        <v>0.90000199999999997</v>
      </c>
      <c r="BC94">
        <v>0</v>
      </c>
      <c r="BD94">
        <v>9.9997820000000001E-2</v>
      </c>
      <c r="BE94">
        <v>0</v>
      </c>
      <c r="BF94">
        <v>25</v>
      </c>
      <c r="BG94">
        <v>13191.053333333301</v>
      </c>
      <c r="BH94">
        <v>1771086652</v>
      </c>
      <c r="BI94" t="s">
        <v>416</v>
      </c>
      <c r="BJ94">
        <v>1771086652</v>
      </c>
      <c r="BK94">
        <v>1771086652</v>
      </c>
      <c r="BL94">
        <v>3</v>
      </c>
      <c r="BM94">
        <v>0.17899999999999999</v>
      </c>
      <c r="BN94">
        <v>-3.5999999999999997E-2</v>
      </c>
      <c r="BO94">
        <v>-0.48699999999999999</v>
      </c>
      <c r="BP94">
        <v>0.104</v>
      </c>
      <c r="BQ94">
        <v>50</v>
      </c>
      <c r="BR94">
        <v>14</v>
      </c>
      <c r="BS94">
        <v>0.14000000000000001</v>
      </c>
      <c r="BT94">
        <v>0.03</v>
      </c>
      <c r="BU94">
        <v>0.248547428571429</v>
      </c>
      <c r="BV94">
        <v>-0.239190935064935</v>
      </c>
      <c r="BW94">
        <v>2.6187714688873698E-2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0.96928785714285703</v>
      </c>
      <c r="CD94">
        <v>9.0006389610387302E-2</v>
      </c>
      <c r="CE94">
        <v>9.5535247909854203E-3</v>
      </c>
      <c r="CF94">
        <v>1</v>
      </c>
      <c r="CG94">
        <v>2</v>
      </c>
      <c r="CH94">
        <v>2</v>
      </c>
      <c r="CI94" t="s">
        <v>310</v>
      </c>
      <c r="CJ94">
        <v>3.5325000000000002</v>
      </c>
      <c r="CK94">
        <v>2.70248</v>
      </c>
      <c r="CL94">
        <v>1.4796E-2</v>
      </c>
      <c r="CM94">
        <v>1.4430200000000001E-2</v>
      </c>
      <c r="CN94">
        <v>8.7202199999999994E-2</v>
      </c>
      <c r="CO94">
        <v>8.2211099999999995E-2</v>
      </c>
      <c r="CP94">
        <v>34586.6</v>
      </c>
      <c r="CQ94">
        <v>30362.1</v>
      </c>
      <c r="CR94">
        <v>32487.7</v>
      </c>
      <c r="CS94">
        <v>30729.5</v>
      </c>
      <c r="CT94">
        <v>40133.199999999997</v>
      </c>
      <c r="CU94">
        <v>39644.5</v>
      </c>
      <c r="CV94">
        <v>47432.9</v>
      </c>
      <c r="CW94">
        <v>46853</v>
      </c>
      <c r="CX94">
        <v>2.6360999999999999</v>
      </c>
      <c r="CY94">
        <v>2.1726800000000002</v>
      </c>
      <c r="CZ94">
        <v>0</v>
      </c>
      <c r="DA94">
        <v>0</v>
      </c>
      <c r="DB94">
        <v>999.9</v>
      </c>
      <c r="DC94">
        <v>999.9</v>
      </c>
      <c r="DD94">
        <v>66.03</v>
      </c>
      <c r="DE94">
        <v>24.248999999999999</v>
      </c>
      <c r="DF94">
        <v>20.083300000000001</v>
      </c>
      <c r="DG94">
        <v>30.677399999999999</v>
      </c>
      <c r="DH94">
        <v>15.160299999999999</v>
      </c>
      <c r="DI94">
        <v>2</v>
      </c>
      <c r="DJ94">
        <v>-0.18915699999999999</v>
      </c>
      <c r="DK94">
        <v>1.89774</v>
      </c>
      <c r="DL94">
        <v>20.1996</v>
      </c>
      <c r="DM94">
        <v>5.2516699999999998</v>
      </c>
      <c r="DN94">
        <v>12.033899999999999</v>
      </c>
      <c r="DO94">
        <v>4.9669600000000003</v>
      </c>
      <c r="DP94">
        <v>3.2909999999999999</v>
      </c>
      <c r="DQ94">
        <v>9999</v>
      </c>
      <c r="DR94">
        <v>9999</v>
      </c>
      <c r="DS94">
        <v>9999</v>
      </c>
      <c r="DT94">
        <v>604.29999999999995</v>
      </c>
      <c r="DU94">
        <v>1.87103</v>
      </c>
      <c r="DV94">
        <v>1.87608</v>
      </c>
      <c r="DW94">
        <v>1.8763099999999999</v>
      </c>
      <c r="DX94">
        <v>1.88279</v>
      </c>
      <c r="DY94">
        <v>1.87561</v>
      </c>
      <c r="DZ94">
        <v>1.8746799999999999</v>
      </c>
      <c r="EA94">
        <v>1.87073</v>
      </c>
      <c r="EB94">
        <v>1.87466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-0.48699999999999999</v>
      </c>
      <c r="EQ94">
        <v>0.1041</v>
      </c>
      <c r="ER94">
        <v>-0.48728000000000499</v>
      </c>
      <c r="ES94">
        <v>0</v>
      </c>
      <c r="ET94">
        <v>0</v>
      </c>
      <c r="EU94">
        <v>0</v>
      </c>
      <c r="EV94">
        <v>0.10407000000000199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4.5</v>
      </c>
      <c r="FE94">
        <v>4.5</v>
      </c>
      <c r="FF94">
        <v>0.29052699999999998</v>
      </c>
      <c r="FG94">
        <v>2.5903299999999998</v>
      </c>
      <c r="FH94">
        <v>2.19604</v>
      </c>
      <c r="FI94">
        <v>2.5817899999999998</v>
      </c>
      <c r="FJ94">
        <v>2.4462899999999999</v>
      </c>
      <c r="FK94">
        <v>2.3120099999999999</v>
      </c>
      <c r="FL94">
        <v>29.751000000000001</v>
      </c>
      <c r="FM94">
        <v>24.157499999999999</v>
      </c>
      <c r="FN94">
        <v>19</v>
      </c>
      <c r="FO94">
        <v>863.31</v>
      </c>
      <c r="FP94">
        <v>599.28800000000001</v>
      </c>
      <c r="FQ94">
        <v>18.165299999999998</v>
      </c>
      <c r="FR94">
        <v>24.628499999999999</v>
      </c>
      <c r="FS94">
        <v>30.000299999999999</v>
      </c>
      <c r="FT94">
        <v>24.615400000000001</v>
      </c>
      <c r="FU94">
        <v>24.617100000000001</v>
      </c>
      <c r="FV94">
        <v>5.8457600000000003</v>
      </c>
      <c r="FW94">
        <v>31.8552</v>
      </c>
      <c r="FX94">
        <v>61.762900000000002</v>
      </c>
      <c r="FY94">
        <v>18.165500000000002</v>
      </c>
      <c r="FZ94">
        <v>50</v>
      </c>
      <c r="GA94">
        <v>14.4427</v>
      </c>
      <c r="GB94">
        <v>99.958600000000004</v>
      </c>
      <c r="GC94">
        <v>99.748999999999995</v>
      </c>
    </row>
    <row r="95" spans="1:185" x14ac:dyDescent="0.2">
      <c r="A95">
        <v>80</v>
      </c>
      <c r="B95">
        <v>1771086939</v>
      </c>
      <c r="C95">
        <v>1619</v>
      </c>
      <c r="D95" t="s">
        <v>455</v>
      </c>
      <c r="E95" t="s">
        <v>456</v>
      </c>
      <c r="F95">
        <v>15</v>
      </c>
      <c r="G95">
        <v>1771086930.9333301</v>
      </c>
      <c r="H95">
        <f t="shared" si="13"/>
        <v>8.061436215853258E-4</v>
      </c>
      <c r="I95">
        <v>0</v>
      </c>
      <c r="J95">
        <f t="shared" si="25"/>
        <v>-8.9131180132206618E-3</v>
      </c>
      <c r="K95">
        <f t="shared" si="14"/>
        <v>-0.24159839865166413</v>
      </c>
      <c r="L95">
        <f t="shared" si="15"/>
        <v>69.926719153287934</v>
      </c>
      <c r="M95">
        <f t="shared" si="16"/>
        <v>1.5420526992791301</v>
      </c>
      <c r="N95">
        <f t="shared" si="17"/>
        <v>2.2052410265363114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26303.487291988116</v>
      </c>
      <c r="T95">
        <f t="shared" si="21"/>
        <v>799.99839999999995</v>
      </c>
      <c r="U95">
        <f t="shared" si="22"/>
        <v>674.39848336033583</v>
      </c>
      <c r="V95">
        <f t="shared" si="23"/>
        <v>0.84299979020000027</v>
      </c>
      <c r="W95">
        <f t="shared" si="24"/>
        <v>0.15869961841200006</v>
      </c>
      <c r="X95">
        <v>1</v>
      </c>
      <c r="Y95">
        <v>1771086930.9333301</v>
      </c>
      <c r="Z95">
        <v>50.247700000000002</v>
      </c>
      <c r="AA95">
        <v>49.996339999999996</v>
      </c>
      <c r="AB95">
        <v>15.417020000000001</v>
      </c>
      <c r="AC95">
        <v>14.4248933333333</v>
      </c>
      <c r="AD95">
        <v>50.7349933333333</v>
      </c>
      <c r="AE95">
        <v>15.312953333333301</v>
      </c>
      <c r="AF95">
        <v>800.01406666666696</v>
      </c>
      <c r="AG95">
        <v>99.958133333333294</v>
      </c>
      <c r="AH95">
        <v>6.4614206666666701E-2</v>
      </c>
      <c r="AI95">
        <v>19.000440000000001</v>
      </c>
      <c r="AJ95">
        <v>999.9</v>
      </c>
      <c r="AK95">
        <v>999.9</v>
      </c>
      <c r="AL95">
        <v>0</v>
      </c>
      <c r="AM95">
        <v>0</v>
      </c>
      <c r="AN95">
        <v>5015.2333333333299</v>
      </c>
      <c r="AO95">
        <v>0</v>
      </c>
      <c r="AP95">
        <v>2.0325500000000001</v>
      </c>
      <c r="AQ95">
        <v>0.25137920000000002</v>
      </c>
      <c r="AR95">
        <v>51.034513333333301</v>
      </c>
      <c r="AS95">
        <v>50.728079999999999</v>
      </c>
      <c r="AT95">
        <v>0.99212966666666702</v>
      </c>
      <c r="AU95">
        <v>49.996339999999996</v>
      </c>
      <c r="AV95">
        <v>14.4248933333333</v>
      </c>
      <c r="AW95">
        <v>1.541058</v>
      </c>
      <c r="AX95">
        <v>1.44188466666667</v>
      </c>
      <c r="AY95">
        <v>13.3817</v>
      </c>
      <c r="AZ95">
        <v>12.3654266666667</v>
      </c>
      <c r="BA95">
        <v>799.99839999999995</v>
      </c>
      <c r="BB95">
        <v>0.90000486666666701</v>
      </c>
      <c r="BC95">
        <v>0</v>
      </c>
      <c r="BD95">
        <v>9.9995059999999997E-2</v>
      </c>
      <c r="BE95">
        <v>0</v>
      </c>
      <c r="BF95">
        <v>25</v>
      </c>
      <c r="BG95">
        <v>13191.02</v>
      </c>
      <c r="BH95">
        <v>1771086652</v>
      </c>
      <c r="BI95" t="s">
        <v>416</v>
      </c>
      <c r="BJ95">
        <v>1771086652</v>
      </c>
      <c r="BK95">
        <v>1771086652</v>
      </c>
      <c r="BL95">
        <v>3</v>
      </c>
      <c r="BM95">
        <v>0.17899999999999999</v>
      </c>
      <c r="BN95">
        <v>-3.5999999999999997E-2</v>
      </c>
      <c r="BO95">
        <v>-0.48699999999999999</v>
      </c>
      <c r="BP95">
        <v>0.104</v>
      </c>
      <c r="BQ95">
        <v>50</v>
      </c>
      <c r="BR95">
        <v>14</v>
      </c>
      <c r="BS95">
        <v>0.14000000000000001</v>
      </c>
      <c r="BT95">
        <v>0.03</v>
      </c>
      <c r="BU95">
        <v>0.24371205000000001</v>
      </c>
      <c r="BV95">
        <v>0.203248195488722</v>
      </c>
      <c r="BW95">
        <v>2.1844629595108699E-2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0.98893410000000004</v>
      </c>
      <c r="CD95">
        <v>8.3783278195488101E-2</v>
      </c>
      <c r="CE95">
        <v>8.3125703539880108E-3</v>
      </c>
      <c r="CF95">
        <v>1</v>
      </c>
      <c r="CG95">
        <v>2</v>
      </c>
      <c r="CH95">
        <v>2</v>
      </c>
      <c r="CI95" t="s">
        <v>310</v>
      </c>
      <c r="CJ95">
        <v>3.5325099999999998</v>
      </c>
      <c r="CK95">
        <v>2.7023100000000002</v>
      </c>
      <c r="CL95">
        <v>1.47955E-2</v>
      </c>
      <c r="CM95">
        <v>1.44228E-2</v>
      </c>
      <c r="CN95">
        <v>8.7211399999999994E-2</v>
      </c>
      <c r="CO95">
        <v>8.2150399999999998E-2</v>
      </c>
      <c r="CP95">
        <v>34586.699999999997</v>
      </c>
      <c r="CQ95">
        <v>30362.5</v>
      </c>
      <c r="CR95">
        <v>32487.7</v>
      </c>
      <c r="CS95">
        <v>30729.8</v>
      </c>
      <c r="CT95">
        <v>40133</v>
      </c>
      <c r="CU95">
        <v>39647.300000000003</v>
      </c>
      <c r="CV95">
        <v>47433</v>
      </c>
      <c r="CW95">
        <v>46853.2</v>
      </c>
      <c r="CX95">
        <v>2.6360399999999999</v>
      </c>
      <c r="CY95">
        <v>2.17218</v>
      </c>
      <c r="CZ95">
        <v>0</v>
      </c>
      <c r="DA95">
        <v>0</v>
      </c>
      <c r="DB95">
        <v>999.9</v>
      </c>
      <c r="DC95">
        <v>999.9</v>
      </c>
      <c r="DD95">
        <v>65.914000000000001</v>
      </c>
      <c r="DE95">
        <v>24.26</v>
      </c>
      <c r="DF95">
        <v>20.060099999999998</v>
      </c>
      <c r="DG95">
        <v>30.077400000000001</v>
      </c>
      <c r="DH95">
        <v>15.0441</v>
      </c>
      <c r="DI95">
        <v>2</v>
      </c>
      <c r="DJ95">
        <v>-0.188886</v>
      </c>
      <c r="DK95">
        <v>1.8947000000000001</v>
      </c>
      <c r="DL95">
        <v>20.1998</v>
      </c>
      <c r="DM95">
        <v>5.2507099999999998</v>
      </c>
      <c r="DN95">
        <v>12.033899999999999</v>
      </c>
      <c r="DO95">
        <v>4.96692</v>
      </c>
      <c r="DP95">
        <v>3.2909999999999999</v>
      </c>
      <c r="DQ95">
        <v>9999</v>
      </c>
      <c r="DR95">
        <v>9999</v>
      </c>
      <c r="DS95">
        <v>9999</v>
      </c>
      <c r="DT95">
        <v>604.29999999999995</v>
      </c>
      <c r="DU95">
        <v>1.87103</v>
      </c>
      <c r="DV95">
        <v>1.8760699999999999</v>
      </c>
      <c r="DW95">
        <v>1.87626</v>
      </c>
      <c r="DX95">
        <v>1.8827799999999999</v>
      </c>
      <c r="DY95">
        <v>1.8755900000000001</v>
      </c>
      <c r="DZ95">
        <v>1.8746400000000001</v>
      </c>
      <c r="EA95">
        <v>1.87073</v>
      </c>
      <c r="EB95">
        <v>1.8746700000000001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-0.48699999999999999</v>
      </c>
      <c r="EQ95">
        <v>0.1041</v>
      </c>
      <c r="ER95">
        <v>-0.48728000000000499</v>
      </c>
      <c r="ES95">
        <v>0</v>
      </c>
      <c r="ET95">
        <v>0</v>
      </c>
      <c r="EU95">
        <v>0</v>
      </c>
      <c r="EV95">
        <v>0.10407000000000199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4.8</v>
      </c>
      <c r="FE95">
        <v>4.8</v>
      </c>
      <c r="FF95">
        <v>0.29052699999999998</v>
      </c>
      <c r="FG95">
        <v>2.5842299999999998</v>
      </c>
      <c r="FH95">
        <v>2.19604</v>
      </c>
      <c r="FI95">
        <v>2.5817899999999998</v>
      </c>
      <c r="FJ95">
        <v>2.4462899999999999</v>
      </c>
      <c r="FK95">
        <v>2.3278799999999999</v>
      </c>
      <c r="FL95">
        <v>29.793700000000001</v>
      </c>
      <c r="FM95">
        <v>24.157499999999999</v>
      </c>
      <c r="FN95">
        <v>19</v>
      </c>
      <c r="FO95">
        <v>863.327</v>
      </c>
      <c r="FP95">
        <v>598.952</v>
      </c>
      <c r="FQ95">
        <v>18.1709</v>
      </c>
      <c r="FR95">
        <v>24.6326</v>
      </c>
      <c r="FS95">
        <v>30.0002</v>
      </c>
      <c r="FT95">
        <v>24.619900000000001</v>
      </c>
      <c r="FU95">
        <v>24.6221</v>
      </c>
      <c r="FV95">
        <v>5.8464999999999998</v>
      </c>
      <c r="FW95">
        <v>31.8552</v>
      </c>
      <c r="FX95">
        <v>61.384900000000002</v>
      </c>
      <c r="FY95">
        <v>18.169499999999999</v>
      </c>
      <c r="FZ95">
        <v>50</v>
      </c>
      <c r="GA95">
        <v>14.4427</v>
      </c>
      <c r="GB95">
        <v>99.9589</v>
      </c>
      <c r="GC95">
        <v>99.749499999999998</v>
      </c>
    </row>
    <row r="96" spans="1:185" x14ac:dyDescent="0.2">
      <c r="A96">
        <v>81</v>
      </c>
      <c r="B96">
        <v>1771086954</v>
      </c>
      <c r="C96">
        <v>1634</v>
      </c>
      <c r="D96" t="s">
        <v>457</v>
      </c>
      <c r="E96" t="s">
        <v>458</v>
      </c>
      <c r="F96">
        <v>15</v>
      </c>
      <c r="G96">
        <v>1771086945.9333301</v>
      </c>
      <c r="H96">
        <f t="shared" si="13"/>
        <v>8.1227149854464864E-4</v>
      </c>
      <c r="I96">
        <v>0</v>
      </c>
      <c r="J96">
        <f t="shared" si="25"/>
        <v>-8.873512591274722E-3</v>
      </c>
      <c r="K96">
        <f t="shared" si="14"/>
        <v>-0.2405248566536933</v>
      </c>
      <c r="L96">
        <f t="shared" si="15"/>
        <v>69.909625981275383</v>
      </c>
      <c r="M96">
        <f t="shared" si="16"/>
        <v>1.5418630418647976</v>
      </c>
      <c r="N96">
        <f t="shared" si="17"/>
        <v>2.2055089270221111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26204.697121646106</v>
      </c>
      <c r="T96">
        <f t="shared" si="21"/>
        <v>800.00120000000004</v>
      </c>
      <c r="U96">
        <f t="shared" si="22"/>
        <v>674.40084775975401</v>
      </c>
      <c r="V96">
        <f t="shared" si="23"/>
        <v>0.84299979519999968</v>
      </c>
      <c r="W96">
        <f t="shared" si="24"/>
        <v>0.15869969587199995</v>
      </c>
      <c r="X96">
        <v>1</v>
      </c>
      <c r="Y96">
        <v>1771086945.9333301</v>
      </c>
      <c r="Z96">
        <v>50.2434333333333</v>
      </c>
      <c r="AA96">
        <v>49.993793333333301</v>
      </c>
      <c r="AB96">
        <v>15.4151666666667</v>
      </c>
      <c r="AC96">
        <v>14.4154866666667</v>
      </c>
      <c r="AD96">
        <v>50.730726666666698</v>
      </c>
      <c r="AE96">
        <v>15.311106666666699</v>
      </c>
      <c r="AF96">
        <v>800.00620000000004</v>
      </c>
      <c r="AG96">
        <v>99.957939999999994</v>
      </c>
      <c r="AH96">
        <v>6.4529766666666696E-2</v>
      </c>
      <c r="AI96">
        <v>19.002386666666698</v>
      </c>
      <c r="AJ96">
        <v>999.9</v>
      </c>
      <c r="AK96">
        <v>999.9</v>
      </c>
      <c r="AL96">
        <v>0</v>
      </c>
      <c r="AM96">
        <v>0</v>
      </c>
      <c r="AN96">
        <v>4998.9666666666699</v>
      </c>
      <c r="AO96">
        <v>0</v>
      </c>
      <c r="AP96">
        <v>2.0325500000000001</v>
      </c>
      <c r="AQ96">
        <v>0.249651333333333</v>
      </c>
      <c r="AR96">
        <v>51.030093333333298</v>
      </c>
      <c r="AS96">
        <v>50.725020000000001</v>
      </c>
      <c r="AT96">
        <v>0.99969173333333305</v>
      </c>
      <c r="AU96">
        <v>49.993793333333301</v>
      </c>
      <c r="AV96">
        <v>14.4154866666667</v>
      </c>
      <c r="AW96">
        <v>1.5408693333333301</v>
      </c>
      <c r="AX96">
        <v>1.4409413333333301</v>
      </c>
      <c r="AY96">
        <v>13.37984</v>
      </c>
      <c r="AZ96">
        <v>12.35548</v>
      </c>
      <c r="BA96">
        <v>800.00120000000004</v>
      </c>
      <c r="BB96">
        <v>0.90000373333333294</v>
      </c>
      <c r="BC96">
        <v>0</v>
      </c>
      <c r="BD96">
        <v>9.9996160000000001E-2</v>
      </c>
      <c r="BE96">
        <v>0</v>
      </c>
      <c r="BF96">
        <v>25</v>
      </c>
      <c r="BG96">
        <v>13191.053333333301</v>
      </c>
      <c r="BH96">
        <v>1771086652</v>
      </c>
      <c r="BI96" t="s">
        <v>416</v>
      </c>
      <c r="BJ96">
        <v>1771086652</v>
      </c>
      <c r="BK96">
        <v>1771086652</v>
      </c>
      <c r="BL96">
        <v>3</v>
      </c>
      <c r="BM96">
        <v>0.17899999999999999</v>
      </c>
      <c r="BN96">
        <v>-3.5999999999999997E-2</v>
      </c>
      <c r="BO96">
        <v>-0.48699999999999999</v>
      </c>
      <c r="BP96">
        <v>0.104</v>
      </c>
      <c r="BQ96">
        <v>50</v>
      </c>
      <c r="BR96">
        <v>14</v>
      </c>
      <c r="BS96">
        <v>0.14000000000000001</v>
      </c>
      <c r="BT96">
        <v>0.03</v>
      </c>
      <c r="BU96">
        <v>0.25552057142857099</v>
      </c>
      <c r="BV96">
        <v>-3.6865948051948101E-2</v>
      </c>
      <c r="BW96">
        <v>1.5719887339265E-2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0.99981276190476198</v>
      </c>
      <c r="CD96">
        <v>1.0657558441560499E-2</v>
      </c>
      <c r="CE96">
        <v>3.6394471179374398E-3</v>
      </c>
      <c r="CF96">
        <v>1</v>
      </c>
      <c r="CG96">
        <v>2</v>
      </c>
      <c r="CH96">
        <v>2</v>
      </c>
      <c r="CI96" t="s">
        <v>310</v>
      </c>
      <c r="CJ96">
        <v>3.5325299999999999</v>
      </c>
      <c r="CK96">
        <v>2.70235</v>
      </c>
      <c r="CL96">
        <v>1.47958E-2</v>
      </c>
      <c r="CM96">
        <v>1.4419100000000001E-2</v>
      </c>
      <c r="CN96">
        <v>8.71971E-2</v>
      </c>
      <c r="CO96">
        <v>8.2078600000000002E-2</v>
      </c>
      <c r="CP96">
        <v>34587</v>
      </c>
      <c r="CQ96">
        <v>30362.5</v>
      </c>
      <c r="CR96">
        <v>32488.1</v>
      </c>
      <c r="CS96">
        <v>30729.7</v>
      </c>
      <c r="CT96">
        <v>40134.1</v>
      </c>
      <c r="CU96">
        <v>39650.6</v>
      </c>
      <c r="CV96">
        <v>47433.599999999999</v>
      </c>
      <c r="CW96">
        <v>46853.2</v>
      </c>
      <c r="CX96">
        <v>2.63592</v>
      </c>
      <c r="CY96">
        <v>2.1720199999999998</v>
      </c>
      <c r="CZ96">
        <v>0</v>
      </c>
      <c r="DA96">
        <v>0</v>
      </c>
      <c r="DB96">
        <v>999.9</v>
      </c>
      <c r="DC96">
        <v>999.9</v>
      </c>
      <c r="DD96">
        <v>65.828000000000003</v>
      </c>
      <c r="DE96">
        <v>24.29</v>
      </c>
      <c r="DF96">
        <v>20.069900000000001</v>
      </c>
      <c r="DG96">
        <v>29.987400000000001</v>
      </c>
      <c r="DH96">
        <v>15.068099999999999</v>
      </c>
      <c r="DI96">
        <v>2</v>
      </c>
      <c r="DJ96">
        <v>-0.18859600000000001</v>
      </c>
      <c r="DK96">
        <v>1.91191</v>
      </c>
      <c r="DL96">
        <v>20.1996</v>
      </c>
      <c r="DM96">
        <v>5.2516699999999998</v>
      </c>
      <c r="DN96">
        <v>12.033899999999999</v>
      </c>
      <c r="DO96">
        <v>4.9671200000000004</v>
      </c>
      <c r="DP96">
        <v>3.2909999999999999</v>
      </c>
      <c r="DQ96">
        <v>9999</v>
      </c>
      <c r="DR96">
        <v>9999</v>
      </c>
      <c r="DS96">
        <v>9999</v>
      </c>
      <c r="DT96">
        <v>604.29999999999995</v>
      </c>
      <c r="DU96">
        <v>1.87103</v>
      </c>
      <c r="DV96">
        <v>1.87608</v>
      </c>
      <c r="DW96">
        <v>1.8763099999999999</v>
      </c>
      <c r="DX96">
        <v>1.8828</v>
      </c>
      <c r="DY96">
        <v>1.8755900000000001</v>
      </c>
      <c r="DZ96">
        <v>1.8746499999999999</v>
      </c>
      <c r="EA96">
        <v>1.87073</v>
      </c>
      <c r="EB96">
        <v>1.8746700000000001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-0.48699999999999999</v>
      </c>
      <c r="EQ96">
        <v>0.104</v>
      </c>
      <c r="ER96">
        <v>-0.48728000000000499</v>
      </c>
      <c r="ES96">
        <v>0</v>
      </c>
      <c r="ET96">
        <v>0</v>
      </c>
      <c r="EU96">
        <v>0</v>
      </c>
      <c r="EV96">
        <v>0.10407000000000199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5</v>
      </c>
      <c r="FE96">
        <v>5</v>
      </c>
      <c r="FF96">
        <v>0.28930699999999998</v>
      </c>
      <c r="FG96">
        <v>2.5927699999999998</v>
      </c>
      <c r="FH96">
        <v>2.19604</v>
      </c>
      <c r="FI96">
        <v>2.5817899999999998</v>
      </c>
      <c r="FJ96">
        <v>2.4462899999999999</v>
      </c>
      <c r="FK96">
        <v>2.2460900000000001</v>
      </c>
      <c r="FL96">
        <v>29.793700000000001</v>
      </c>
      <c r="FM96">
        <v>24.14</v>
      </c>
      <c r="FN96">
        <v>19</v>
      </c>
      <c r="FO96">
        <v>863.29</v>
      </c>
      <c r="FP96">
        <v>598.88</v>
      </c>
      <c r="FQ96">
        <v>18.1632</v>
      </c>
      <c r="FR96">
        <v>24.636700000000001</v>
      </c>
      <c r="FS96">
        <v>30.0002</v>
      </c>
      <c r="FT96">
        <v>24.624500000000001</v>
      </c>
      <c r="FU96">
        <v>24.6266</v>
      </c>
      <c r="FV96">
        <v>5.8471900000000003</v>
      </c>
      <c r="FW96">
        <v>31.8552</v>
      </c>
      <c r="FX96">
        <v>61.0122</v>
      </c>
      <c r="FY96">
        <v>18.1617</v>
      </c>
      <c r="FZ96">
        <v>50</v>
      </c>
      <c r="GA96">
        <v>14.4427</v>
      </c>
      <c r="GB96">
        <v>99.960099999999997</v>
      </c>
      <c r="GC96">
        <v>99.749399999999994</v>
      </c>
    </row>
    <row r="97" spans="1:185" x14ac:dyDescent="0.2">
      <c r="A97">
        <v>82</v>
      </c>
      <c r="B97">
        <v>1771086969</v>
      </c>
      <c r="C97">
        <v>1649</v>
      </c>
      <c r="D97" t="s">
        <v>459</v>
      </c>
      <c r="E97" t="s">
        <v>460</v>
      </c>
      <c r="F97">
        <v>15</v>
      </c>
      <c r="G97">
        <v>1771086960.9333301</v>
      </c>
      <c r="H97">
        <f t="shared" si="13"/>
        <v>8.1945223511909664E-4</v>
      </c>
      <c r="I97">
        <v>0</v>
      </c>
      <c r="J97">
        <f t="shared" si="25"/>
        <v>-8.516348846572588E-3</v>
      </c>
      <c r="K97">
        <f t="shared" si="14"/>
        <v>-0.23084359935984008</v>
      </c>
      <c r="L97">
        <f t="shared" si="15"/>
        <v>69.884080279295389</v>
      </c>
      <c r="M97">
        <f t="shared" si="16"/>
        <v>1.5413028351191231</v>
      </c>
      <c r="N97">
        <f t="shared" si="17"/>
        <v>2.2055135146076554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26203.764384419621</v>
      </c>
      <c r="T97">
        <f t="shared" si="21"/>
        <v>799.99906666666698</v>
      </c>
      <c r="U97">
        <f t="shared" si="22"/>
        <v>674.39915656006656</v>
      </c>
      <c r="V97">
        <f t="shared" si="23"/>
        <v>0.84299992920000033</v>
      </c>
      <c r="W97">
        <f t="shared" si="24"/>
        <v>0.15869964111200005</v>
      </c>
      <c r="X97">
        <v>1</v>
      </c>
      <c r="Y97">
        <v>1771086960.9333301</v>
      </c>
      <c r="Z97">
        <v>50.250046666666698</v>
      </c>
      <c r="AA97">
        <v>50.012966666666699</v>
      </c>
      <c r="AB97">
        <v>15.409513333333299</v>
      </c>
      <c r="AC97">
        <v>14.4009933333333</v>
      </c>
      <c r="AD97">
        <v>50.737319999999997</v>
      </c>
      <c r="AE97">
        <v>15.3054533333333</v>
      </c>
      <c r="AF97">
        <v>800.00879999999995</v>
      </c>
      <c r="AG97">
        <v>99.958246666666696</v>
      </c>
      <c r="AH97">
        <v>6.4564033333333298E-2</v>
      </c>
      <c r="AI97">
        <v>19.002420000000001</v>
      </c>
      <c r="AJ97">
        <v>999.9</v>
      </c>
      <c r="AK97">
        <v>999.9</v>
      </c>
      <c r="AL97">
        <v>0</v>
      </c>
      <c r="AM97">
        <v>0</v>
      </c>
      <c r="AN97">
        <v>4998.8</v>
      </c>
      <c r="AO97">
        <v>0</v>
      </c>
      <c r="AP97">
        <v>2.0325500000000001</v>
      </c>
      <c r="AQ97">
        <v>0.237075866666667</v>
      </c>
      <c r="AR97">
        <v>51.036499999999997</v>
      </c>
      <c r="AS97">
        <v>50.743726666666703</v>
      </c>
      <c r="AT97">
        <v>1.00852866666667</v>
      </c>
      <c r="AU97">
        <v>50.012966666666699</v>
      </c>
      <c r="AV97">
        <v>14.4009933333333</v>
      </c>
      <c r="AW97">
        <v>1.5403086666666701</v>
      </c>
      <c r="AX97">
        <v>1.4394973333333301</v>
      </c>
      <c r="AY97">
        <v>13.374273333333299</v>
      </c>
      <c r="AZ97">
        <v>12.34022</v>
      </c>
      <c r="BA97">
        <v>799.99906666666698</v>
      </c>
      <c r="BB97">
        <v>0.90000506666666702</v>
      </c>
      <c r="BC97">
        <v>0</v>
      </c>
      <c r="BD97">
        <v>9.9995026666666695E-2</v>
      </c>
      <c r="BE97">
        <v>0</v>
      </c>
      <c r="BF97">
        <v>25</v>
      </c>
      <c r="BG97">
        <v>13191.0333333333</v>
      </c>
      <c r="BH97">
        <v>1771086652</v>
      </c>
      <c r="BI97" t="s">
        <v>416</v>
      </c>
      <c r="BJ97">
        <v>1771086652</v>
      </c>
      <c r="BK97">
        <v>1771086652</v>
      </c>
      <c r="BL97">
        <v>3</v>
      </c>
      <c r="BM97">
        <v>0.17899999999999999</v>
      </c>
      <c r="BN97">
        <v>-3.5999999999999997E-2</v>
      </c>
      <c r="BO97">
        <v>-0.48699999999999999</v>
      </c>
      <c r="BP97">
        <v>0.104</v>
      </c>
      <c r="BQ97">
        <v>50</v>
      </c>
      <c r="BR97">
        <v>14</v>
      </c>
      <c r="BS97">
        <v>0.14000000000000001</v>
      </c>
      <c r="BT97">
        <v>0.03</v>
      </c>
      <c r="BU97">
        <v>0.24134240000000001</v>
      </c>
      <c r="BV97">
        <v>-7.3092180451127794E-2</v>
      </c>
      <c r="BW97">
        <v>1.7225255816387799E-2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1.0074415000000001</v>
      </c>
      <c r="CD97">
        <v>6.9338345864680901E-4</v>
      </c>
      <c r="CE97">
        <v>4.3162162538501001E-3</v>
      </c>
      <c r="CF97">
        <v>1</v>
      </c>
      <c r="CG97">
        <v>2</v>
      </c>
      <c r="CH97">
        <v>2</v>
      </c>
      <c r="CI97" t="s">
        <v>310</v>
      </c>
      <c r="CJ97">
        <v>3.5324599999999999</v>
      </c>
      <c r="CK97">
        <v>2.7025800000000002</v>
      </c>
      <c r="CL97">
        <v>1.47925E-2</v>
      </c>
      <c r="CM97">
        <v>1.44256E-2</v>
      </c>
      <c r="CN97">
        <v>8.7158899999999997E-2</v>
      </c>
      <c r="CO97">
        <v>8.2069400000000001E-2</v>
      </c>
      <c r="CP97">
        <v>34586.400000000001</v>
      </c>
      <c r="CQ97">
        <v>30362.2</v>
      </c>
      <c r="CR97">
        <v>32487.4</v>
      </c>
      <c r="CS97">
        <v>30729.599999999999</v>
      </c>
      <c r="CT97">
        <v>40134.800000000003</v>
      </c>
      <c r="CU97">
        <v>39651.1</v>
      </c>
      <c r="CV97">
        <v>47432.4</v>
      </c>
      <c r="CW97">
        <v>46853.4</v>
      </c>
      <c r="CX97">
        <v>2.63584</v>
      </c>
      <c r="CY97">
        <v>2.17184</v>
      </c>
      <c r="CZ97">
        <v>0</v>
      </c>
      <c r="DA97">
        <v>0</v>
      </c>
      <c r="DB97">
        <v>999.9</v>
      </c>
      <c r="DC97">
        <v>999.9</v>
      </c>
      <c r="DD97">
        <v>65.688000000000002</v>
      </c>
      <c r="DE97">
        <v>24.3</v>
      </c>
      <c r="DF97">
        <v>20.039000000000001</v>
      </c>
      <c r="DG97">
        <v>30.0473</v>
      </c>
      <c r="DH97">
        <v>15.2204</v>
      </c>
      <c r="DI97">
        <v>2</v>
      </c>
      <c r="DJ97">
        <v>-0.18826799999999999</v>
      </c>
      <c r="DK97">
        <v>1.92187</v>
      </c>
      <c r="DL97">
        <v>20.1995</v>
      </c>
      <c r="DM97">
        <v>5.25143</v>
      </c>
      <c r="DN97">
        <v>12.033899999999999</v>
      </c>
      <c r="DO97">
        <v>4.9669999999999996</v>
      </c>
      <c r="DP97">
        <v>3.2909999999999999</v>
      </c>
      <c r="DQ97">
        <v>9999</v>
      </c>
      <c r="DR97">
        <v>9999</v>
      </c>
      <c r="DS97">
        <v>9999</v>
      </c>
      <c r="DT97">
        <v>604.29999999999995</v>
      </c>
      <c r="DU97">
        <v>1.87103</v>
      </c>
      <c r="DV97">
        <v>1.87608</v>
      </c>
      <c r="DW97">
        <v>1.87629</v>
      </c>
      <c r="DX97">
        <v>1.88279</v>
      </c>
      <c r="DY97">
        <v>1.8755900000000001</v>
      </c>
      <c r="DZ97">
        <v>1.87466</v>
      </c>
      <c r="EA97">
        <v>1.8707400000000001</v>
      </c>
      <c r="EB97">
        <v>1.8746499999999999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-0.48699999999999999</v>
      </c>
      <c r="EQ97">
        <v>0.104</v>
      </c>
      <c r="ER97">
        <v>-0.48728000000000499</v>
      </c>
      <c r="ES97">
        <v>0</v>
      </c>
      <c r="ET97">
        <v>0</v>
      </c>
      <c r="EU97">
        <v>0</v>
      </c>
      <c r="EV97">
        <v>0.10407000000000199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5.3</v>
      </c>
      <c r="FE97">
        <v>5.3</v>
      </c>
      <c r="FF97">
        <v>0.29052699999999998</v>
      </c>
      <c r="FG97">
        <v>2.5952099999999998</v>
      </c>
      <c r="FH97">
        <v>2.19604</v>
      </c>
      <c r="FI97">
        <v>2.5817899999999998</v>
      </c>
      <c r="FJ97">
        <v>2.4462899999999999</v>
      </c>
      <c r="FK97">
        <v>2.2936999999999999</v>
      </c>
      <c r="FL97">
        <v>29.815100000000001</v>
      </c>
      <c r="FM97">
        <v>24.148800000000001</v>
      </c>
      <c r="FN97">
        <v>19</v>
      </c>
      <c r="FO97">
        <v>863.29</v>
      </c>
      <c r="FP97">
        <v>598.78800000000001</v>
      </c>
      <c r="FQ97">
        <v>18.156400000000001</v>
      </c>
      <c r="FR97">
        <v>24.640499999999999</v>
      </c>
      <c r="FS97">
        <v>30.0001</v>
      </c>
      <c r="FT97">
        <v>24.629000000000001</v>
      </c>
      <c r="FU97">
        <v>24.6309</v>
      </c>
      <c r="FV97">
        <v>5.8452700000000002</v>
      </c>
      <c r="FW97">
        <v>31.8552</v>
      </c>
      <c r="FX97">
        <v>60.6389</v>
      </c>
      <c r="FY97">
        <v>18.154299999999999</v>
      </c>
      <c r="FZ97">
        <v>50</v>
      </c>
      <c r="GA97">
        <v>14.4427</v>
      </c>
      <c r="GB97">
        <v>99.957599999999999</v>
      </c>
      <c r="GC97">
        <v>99.749499999999998</v>
      </c>
    </row>
    <row r="98" spans="1:185" x14ac:dyDescent="0.2">
      <c r="A98">
        <v>83</v>
      </c>
      <c r="B98">
        <v>1771086984</v>
      </c>
      <c r="C98">
        <v>1664</v>
      </c>
      <c r="D98" t="s">
        <v>461</v>
      </c>
      <c r="E98" t="s">
        <v>462</v>
      </c>
      <c r="F98">
        <v>15</v>
      </c>
      <c r="G98">
        <v>1771086975.9333301</v>
      </c>
      <c r="H98">
        <f t="shared" si="13"/>
        <v>8.2385782714483363E-4</v>
      </c>
      <c r="I98">
        <v>0</v>
      </c>
      <c r="J98">
        <f t="shared" si="25"/>
        <v>-7.9661391522953661E-3</v>
      </c>
      <c r="K98">
        <f t="shared" si="14"/>
        <v>-0.21592965108014422</v>
      </c>
      <c r="L98">
        <f t="shared" si="15"/>
        <v>69.837338253114567</v>
      </c>
      <c r="M98">
        <f t="shared" si="16"/>
        <v>1.5401578800370941</v>
      </c>
      <c r="N98">
        <f t="shared" si="17"/>
        <v>2.2053502017144919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26209.730388589076</v>
      </c>
      <c r="T98">
        <f t="shared" si="21"/>
        <v>800.00133333333304</v>
      </c>
      <c r="U98">
        <f t="shared" si="22"/>
        <v>674.40102175982952</v>
      </c>
      <c r="V98">
        <f t="shared" si="23"/>
        <v>0.84299987220000028</v>
      </c>
      <c r="W98">
        <f t="shared" si="24"/>
        <v>0.15869969349200008</v>
      </c>
      <c r="X98">
        <v>1</v>
      </c>
      <c r="Y98">
        <v>1771086975.9333301</v>
      </c>
      <c r="Z98">
        <v>50.2250266666667</v>
      </c>
      <c r="AA98">
        <v>50.006839999999997</v>
      </c>
      <c r="AB98">
        <v>15.397919999999999</v>
      </c>
      <c r="AC98">
        <v>14.3839666666667</v>
      </c>
      <c r="AD98">
        <v>50.712299999999999</v>
      </c>
      <c r="AE98">
        <v>15.293846666666701</v>
      </c>
      <c r="AF98">
        <v>800.00933333333296</v>
      </c>
      <c r="AG98">
        <v>99.959019999999995</v>
      </c>
      <c r="AH98">
        <v>6.4741653333333302E-2</v>
      </c>
      <c r="AI98">
        <v>19.0012333333333</v>
      </c>
      <c r="AJ98">
        <v>999.9</v>
      </c>
      <c r="AK98">
        <v>999.9</v>
      </c>
      <c r="AL98">
        <v>0</v>
      </c>
      <c r="AM98">
        <v>0</v>
      </c>
      <c r="AN98">
        <v>4999.7333333333299</v>
      </c>
      <c r="AO98">
        <v>0</v>
      </c>
      <c r="AP98">
        <v>2.0325500000000001</v>
      </c>
      <c r="AQ98">
        <v>0.21816533333333299</v>
      </c>
      <c r="AR98">
        <v>51.010460000000002</v>
      </c>
      <c r="AS98">
        <v>50.736646666666701</v>
      </c>
      <c r="AT98">
        <v>1.0139373333333299</v>
      </c>
      <c r="AU98">
        <v>50.006839999999997</v>
      </c>
      <c r="AV98">
        <v>14.3839666666667</v>
      </c>
      <c r="AW98">
        <v>1.5391600000000001</v>
      </c>
      <c r="AX98">
        <v>1.437808</v>
      </c>
      <c r="AY98">
        <v>13.362826666666701</v>
      </c>
      <c r="AZ98">
        <v>12.322366666666699</v>
      </c>
      <c r="BA98">
        <v>800.00133333333304</v>
      </c>
      <c r="BB98">
        <v>0.90000406666666699</v>
      </c>
      <c r="BC98">
        <v>0</v>
      </c>
      <c r="BD98">
        <v>9.9995926666666707E-2</v>
      </c>
      <c r="BE98">
        <v>0</v>
      </c>
      <c r="BF98">
        <v>25</v>
      </c>
      <c r="BG98">
        <v>13191.073333333299</v>
      </c>
      <c r="BH98">
        <v>1771086652</v>
      </c>
      <c r="BI98" t="s">
        <v>416</v>
      </c>
      <c r="BJ98">
        <v>1771086652</v>
      </c>
      <c r="BK98">
        <v>1771086652</v>
      </c>
      <c r="BL98">
        <v>3</v>
      </c>
      <c r="BM98">
        <v>0.17899999999999999</v>
      </c>
      <c r="BN98">
        <v>-3.5999999999999997E-2</v>
      </c>
      <c r="BO98">
        <v>-0.48699999999999999</v>
      </c>
      <c r="BP98">
        <v>0.104</v>
      </c>
      <c r="BQ98">
        <v>50</v>
      </c>
      <c r="BR98">
        <v>14</v>
      </c>
      <c r="BS98">
        <v>0.14000000000000001</v>
      </c>
      <c r="BT98">
        <v>0.03</v>
      </c>
      <c r="BU98">
        <v>0.22523757142857101</v>
      </c>
      <c r="BV98">
        <v>-5.4655480519480597E-2</v>
      </c>
      <c r="BW98">
        <v>1.57795457161099E-2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1.01156047619048</v>
      </c>
      <c r="CD98">
        <v>3.30748051948054E-2</v>
      </c>
      <c r="CE98">
        <v>5.0719466312635301E-3</v>
      </c>
      <c r="CF98">
        <v>1</v>
      </c>
      <c r="CG98">
        <v>2</v>
      </c>
      <c r="CH98">
        <v>2</v>
      </c>
      <c r="CI98" t="s">
        <v>310</v>
      </c>
      <c r="CJ98">
        <v>3.5325000000000002</v>
      </c>
      <c r="CK98">
        <v>2.70261</v>
      </c>
      <c r="CL98">
        <v>1.47858E-2</v>
      </c>
      <c r="CM98">
        <v>1.44204E-2</v>
      </c>
      <c r="CN98">
        <v>8.7120900000000001E-2</v>
      </c>
      <c r="CO98">
        <v>8.2002900000000004E-2</v>
      </c>
      <c r="CP98">
        <v>34586.5</v>
      </c>
      <c r="CQ98">
        <v>30362.9</v>
      </c>
      <c r="CR98">
        <v>32487.3</v>
      </c>
      <c r="CS98">
        <v>30730.1</v>
      </c>
      <c r="CT98">
        <v>40137</v>
      </c>
      <c r="CU98">
        <v>39654.6</v>
      </c>
      <c r="CV98">
        <v>47432.800000000003</v>
      </c>
      <c r="CW98">
        <v>46854.1</v>
      </c>
      <c r="CX98">
        <v>2.6360000000000001</v>
      </c>
      <c r="CY98">
        <v>2.1716199999999999</v>
      </c>
      <c r="CZ98">
        <v>0</v>
      </c>
      <c r="DA98">
        <v>0</v>
      </c>
      <c r="DB98">
        <v>999.9</v>
      </c>
      <c r="DC98">
        <v>999.9</v>
      </c>
      <c r="DD98">
        <v>65.572000000000003</v>
      </c>
      <c r="DE98">
        <v>24.31</v>
      </c>
      <c r="DF98">
        <v>20.0154</v>
      </c>
      <c r="DG98">
        <v>29.987400000000001</v>
      </c>
      <c r="DH98">
        <v>15.212300000000001</v>
      </c>
      <c r="DI98">
        <v>2</v>
      </c>
      <c r="DJ98">
        <v>-0.188081</v>
      </c>
      <c r="DK98">
        <v>1.9209000000000001</v>
      </c>
      <c r="DL98">
        <v>20.199400000000001</v>
      </c>
      <c r="DM98">
        <v>5.2502399999999998</v>
      </c>
      <c r="DN98">
        <v>12.033899999999999</v>
      </c>
      <c r="DO98">
        <v>4.9668000000000001</v>
      </c>
      <c r="DP98">
        <v>3.2909999999999999</v>
      </c>
      <c r="DQ98">
        <v>9999</v>
      </c>
      <c r="DR98">
        <v>9999</v>
      </c>
      <c r="DS98">
        <v>9999</v>
      </c>
      <c r="DT98">
        <v>604.29999999999995</v>
      </c>
      <c r="DU98">
        <v>1.87103</v>
      </c>
      <c r="DV98">
        <v>1.87608</v>
      </c>
      <c r="DW98">
        <v>1.8762700000000001</v>
      </c>
      <c r="DX98">
        <v>1.8828</v>
      </c>
      <c r="DY98">
        <v>1.87558</v>
      </c>
      <c r="DZ98">
        <v>1.87466</v>
      </c>
      <c r="EA98">
        <v>1.87073</v>
      </c>
      <c r="EB98">
        <v>1.8746499999999999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-0.48699999999999999</v>
      </c>
      <c r="EQ98">
        <v>0.104</v>
      </c>
      <c r="ER98">
        <v>-0.48728000000000499</v>
      </c>
      <c r="ES98">
        <v>0</v>
      </c>
      <c r="ET98">
        <v>0</v>
      </c>
      <c r="EU98">
        <v>0</v>
      </c>
      <c r="EV98">
        <v>0.10407000000000199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5.5</v>
      </c>
      <c r="FE98">
        <v>5.5</v>
      </c>
      <c r="FF98">
        <v>0.29052699999999998</v>
      </c>
      <c r="FG98">
        <v>2.5878899999999998</v>
      </c>
      <c r="FH98">
        <v>2.19604</v>
      </c>
      <c r="FI98">
        <v>2.5817899999999998</v>
      </c>
      <c r="FJ98">
        <v>2.4462899999999999</v>
      </c>
      <c r="FK98">
        <v>2.3059099999999999</v>
      </c>
      <c r="FL98">
        <v>29.815100000000001</v>
      </c>
      <c r="FM98">
        <v>24.148800000000001</v>
      </c>
      <c r="FN98">
        <v>19</v>
      </c>
      <c r="FO98">
        <v>863.51199999999994</v>
      </c>
      <c r="FP98">
        <v>598.66700000000003</v>
      </c>
      <c r="FQ98">
        <v>18.152000000000001</v>
      </c>
      <c r="FR98">
        <v>24.6434</v>
      </c>
      <c r="FS98">
        <v>30.0002</v>
      </c>
      <c r="FT98">
        <v>24.633600000000001</v>
      </c>
      <c r="FU98">
        <v>24.635300000000001</v>
      </c>
      <c r="FV98">
        <v>5.8446600000000002</v>
      </c>
      <c r="FW98">
        <v>31.8552</v>
      </c>
      <c r="FX98">
        <v>60.6389</v>
      </c>
      <c r="FY98">
        <v>18.1511</v>
      </c>
      <c r="FZ98">
        <v>50</v>
      </c>
      <c r="GA98">
        <v>14.4428</v>
      </c>
      <c r="GB98">
        <v>99.958100000000002</v>
      </c>
      <c r="GC98">
        <v>99.751099999999994</v>
      </c>
    </row>
    <row r="99" spans="1:185" x14ac:dyDescent="0.2">
      <c r="A99">
        <v>84</v>
      </c>
      <c r="B99">
        <v>1771086999</v>
      </c>
      <c r="C99">
        <v>1679</v>
      </c>
      <c r="D99" t="s">
        <v>463</v>
      </c>
      <c r="E99" t="s">
        <v>464</v>
      </c>
      <c r="F99">
        <v>15</v>
      </c>
      <c r="G99">
        <v>1771086990.9333301</v>
      </c>
      <c r="H99">
        <f t="shared" si="13"/>
        <v>8.2353208364064397E-4</v>
      </c>
      <c r="I99">
        <v>0</v>
      </c>
      <c r="J99">
        <f t="shared" si="25"/>
        <v>-8.0993953896272512E-3</v>
      </c>
      <c r="K99">
        <f t="shared" si="14"/>
        <v>-0.21954168600462023</v>
      </c>
      <c r="L99">
        <f t="shared" si="15"/>
        <v>69.806420328304867</v>
      </c>
      <c r="M99">
        <f t="shared" si="16"/>
        <v>1.539438245680087</v>
      </c>
      <c r="N99">
        <f t="shared" si="17"/>
        <v>2.20529607225237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26231.738904215967</v>
      </c>
      <c r="T99">
        <f t="shared" si="21"/>
        <v>799.999866666667</v>
      </c>
      <c r="U99">
        <f t="shared" si="22"/>
        <v>674.39990327999772</v>
      </c>
      <c r="V99">
        <f t="shared" si="23"/>
        <v>0.84300001960000004</v>
      </c>
      <c r="W99">
        <f t="shared" si="24"/>
        <v>0.15869976317600001</v>
      </c>
      <c r="X99">
        <v>1</v>
      </c>
      <c r="Y99">
        <v>1771086990.9333301</v>
      </c>
      <c r="Z99">
        <v>50.21414</v>
      </c>
      <c r="AA99">
        <v>49.991406666666698</v>
      </c>
      <c r="AB99">
        <v>15.390646666666701</v>
      </c>
      <c r="AC99">
        <v>14.377086666666701</v>
      </c>
      <c r="AD99">
        <v>50.701433333333298</v>
      </c>
      <c r="AE99">
        <v>15.28656</v>
      </c>
      <c r="AF99">
        <v>800.00926666666703</v>
      </c>
      <c r="AG99">
        <v>99.959613333333294</v>
      </c>
      <c r="AH99">
        <v>6.4659786666666705E-2</v>
      </c>
      <c r="AI99">
        <v>19.00084</v>
      </c>
      <c r="AJ99">
        <v>999.9</v>
      </c>
      <c r="AK99">
        <v>999.9</v>
      </c>
      <c r="AL99">
        <v>0</v>
      </c>
      <c r="AM99">
        <v>0</v>
      </c>
      <c r="AN99">
        <v>5003.3333333333303</v>
      </c>
      <c r="AO99">
        <v>0</v>
      </c>
      <c r="AP99">
        <v>2.0325500000000001</v>
      </c>
      <c r="AQ99">
        <v>0.22274840000000001</v>
      </c>
      <c r="AR99">
        <v>50.99906</v>
      </c>
      <c r="AS99">
        <v>50.720613333333297</v>
      </c>
      <c r="AT99">
        <v>1.0135433333333299</v>
      </c>
      <c r="AU99">
        <v>49.991406666666698</v>
      </c>
      <c r="AV99">
        <v>14.377086666666701</v>
      </c>
      <c r="AW99">
        <v>1.5384420000000001</v>
      </c>
      <c r="AX99">
        <v>1.4371293333333299</v>
      </c>
      <c r="AY99">
        <v>13.3556666666667</v>
      </c>
      <c r="AZ99">
        <v>12.3151666666667</v>
      </c>
      <c r="BA99">
        <v>799.999866666667</v>
      </c>
      <c r="BB99">
        <v>0.90000360000000001</v>
      </c>
      <c r="BC99">
        <v>0</v>
      </c>
      <c r="BD99">
        <v>9.99965466666667E-2</v>
      </c>
      <c r="BE99">
        <v>0</v>
      </c>
      <c r="BF99">
        <v>25</v>
      </c>
      <c r="BG99">
        <v>13191.0333333333</v>
      </c>
      <c r="BH99">
        <v>1771086652</v>
      </c>
      <c r="BI99" t="s">
        <v>416</v>
      </c>
      <c r="BJ99">
        <v>1771086652</v>
      </c>
      <c r="BK99">
        <v>1771086652</v>
      </c>
      <c r="BL99">
        <v>3</v>
      </c>
      <c r="BM99">
        <v>0.17899999999999999</v>
      </c>
      <c r="BN99">
        <v>-3.5999999999999997E-2</v>
      </c>
      <c r="BO99">
        <v>-0.48699999999999999</v>
      </c>
      <c r="BP99">
        <v>0.104</v>
      </c>
      <c r="BQ99">
        <v>50</v>
      </c>
      <c r="BR99">
        <v>14</v>
      </c>
      <c r="BS99">
        <v>0.14000000000000001</v>
      </c>
      <c r="BT99">
        <v>0.03</v>
      </c>
      <c r="BU99">
        <v>0.2243348</v>
      </c>
      <c r="BV99">
        <v>3.4550977443606099E-3</v>
      </c>
      <c r="BW99">
        <v>1.14804922481573E-2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1.0134565</v>
      </c>
      <c r="CD99">
        <v>-2.1531879699247199E-2</v>
      </c>
      <c r="CE99">
        <v>6.6067891407248702E-3</v>
      </c>
      <c r="CF99">
        <v>1</v>
      </c>
      <c r="CG99">
        <v>2</v>
      </c>
      <c r="CH99">
        <v>2</v>
      </c>
      <c r="CI99" t="s">
        <v>310</v>
      </c>
      <c r="CJ99">
        <v>3.53254</v>
      </c>
      <c r="CK99">
        <v>2.7024400000000002</v>
      </c>
      <c r="CL99">
        <v>1.4787099999999999E-2</v>
      </c>
      <c r="CM99">
        <v>1.4416999999999999E-2</v>
      </c>
      <c r="CN99">
        <v>8.7077699999999994E-2</v>
      </c>
      <c r="CO99">
        <v>8.2013900000000001E-2</v>
      </c>
      <c r="CP99">
        <v>34586.300000000003</v>
      </c>
      <c r="CQ99">
        <v>30362.799999999999</v>
      </c>
      <c r="CR99">
        <v>32487.200000000001</v>
      </c>
      <c r="CS99">
        <v>30729.9</v>
      </c>
      <c r="CT99">
        <v>40138.5</v>
      </c>
      <c r="CU99">
        <v>39653.9</v>
      </c>
      <c r="CV99">
        <v>47432.3</v>
      </c>
      <c r="CW99">
        <v>46853.7</v>
      </c>
      <c r="CX99">
        <v>2.6359400000000002</v>
      </c>
      <c r="CY99">
        <v>2.17144</v>
      </c>
      <c r="CZ99">
        <v>0</v>
      </c>
      <c r="DA99">
        <v>0</v>
      </c>
      <c r="DB99">
        <v>999.9</v>
      </c>
      <c r="DC99">
        <v>999.9</v>
      </c>
      <c r="DD99">
        <v>65.424999999999997</v>
      </c>
      <c r="DE99">
        <v>24.33</v>
      </c>
      <c r="DF99">
        <v>19.994700000000002</v>
      </c>
      <c r="DG99">
        <v>30.077400000000001</v>
      </c>
      <c r="DH99">
        <v>15.0321</v>
      </c>
      <c r="DI99">
        <v>2</v>
      </c>
      <c r="DJ99">
        <v>-0.18767500000000001</v>
      </c>
      <c r="DK99">
        <v>1.9212800000000001</v>
      </c>
      <c r="DL99">
        <v>20.1996</v>
      </c>
      <c r="DM99">
        <v>5.2480799999999999</v>
      </c>
      <c r="DN99">
        <v>12.033899999999999</v>
      </c>
      <c r="DO99">
        <v>4.9665600000000003</v>
      </c>
      <c r="DP99">
        <v>3.2909999999999999</v>
      </c>
      <c r="DQ99">
        <v>9999</v>
      </c>
      <c r="DR99">
        <v>9999</v>
      </c>
      <c r="DS99">
        <v>9999</v>
      </c>
      <c r="DT99">
        <v>604.29999999999995</v>
      </c>
      <c r="DU99">
        <v>1.87103</v>
      </c>
      <c r="DV99">
        <v>1.8760699999999999</v>
      </c>
      <c r="DW99">
        <v>1.87629</v>
      </c>
      <c r="DX99">
        <v>1.8827799999999999</v>
      </c>
      <c r="DY99">
        <v>1.8755599999999999</v>
      </c>
      <c r="DZ99">
        <v>1.8746499999999999</v>
      </c>
      <c r="EA99">
        <v>1.87073</v>
      </c>
      <c r="EB99">
        <v>1.8746499999999999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-0.48699999999999999</v>
      </c>
      <c r="EQ99">
        <v>0.104</v>
      </c>
      <c r="ER99">
        <v>-0.48728000000000499</v>
      </c>
      <c r="ES99">
        <v>0</v>
      </c>
      <c r="ET99">
        <v>0</v>
      </c>
      <c r="EU99">
        <v>0</v>
      </c>
      <c r="EV99">
        <v>0.10407000000000199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5.8</v>
      </c>
      <c r="FE99">
        <v>5.8</v>
      </c>
      <c r="FF99">
        <v>0.28930699999999998</v>
      </c>
      <c r="FG99">
        <v>2.5830099999999998</v>
      </c>
      <c r="FH99">
        <v>2.19604</v>
      </c>
      <c r="FI99">
        <v>2.5817899999999998</v>
      </c>
      <c r="FJ99">
        <v>2.4462899999999999</v>
      </c>
      <c r="FK99">
        <v>2.32178</v>
      </c>
      <c r="FL99">
        <v>29.836400000000001</v>
      </c>
      <c r="FM99">
        <v>24.148800000000001</v>
      </c>
      <c r="FN99">
        <v>19</v>
      </c>
      <c r="FO99">
        <v>863.53099999999995</v>
      </c>
      <c r="FP99">
        <v>598.57799999999997</v>
      </c>
      <c r="FQ99">
        <v>18.148</v>
      </c>
      <c r="FR99">
        <v>24.647099999999998</v>
      </c>
      <c r="FS99">
        <v>30.0001</v>
      </c>
      <c r="FT99">
        <v>24.638100000000001</v>
      </c>
      <c r="FU99">
        <v>24.639800000000001</v>
      </c>
      <c r="FV99">
        <v>5.8452799999999998</v>
      </c>
      <c r="FW99">
        <v>31.556100000000001</v>
      </c>
      <c r="FX99">
        <v>60.2682</v>
      </c>
      <c r="FY99">
        <v>18.148299999999999</v>
      </c>
      <c r="FZ99">
        <v>50</v>
      </c>
      <c r="GA99">
        <v>14.452299999999999</v>
      </c>
      <c r="GB99">
        <v>99.957300000000004</v>
      </c>
      <c r="GC99">
        <v>99.750399999999999</v>
      </c>
    </row>
    <row r="100" spans="1:185" x14ac:dyDescent="0.2">
      <c r="A100">
        <v>85</v>
      </c>
      <c r="B100">
        <v>1771087014</v>
      </c>
      <c r="C100">
        <v>1694</v>
      </c>
      <c r="D100" t="s">
        <v>465</v>
      </c>
      <c r="E100" t="s">
        <v>466</v>
      </c>
      <c r="F100">
        <v>15</v>
      </c>
      <c r="G100">
        <v>1771087005.9333301</v>
      </c>
      <c r="H100">
        <f t="shared" si="13"/>
        <v>8.099484323893883E-4</v>
      </c>
      <c r="I100">
        <v>0</v>
      </c>
      <c r="J100">
        <f t="shared" si="25"/>
        <v>-8.0874157071266425E-3</v>
      </c>
      <c r="K100">
        <f t="shared" si="14"/>
        <v>-0.21921696550790862</v>
      </c>
      <c r="L100">
        <f t="shared" si="15"/>
        <v>69.789659564678033</v>
      </c>
      <c r="M100">
        <f t="shared" si="16"/>
        <v>1.5391006353752095</v>
      </c>
      <c r="N100">
        <f t="shared" si="17"/>
        <v>2.2053419446026066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26193.86946077571</v>
      </c>
      <c r="T100">
        <f t="shared" si="21"/>
        <v>799.99906666666698</v>
      </c>
      <c r="U100">
        <f t="shared" si="22"/>
        <v>674.39908808014616</v>
      </c>
      <c r="V100">
        <f t="shared" si="23"/>
        <v>0.84299984359999991</v>
      </c>
      <c r="W100">
        <f t="shared" si="24"/>
        <v>0.15869958301599998</v>
      </c>
      <c r="X100">
        <v>1</v>
      </c>
      <c r="Y100">
        <v>1771087005.9333301</v>
      </c>
      <c r="Z100">
        <v>50.221060000000001</v>
      </c>
      <c r="AA100">
        <v>49.997886666666702</v>
      </c>
      <c r="AB100">
        <v>15.387306666666699</v>
      </c>
      <c r="AC100">
        <v>14.390459999999999</v>
      </c>
      <c r="AD100">
        <v>50.708346666666699</v>
      </c>
      <c r="AE100">
        <v>15.28322</v>
      </c>
      <c r="AF100">
        <v>800.00819999999999</v>
      </c>
      <c r="AG100">
        <v>99.959379999999996</v>
      </c>
      <c r="AH100">
        <v>6.4663760000000001E-2</v>
      </c>
      <c r="AI100">
        <v>19.001173333333298</v>
      </c>
      <c r="AJ100">
        <v>999.9</v>
      </c>
      <c r="AK100">
        <v>999.9</v>
      </c>
      <c r="AL100">
        <v>0</v>
      </c>
      <c r="AM100">
        <v>0</v>
      </c>
      <c r="AN100">
        <v>4997.1000000000004</v>
      </c>
      <c r="AO100">
        <v>0</v>
      </c>
      <c r="AP100">
        <v>2.0325500000000001</v>
      </c>
      <c r="AQ100">
        <v>0.22317680000000001</v>
      </c>
      <c r="AR100">
        <v>51.005906666666696</v>
      </c>
      <c r="AS100">
        <v>50.727886666666699</v>
      </c>
      <c r="AT100">
        <v>0.99685413333333295</v>
      </c>
      <c r="AU100">
        <v>49.997886666666702</v>
      </c>
      <c r="AV100">
        <v>14.390459999999999</v>
      </c>
      <c r="AW100">
        <v>1.5381053333333301</v>
      </c>
      <c r="AX100">
        <v>1.4384600000000001</v>
      </c>
      <c r="AY100">
        <v>13.352306666666699</v>
      </c>
      <c r="AZ100">
        <v>12.32926</v>
      </c>
      <c r="BA100">
        <v>799.99906666666698</v>
      </c>
      <c r="BB100">
        <v>0.90000559999999996</v>
      </c>
      <c r="BC100">
        <v>0</v>
      </c>
      <c r="BD100">
        <v>9.9994413333333296E-2</v>
      </c>
      <c r="BE100">
        <v>0</v>
      </c>
      <c r="BF100">
        <v>25</v>
      </c>
      <c r="BG100">
        <v>13191.0466666667</v>
      </c>
      <c r="BH100">
        <v>1771086652</v>
      </c>
      <c r="BI100" t="s">
        <v>416</v>
      </c>
      <c r="BJ100">
        <v>1771086652</v>
      </c>
      <c r="BK100">
        <v>1771086652</v>
      </c>
      <c r="BL100">
        <v>3</v>
      </c>
      <c r="BM100">
        <v>0.17899999999999999</v>
      </c>
      <c r="BN100">
        <v>-3.5999999999999997E-2</v>
      </c>
      <c r="BO100">
        <v>-0.48699999999999999</v>
      </c>
      <c r="BP100">
        <v>0.104</v>
      </c>
      <c r="BQ100">
        <v>50</v>
      </c>
      <c r="BR100">
        <v>14</v>
      </c>
      <c r="BS100">
        <v>0.14000000000000001</v>
      </c>
      <c r="BT100">
        <v>0.03</v>
      </c>
      <c r="BU100">
        <v>0.225163238095238</v>
      </c>
      <c r="BV100">
        <v>-3.2696103896092901E-4</v>
      </c>
      <c r="BW100">
        <v>1.24623100507271E-2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0.99962390476190499</v>
      </c>
      <c r="CD100">
        <v>-5.8971818181819798E-2</v>
      </c>
      <c r="CE100">
        <v>7.5568554867797002E-3</v>
      </c>
      <c r="CF100">
        <v>1</v>
      </c>
      <c r="CG100">
        <v>2</v>
      </c>
      <c r="CH100">
        <v>2</v>
      </c>
      <c r="CI100" t="s">
        <v>310</v>
      </c>
      <c r="CJ100">
        <v>3.53254</v>
      </c>
      <c r="CK100">
        <v>2.7022499999999998</v>
      </c>
      <c r="CL100">
        <v>1.47849E-2</v>
      </c>
      <c r="CM100">
        <v>1.4416699999999999E-2</v>
      </c>
      <c r="CN100">
        <v>8.7108400000000002E-2</v>
      </c>
      <c r="CO100">
        <v>8.2174800000000006E-2</v>
      </c>
      <c r="CP100">
        <v>34586.699999999997</v>
      </c>
      <c r="CQ100">
        <v>30363.200000000001</v>
      </c>
      <c r="CR100">
        <v>32487.5</v>
      </c>
      <c r="CS100">
        <v>30730.3</v>
      </c>
      <c r="CT100">
        <v>40137.699999999997</v>
      </c>
      <c r="CU100">
        <v>39647.1</v>
      </c>
      <c r="CV100">
        <v>47433.1</v>
      </c>
      <c r="CW100">
        <v>46854.2</v>
      </c>
      <c r="CX100">
        <v>2.6356799999999998</v>
      </c>
      <c r="CY100">
        <v>2.1712600000000002</v>
      </c>
      <c r="CZ100">
        <v>0</v>
      </c>
      <c r="DA100">
        <v>0</v>
      </c>
      <c r="DB100">
        <v>999.9</v>
      </c>
      <c r="DC100">
        <v>999.9</v>
      </c>
      <c r="DD100">
        <v>65.284999999999997</v>
      </c>
      <c r="DE100">
        <v>24.34</v>
      </c>
      <c r="DF100">
        <v>19.963200000000001</v>
      </c>
      <c r="DG100">
        <v>30.287400000000002</v>
      </c>
      <c r="DH100">
        <v>15.036099999999999</v>
      </c>
      <c r="DI100">
        <v>2</v>
      </c>
      <c r="DJ100">
        <v>-0.18745500000000001</v>
      </c>
      <c r="DK100">
        <v>1.9276599999999999</v>
      </c>
      <c r="DL100">
        <v>20.199300000000001</v>
      </c>
      <c r="DM100">
        <v>5.2474800000000004</v>
      </c>
      <c r="DN100">
        <v>12.033899999999999</v>
      </c>
      <c r="DO100">
        <v>4.9666399999999999</v>
      </c>
      <c r="DP100">
        <v>3.2909999999999999</v>
      </c>
      <c r="DQ100">
        <v>9999</v>
      </c>
      <c r="DR100">
        <v>9999</v>
      </c>
      <c r="DS100">
        <v>9999</v>
      </c>
      <c r="DT100">
        <v>604.29999999999995</v>
      </c>
      <c r="DU100">
        <v>1.87103</v>
      </c>
      <c r="DV100">
        <v>1.8760699999999999</v>
      </c>
      <c r="DW100">
        <v>1.8763099999999999</v>
      </c>
      <c r="DX100">
        <v>1.8827799999999999</v>
      </c>
      <c r="DY100">
        <v>1.87558</v>
      </c>
      <c r="DZ100">
        <v>1.8746400000000001</v>
      </c>
      <c r="EA100">
        <v>1.8707499999999999</v>
      </c>
      <c r="EB100">
        <v>1.8746700000000001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-0.48699999999999999</v>
      </c>
      <c r="EQ100">
        <v>0.1041</v>
      </c>
      <c r="ER100">
        <v>-0.48728000000000499</v>
      </c>
      <c r="ES100">
        <v>0</v>
      </c>
      <c r="ET100">
        <v>0</v>
      </c>
      <c r="EU100">
        <v>0</v>
      </c>
      <c r="EV100">
        <v>0.10407000000000199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6</v>
      </c>
      <c r="FE100">
        <v>6</v>
      </c>
      <c r="FF100">
        <v>0.29052699999999998</v>
      </c>
      <c r="FG100">
        <v>2.5964399999999999</v>
      </c>
      <c r="FH100">
        <v>2.19604</v>
      </c>
      <c r="FI100">
        <v>2.5817899999999998</v>
      </c>
      <c r="FJ100">
        <v>2.4462899999999999</v>
      </c>
      <c r="FK100">
        <v>2.2668499999999998</v>
      </c>
      <c r="FL100">
        <v>29.857800000000001</v>
      </c>
      <c r="FM100">
        <v>24.14</v>
      </c>
      <c r="FN100">
        <v>19</v>
      </c>
      <c r="FO100">
        <v>863.35900000000004</v>
      </c>
      <c r="FP100">
        <v>598.49</v>
      </c>
      <c r="FQ100">
        <v>18.1449</v>
      </c>
      <c r="FR100">
        <v>24.651299999999999</v>
      </c>
      <c r="FS100">
        <v>30.000299999999999</v>
      </c>
      <c r="FT100">
        <v>24.642299999999999</v>
      </c>
      <c r="FU100">
        <v>24.644400000000001</v>
      </c>
      <c r="FV100">
        <v>5.8465600000000002</v>
      </c>
      <c r="FW100">
        <v>31.285699999999999</v>
      </c>
      <c r="FX100">
        <v>59.895099999999999</v>
      </c>
      <c r="FY100">
        <v>18.144400000000001</v>
      </c>
      <c r="FZ100">
        <v>50</v>
      </c>
      <c r="GA100">
        <v>14.4483</v>
      </c>
      <c r="GB100">
        <v>99.958699999999993</v>
      </c>
      <c r="GC100">
        <v>99.751499999999993</v>
      </c>
    </row>
    <row r="101" spans="1:185" x14ac:dyDescent="0.2">
      <c r="A101">
        <v>86</v>
      </c>
      <c r="B101">
        <v>1771087029</v>
      </c>
      <c r="C101">
        <v>1709</v>
      </c>
      <c r="D101" t="s">
        <v>467</v>
      </c>
      <c r="E101" t="s">
        <v>468</v>
      </c>
      <c r="F101">
        <v>15</v>
      </c>
      <c r="G101">
        <v>1771087020.9333301</v>
      </c>
      <c r="H101">
        <f t="shared" si="13"/>
        <v>7.9027617843849729E-4</v>
      </c>
      <c r="I101">
        <v>0</v>
      </c>
      <c r="J101">
        <f t="shared" si="25"/>
        <v>-7.4825254827255924E-3</v>
      </c>
      <c r="K101">
        <f t="shared" si="14"/>
        <v>-0.20282085032592942</v>
      </c>
      <c r="L101">
        <f t="shared" si="15"/>
        <v>69.873787054287249</v>
      </c>
      <c r="M101">
        <f t="shared" si="16"/>
        <v>1.5408578546229152</v>
      </c>
      <c r="N101">
        <f t="shared" si="17"/>
        <v>2.2052015778474581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26209.634785833528</v>
      </c>
      <c r="T101">
        <f t="shared" si="21"/>
        <v>800.00019999999995</v>
      </c>
      <c r="U101">
        <f t="shared" si="22"/>
        <v>674.40003195996553</v>
      </c>
      <c r="V101">
        <f t="shared" si="23"/>
        <v>0.84299982919999972</v>
      </c>
      <c r="W101">
        <f t="shared" si="24"/>
        <v>0.15869965095199995</v>
      </c>
      <c r="X101">
        <v>1</v>
      </c>
      <c r="Y101">
        <v>1771087020.9333301</v>
      </c>
      <c r="Z101">
        <v>50.208066666666703</v>
      </c>
      <c r="AA101">
        <v>50.00414</v>
      </c>
      <c r="AB101">
        <v>15.4048466666667</v>
      </c>
      <c r="AC101">
        <v>14.432226666666701</v>
      </c>
      <c r="AD101">
        <v>50.695340000000002</v>
      </c>
      <c r="AE101">
        <v>15.30076</v>
      </c>
      <c r="AF101">
        <v>800.00626666666699</v>
      </c>
      <c r="AG101">
        <v>99.9598266666667</v>
      </c>
      <c r="AH101">
        <v>6.4398693333333298E-2</v>
      </c>
      <c r="AI101">
        <v>19.000153333333301</v>
      </c>
      <c r="AJ101">
        <v>999.9</v>
      </c>
      <c r="AK101">
        <v>999.9</v>
      </c>
      <c r="AL101">
        <v>0</v>
      </c>
      <c r="AM101">
        <v>0</v>
      </c>
      <c r="AN101">
        <v>4999.6666666666697</v>
      </c>
      <c r="AO101">
        <v>0</v>
      </c>
      <c r="AP101">
        <v>2.0325500000000001</v>
      </c>
      <c r="AQ101">
        <v>0.20393800000000001</v>
      </c>
      <c r="AR101">
        <v>50.99362</v>
      </c>
      <c r="AS101">
        <v>50.736373333333297</v>
      </c>
      <c r="AT101">
        <v>0.97261220000000004</v>
      </c>
      <c r="AU101">
        <v>50.00414</v>
      </c>
      <c r="AV101">
        <v>14.432226666666701</v>
      </c>
      <c r="AW101">
        <v>1.5398653333333301</v>
      </c>
      <c r="AX101">
        <v>1.4426433333333299</v>
      </c>
      <c r="AY101">
        <v>13.3698466666667</v>
      </c>
      <c r="AZ101">
        <v>12.37344</v>
      </c>
      <c r="BA101">
        <v>800.00019999999995</v>
      </c>
      <c r="BB101">
        <v>0.90000453333333297</v>
      </c>
      <c r="BC101">
        <v>0</v>
      </c>
      <c r="BD101">
        <v>9.9995426666666706E-2</v>
      </c>
      <c r="BE101">
        <v>0</v>
      </c>
      <c r="BF101">
        <v>25</v>
      </c>
      <c r="BG101">
        <v>13191.053333333301</v>
      </c>
      <c r="BH101">
        <v>1771086652</v>
      </c>
      <c r="BI101" t="s">
        <v>416</v>
      </c>
      <c r="BJ101">
        <v>1771086652</v>
      </c>
      <c r="BK101">
        <v>1771086652</v>
      </c>
      <c r="BL101">
        <v>3</v>
      </c>
      <c r="BM101">
        <v>0.17899999999999999</v>
      </c>
      <c r="BN101">
        <v>-3.5999999999999997E-2</v>
      </c>
      <c r="BO101">
        <v>-0.48699999999999999</v>
      </c>
      <c r="BP101">
        <v>0.104</v>
      </c>
      <c r="BQ101">
        <v>50</v>
      </c>
      <c r="BR101">
        <v>14</v>
      </c>
      <c r="BS101">
        <v>0.14000000000000001</v>
      </c>
      <c r="BT101">
        <v>0.03</v>
      </c>
      <c r="BU101">
        <v>0.21098495</v>
      </c>
      <c r="BV101">
        <v>-0.14138837593984899</v>
      </c>
      <c r="BW101">
        <v>1.9492029851903601E-2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0.97695485000000004</v>
      </c>
      <c r="CD101">
        <v>-5.16940601503766E-2</v>
      </c>
      <c r="CE101">
        <v>1.0100084817836899E-2</v>
      </c>
      <c r="CF101">
        <v>1</v>
      </c>
      <c r="CG101">
        <v>2</v>
      </c>
      <c r="CH101">
        <v>2</v>
      </c>
      <c r="CI101" t="s">
        <v>310</v>
      </c>
      <c r="CJ101">
        <v>3.5324800000000001</v>
      </c>
      <c r="CK101">
        <v>2.70235</v>
      </c>
      <c r="CL101">
        <v>1.47834E-2</v>
      </c>
      <c r="CM101">
        <v>1.4430200000000001E-2</v>
      </c>
      <c r="CN101">
        <v>8.71889E-2</v>
      </c>
      <c r="CO101">
        <v>8.2219600000000004E-2</v>
      </c>
      <c r="CP101">
        <v>34586.5</v>
      </c>
      <c r="CQ101">
        <v>30362.2</v>
      </c>
      <c r="CR101">
        <v>32487.3</v>
      </c>
      <c r="CS101">
        <v>30729.8</v>
      </c>
      <c r="CT101">
        <v>40133.800000000003</v>
      </c>
      <c r="CU101">
        <v>39644.800000000003</v>
      </c>
      <c r="CV101">
        <v>47432.800000000003</v>
      </c>
      <c r="CW101">
        <v>46853.8</v>
      </c>
      <c r="CX101">
        <v>2.6357200000000001</v>
      </c>
      <c r="CY101">
        <v>2.1710799999999999</v>
      </c>
      <c r="CZ101">
        <v>0</v>
      </c>
      <c r="DA101">
        <v>0</v>
      </c>
      <c r="DB101">
        <v>999.9</v>
      </c>
      <c r="DC101">
        <v>999.9</v>
      </c>
      <c r="DD101">
        <v>65.194000000000003</v>
      </c>
      <c r="DE101">
        <v>24.37</v>
      </c>
      <c r="DF101">
        <v>19.971599999999999</v>
      </c>
      <c r="DG101">
        <v>30.287400000000002</v>
      </c>
      <c r="DH101">
        <v>15.208299999999999</v>
      </c>
      <c r="DI101">
        <v>2</v>
      </c>
      <c r="DJ101">
        <v>-0.187252</v>
      </c>
      <c r="DK101">
        <v>1.9035200000000001</v>
      </c>
      <c r="DL101">
        <v>20.1998</v>
      </c>
      <c r="DM101">
        <v>5.2473599999999996</v>
      </c>
      <c r="DN101">
        <v>12.033899999999999</v>
      </c>
      <c r="DO101">
        <v>4.9664400000000004</v>
      </c>
      <c r="DP101">
        <v>3.2909999999999999</v>
      </c>
      <c r="DQ101">
        <v>9999</v>
      </c>
      <c r="DR101">
        <v>9999</v>
      </c>
      <c r="DS101">
        <v>9999</v>
      </c>
      <c r="DT101">
        <v>604.29999999999995</v>
      </c>
      <c r="DU101">
        <v>1.87103</v>
      </c>
      <c r="DV101">
        <v>1.8760699999999999</v>
      </c>
      <c r="DW101">
        <v>1.87629</v>
      </c>
      <c r="DX101">
        <v>1.88279</v>
      </c>
      <c r="DY101">
        <v>1.8755599999999999</v>
      </c>
      <c r="DZ101">
        <v>1.8746499999999999</v>
      </c>
      <c r="EA101">
        <v>1.8707499999999999</v>
      </c>
      <c r="EB101">
        <v>1.8746700000000001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-0.48699999999999999</v>
      </c>
      <c r="EQ101">
        <v>0.1041</v>
      </c>
      <c r="ER101">
        <v>-0.48728000000000499</v>
      </c>
      <c r="ES101">
        <v>0</v>
      </c>
      <c r="ET101">
        <v>0</v>
      </c>
      <c r="EU101">
        <v>0</v>
      </c>
      <c r="EV101">
        <v>0.10407000000000199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6.3</v>
      </c>
      <c r="FE101">
        <v>6.3</v>
      </c>
      <c r="FF101">
        <v>0.29052699999999998</v>
      </c>
      <c r="FG101">
        <v>2.5903299999999998</v>
      </c>
      <c r="FH101">
        <v>2.19604</v>
      </c>
      <c r="FI101">
        <v>2.5817899999999998</v>
      </c>
      <c r="FJ101">
        <v>2.4462899999999999</v>
      </c>
      <c r="FK101">
        <v>2.2900399999999999</v>
      </c>
      <c r="FL101">
        <v>29.879200000000001</v>
      </c>
      <c r="FM101">
        <v>24.148800000000001</v>
      </c>
      <c r="FN101">
        <v>19</v>
      </c>
      <c r="FO101">
        <v>863.46299999999997</v>
      </c>
      <c r="FP101">
        <v>598.40200000000004</v>
      </c>
      <c r="FQ101">
        <v>18.1586</v>
      </c>
      <c r="FR101">
        <v>24.6554</v>
      </c>
      <c r="FS101">
        <v>30</v>
      </c>
      <c r="FT101">
        <v>24.6465</v>
      </c>
      <c r="FU101">
        <v>24.648900000000001</v>
      </c>
      <c r="FV101">
        <v>5.84476</v>
      </c>
      <c r="FW101">
        <v>31.285699999999999</v>
      </c>
      <c r="FX101">
        <v>59.517299999999999</v>
      </c>
      <c r="FY101">
        <v>18.157599999999999</v>
      </c>
      <c r="FZ101">
        <v>50</v>
      </c>
      <c r="GA101">
        <v>14.4483</v>
      </c>
      <c r="GB101">
        <v>99.957999999999998</v>
      </c>
      <c r="GC101">
        <v>99.750299999999996</v>
      </c>
    </row>
    <row r="102" spans="1:185" x14ac:dyDescent="0.2">
      <c r="A102">
        <v>87</v>
      </c>
      <c r="B102">
        <v>1771087177</v>
      </c>
      <c r="C102">
        <v>1857</v>
      </c>
      <c r="D102" t="s">
        <v>469</v>
      </c>
      <c r="E102" t="s">
        <v>470</v>
      </c>
      <c r="F102">
        <v>15</v>
      </c>
      <c r="G102">
        <v>1771087169</v>
      </c>
      <c r="H102">
        <f t="shared" si="13"/>
        <v>-5.4168533822550606E-4</v>
      </c>
      <c r="I102">
        <v>0</v>
      </c>
      <c r="J102">
        <f t="shared" si="25"/>
        <v>-0.91504215854479665</v>
      </c>
      <c r="K102">
        <f t="shared" si="14"/>
        <v>-24.803073388602282</v>
      </c>
      <c r="L102">
        <f t="shared" si="15"/>
        <v>70.556154249086717</v>
      </c>
      <c r="M102">
        <f t="shared" si="16"/>
        <v>1.5541055929371947</v>
      </c>
      <c r="N102">
        <f t="shared" si="17"/>
        <v>2.2026506539042425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26233.060925998376</v>
      </c>
      <c r="T102">
        <f t="shared" si="21"/>
        <v>799.99886666666703</v>
      </c>
      <c r="U102">
        <f t="shared" si="22"/>
        <v>674.39914379985976</v>
      </c>
      <c r="V102">
        <f t="shared" si="23"/>
        <v>0.84300012400000002</v>
      </c>
      <c r="W102">
        <f t="shared" si="24"/>
        <v>0.15870030999999998</v>
      </c>
      <c r="X102">
        <v>1</v>
      </c>
      <c r="Y102">
        <v>1771087169</v>
      </c>
      <c r="Z102">
        <v>181.15766666666701</v>
      </c>
      <c r="AA102">
        <v>150.031133333333</v>
      </c>
      <c r="AB102">
        <v>15.537606666666701</v>
      </c>
      <c r="AC102">
        <v>16.204193333333301</v>
      </c>
      <c r="AD102">
        <v>181.64500000000001</v>
      </c>
      <c r="AE102">
        <v>15.433540000000001</v>
      </c>
      <c r="AF102">
        <v>799.99926666666704</v>
      </c>
      <c r="AG102">
        <v>99.958066666666696</v>
      </c>
      <c r="AH102">
        <v>6.413278E-2</v>
      </c>
      <c r="AI102">
        <v>18.9816066666667</v>
      </c>
      <c r="AJ102">
        <v>999.9</v>
      </c>
      <c r="AK102">
        <v>999.9</v>
      </c>
      <c r="AL102">
        <v>0</v>
      </c>
      <c r="AM102">
        <v>0</v>
      </c>
      <c r="AN102">
        <v>5003.3333333333303</v>
      </c>
      <c r="AO102">
        <v>0</v>
      </c>
      <c r="AP102">
        <v>2.0325500000000001</v>
      </c>
      <c r="AQ102">
        <v>31.1266</v>
      </c>
      <c r="AR102">
        <v>184.01400000000001</v>
      </c>
      <c r="AS102">
        <v>152.50219999999999</v>
      </c>
      <c r="AT102">
        <v>-0.66659052666666696</v>
      </c>
      <c r="AU102">
        <v>150.031133333333</v>
      </c>
      <c r="AV102">
        <v>16.204193333333301</v>
      </c>
      <c r="AW102">
        <v>1.55311</v>
      </c>
      <c r="AX102">
        <v>1.6197413333333299</v>
      </c>
      <c r="AY102">
        <v>13.4992533333333</v>
      </c>
      <c r="AZ102">
        <v>14.147593333333299</v>
      </c>
      <c r="BA102">
        <v>799.99886666666703</v>
      </c>
      <c r="BB102">
        <v>0.89999586666666698</v>
      </c>
      <c r="BC102">
        <v>0</v>
      </c>
      <c r="BD102">
        <v>0.100004133333333</v>
      </c>
      <c r="BE102">
        <v>0</v>
      </c>
      <c r="BF102">
        <v>25</v>
      </c>
      <c r="BG102">
        <v>13190.9866666667</v>
      </c>
      <c r="BH102">
        <v>1771086652</v>
      </c>
      <c r="BI102" t="s">
        <v>416</v>
      </c>
      <c r="BJ102">
        <v>1771086652</v>
      </c>
      <c r="BK102">
        <v>1771086652</v>
      </c>
      <c r="BL102">
        <v>3</v>
      </c>
      <c r="BM102">
        <v>0.17899999999999999</v>
      </c>
      <c r="BN102">
        <v>-3.5999999999999997E-2</v>
      </c>
      <c r="BO102">
        <v>-0.48699999999999999</v>
      </c>
      <c r="BP102">
        <v>0.104</v>
      </c>
      <c r="BQ102">
        <v>50</v>
      </c>
      <c r="BR102">
        <v>14</v>
      </c>
      <c r="BS102">
        <v>0.14000000000000001</v>
      </c>
      <c r="BT102">
        <v>0.03</v>
      </c>
      <c r="BU102">
        <v>39.840679999999999</v>
      </c>
      <c r="BV102">
        <v>-184.226454135338</v>
      </c>
      <c r="BW102">
        <v>18.079091263323999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-0.868282895</v>
      </c>
      <c r="CD102">
        <v>4.8983757248120297</v>
      </c>
      <c r="CE102">
        <v>0.47410121675578898</v>
      </c>
      <c r="CF102">
        <v>0</v>
      </c>
      <c r="CG102">
        <v>0</v>
      </c>
      <c r="CH102">
        <v>2</v>
      </c>
      <c r="CI102" t="s">
        <v>290</v>
      </c>
      <c r="CJ102">
        <v>3.5325500000000001</v>
      </c>
      <c r="CK102">
        <v>2.7018800000000001</v>
      </c>
      <c r="CL102">
        <v>4.5969200000000002E-2</v>
      </c>
      <c r="CM102">
        <v>4.1477E-2</v>
      </c>
      <c r="CN102">
        <v>8.9355299999999999E-2</v>
      </c>
      <c r="CO102">
        <v>8.8394600000000004E-2</v>
      </c>
      <c r="CP102">
        <v>33489.199999999997</v>
      </c>
      <c r="CQ102">
        <v>29529.200000000001</v>
      </c>
      <c r="CR102">
        <v>32485.599999999999</v>
      </c>
      <c r="CS102">
        <v>30730.5</v>
      </c>
      <c r="CT102">
        <v>40036.800000000003</v>
      </c>
      <c r="CU102">
        <v>39372.800000000003</v>
      </c>
      <c r="CV102">
        <v>47430.8</v>
      </c>
      <c r="CW102">
        <v>46855.199999999997</v>
      </c>
      <c r="CX102">
        <v>2.6335799999999998</v>
      </c>
      <c r="CY102">
        <v>2.1722999999999999</v>
      </c>
      <c r="CZ102">
        <v>0</v>
      </c>
      <c r="DA102">
        <v>0</v>
      </c>
      <c r="DB102">
        <v>999.9</v>
      </c>
      <c r="DC102">
        <v>999.9</v>
      </c>
      <c r="DD102">
        <v>64.350999999999999</v>
      </c>
      <c r="DE102">
        <v>24.521000000000001</v>
      </c>
      <c r="DF102">
        <v>19.8932</v>
      </c>
      <c r="DG102">
        <v>30.087399999999999</v>
      </c>
      <c r="DH102">
        <v>15.0481</v>
      </c>
      <c r="DI102">
        <v>2</v>
      </c>
      <c r="DJ102">
        <v>-0.18299000000000001</v>
      </c>
      <c r="DK102">
        <v>1.76217</v>
      </c>
      <c r="DL102">
        <v>20.201699999999999</v>
      </c>
      <c r="DM102">
        <v>5.25</v>
      </c>
      <c r="DN102">
        <v>12.033899999999999</v>
      </c>
      <c r="DO102">
        <v>4.9659199999999997</v>
      </c>
      <c r="DP102">
        <v>3.2908400000000002</v>
      </c>
      <c r="DQ102">
        <v>9999</v>
      </c>
      <c r="DR102">
        <v>9999</v>
      </c>
      <c r="DS102">
        <v>9999</v>
      </c>
      <c r="DT102">
        <v>604.4</v>
      </c>
      <c r="DU102">
        <v>1.87104</v>
      </c>
      <c r="DV102">
        <v>1.87612</v>
      </c>
      <c r="DW102">
        <v>1.8763099999999999</v>
      </c>
      <c r="DX102">
        <v>1.8828</v>
      </c>
      <c r="DY102">
        <v>1.8755900000000001</v>
      </c>
      <c r="DZ102">
        <v>1.8746799999999999</v>
      </c>
      <c r="EA102">
        <v>1.87077</v>
      </c>
      <c r="EB102">
        <v>1.8746700000000001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-0.48799999999999999</v>
      </c>
      <c r="EQ102">
        <v>0.1041</v>
      </c>
      <c r="ER102">
        <v>-0.48728000000000499</v>
      </c>
      <c r="ES102">
        <v>0</v>
      </c>
      <c r="ET102">
        <v>0</v>
      </c>
      <c r="EU102">
        <v>0</v>
      </c>
      <c r="EV102">
        <v>0.10407000000000199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8.8000000000000007</v>
      </c>
      <c r="FE102">
        <v>8.8000000000000007</v>
      </c>
      <c r="FF102">
        <v>0.56518599999999997</v>
      </c>
      <c r="FG102">
        <v>2.5952099999999998</v>
      </c>
      <c r="FH102">
        <v>2.19604</v>
      </c>
      <c r="FI102">
        <v>2.5805699999999998</v>
      </c>
      <c r="FJ102">
        <v>2.4462899999999999</v>
      </c>
      <c r="FK102">
        <v>2.2424300000000001</v>
      </c>
      <c r="FL102">
        <v>29.9861</v>
      </c>
      <c r="FM102">
        <v>24.105</v>
      </c>
      <c r="FN102">
        <v>19</v>
      </c>
      <c r="FO102">
        <v>862.41300000000001</v>
      </c>
      <c r="FP102">
        <v>600.00400000000002</v>
      </c>
      <c r="FQ102">
        <v>17.5364</v>
      </c>
      <c r="FR102">
        <v>24.7151</v>
      </c>
      <c r="FS102">
        <v>29.998200000000001</v>
      </c>
      <c r="FT102">
        <v>24.703600000000002</v>
      </c>
      <c r="FU102">
        <v>24.703199999999999</v>
      </c>
      <c r="FV102">
        <v>11.374599999999999</v>
      </c>
      <c r="FW102">
        <v>25.8323</v>
      </c>
      <c r="FX102">
        <v>58.7669</v>
      </c>
      <c r="FY102">
        <v>17.6724</v>
      </c>
      <c r="FZ102">
        <v>150</v>
      </c>
      <c r="GA102">
        <v>15.524900000000001</v>
      </c>
      <c r="GB102">
        <v>99.953500000000005</v>
      </c>
      <c r="GC102">
        <v>99.753</v>
      </c>
    </row>
    <row r="103" spans="1:185" x14ac:dyDescent="0.2">
      <c r="A103">
        <v>88</v>
      </c>
      <c r="B103">
        <v>1771087192</v>
      </c>
      <c r="C103">
        <v>1872</v>
      </c>
      <c r="D103" t="s">
        <v>471</v>
      </c>
      <c r="E103" t="s">
        <v>472</v>
      </c>
      <c r="F103">
        <v>15</v>
      </c>
      <c r="G103">
        <v>1771087183.9333301</v>
      </c>
      <c r="H103">
        <f t="shared" si="13"/>
        <v>3.1034569533381858E-4</v>
      </c>
      <c r="I103">
        <v>0</v>
      </c>
      <c r="J103">
        <f t="shared" si="25"/>
        <v>-0.28337202854342869</v>
      </c>
      <c r="K103">
        <f t="shared" si="14"/>
        <v>-7.681063822695636</v>
      </c>
      <c r="L103">
        <f t="shared" si="15"/>
        <v>73.004415391292483</v>
      </c>
      <c r="M103">
        <f t="shared" si="16"/>
        <v>1.6014530914803673</v>
      </c>
      <c r="N103">
        <f t="shared" si="17"/>
        <v>2.1936386763688525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26219.026936746362</v>
      </c>
      <c r="T103">
        <f t="shared" si="21"/>
        <v>799.99913333333302</v>
      </c>
      <c r="U103">
        <f t="shared" si="22"/>
        <v>674.39921068006311</v>
      </c>
      <c r="V103">
        <f t="shared" si="23"/>
        <v>0.84299992659999967</v>
      </c>
      <c r="W103">
        <f t="shared" si="24"/>
        <v>0.15869998539599994</v>
      </c>
      <c r="X103">
        <v>1</v>
      </c>
      <c r="Y103">
        <v>1771087183.9333301</v>
      </c>
      <c r="Z103">
        <v>159.58133333333299</v>
      </c>
      <c r="AA103">
        <v>150.04193333333299</v>
      </c>
      <c r="AB103">
        <v>16.011040000000001</v>
      </c>
      <c r="AC103">
        <v>15.62932</v>
      </c>
      <c r="AD103">
        <v>160.0686</v>
      </c>
      <c r="AE103">
        <v>15.906980000000001</v>
      </c>
      <c r="AF103">
        <v>800.001933333333</v>
      </c>
      <c r="AG103">
        <v>99.957560000000001</v>
      </c>
      <c r="AH103">
        <v>6.4243173333333306E-2</v>
      </c>
      <c r="AI103">
        <v>18.9159333333333</v>
      </c>
      <c r="AJ103">
        <v>999.9</v>
      </c>
      <c r="AK103">
        <v>999.9</v>
      </c>
      <c r="AL103">
        <v>0</v>
      </c>
      <c r="AM103">
        <v>0</v>
      </c>
      <c r="AN103">
        <v>5000.0666666666702</v>
      </c>
      <c r="AO103">
        <v>0</v>
      </c>
      <c r="AP103">
        <v>2.0325500000000001</v>
      </c>
      <c r="AQ103">
        <v>9.539358</v>
      </c>
      <c r="AR103">
        <v>162.17779999999999</v>
      </c>
      <c r="AS103">
        <v>152.424133333333</v>
      </c>
      <c r="AT103">
        <v>0.38172551333333299</v>
      </c>
      <c r="AU103">
        <v>150.04193333333299</v>
      </c>
      <c r="AV103">
        <v>15.62932</v>
      </c>
      <c r="AW103">
        <v>1.6004240000000001</v>
      </c>
      <c r="AX103">
        <v>1.562268</v>
      </c>
      <c r="AY103">
        <v>13.96284</v>
      </c>
      <c r="AZ103">
        <v>13.5906466666667</v>
      </c>
      <c r="BA103">
        <v>799.99913333333302</v>
      </c>
      <c r="BB103">
        <v>0.89999993333333295</v>
      </c>
      <c r="BC103">
        <v>0</v>
      </c>
      <c r="BD103">
        <v>9.9999980000000002E-2</v>
      </c>
      <c r="BE103">
        <v>0</v>
      </c>
      <c r="BF103">
        <v>25</v>
      </c>
      <c r="BG103">
        <v>13191.0133333333</v>
      </c>
      <c r="BH103">
        <v>1771086652</v>
      </c>
      <c r="BI103" t="s">
        <v>416</v>
      </c>
      <c r="BJ103">
        <v>1771086652</v>
      </c>
      <c r="BK103">
        <v>1771086652</v>
      </c>
      <c r="BL103">
        <v>3</v>
      </c>
      <c r="BM103">
        <v>0.17899999999999999</v>
      </c>
      <c r="BN103">
        <v>-3.5999999999999997E-2</v>
      </c>
      <c r="BO103">
        <v>-0.48699999999999999</v>
      </c>
      <c r="BP103">
        <v>0.104</v>
      </c>
      <c r="BQ103">
        <v>50</v>
      </c>
      <c r="BR103">
        <v>14</v>
      </c>
      <c r="BS103">
        <v>0.14000000000000001</v>
      </c>
      <c r="BT103">
        <v>0.03</v>
      </c>
      <c r="BU103">
        <v>12.654550952380999</v>
      </c>
      <c r="BV103">
        <v>-57.290549610389697</v>
      </c>
      <c r="BW103">
        <v>5.91572830674128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0.193862952380952</v>
      </c>
      <c r="CD103">
        <v>3.5543560909090899</v>
      </c>
      <c r="CE103">
        <v>0.36233449206468299</v>
      </c>
      <c r="CF103">
        <v>0</v>
      </c>
      <c r="CG103">
        <v>0</v>
      </c>
      <c r="CH103">
        <v>2</v>
      </c>
      <c r="CI103" t="s">
        <v>290</v>
      </c>
      <c r="CJ103">
        <v>3.5324800000000001</v>
      </c>
      <c r="CK103">
        <v>2.7022599999999999</v>
      </c>
      <c r="CL103">
        <v>4.3259899999999997E-2</v>
      </c>
      <c r="CM103">
        <v>4.1460499999999997E-2</v>
      </c>
      <c r="CN103">
        <v>8.9861899999999995E-2</v>
      </c>
      <c r="CO103">
        <v>8.5924399999999998E-2</v>
      </c>
      <c r="CP103">
        <v>33584.300000000003</v>
      </c>
      <c r="CQ103">
        <v>29530.3</v>
      </c>
      <c r="CR103">
        <v>32485.5</v>
      </c>
      <c r="CS103">
        <v>30731.200000000001</v>
      </c>
      <c r="CT103">
        <v>40013.800000000003</v>
      </c>
      <c r="CU103">
        <v>39484</v>
      </c>
      <c r="CV103">
        <v>47431.199999999997</v>
      </c>
      <c r="CW103">
        <v>46856.3</v>
      </c>
      <c r="CX103">
        <v>2.6341600000000001</v>
      </c>
      <c r="CY103">
        <v>2.1712400000000001</v>
      </c>
      <c r="CZ103">
        <v>0</v>
      </c>
      <c r="DA103">
        <v>0</v>
      </c>
      <c r="DB103">
        <v>999.9</v>
      </c>
      <c r="DC103">
        <v>999.9</v>
      </c>
      <c r="DD103">
        <v>64.302000000000007</v>
      </c>
      <c r="DE103">
        <v>24.542000000000002</v>
      </c>
      <c r="DF103">
        <v>19.9023</v>
      </c>
      <c r="DG103">
        <v>30.237400000000001</v>
      </c>
      <c r="DH103">
        <v>15.2003</v>
      </c>
      <c r="DI103">
        <v>2</v>
      </c>
      <c r="DJ103">
        <v>-0.18223200000000001</v>
      </c>
      <c r="DK103">
        <v>1.9557599999999999</v>
      </c>
      <c r="DL103">
        <v>20.199200000000001</v>
      </c>
      <c r="DM103">
        <v>5.2516699999999998</v>
      </c>
      <c r="DN103">
        <v>12.033899999999999</v>
      </c>
      <c r="DO103">
        <v>4.9662800000000002</v>
      </c>
      <c r="DP103">
        <v>3.2909999999999999</v>
      </c>
      <c r="DQ103">
        <v>9999</v>
      </c>
      <c r="DR103">
        <v>9999</v>
      </c>
      <c r="DS103">
        <v>9999</v>
      </c>
      <c r="DT103">
        <v>604.4</v>
      </c>
      <c r="DU103">
        <v>1.8710599999999999</v>
      </c>
      <c r="DV103">
        <v>1.87615</v>
      </c>
      <c r="DW103">
        <v>1.87635</v>
      </c>
      <c r="DX103">
        <v>1.8828199999999999</v>
      </c>
      <c r="DY103">
        <v>1.8755999999999999</v>
      </c>
      <c r="DZ103">
        <v>1.8746799999999999</v>
      </c>
      <c r="EA103">
        <v>1.8708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-0.48699999999999999</v>
      </c>
      <c r="EQ103">
        <v>0.1041</v>
      </c>
      <c r="ER103">
        <v>-0.48728000000000499</v>
      </c>
      <c r="ES103">
        <v>0</v>
      </c>
      <c r="ET103">
        <v>0</v>
      </c>
      <c r="EU103">
        <v>0</v>
      </c>
      <c r="EV103">
        <v>0.10407000000000199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9</v>
      </c>
      <c r="FE103">
        <v>9</v>
      </c>
      <c r="FF103">
        <v>0.56640599999999997</v>
      </c>
      <c r="FG103">
        <v>2.5952099999999998</v>
      </c>
      <c r="FH103">
        <v>2.19604</v>
      </c>
      <c r="FI103">
        <v>2.5817899999999998</v>
      </c>
      <c r="FJ103">
        <v>2.4462899999999999</v>
      </c>
      <c r="FK103">
        <v>2.3168899999999999</v>
      </c>
      <c r="FL103">
        <v>30.0076</v>
      </c>
      <c r="FM103">
        <v>24.157499999999999</v>
      </c>
      <c r="FN103">
        <v>19</v>
      </c>
      <c r="FO103">
        <v>863.03099999999995</v>
      </c>
      <c r="FP103">
        <v>599.22900000000004</v>
      </c>
      <c r="FQ103">
        <v>17.790400000000002</v>
      </c>
      <c r="FR103">
        <v>24.723400000000002</v>
      </c>
      <c r="FS103">
        <v>30.0002</v>
      </c>
      <c r="FT103">
        <v>24.708600000000001</v>
      </c>
      <c r="FU103">
        <v>24.708500000000001</v>
      </c>
      <c r="FV103">
        <v>11.370900000000001</v>
      </c>
      <c r="FW103">
        <v>28.619800000000001</v>
      </c>
      <c r="FX103">
        <v>58.393099999999997</v>
      </c>
      <c r="FY103">
        <v>17.849499999999999</v>
      </c>
      <c r="FZ103">
        <v>150</v>
      </c>
      <c r="GA103">
        <v>15.0573</v>
      </c>
      <c r="GB103">
        <v>99.953800000000001</v>
      </c>
      <c r="GC103">
        <v>99.755300000000005</v>
      </c>
    </row>
    <row r="104" spans="1:185" x14ac:dyDescent="0.2">
      <c r="A104">
        <v>89</v>
      </c>
      <c r="B104">
        <v>1771087207</v>
      </c>
      <c r="C104">
        <v>1887</v>
      </c>
      <c r="D104" t="s">
        <v>473</v>
      </c>
      <c r="E104" t="s">
        <v>474</v>
      </c>
      <c r="F104">
        <v>15</v>
      </c>
      <c r="G104">
        <v>1771087198.9333301</v>
      </c>
      <c r="H104">
        <f t="shared" si="13"/>
        <v>7.1414053154019884E-4</v>
      </c>
      <c r="I104">
        <v>0</v>
      </c>
      <c r="J104">
        <f t="shared" si="25"/>
        <v>-9.3532977498544168E-2</v>
      </c>
      <c r="K104">
        <f t="shared" si="14"/>
        <v>-2.5352988203737543</v>
      </c>
      <c r="L104">
        <f t="shared" si="15"/>
        <v>73.020248695047627</v>
      </c>
      <c r="M104">
        <f t="shared" si="16"/>
        <v>1.6000761930746159</v>
      </c>
      <c r="N104">
        <f t="shared" si="17"/>
        <v>2.1912773808220898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26198.404782452373</v>
      </c>
      <c r="T104">
        <f t="shared" si="21"/>
        <v>800.00153333333299</v>
      </c>
      <c r="U104">
        <f t="shared" si="22"/>
        <v>674.40125835993388</v>
      </c>
      <c r="V104">
        <f t="shared" si="23"/>
        <v>0.84299995719999976</v>
      </c>
      <c r="W104">
        <f t="shared" si="24"/>
        <v>0.15870010087199996</v>
      </c>
      <c r="X104">
        <v>1</v>
      </c>
      <c r="Y104">
        <v>1771087198.9333301</v>
      </c>
      <c r="Z104">
        <v>153.0308</v>
      </c>
      <c r="AA104">
        <v>149.99826666666701</v>
      </c>
      <c r="AB104">
        <v>15.9974066666667</v>
      </c>
      <c r="AC104">
        <v>15.119006666666699</v>
      </c>
      <c r="AD104">
        <v>153.518</v>
      </c>
      <c r="AE104">
        <v>15.8933466666667</v>
      </c>
      <c r="AF104">
        <v>799.99559999999997</v>
      </c>
      <c r="AG104">
        <v>99.956246666666701</v>
      </c>
      <c r="AH104">
        <v>6.4727133333333298E-2</v>
      </c>
      <c r="AI104">
        <v>18.898686666666698</v>
      </c>
      <c r="AJ104">
        <v>999.9</v>
      </c>
      <c r="AK104">
        <v>999.9</v>
      </c>
      <c r="AL104">
        <v>0</v>
      </c>
      <c r="AM104">
        <v>0</v>
      </c>
      <c r="AN104">
        <v>4996.4666666666699</v>
      </c>
      <c r="AO104">
        <v>0</v>
      </c>
      <c r="AP104">
        <v>2.0325500000000001</v>
      </c>
      <c r="AQ104">
        <v>3.032562</v>
      </c>
      <c r="AR104">
        <v>155.51873333333299</v>
      </c>
      <c r="AS104">
        <v>152.30080000000001</v>
      </c>
      <c r="AT104">
        <v>0.87840246666666599</v>
      </c>
      <c r="AU104">
        <v>149.99826666666701</v>
      </c>
      <c r="AV104">
        <v>15.119006666666699</v>
      </c>
      <c r="AW104">
        <v>1.59904133333333</v>
      </c>
      <c r="AX104">
        <v>1.51124066666667</v>
      </c>
      <c r="AY104">
        <v>13.9495533333333</v>
      </c>
      <c r="AZ104">
        <v>13.0819333333333</v>
      </c>
      <c r="BA104">
        <v>800.00153333333299</v>
      </c>
      <c r="BB104">
        <v>0.89999833333333301</v>
      </c>
      <c r="BC104">
        <v>0</v>
      </c>
      <c r="BD104">
        <v>0.10000156</v>
      </c>
      <c r="BE104">
        <v>0</v>
      </c>
      <c r="BF104">
        <v>25</v>
      </c>
      <c r="BG104">
        <v>13191.04</v>
      </c>
      <c r="BH104">
        <v>1771086652</v>
      </c>
      <c r="BI104" t="s">
        <v>416</v>
      </c>
      <c r="BJ104">
        <v>1771086652</v>
      </c>
      <c r="BK104">
        <v>1771086652</v>
      </c>
      <c r="BL104">
        <v>3</v>
      </c>
      <c r="BM104">
        <v>0.17899999999999999</v>
      </c>
      <c r="BN104">
        <v>-3.5999999999999997E-2</v>
      </c>
      <c r="BO104">
        <v>-0.48699999999999999</v>
      </c>
      <c r="BP104">
        <v>0.104</v>
      </c>
      <c r="BQ104">
        <v>50</v>
      </c>
      <c r="BR104">
        <v>14</v>
      </c>
      <c r="BS104">
        <v>0.14000000000000001</v>
      </c>
      <c r="BT104">
        <v>0.03</v>
      </c>
      <c r="BU104">
        <v>3.7770429999999999</v>
      </c>
      <c r="BV104">
        <v>-16.380221052631601</v>
      </c>
      <c r="BW104">
        <v>1.6042175290904299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0.81557805000000005</v>
      </c>
      <c r="CD104">
        <v>1.3991026917293199</v>
      </c>
      <c r="CE104">
        <v>0.136680262900857</v>
      </c>
      <c r="CF104">
        <v>0</v>
      </c>
      <c r="CG104">
        <v>0</v>
      </c>
      <c r="CH104">
        <v>2</v>
      </c>
      <c r="CI104" t="s">
        <v>290</v>
      </c>
      <c r="CJ104">
        <v>3.5325299999999999</v>
      </c>
      <c r="CK104">
        <v>2.7026400000000002</v>
      </c>
      <c r="CL104">
        <v>4.2425200000000003E-2</v>
      </c>
      <c r="CM104">
        <v>4.1455600000000002E-2</v>
      </c>
      <c r="CN104">
        <v>8.9392100000000002E-2</v>
      </c>
      <c r="CO104">
        <v>8.4279099999999996E-2</v>
      </c>
      <c r="CP104">
        <v>33612.699999999997</v>
      </c>
      <c r="CQ104">
        <v>29529.7</v>
      </c>
      <c r="CR104">
        <v>32484.799999999999</v>
      </c>
      <c r="CS104">
        <v>30730.5</v>
      </c>
      <c r="CT104">
        <v>40034.199999999997</v>
      </c>
      <c r="CU104">
        <v>39556.699999999997</v>
      </c>
      <c r="CV104">
        <v>47430</v>
      </c>
      <c r="CW104">
        <v>46855.4</v>
      </c>
      <c r="CX104">
        <v>2.6346400000000001</v>
      </c>
      <c r="CY104">
        <v>2.1698599999999999</v>
      </c>
      <c r="CZ104">
        <v>0</v>
      </c>
      <c r="DA104">
        <v>0</v>
      </c>
      <c r="DB104">
        <v>999.9</v>
      </c>
      <c r="DC104">
        <v>999.9</v>
      </c>
      <c r="DD104">
        <v>64.216999999999999</v>
      </c>
      <c r="DE104">
        <v>24.552</v>
      </c>
      <c r="DF104">
        <v>19.89</v>
      </c>
      <c r="DG104">
        <v>29.667400000000001</v>
      </c>
      <c r="DH104">
        <v>15.088100000000001</v>
      </c>
      <c r="DI104">
        <v>2</v>
      </c>
      <c r="DJ104">
        <v>-0.18210399999999999</v>
      </c>
      <c r="DK104">
        <v>1.7237199999999999</v>
      </c>
      <c r="DL104">
        <v>20.201799999999999</v>
      </c>
      <c r="DM104">
        <v>5.2509499999999996</v>
      </c>
      <c r="DN104">
        <v>12.033899999999999</v>
      </c>
      <c r="DO104">
        <v>4.9662800000000002</v>
      </c>
      <c r="DP104">
        <v>3.2908599999999999</v>
      </c>
      <c r="DQ104">
        <v>9999</v>
      </c>
      <c r="DR104">
        <v>9999</v>
      </c>
      <c r="DS104">
        <v>9999</v>
      </c>
      <c r="DT104">
        <v>604.4</v>
      </c>
      <c r="DU104">
        <v>1.87104</v>
      </c>
      <c r="DV104">
        <v>1.87615</v>
      </c>
      <c r="DW104">
        <v>1.8763399999999999</v>
      </c>
      <c r="DX104">
        <v>1.8828</v>
      </c>
      <c r="DY104">
        <v>1.87561</v>
      </c>
      <c r="DZ104">
        <v>1.8746700000000001</v>
      </c>
      <c r="EA104">
        <v>1.8707499999999999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-0.48699999999999999</v>
      </c>
      <c r="EQ104">
        <v>0.1041</v>
      </c>
      <c r="ER104">
        <v>-0.48728000000000499</v>
      </c>
      <c r="ES104">
        <v>0</v>
      </c>
      <c r="ET104">
        <v>0</v>
      </c>
      <c r="EU104">
        <v>0</v>
      </c>
      <c r="EV104">
        <v>0.10407000000000199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9.1999999999999993</v>
      </c>
      <c r="FE104">
        <v>9.1999999999999993</v>
      </c>
      <c r="FF104">
        <v>0.56518599999999997</v>
      </c>
      <c r="FG104">
        <v>2.5964399999999999</v>
      </c>
      <c r="FH104">
        <v>2.19604</v>
      </c>
      <c r="FI104">
        <v>2.5817899999999998</v>
      </c>
      <c r="FJ104">
        <v>2.4462899999999999</v>
      </c>
      <c r="FK104">
        <v>2.2485400000000002</v>
      </c>
      <c r="FL104">
        <v>30.0076</v>
      </c>
      <c r="FM104">
        <v>24.148800000000001</v>
      </c>
      <c r="FN104">
        <v>19</v>
      </c>
      <c r="FO104">
        <v>863.57500000000005</v>
      </c>
      <c r="FP104">
        <v>598.21</v>
      </c>
      <c r="FQ104">
        <v>17.988900000000001</v>
      </c>
      <c r="FR104">
        <v>24.7318</v>
      </c>
      <c r="FS104">
        <v>30.0002</v>
      </c>
      <c r="FT104">
        <v>24.7148</v>
      </c>
      <c r="FU104">
        <v>24.714300000000001</v>
      </c>
      <c r="FV104">
        <v>11.3714</v>
      </c>
      <c r="FW104">
        <v>29.748699999999999</v>
      </c>
      <c r="FX104">
        <v>58.393099999999997</v>
      </c>
      <c r="FY104">
        <v>18.0625</v>
      </c>
      <c r="FZ104">
        <v>150</v>
      </c>
      <c r="GA104">
        <v>14.7531</v>
      </c>
      <c r="GB104">
        <v>99.951400000000007</v>
      </c>
      <c r="GC104">
        <v>99.753299999999996</v>
      </c>
    </row>
    <row r="105" spans="1:185" x14ac:dyDescent="0.2">
      <c r="A105">
        <v>90</v>
      </c>
      <c r="B105">
        <v>1771087222</v>
      </c>
      <c r="C105">
        <v>1902</v>
      </c>
      <c r="D105" t="s">
        <v>475</v>
      </c>
      <c r="E105" t="s">
        <v>476</v>
      </c>
      <c r="F105">
        <v>15</v>
      </c>
      <c r="G105">
        <v>1771087213.9333301</v>
      </c>
      <c r="H105">
        <f t="shared" si="13"/>
        <v>8.67024740466301E-4</v>
      </c>
      <c r="I105">
        <v>0</v>
      </c>
      <c r="J105">
        <f t="shared" si="25"/>
        <v>-3.4454566952709313E-2</v>
      </c>
      <c r="K105">
        <f t="shared" si="14"/>
        <v>-0.93392325667224796</v>
      </c>
      <c r="L105">
        <f t="shared" si="15"/>
        <v>72.392711347395348</v>
      </c>
      <c r="M105">
        <f t="shared" si="16"/>
        <v>1.5869579363236868</v>
      </c>
      <c r="N105">
        <f t="shared" si="17"/>
        <v>2.1921515395496853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26219.790017528048</v>
      </c>
      <c r="T105">
        <f t="shared" si="21"/>
        <v>799.99973333333298</v>
      </c>
      <c r="U105">
        <f t="shared" si="22"/>
        <v>674.39984399997672</v>
      </c>
      <c r="V105">
        <f t="shared" si="23"/>
        <v>0.84300008599999998</v>
      </c>
      <c r="W105">
        <f t="shared" si="24"/>
        <v>0.15870021500000003</v>
      </c>
      <c r="X105">
        <v>1</v>
      </c>
      <c r="Y105">
        <v>1771087213.9333301</v>
      </c>
      <c r="Z105">
        <v>151.00786666666701</v>
      </c>
      <c r="AA105">
        <v>150.00413333333299</v>
      </c>
      <c r="AB105">
        <v>15.866300000000001</v>
      </c>
      <c r="AC105">
        <v>14.7997266666667</v>
      </c>
      <c r="AD105">
        <v>151.49520000000001</v>
      </c>
      <c r="AE105">
        <v>15.7622466666667</v>
      </c>
      <c r="AF105">
        <v>800.00900000000001</v>
      </c>
      <c r="AG105">
        <v>99.955979999999997</v>
      </c>
      <c r="AH105">
        <v>6.4688733333333304E-2</v>
      </c>
      <c r="AI105">
        <v>18.905073333333299</v>
      </c>
      <c r="AJ105">
        <v>999.9</v>
      </c>
      <c r="AK105">
        <v>999.9</v>
      </c>
      <c r="AL105">
        <v>0</v>
      </c>
      <c r="AM105">
        <v>0</v>
      </c>
      <c r="AN105">
        <v>5000.1000000000004</v>
      </c>
      <c r="AO105">
        <v>0</v>
      </c>
      <c r="AP105">
        <v>2.0325500000000001</v>
      </c>
      <c r="AQ105">
        <v>1.0037909333333299</v>
      </c>
      <c r="AR105">
        <v>153.442466666667</v>
      </c>
      <c r="AS105">
        <v>152.25753333333299</v>
      </c>
      <c r="AT105">
        <v>1.0665788</v>
      </c>
      <c r="AU105">
        <v>150.00413333333299</v>
      </c>
      <c r="AV105">
        <v>14.7997266666667</v>
      </c>
      <c r="AW105">
        <v>1.5859319999999999</v>
      </c>
      <c r="AX105">
        <v>1.479322</v>
      </c>
      <c r="AY105">
        <v>13.822753333333299</v>
      </c>
      <c r="AZ105">
        <v>12.755879999999999</v>
      </c>
      <c r="BA105">
        <v>799.99973333333298</v>
      </c>
      <c r="BB105">
        <v>0.89999713333333298</v>
      </c>
      <c r="BC105">
        <v>0</v>
      </c>
      <c r="BD105">
        <v>0.100002866666667</v>
      </c>
      <c r="BE105">
        <v>0</v>
      </c>
      <c r="BF105">
        <v>25</v>
      </c>
      <c r="BG105">
        <v>13191.006666666701</v>
      </c>
      <c r="BH105">
        <v>1771086652</v>
      </c>
      <c r="BI105" t="s">
        <v>416</v>
      </c>
      <c r="BJ105">
        <v>1771086652</v>
      </c>
      <c r="BK105">
        <v>1771086652</v>
      </c>
      <c r="BL105">
        <v>3</v>
      </c>
      <c r="BM105">
        <v>0.17899999999999999</v>
      </c>
      <c r="BN105">
        <v>-3.5999999999999997E-2</v>
      </c>
      <c r="BO105">
        <v>-0.48699999999999999</v>
      </c>
      <c r="BP105">
        <v>0.104</v>
      </c>
      <c r="BQ105">
        <v>50</v>
      </c>
      <c r="BR105">
        <v>14</v>
      </c>
      <c r="BS105">
        <v>0.14000000000000001</v>
      </c>
      <c r="BT105">
        <v>0.03</v>
      </c>
      <c r="BU105">
        <v>1.3337196499999999</v>
      </c>
      <c r="BV105">
        <v>-5.5995678947368397</v>
      </c>
      <c r="BW105">
        <v>0.54974849852585095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1.0326992500000001</v>
      </c>
      <c r="CD105">
        <v>0.59920795488721901</v>
      </c>
      <c r="CE105">
        <v>5.79419421402795E-2</v>
      </c>
      <c r="CF105">
        <v>0</v>
      </c>
      <c r="CG105">
        <v>0</v>
      </c>
      <c r="CH105">
        <v>2</v>
      </c>
      <c r="CI105" t="s">
        <v>290</v>
      </c>
      <c r="CJ105">
        <v>3.53247</v>
      </c>
      <c r="CK105">
        <v>2.7025000000000001</v>
      </c>
      <c r="CL105">
        <v>4.2173000000000002E-2</v>
      </c>
      <c r="CM105">
        <v>4.1458399999999999E-2</v>
      </c>
      <c r="CN105">
        <v>8.8798799999999997E-2</v>
      </c>
      <c r="CO105">
        <v>8.3195000000000005E-2</v>
      </c>
      <c r="CP105">
        <v>33620.800000000003</v>
      </c>
      <c r="CQ105">
        <v>29529.7</v>
      </c>
      <c r="CR105">
        <v>32484.1</v>
      </c>
      <c r="CS105">
        <v>30730.6</v>
      </c>
      <c r="CT105">
        <v>40060.400000000001</v>
      </c>
      <c r="CU105">
        <v>39605</v>
      </c>
      <c r="CV105">
        <v>47429.1</v>
      </c>
      <c r="CW105">
        <v>46855.4</v>
      </c>
      <c r="CX105">
        <v>2.6347999999999998</v>
      </c>
      <c r="CY105">
        <v>2.1690999999999998</v>
      </c>
      <c r="CZ105">
        <v>0</v>
      </c>
      <c r="DA105">
        <v>0</v>
      </c>
      <c r="DB105">
        <v>999.9</v>
      </c>
      <c r="DC105">
        <v>999.9</v>
      </c>
      <c r="DD105">
        <v>64.125</v>
      </c>
      <c r="DE105">
        <v>24.582000000000001</v>
      </c>
      <c r="DF105">
        <v>19.897200000000002</v>
      </c>
      <c r="DG105">
        <v>30.177399999999999</v>
      </c>
      <c r="DH105">
        <v>15.224399999999999</v>
      </c>
      <c r="DI105">
        <v>2</v>
      </c>
      <c r="DJ105">
        <v>-0.18185399999999999</v>
      </c>
      <c r="DK105">
        <v>1.54034</v>
      </c>
      <c r="DL105">
        <v>20.204000000000001</v>
      </c>
      <c r="DM105">
        <v>5.2508299999999997</v>
      </c>
      <c r="DN105">
        <v>12.033899999999999</v>
      </c>
      <c r="DO105">
        <v>4.9666800000000002</v>
      </c>
      <c r="DP105">
        <v>3.2909999999999999</v>
      </c>
      <c r="DQ105">
        <v>9999</v>
      </c>
      <c r="DR105">
        <v>9999</v>
      </c>
      <c r="DS105">
        <v>9999</v>
      </c>
      <c r="DT105">
        <v>604.4</v>
      </c>
      <c r="DU105">
        <v>1.87107</v>
      </c>
      <c r="DV105">
        <v>1.8761300000000001</v>
      </c>
      <c r="DW105">
        <v>1.87635</v>
      </c>
      <c r="DX105">
        <v>1.8828</v>
      </c>
      <c r="DY105">
        <v>1.87561</v>
      </c>
      <c r="DZ105">
        <v>1.8746700000000001</v>
      </c>
      <c r="EA105">
        <v>1.87077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-0.48699999999999999</v>
      </c>
      <c r="EQ105">
        <v>0.1041</v>
      </c>
      <c r="ER105">
        <v>-0.48728000000000499</v>
      </c>
      <c r="ES105">
        <v>0</v>
      </c>
      <c r="ET105">
        <v>0</v>
      </c>
      <c r="EU105">
        <v>0</v>
      </c>
      <c r="EV105">
        <v>0.10407000000000199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9.5</v>
      </c>
      <c r="FE105">
        <v>9.5</v>
      </c>
      <c r="FF105">
        <v>0.56518599999999997</v>
      </c>
      <c r="FG105">
        <v>2.5976599999999999</v>
      </c>
      <c r="FH105">
        <v>2.19604</v>
      </c>
      <c r="FI105">
        <v>2.5817899999999998</v>
      </c>
      <c r="FJ105">
        <v>2.4462899999999999</v>
      </c>
      <c r="FK105">
        <v>2.2814899999999998</v>
      </c>
      <c r="FL105">
        <v>30.0504</v>
      </c>
      <c r="FM105">
        <v>24.122499999999999</v>
      </c>
      <c r="FN105">
        <v>19</v>
      </c>
      <c r="FO105">
        <v>863.81799999999998</v>
      </c>
      <c r="FP105">
        <v>597.68899999999996</v>
      </c>
      <c r="FQ105">
        <v>18.200399999999998</v>
      </c>
      <c r="FR105">
        <v>24.739599999999999</v>
      </c>
      <c r="FS105">
        <v>30.000299999999999</v>
      </c>
      <c r="FT105">
        <v>24.720600000000001</v>
      </c>
      <c r="FU105">
        <v>24.7209</v>
      </c>
      <c r="FV105">
        <v>11.371</v>
      </c>
      <c r="FW105">
        <v>30.610099999999999</v>
      </c>
      <c r="FX105">
        <v>58.0124</v>
      </c>
      <c r="FY105">
        <v>18.261800000000001</v>
      </c>
      <c r="FZ105">
        <v>150</v>
      </c>
      <c r="GA105">
        <v>14.563000000000001</v>
      </c>
      <c r="GB105">
        <v>99.949399999999997</v>
      </c>
      <c r="GC105">
        <v>99.753299999999996</v>
      </c>
    </row>
    <row r="106" spans="1:185" x14ac:dyDescent="0.2">
      <c r="A106">
        <v>91</v>
      </c>
      <c r="B106">
        <v>1771087237</v>
      </c>
      <c r="C106">
        <v>1917</v>
      </c>
      <c r="D106" t="s">
        <v>477</v>
      </c>
      <c r="E106" t="s">
        <v>478</v>
      </c>
      <c r="F106">
        <v>15</v>
      </c>
      <c r="G106">
        <v>1771087228.9333301</v>
      </c>
      <c r="H106">
        <f t="shared" si="13"/>
        <v>9.190621641081754E-4</v>
      </c>
      <c r="I106">
        <v>0</v>
      </c>
      <c r="J106">
        <f t="shared" si="25"/>
        <v>-1.6564321795059483E-2</v>
      </c>
      <c r="K106">
        <f t="shared" si="14"/>
        <v>-0.44899143201080316</v>
      </c>
      <c r="L106">
        <f t="shared" si="15"/>
        <v>71.705092322317796</v>
      </c>
      <c r="M106">
        <f t="shared" si="16"/>
        <v>1.5741401498134495</v>
      </c>
      <c r="N106">
        <f t="shared" si="17"/>
        <v>2.195297570690816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26248.440774430055</v>
      </c>
      <c r="T106">
        <f t="shared" si="21"/>
        <v>799.99980000000005</v>
      </c>
      <c r="U106">
        <f t="shared" si="22"/>
        <v>674.39976932001582</v>
      </c>
      <c r="V106">
        <f t="shared" si="23"/>
        <v>0.84299992240000032</v>
      </c>
      <c r="W106">
        <f t="shared" si="24"/>
        <v>0.15869996190400004</v>
      </c>
      <c r="X106">
        <v>1</v>
      </c>
      <c r="Y106">
        <v>1771087228.9333301</v>
      </c>
      <c r="Z106">
        <v>150.38820000000001</v>
      </c>
      <c r="AA106">
        <v>149.99973333333301</v>
      </c>
      <c r="AB106">
        <v>15.7381733333333</v>
      </c>
      <c r="AC106">
        <v>14.607433333333301</v>
      </c>
      <c r="AD106">
        <v>150.87559999999999</v>
      </c>
      <c r="AE106">
        <v>15.634093333333301</v>
      </c>
      <c r="AF106">
        <v>800.00513333333299</v>
      </c>
      <c r="AG106">
        <v>99.955986666666703</v>
      </c>
      <c r="AH106">
        <v>6.4525020000000002E-2</v>
      </c>
      <c r="AI106">
        <v>18.928039999999999</v>
      </c>
      <c r="AJ106">
        <v>999.9</v>
      </c>
      <c r="AK106">
        <v>999.9</v>
      </c>
      <c r="AL106">
        <v>0</v>
      </c>
      <c r="AM106">
        <v>0</v>
      </c>
      <c r="AN106">
        <v>5005.1666666666697</v>
      </c>
      <c r="AO106">
        <v>0</v>
      </c>
      <c r="AP106">
        <v>2.0325500000000001</v>
      </c>
      <c r="AQ106">
        <v>0.38870653333333299</v>
      </c>
      <c r="AR106">
        <v>152.79300000000001</v>
      </c>
      <c r="AS106">
        <v>152.22319999999999</v>
      </c>
      <c r="AT106">
        <v>1.13073933333333</v>
      </c>
      <c r="AU106">
        <v>149.99973333333301</v>
      </c>
      <c r="AV106">
        <v>14.607433333333301</v>
      </c>
      <c r="AW106">
        <v>1.573124</v>
      </c>
      <c r="AX106">
        <v>1.4601</v>
      </c>
      <c r="AY106">
        <v>13.6980066666667</v>
      </c>
      <c r="AZ106">
        <v>12.55654</v>
      </c>
      <c r="BA106">
        <v>799.99980000000005</v>
      </c>
      <c r="BB106">
        <v>0.90000026666666699</v>
      </c>
      <c r="BC106">
        <v>0</v>
      </c>
      <c r="BD106">
        <v>9.9999653333333396E-2</v>
      </c>
      <c r="BE106">
        <v>0</v>
      </c>
      <c r="BF106">
        <v>25</v>
      </c>
      <c r="BG106">
        <v>13191.026666666699</v>
      </c>
      <c r="BH106">
        <v>1771086652</v>
      </c>
      <c r="BI106" t="s">
        <v>416</v>
      </c>
      <c r="BJ106">
        <v>1771086652</v>
      </c>
      <c r="BK106">
        <v>1771086652</v>
      </c>
      <c r="BL106">
        <v>3</v>
      </c>
      <c r="BM106">
        <v>0.17899999999999999</v>
      </c>
      <c r="BN106">
        <v>-3.5999999999999997E-2</v>
      </c>
      <c r="BO106">
        <v>-0.48699999999999999</v>
      </c>
      <c r="BP106">
        <v>0.104</v>
      </c>
      <c r="BQ106">
        <v>50</v>
      </c>
      <c r="BR106">
        <v>14</v>
      </c>
      <c r="BS106">
        <v>0.14000000000000001</v>
      </c>
      <c r="BT106">
        <v>0.03</v>
      </c>
      <c r="BU106">
        <v>0.50685195238095204</v>
      </c>
      <c r="BV106">
        <v>-1.79623114285714</v>
      </c>
      <c r="BW106">
        <v>0.18499323242382901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1.1208728571428599</v>
      </c>
      <c r="CD106">
        <v>0.17562077922078001</v>
      </c>
      <c r="CE106">
        <v>2.1908575216732201E-2</v>
      </c>
      <c r="CF106">
        <v>0</v>
      </c>
      <c r="CG106">
        <v>0</v>
      </c>
      <c r="CH106">
        <v>2</v>
      </c>
      <c r="CI106" t="s">
        <v>290</v>
      </c>
      <c r="CJ106">
        <v>3.5324499999999999</v>
      </c>
      <c r="CK106">
        <v>2.7023000000000001</v>
      </c>
      <c r="CL106">
        <v>4.2091700000000003E-2</v>
      </c>
      <c r="CM106">
        <v>4.1460499999999997E-2</v>
      </c>
      <c r="CN106">
        <v>8.8288099999999994E-2</v>
      </c>
      <c r="CO106">
        <v>8.2558699999999999E-2</v>
      </c>
      <c r="CP106">
        <v>33623.4</v>
      </c>
      <c r="CQ106">
        <v>29529.7</v>
      </c>
      <c r="CR106">
        <v>32483.9</v>
      </c>
      <c r="CS106">
        <v>30730.7</v>
      </c>
      <c r="CT106">
        <v>40083.300000000003</v>
      </c>
      <c r="CU106">
        <v>39633.699999999997</v>
      </c>
      <c r="CV106">
        <v>47428.7</v>
      </c>
      <c r="CW106">
        <v>46855.8</v>
      </c>
      <c r="CX106">
        <v>2.6348600000000002</v>
      </c>
      <c r="CY106">
        <v>2.1681599999999999</v>
      </c>
      <c r="CZ106">
        <v>0</v>
      </c>
      <c r="DA106">
        <v>0</v>
      </c>
      <c r="DB106">
        <v>999.9</v>
      </c>
      <c r="DC106">
        <v>999.9</v>
      </c>
      <c r="DD106">
        <v>64.009</v>
      </c>
      <c r="DE106">
        <v>24.582000000000001</v>
      </c>
      <c r="DF106">
        <v>19.858499999999999</v>
      </c>
      <c r="DG106">
        <v>30.087399999999999</v>
      </c>
      <c r="DH106">
        <v>15.164300000000001</v>
      </c>
      <c r="DI106">
        <v>2</v>
      </c>
      <c r="DJ106">
        <v>-0.181504</v>
      </c>
      <c r="DK106">
        <v>1.46654</v>
      </c>
      <c r="DL106">
        <v>20.204699999999999</v>
      </c>
      <c r="DM106">
        <v>5.2511900000000002</v>
      </c>
      <c r="DN106">
        <v>12.033899999999999</v>
      </c>
      <c r="DO106">
        <v>4.9667599999999998</v>
      </c>
      <c r="DP106">
        <v>3.2909999999999999</v>
      </c>
      <c r="DQ106">
        <v>9999</v>
      </c>
      <c r="DR106">
        <v>9999</v>
      </c>
      <c r="DS106">
        <v>9999</v>
      </c>
      <c r="DT106">
        <v>604.4</v>
      </c>
      <c r="DU106">
        <v>1.87107</v>
      </c>
      <c r="DV106">
        <v>1.8761300000000001</v>
      </c>
      <c r="DW106">
        <v>1.8763099999999999</v>
      </c>
      <c r="DX106">
        <v>1.8828</v>
      </c>
      <c r="DY106">
        <v>1.87561</v>
      </c>
      <c r="DZ106">
        <v>1.8746799999999999</v>
      </c>
      <c r="EA106">
        <v>1.8707499999999999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-0.48799999999999999</v>
      </c>
      <c r="EQ106">
        <v>0.1041</v>
      </c>
      <c r="ER106">
        <v>-0.48728000000000499</v>
      </c>
      <c r="ES106">
        <v>0</v>
      </c>
      <c r="ET106">
        <v>0</v>
      </c>
      <c r="EU106">
        <v>0</v>
      </c>
      <c r="EV106">
        <v>0.10407000000000199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9.8000000000000007</v>
      </c>
      <c r="FE106">
        <v>9.8000000000000007</v>
      </c>
      <c r="FF106">
        <v>0.56518599999999997</v>
      </c>
      <c r="FG106">
        <v>2.5927699999999998</v>
      </c>
      <c r="FH106">
        <v>2.19604</v>
      </c>
      <c r="FI106">
        <v>2.5817899999999998</v>
      </c>
      <c r="FJ106">
        <v>2.4462899999999999</v>
      </c>
      <c r="FK106">
        <v>2.2802699999999998</v>
      </c>
      <c r="FL106">
        <v>30.0504</v>
      </c>
      <c r="FM106">
        <v>24.148800000000001</v>
      </c>
      <c r="FN106">
        <v>19</v>
      </c>
      <c r="FO106">
        <v>863.96799999999996</v>
      </c>
      <c r="FP106">
        <v>597.02300000000002</v>
      </c>
      <c r="FQ106">
        <v>18.3734</v>
      </c>
      <c r="FR106">
        <v>24.746300000000002</v>
      </c>
      <c r="FS106">
        <v>30.0002</v>
      </c>
      <c r="FT106">
        <v>24.726500000000001</v>
      </c>
      <c r="FU106">
        <v>24.7271</v>
      </c>
      <c r="FV106">
        <v>11.370200000000001</v>
      </c>
      <c r="FW106">
        <v>30.888300000000001</v>
      </c>
      <c r="FX106">
        <v>57.636400000000002</v>
      </c>
      <c r="FY106">
        <v>18.412700000000001</v>
      </c>
      <c r="FZ106">
        <v>150</v>
      </c>
      <c r="GA106">
        <v>14.441599999999999</v>
      </c>
      <c r="GB106">
        <v>99.948700000000002</v>
      </c>
      <c r="GC106">
        <v>99.754099999999994</v>
      </c>
    </row>
    <row r="107" spans="1:185" x14ac:dyDescent="0.2">
      <c r="A107">
        <v>92</v>
      </c>
      <c r="B107">
        <v>1771087252</v>
      </c>
      <c r="C107">
        <v>1932</v>
      </c>
      <c r="D107" t="s">
        <v>479</v>
      </c>
      <c r="E107" t="s">
        <v>480</v>
      </c>
      <c r="F107">
        <v>15</v>
      </c>
      <c r="G107">
        <v>1771087243.9333301</v>
      </c>
      <c r="H107">
        <f t="shared" si="13"/>
        <v>9.2772779536248913E-4</v>
      </c>
      <c r="I107">
        <v>0</v>
      </c>
      <c r="J107">
        <f t="shared" si="25"/>
        <v>-1.0673357743517079E-2</v>
      </c>
      <c r="K107">
        <f t="shared" si="14"/>
        <v>-0.28931134259023367</v>
      </c>
      <c r="L107">
        <f t="shared" si="15"/>
        <v>71.058739118532415</v>
      </c>
      <c r="M107">
        <f t="shared" si="16"/>
        <v>1.5632433128752059</v>
      </c>
      <c r="N107">
        <f t="shared" si="17"/>
        <v>2.1999311165197772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26146.272732254503</v>
      </c>
      <c r="T107">
        <f t="shared" si="21"/>
        <v>800.00233333333301</v>
      </c>
      <c r="U107">
        <f t="shared" si="22"/>
        <v>674.40204220021906</v>
      </c>
      <c r="V107">
        <f t="shared" si="23"/>
        <v>0.84300009399999998</v>
      </c>
      <c r="W107">
        <f t="shared" si="24"/>
        <v>0.15870023499999997</v>
      </c>
      <c r="X107">
        <v>1</v>
      </c>
      <c r="Y107">
        <v>1771087243.9333301</v>
      </c>
      <c r="Z107">
        <v>150.19159999999999</v>
      </c>
      <c r="AA107">
        <v>150.00413333333299</v>
      </c>
      <c r="AB107">
        <v>15.6294133333333</v>
      </c>
      <c r="AC107">
        <v>14.4878866666667</v>
      </c>
      <c r="AD107">
        <v>150.67873333333301</v>
      </c>
      <c r="AE107">
        <v>15.52534</v>
      </c>
      <c r="AF107">
        <v>800.00580000000002</v>
      </c>
      <c r="AG107">
        <v>99.954753333333301</v>
      </c>
      <c r="AH107">
        <v>6.4567899999999998E-2</v>
      </c>
      <c r="AI107">
        <v>18.9618133333333</v>
      </c>
      <c r="AJ107">
        <v>999.9</v>
      </c>
      <c r="AK107">
        <v>999.9</v>
      </c>
      <c r="AL107">
        <v>0</v>
      </c>
      <c r="AM107">
        <v>0</v>
      </c>
      <c r="AN107">
        <v>4988.8666666666704</v>
      </c>
      <c r="AO107">
        <v>0</v>
      </c>
      <c r="AP107">
        <v>2.0325500000000001</v>
      </c>
      <c r="AQ107">
        <v>0.18747566666666701</v>
      </c>
      <c r="AR107">
        <v>152.57626666666701</v>
      </c>
      <c r="AS107">
        <v>152.20926666666699</v>
      </c>
      <c r="AT107">
        <v>1.141518</v>
      </c>
      <c r="AU107">
        <v>150.00413333333299</v>
      </c>
      <c r="AV107">
        <v>14.4878866666667</v>
      </c>
      <c r="AW107">
        <v>1.5622353333333301</v>
      </c>
      <c r="AX107">
        <v>1.448134</v>
      </c>
      <c r="AY107">
        <v>13.591240000000001</v>
      </c>
      <c r="AZ107">
        <v>12.4312533333333</v>
      </c>
      <c r="BA107">
        <v>800.00233333333301</v>
      </c>
      <c r="BB107">
        <v>0.89999686666666701</v>
      </c>
      <c r="BC107">
        <v>0</v>
      </c>
      <c r="BD107">
        <v>0.10000313333333299</v>
      </c>
      <c r="BE107">
        <v>0</v>
      </c>
      <c r="BF107">
        <v>25</v>
      </c>
      <c r="BG107">
        <v>13191.073333333299</v>
      </c>
      <c r="BH107">
        <v>1771086652</v>
      </c>
      <c r="BI107" t="s">
        <v>416</v>
      </c>
      <c r="BJ107">
        <v>1771086652</v>
      </c>
      <c r="BK107">
        <v>1771086652</v>
      </c>
      <c r="BL107">
        <v>3</v>
      </c>
      <c r="BM107">
        <v>0.17899999999999999</v>
      </c>
      <c r="BN107">
        <v>-3.5999999999999997E-2</v>
      </c>
      <c r="BO107">
        <v>-0.48699999999999999</v>
      </c>
      <c r="BP107">
        <v>0.104</v>
      </c>
      <c r="BQ107">
        <v>50</v>
      </c>
      <c r="BR107">
        <v>14</v>
      </c>
      <c r="BS107">
        <v>0.14000000000000001</v>
      </c>
      <c r="BT107">
        <v>0.03</v>
      </c>
      <c r="BU107">
        <v>0.21436642857142901</v>
      </c>
      <c r="BV107">
        <v>-0.55508220779220696</v>
      </c>
      <c r="BW107">
        <v>5.8024146090901098E-2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1.14384666666667</v>
      </c>
      <c r="CD107">
        <v>-4.15012987012967E-2</v>
      </c>
      <c r="CE107">
        <v>7.8043719940955004E-3</v>
      </c>
      <c r="CF107">
        <v>1</v>
      </c>
      <c r="CG107">
        <v>1</v>
      </c>
      <c r="CH107">
        <v>2</v>
      </c>
      <c r="CI107" t="s">
        <v>299</v>
      </c>
      <c r="CJ107">
        <v>3.5325299999999999</v>
      </c>
      <c r="CK107">
        <v>2.7025600000000001</v>
      </c>
      <c r="CL107">
        <v>4.206E-2</v>
      </c>
      <c r="CM107">
        <v>4.1455400000000003E-2</v>
      </c>
      <c r="CN107">
        <v>8.7930599999999998E-2</v>
      </c>
      <c r="CO107">
        <v>8.2308000000000006E-2</v>
      </c>
      <c r="CP107">
        <v>33624.199999999997</v>
      </c>
      <c r="CQ107">
        <v>29529.3</v>
      </c>
      <c r="CR107">
        <v>32483.599999999999</v>
      </c>
      <c r="CS107">
        <v>30730.1</v>
      </c>
      <c r="CT107">
        <v>40099.5</v>
      </c>
      <c r="CU107">
        <v>39644.1</v>
      </c>
      <c r="CV107">
        <v>47428.6</v>
      </c>
      <c r="CW107">
        <v>46854.9</v>
      </c>
      <c r="CX107">
        <v>2.6345999999999998</v>
      </c>
      <c r="CY107">
        <v>2.1676600000000001</v>
      </c>
      <c r="CZ107">
        <v>0</v>
      </c>
      <c r="DA107">
        <v>0</v>
      </c>
      <c r="DB107">
        <v>999.9</v>
      </c>
      <c r="DC107">
        <v>999.9</v>
      </c>
      <c r="DD107">
        <v>63.887</v>
      </c>
      <c r="DE107">
        <v>24.611999999999998</v>
      </c>
      <c r="DF107">
        <v>19.8565</v>
      </c>
      <c r="DG107">
        <v>30.5974</v>
      </c>
      <c r="DH107">
        <v>15.256399999999999</v>
      </c>
      <c r="DI107">
        <v>2</v>
      </c>
      <c r="DJ107">
        <v>-0.18090200000000001</v>
      </c>
      <c r="DK107">
        <v>1.4895</v>
      </c>
      <c r="DL107">
        <v>20.2043</v>
      </c>
      <c r="DM107">
        <v>5.2509499999999996</v>
      </c>
      <c r="DN107">
        <v>12.033899999999999</v>
      </c>
      <c r="DO107">
        <v>4.9672400000000003</v>
      </c>
      <c r="DP107">
        <v>3.2909999999999999</v>
      </c>
      <c r="DQ107">
        <v>9999</v>
      </c>
      <c r="DR107">
        <v>9999</v>
      </c>
      <c r="DS107">
        <v>9999</v>
      </c>
      <c r="DT107">
        <v>604.4</v>
      </c>
      <c r="DU107">
        <v>1.8710500000000001</v>
      </c>
      <c r="DV107">
        <v>1.8761000000000001</v>
      </c>
      <c r="DW107">
        <v>1.8763000000000001</v>
      </c>
      <c r="DX107">
        <v>1.8827799999999999</v>
      </c>
      <c r="DY107">
        <v>1.8755999999999999</v>
      </c>
      <c r="DZ107">
        <v>1.8746499999999999</v>
      </c>
      <c r="EA107">
        <v>1.8707400000000001</v>
      </c>
      <c r="EB107">
        <v>1.8746799999999999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-0.48699999999999999</v>
      </c>
      <c r="EQ107">
        <v>0.104</v>
      </c>
      <c r="ER107">
        <v>-0.48728000000000499</v>
      </c>
      <c r="ES107">
        <v>0</v>
      </c>
      <c r="ET107">
        <v>0</v>
      </c>
      <c r="EU107">
        <v>0</v>
      </c>
      <c r="EV107">
        <v>0.10407000000000199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10</v>
      </c>
      <c r="FE107">
        <v>10</v>
      </c>
      <c r="FF107">
        <v>0.56640599999999997</v>
      </c>
      <c r="FG107">
        <v>2.5964399999999999</v>
      </c>
      <c r="FH107">
        <v>2.19604</v>
      </c>
      <c r="FI107">
        <v>2.5805699999999998</v>
      </c>
      <c r="FJ107">
        <v>2.4462899999999999</v>
      </c>
      <c r="FK107">
        <v>2.2863799999999999</v>
      </c>
      <c r="FL107">
        <v>30.0718</v>
      </c>
      <c r="FM107">
        <v>24.078700000000001</v>
      </c>
      <c r="FN107">
        <v>19</v>
      </c>
      <c r="FO107">
        <v>863.82899999999995</v>
      </c>
      <c r="FP107">
        <v>596.702</v>
      </c>
      <c r="FQ107">
        <v>18.4803</v>
      </c>
      <c r="FR107">
        <v>24.752099999999999</v>
      </c>
      <c r="FS107">
        <v>30.0002</v>
      </c>
      <c r="FT107">
        <v>24.732700000000001</v>
      </c>
      <c r="FU107">
        <v>24.7333</v>
      </c>
      <c r="FV107">
        <v>11.3704</v>
      </c>
      <c r="FW107">
        <v>31.444900000000001</v>
      </c>
      <c r="FX107">
        <v>57.265300000000003</v>
      </c>
      <c r="FY107">
        <v>18.4924</v>
      </c>
      <c r="FZ107">
        <v>150</v>
      </c>
      <c r="GA107">
        <v>14.3674</v>
      </c>
      <c r="GB107">
        <v>99.9482</v>
      </c>
      <c r="GC107">
        <v>99.752200000000002</v>
      </c>
    </row>
    <row r="108" spans="1:185" x14ac:dyDescent="0.2">
      <c r="A108">
        <v>93</v>
      </c>
      <c r="B108">
        <v>1771087267</v>
      </c>
      <c r="C108">
        <v>1947</v>
      </c>
      <c r="D108" t="s">
        <v>481</v>
      </c>
      <c r="E108" t="s">
        <v>482</v>
      </c>
      <c r="F108">
        <v>15</v>
      </c>
      <c r="G108">
        <v>1771087258.9333301</v>
      </c>
      <c r="H108">
        <f t="shared" si="13"/>
        <v>9.4335199293817888E-4</v>
      </c>
      <c r="I108">
        <v>0</v>
      </c>
      <c r="J108">
        <f t="shared" si="25"/>
        <v>-7.6059247600433972E-3</v>
      </c>
      <c r="K108">
        <f t="shared" si="14"/>
        <v>-0.20616570313170773</v>
      </c>
      <c r="L108">
        <f t="shared" si="15"/>
        <v>70.556055803922661</v>
      </c>
      <c r="M108">
        <f t="shared" si="16"/>
        <v>1.5555440494811348</v>
      </c>
      <c r="N108">
        <f t="shared" si="17"/>
        <v>2.2046924700610209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26264.520301800036</v>
      </c>
      <c r="T108">
        <f t="shared" si="21"/>
        <v>799.99919999999997</v>
      </c>
      <c r="U108">
        <f t="shared" si="22"/>
        <v>674.39930832001721</v>
      </c>
      <c r="V108">
        <f t="shared" si="23"/>
        <v>0.84299997839999996</v>
      </c>
      <c r="W108">
        <f t="shared" si="24"/>
        <v>0.158700101904</v>
      </c>
      <c r="X108">
        <v>1</v>
      </c>
      <c r="Y108">
        <v>1771087258.9333301</v>
      </c>
      <c r="Z108">
        <v>150.07980000000001</v>
      </c>
      <c r="AA108">
        <v>149.99906666666701</v>
      </c>
      <c r="AB108">
        <v>15.552573333333299</v>
      </c>
      <c r="AC108">
        <v>14.39174</v>
      </c>
      <c r="AD108">
        <v>150.6138</v>
      </c>
      <c r="AE108">
        <v>15.4525733333333</v>
      </c>
      <c r="AF108">
        <v>800.01186666666695</v>
      </c>
      <c r="AG108">
        <v>99.953726666666697</v>
      </c>
      <c r="AH108">
        <v>6.4708619999999994E-2</v>
      </c>
      <c r="AI108">
        <v>18.996453333333299</v>
      </c>
      <c r="AJ108">
        <v>999.9</v>
      </c>
      <c r="AK108">
        <v>999.9</v>
      </c>
      <c r="AL108">
        <v>0</v>
      </c>
      <c r="AM108">
        <v>0</v>
      </c>
      <c r="AN108">
        <v>5008.9333333333298</v>
      </c>
      <c r="AO108">
        <v>0</v>
      </c>
      <c r="AP108">
        <v>2.0325500000000001</v>
      </c>
      <c r="AQ108">
        <v>0.12747586666666699</v>
      </c>
      <c r="AR108">
        <v>152.498866666667</v>
      </c>
      <c r="AS108">
        <v>152.1892</v>
      </c>
      <c r="AT108">
        <v>1.16489</v>
      </c>
      <c r="AU108">
        <v>149.99906666666701</v>
      </c>
      <c r="AV108">
        <v>14.39174</v>
      </c>
      <c r="AW108">
        <v>1.5549440000000001</v>
      </c>
      <c r="AX108">
        <v>1.4385093333333301</v>
      </c>
      <c r="AY108">
        <v>13.51938</v>
      </c>
      <c r="AZ108">
        <v>12.3297133333333</v>
      </c>
      <c r="BA108">
        <v>799.99919999999997</v>
      </c>
      <c r="BB108">
        <v>0.89999839999999998</v>
      </c>
      <c r="BC108">
        <v>0</v>
      </c>
      <c r="BD108">
        <v>0.10000152</v>
      </c>
      <c r="BE108">
        <v>0</v>
      </c>
      <c r="BF108">
        <v>25</v>
      </c>
      <c r="BG108">
        <v>13191.0133333333</v>
      </c>
      <c r="BH108">
        <v>1771087289</v>
      </c>
      <c r="BI108" t="s">
        <v>483</v>
      </c>
      <c r="BJ108">
        <v>1771087289</v>
      </c>
      <c r="BK108">
        <v>1771087289</v>
      </c>
      <c r="BL108">
        <v>4</v>
      </c>
      <c r="BM108">
        <v>-4.5999999999999999E-2</v>
      </c>
      <c r="BN108">
        <v>-4.0000000000000001E-3</v>
      </c>
      <c r="BO108">
        <v>-0.53400000000000003</v>
      </c>
      <c r="BP108">
        <v>0.1</v>
      </c>
      <c r="BQ108">
        <v>150</v>
      </c>
      <c r="BR108">
        <v>14</v>
      </c>
      <c r="BS108">
        <v>0.42</v>
      </c>
      <c r="BT108">
        <v>0.03</v>
      </c>
      <c r="BU108">
        <v>0.128633</v>
      </c>
      <c r="BV108">
        <v>-6.1594285714286101E-2</v>
      </c>
      <c r="BW108">
        <v>1.2718773537570401E-2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1.158714</v>
      </c>
      <c r="CD108">
        <v>0.14816120300752</v>
      </c>
      <c r="CE108">
        <v>2.1673351009938401E-2</v>
      </c>
      <c r="CF108">
        <v>0</v>
      </c>
      <c r="CG108">
        <v>1</v>
      </c>
      <c r="CH108">
        <v>2</v>
      </c>
      <c r="CI108" t="s">
        <v>299</v>
      </c>
      <c r="CJ108">
        <v>3.5324900000000001</v>
      </c>
      <c r="CK108">
        <v>2.7023299999999999</v>
      </c>
      <c r="CL108">
        <v>4.2060100000000003E-2</v>
      </c>
      <c r="CM108">
        <v>4.1452999999999997E-2</v>
      </c>
      <c r="CN108">
        <v>8.7584499999999996E-2</v>
      </c>
      <c r="CO108">
        <v>8.1866599999999998E-2</v>
      </c>
      <c r="CP108">
        <v>33624.1</v>
      </c>
      <c r="CQ108">
        <v>29529.599999999999</v>
      </c>
      <c r="CR108">
        <v>32483.5</v>
      </c>
      <c r="CS108">
        <v>30730.400000000001</v>
      </c>
      <c r="CT108">
        <v>40115.300000000003</v>
      </c>
      <c r="CU108">
        <v>39664.300000000003</v>
      </c>
      <c r="CV108">
        <v>47428.6</v>
      </c>
      <c r="CW108">
        <v>46855.6</v>
      </c>
      <c r="CX108">
        <v>2.63462</v>
      </c>
      <c r="CY108">
        <v>2.16716</v>
      </c>
      <c r="CZ108">
        <v>0</v>
      </c>
      <c r="DA108">
        <v>0</v>
      </c>
      <c r="DB108">
        <v>999.9</v>
      </c>
      <c r="DC108">
        <v>999.9</v>
      </c>
      <c r="DD108">
        <v>63.765000000000001</v>
      </c>
      <c r="DE108">
        <v>24.622</v>
      </c>
      <c r="DF108">
        <v>19.831800000000001</v>
      </c>
      <c r="DG108">
        <v>30.087399999999999</v>
      </c>
      <c r="DH108">
        <v>15.2364</v>
      </c>
      <c r="DI108">
        <v>2</v>
      </c>
      <c r="DJ108">
        <v>-0.180148</v>
      </c>
      <c r="DK108">
        <v>2.0232399999999999</v>
      </c>
      <c r="DL108">
        <v>20.194500000000001</v>
      </c>
      <c r="DM108">
        <v>5.25047</v>
      </c>
      <c r="DN108">
        <v>12.033899999999999</v>
      </c>
      <c r="DO108">
        <v>4.9670800000000002</v>
      </c>
      <c r="DP108">
        <v>3.2909999999999999</v>
      </c>
      <c r="DQ108">
        <v>9999</v>
      </c>
      <c r="DR108">
        <v>9999</v>
      </c>
      <c r="DS108">
        <v>9999</v>
      </c>
      <c r="DT108">
        <v>604.4</v>
      </c>
      <c r="DU108">
        <v>1.8710500000000001</v>
      </c>
      <c r="DV108">
        <v>1.87609</v>
      </c>
      <c r="DW108">
        <v>1.87636</v>
      </c>
      <c r="DX108">
        <v>1.8827799999999999</v>
      </c>
      <c r="DY108">
        <v>1.87561</v>
      </c>
      <c r="DZ108">
        <v>1.8746499999999999</v>
      </c>
      <c r="EA108">
        <v>1.8707400000000001</v>
      </c>
      <c r="EB108">
        <v>1.8746700000000001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-0.53400000000000003</v>
      </c>
      <c r="EQ108">
        <v>0.1</v>
      </c>
      <c r="ER108">
        <v>-0.48728000000000499</v>
      </c>
      <c r="ES108">
        <v>0</v>
      </c>
      <c r="ET108">
        <v>0</v>
      </c>
      <c r="EU108">
        <v>0</v>
      </c>
      <c r="EV108">
        <v>0.10407000000000199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10.199999999999999</v>
      </c>
      <c r="FE108">
        <v>10.199999999999999</v>
      </c>
      <c r="FF108">
        <v>0.56518599999999997</v>
      </c>
      <c r="FG108">
        <v>2.5830099999999998</v>
      </c>
      <c r="FH108">
        <v>2.19604</v>
      </c>
      <c r="FI108">
        <v>2.5817899999999998</v>
      </c>
      <c r="FJ108">
        <v>2.4462899999999999</v>
      </c>
      <c r="FK108">
        <v>2.2973599999999998</v>
      </c>
      <c r="FL108">
        <v>30.0932</v>
      </c>
      <c r="FM108">
        <v>24.14</v>
      </c>
      <c r="FN108">
        <v>19</v>
      </c>
      <c r="FO108">
        <v>863.94200000000001</v>
      </c>
      <c r="FP108">
        <v>596.37699999999995</v>
      </c>
      <c r="FQ108">
        <v>18.510000000000002</v>
      </c>
      <c r="FR108">
        <v>24.757100000000001</v>
      </c>
      <c r="FS108">
        <v>30.000299999999999</v>
      </c>
      <c r="FT108">
        <v>24.738499999999998</v>
      </c>
      <c r="FU108">
        <v>24.739100000000001</v>
      </c>
      <c r="FV108">
        <v>11.370699999999999</v>
      </c>
      <c r="FW108">
        <v>31.444900000000001</v>
      </c>
      <c r="FX108">
        <v>57.265300000000003</v>
      </c>
      <c r="FY108">
        <v>18.074999999999999</v>
      </c>
      <c r="FZ108">
        <v>150</v>
      </c>
      <c r="GA108">
        <v>14.3469</v>
      </c>
      <c r="GB108">
        <v>99.948099999999997</v>
      </c>
      <c r="GC108">
        <v>99.753500000000003</v>
      </c>
    </row>
    <row r="109" spans="1:185" x14ac:dyDescent="0.2">
      <c r="A109">
        <v>94</v>
      </c>
      <c r="B109">
        <v>1771087291</v>
      </c>
      <c r="C109">
        <v>1971</v>
      </c>
      <c r="D109" t="s">
        <v>484</v>
      </c>
      <c r="E109" t="s">
        <v>485</v>
      </c>
      <c r="F109">
        <v>15</v>
      </c>
      <c r="G109">
        <v>1771087290</v>
      </c>
      <c r="H109">
        <f t="shared" si="13"/>
        <v>-4.0583085119880969E-7</v>
      </c>
      <c r="I109">
        <v>0</v>
      </c>
      <c r="J109">
        <f t="shared" si="25"/>
        <v>-8.2415020347162296E-4</v>
      </c>
      <c r="K109">
        <f t="shared" si="14"/>
        <v>-2.2339361950761354E-2</v>
      </c>
      <c r="L109">
        <f t="shared" si="15"/>
        <v>65.1581113198841</v>
      </c>
      <c r="M109">
        <f t="shared" si="16"/>
        <v>1.4360740615719201</v>
      </c>
      <c r="N109">
        <f t="shared" si="17"/>
        <v>2.2039835601153737</v>
      </c>
      <c r="O109">
        <v>507</v>
      </c>
      <c r="P109">
        <v>63</v>
      </c>
      <c r="Q109">
        <f t="shared" si="18"/>
        <v>1</v>
      </c>
      <c r="R109">
        <f t="shared" si="19"/>
        <v>0</v>
      </c>
      <c r="S109">
        <f t="shared" si="20"/>
        <v>26301.993680725711</v>
      </c>
      <c r="T109">
        <f t="shared" si="21"/>
        <v>799.99400000000003</v>
      </c>
      <c r="U109">
        <f t="shared" si="22"/>
        <v>674.39510999874005</v>
      </c>
      <c r="V109">
        <f t="shared" si="23"/>
        <v>0.84300021000000003</v>
      </c>
      <c r="W109">
        <f t="shared" si="24"/>
        <v>0.15870052500000001</v>
      </c>
      <c r="X109">
        <v>1</v>
      </c>
      <c r="Y109">
        <v>1771087290</v>
      </c>
      <c r="Z109">
        <v>150.03800000000001</v>
      </c>
      <c r="AA109">
        <v>150.01</v>
      </c>
      <c r="AB109">
        <v>14.3566</v>
      </c>
      <c r="AC109">
        <v>14.357100000000001</v>
      </c>
      <c r="AD109">
        <v>150.572</v>
      </c>
      <c r="AE109">
        <v>14.2567</v>
      </c>
      <c r="AF109">
        <v>800.00900000000001</v>
      </c>
      <c r="AG109">
        <v>99.954700000000003</v>
      </c>
      <c r="AH109">
        <v>7.4141200000000004E-2</v>
      </c>
      <c r="AI109">
        <v>18.991299999999999</v>
      </c>
      <c r="AJ109">
        <v>999.9</v>
      </c>
      <c r="AK109">
        <v>999.9</v>
      </c>
      <c r="AL109">
        <v>0</v>
      </c>
      <c r="AM109">
        <v>0</v>
      </c>
      <c r="AN109">
        <v>5015</v>
      </c>
      <c r="AO109">
        <v>0</v>
      </c>
      <c r="AP109">
        <v>2.0438499999999999</v>
      </c>
      <c r="AQ109">
        <v>2.85797E-2</v>
      </c>
      <c r="AR109">
        <v>152.22399999999999</v>
      </c>
      <c r="AS109">
        <v>152.19499999999999</v>
      </c>
      <c r="AT109">
        <v>-5.2356699999999996E-4</v>
      </c>
      <c r="AU109">
        <v>150.01</v>
      </c>
      <c r="AV109">
        <v>14.357100000000001</v>
      </c>
      <c r="AW109">
        <v>1.4350099999999999</v>
      </c>
      <c r="AX109">
        <v>1.43506</v>
      </c>
      <c r="AY109">
        <v>12.2927</v>
      </c>
      <c r="AZ109">
        <v>12.2933</v>
      </c>
      <c r="BA109">
        <v>799.99400000000003</v>
      </c>
      <c r="BB109">
        <v>0.89999300000000004</v>
      </c>
      <c r="BC109">
        <v>0</v>
      </c>
      <c r="BD109">
        <v>0.100007</v>
      </c>
      <c r="BE109">
        <v>0</v>
      </c>
      <c r="BF109">
        <v>25</v>
      </c>
      <c r="BG109">
        <v>13190.9</v>
      </c>
      <c r="BH109">
        <v>1771087289</v>
      </c>
      <c r="BI109" t="s">
        <v>483</v>
      </c>
      <c r="BJ109">
        <v>1771087289</v>
      </c>
      <c r="BK109">
        <v>1771087289</v>
      </c>
      <c r="BL109">
        <v>4</v>
      </c>
      <c r="BM109">
        <v>-4.5999999999999999E-2</v>
      </c>
      <c r="BN109">
        <v>-4.0000000000000001E-3</v>
      </c>
      <c r="BO109">
        <v>-0.53400000000000003</v>
      </c>
      <c r="BP109">
        <v>0.1</v>
      </c>
      <c r="BQ109">
        <v>150</v>
      </c>
      <c r="BR109">
        <v>14</v>
      </c>
      <c r="BS109">
        <v>0.42</v>
      </c>
      <c r="BT109">
        <v>0.03</v>
      </c>
      <c r="BU109">
        <v>6.7360710000000004E-2</v>
      </c>
      <c r="BV109">
        <v>-0.26603805112781997</v>
      </c>
      <c r="BW109">
        <v>3.11906346020869E-2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7.6954772150000003E-2</v>
      </c>
      <c r="CD109">
        <v>-1.1497742013383501</v>
      </c>
      <c r="CE109">
        <v>0.179784952040875</v>
      </c>
      <c r="CF109">
        <v>0</v>
      </c>
      <c r="CG109">
        <v>1</v>
      </c>
      <c r="CH109">
        <v>2</v>
      </c>
      <c r="CI109" t="s">
        <v>299</v>
      </c>
      <c r="CJ109">
        <v>3.5332599999999998</v>
      </c>
      <c r="CK109">
        <v>2.7116400000000001</v>
      </c>
      <c r="CL109">
        <v>4.20419E-2</v>
      </c>
      <c r="CM109">
        <v>4.1451500000000002E-2</v>
      </c>
      <c r="CN109">
        <v>8.2606499999999999E-2</v>
      </c>
      <c r="CO109">
        <v>8.1868499999999997E-2</v>
      </c>
      <c r="CP109">
        <v>33624.5</v>
      </c>
      <c r="CQ109">
        <v>29529.1</v>
      </c>
      <c r="CR109">
        <v>32483.4</v>
      </c>
      <c r="CS109">
        <v>30729.9</v>
      </c>
      <c r="CT109">
        <v>40341.5</v>
      </c>
      <c r="CU109">
        <v>39663.4</v>
      </c>
      <c r="CV109">
        <v>47428.5</v>
      </c>
      <c r="CW109">
        <v>46854.6</v>
      </c>
      <c r="CX109">
        <v>1.6525799999999999</v>
      </c>
      <c r="CY109">
        <v>1.59904</v>
      </c>
      <c r="CZ109">
        <v>0</v>
      </c>
      <c r="DA109">
        <v>0</v>
      </c>
      <c r="DB109">
        <v>999.9</v>
      </c>
      <c r="DC109">
        <v>999.9</v>
      </c>
      <c r="DD109">
        <v>63.613</v>
      </c>
      <c r="DE109">
        <v>24.652000000000001</v>
      </c>
      <c r="DF109">
        <v>19.8203</v>
      </c>
      <c r="DG109">
        <v>29.907399999999999</v>
      </c>
      <c r="DH109">
        <v>15.801299999999999</v>
      </c>
      <c r="DI109">
        <v>2</v>
      </c>
      <c r="DJ109">
        <v>-0.178423</v>
      </c>
      <c r="DK109">
        <v>2.0748199999999999</v>
      </c>
      <c r="DL109">
        <v>20.195599999999999</v>
      </c>
      <c r="DM109">
        <v>5.2450799999999997</v>
      </c>
      <c r="DN109">
        <v>12.033899999999999</v>
      </c>
      <c r="DO109">
        <v>4.9659199999999997</v>
      </c>
      <c r="DP109">
        <v>3.2901600000000002</v>
      </c>
      <c r="DQ109">
        <v>9999</v>
      </c>
      <c r="DR109">
        <v>9999</v>
      </c>
      <c r="DS109">
        <v>9999</v>
      </c>
      <c r="DT109">
        <v>604.4</v>
      </c>
      <c r="DU109">
        <v>1.87103</v>
      </c>
      <c r="DV109">
        <v>1.87608</v>
      </c>
      <c r="DW109">
        <v>1.87626</v>
      </c>
      <c r="DX109">
        <v>1.8827799999999999</v>
      </c>
      <c r="DY109">
        <v>1.8755999999999999</v>
      </c>
      <c r="DZ109">
        <v>1.87462</v>
      </c>
      <c r="EA109">
        <v>1.87073</v>
      </c>
      <c r="EB109">
        <v>1.8746400000000001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-0.53400000000000003</v>
      </c>
      <c r="EQ109">
        <v>9.9900000000000003E-2</v>
      </c>
      <c r="ER109">
        <v>-0.53370000000001006</v>
      </c>
      <c r="ES109">
        <v>0</v>
      </c>
      <c r="ET109">
        <v>0</v>
      </c>
      <c r="EU109">
        <v>0</v>
      </c>
      <c r="EV109">
        <v>9.9940000000001902E-2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0</v>
      </c>
      <c r="FE109">
        <v>0</v>
      </c>
      <c r="FF109">
        <v>0.56640599999999997</v>
      </c>
      <c r="FG109">
        <v>2.5952099999999998</v>
      </c>
      <c r="FH109">
        <v>2.19604</v>
      </c>
      <c r="FI109">
        <v>2.5817899999999998</v>
      </c>
      <c r="FJ109">
        <v>2.4462899999999999</v>
      </c>
      <c r="FK109">
        <v>2.3034699999999999</v>
      </c>
      <c r="FL109">
        <v>30.114699999999999</v>
      </c>
      <c r="FM109">
        <v>24.148800000000001</v>
      </c>
      <c r="FN109">
        <v>19</v>
      </c>
      <c r="FO109">
        <v>269.17899999999997</v>
      </c>
      <c r="FP109">
        <v>267.93799999999999</v>
      </c>
      <c r="FQ109">
        <v>17.999199999999998</v>
      </c>
      <c r="FR109">
        <v>24.765000000000001</v>
      </c>
      <c r="FS109">
        <v>29.999600000000001</v>
      </c>
      <c r="FT109">
        <v>24.764299999999999</v>
      </c>
      <c r="FU109">
        <v>24.763100000000001</v>
      </c>
      <c r="FV109">
        <v>11.3706</v>
      </c>
      <c r="FW109">
        <v>28.8185</v>
      </c>
      <c r="FX109">
        <v>57.265300000000003</v>
      </c>
      <c r="FY109">
        <v>18.037099999999999</v>
      </c>
      <c r="FZ109">
        <v>150</v>
      </c>
      <c r="GA109">
        <v>15.157999999999999</v>
      </c>
      <c r="GB109">
        <v>99.947800000000001</v>
      </c>
      <c r="GC109">
        <v>99.751499999999993</v>
      </c>
    </row>
    <row r="110" spans="1:185" x14ac:dyDescent="0.2">
      <c r="A110">
        <v>95</v>
      </c>
      <c r="B110">
        <v>1771087306</v>
      </c>
      <c r="C110">
        <v>1986</v>
      </c>
      <c r="D110" t="s">
        <v>486</v>
      </c>
      <c r="E110" t="s">
        <v>487</v>
      </c>
      <c r="F110">
        <v>15</v>
      </c>
      <c r="G110">
        <v>1771087297.9333301</v>
      </c>
      <c r="H110">
        <f t="shared" si="13"/>
        <v>5.9512153123800475E-4</v>
      </c>
      <c r="I110">
        <v>0</v>
      </c>
      <c r="J110">
        <f t="shared" si="25"/>
        <v>-4.4414661028958895E-3</v>
      </c>
      <c r="K110">
        <f t="shared" si="14"/>
        <v>-0.12039009205686019</v>
      </c>
      <c r="L110">
        <f t="shared" si="15"/>
        <v>69.144225055627032</v>
      </c>
      <c r="M110">
        <f t="shared" si="16"/>
        <v>1.5231755621821264</v>
      </c>
      <c r="N110">
        <f t="shared" si="17"/>
        <v>2.2028962808632544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26243.632017163578</v>
      </c>
      <c r="T110">
        <f t="shared" si="21"/>
        <v>799.99793333333298</v>
      </c>
      <c r="U110">
        <f t="shared" si="22"/>
        <v>674.39835539974752</v>
      </c>
      <c r="V110">
        <f t="shared" si="23"/>
        <v>0.84300012199999996</v>
      </c>
      <c r="W110">
        <f t="shared" si="24"/>
        <v>0.15870030500000004</v>
      </c>
      <c r="X110">
        <v>1</v>
      </c>
      <c r="Y110">
        <v>1771087297.9333301</v>
      </c>
      <c r="Z110">
        <v>150.02273333333301</v>
      </c>
      <c r="AA110">
        <v>149.98386666666701</v>
      </c>
      <c r="AB110">
        <v>15.2287266666667</v>
      </c>
      <c r="AC110">
        <v>14.496506666666701</v>
      </c>
      <c r="AD110">
        <v>150.55653333333299</v>
      </c>
      <c r="AE110">
        <v>15.1287866666667</v>
      </c>
      <c r="AF110">
        <v>800.38593333333301</v>
      </c>
      <c r="AG110">
        <v>99.953546666666696</v>
      </c>
      <c r="AH110">
        <v>6.6343079999999999E-2</v>
      </c>
      <c r="AI110">
        <v>18.9833933333333</v>
      </c>
      <c r="AJ110">
        <v>999.9</v>
      </c>
      <c r="AK110">
        <v>999.9</v>
      </c>
      <c r="AL110">
        <v>0</v>
      </c>
      <c r="AM110">
        <v>0</v>
      </c>
      <c r="AN110">
        <v>5005.3</v>
      </c>
      <c r="AO110">
        <v>0</v>
      </c>
      <c r="AP110">
        <v>2.0406853333333301</v>
      </c>
      <c r="AQ110">
        <v>3.8865147333333301E-2</v>
      </c>
      <c r="AR110">
        <v>152.34286666666699</v>
      </c>
      <c r="AS110">
        <v>152.1902</v>
      </c>
      <c r="AT110">
        <v>0.73220602886666697</v>
      </c>
      <c r="AU110">
        <v>149.98386666666701</v>
      </c>
      <c r="AV110">
        <v>14.496506666666701</v>
      </c>
      <c r="AW110">
        <v>1.52216533333333</v>
      </c>
      <c r="AX110">
        <v>1.4489780000000001</v>
      </c>
      <c r="AY110">
        <v>13.18858</v>
      </c>
      <c r="AZ110">
        <v>12.4399466666667</v>
      </c>
      <c r="BA110">
        <v>799.99793333333298</v>
      </c>
      <c r="BB110">
        <v>0.89999593333333305</v>
      </c>
      <c r="BC110">
        <v>0</v>
      </c>
      <c r="BD110">
        <v>0.100004066666667</v>
      </c>
      <c r="BE110">
        <v>0</v>
      </c>
      <c r="BF110">
        <v>25</v>
      </c>
      <c r="BG110">
        <v>13190.973333333301</v>
      </c>
      <c r="BH110">
        <v>1771087289</v>
      </c>
      <c r="BI110" t="s">
        <v>483</v>
      </c>
      <c r="BJ110">
        <v>1771087289</v>
      </c>
      <c r="BK110">
        <v>1771087289</v>
      </c>
      <c r="BL110">
        <v>4</v>
      </c>
      <c r="BM110">
        <v>-4.5999999999999999E-2</v>
      </c>
      <c r="BN110">
        <v>-4.0000000000000001E-3</v>
      </c>
      <c r="BO110">
        <v>-0.53400000000000003</v>
      </c>
      <c r="BP110">
        <v>0.1</v>
      </c>
      <c r="BQ110">
        <v>150</v>
      </c>
      <c r="BR110">
        <v>14</v>
      </c>
      <c r="BS110">
        <v>0.42</v>
      </c>
      <c r="BT110">
        <v>0.03</v>
      </c>
      <c r="BU110">
        <v>4.1941069999999997E-2</v>
      </c>
      <c r="BV110">
        <v>-7.3486608721804403E-2</v>
      </c>
      <c r="BW110">
        <v>2.3066114236421801E-2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0.50022441164999998</v>
      </c>
      <c r="CD110">
        <v>4.1209793171278202</v>
      </c>
      <c r="CE110">
        <v>0.41615396514812403</v>
      </c>
      <c r="CF110">
        <v>0</v>
      </c>
      <c r="CG110">
        <v>1</v>
      </c>
      <c r="CH110">
        <v>2</v>
      </c>
      <c r="CI110" t="s">
        <v>299</v>
      </c>
      <c r="CJ110">
        <v>3.5324900000000001</v>
      </c>
      <c r="CK110">
        <v>2.7023899999999998</v>
      </c>
      <c r="CL110">
        <v>4.2038899999999997E-2</v>
      </c>
      <c r="CM110">
        <v>4.1452999999999997E-2</v>
      </c>
      <c r="CN110">
        <v>8.7467799999999998E-2</v>
      </c>
      <c r="CO110">
        <v>8.2364499999999993E-2</v>
      </c>
      <c r="CP110">
        <v>33624.300000000003</v>
      </c>
      <c r="CQ110">
        <v>29529.9</v>
      </c>
      <c r="CR110">
        <v>32483.1</v>
      </c>
      <c r="CS110">
        <v>30730.799999999999</v>
      </c>
      <c r="CT110">
        <v>40120.1</v>
      </c>
      <c r="CU110">
        <v>39642.6</v>
      </c>
      <c r="CV110">
        <v>47427.9</v>
      </c>
      <c r="CW110">
        <v>46856.2</v>
      </c>
      <c r="CX110">
        <v>2.6312799999999998</v>
      </c>
      <c r="CY110">
        <v>2.1656</v>
      </c>
      <c r="CZ110">
        <v>0</v>
      </c>
      <c r="DA110">
        <v>0</v>
      </c>
      <c r="DB110">
        <v>999.9</v>
      </c>
      <c r="DC110">
        <v>999.9</v>
      </c>
      <c r="DD110">
        <v>63.497</v>
      </c>
      <c r="DE110">
        <v>24.661999999999999</v>
      </c>
      <c r="DF110">
        <v>19.796299999999999</v>
      </c>
      <c r="DG110">
        <v>30.087399999999999</v>
      </c>
      <c r="DH110">
        <v>15.0921</v>
      </c>
      <c r="DI110">
        <v>2</v>
      </c>
      <c r="DJ110">
        <v>-0.178537</v>
      </c>
      <c r="DK110">
        <v>1.9599299999999999</v>
      </c>
      <c r="DL110">
        <v>20.198699999999999</v>
      </c>
      <c r="DM110">
        <v>5.2507099999999998</v>
      </c>
      <c r="DN110">
        <v>12.033899999999999</v>
      </c>
      <c r="DO110">
        <v>4.9671200000000004</v>
      </c>
      <c r="DP110">
        <v>3.2909999999999999</v>
      </c>
      <c r="DQ110">
        <v>9999</v>
      </c>
      <c r="DR110">
        <v>9999</v>
      </c>
      <c r="DS110">
        <v>9999</v>
      </c>
      <c r="DT110">
        <v>604.4</v>
      </c>
      <c r="DU110">
        <v>1.8710500000000001</v>
      </c>
      <c r="DV110">
        <v>1.8761099999999999</v>
      </c>
      <c r="DW110">
        <v>1.8763300000000001</v>
      </c>
      <c r="DX110">
        <v>1.88279</v>
      </c>
      <c r="DY110">
        <v>1.8755999999999999</v>
      </c>
      <c r="DZ110">
        <v>1.8746799999999999</v>
      </c>
      <c r="EA110">
        <v>1.87077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-0.53300000000000003</v>
      </c>
      <c r="EQ110">
        <v>0.1</v>
      </c>
      <c r="ER110">
        <v>-0.53370000000001006</v>
      </c>
      <c r="ES110">
        <v>0</v>
      </c>
      <c r="ET110">
        <v>0</v>
      </c>
      <c r="EU110">
        <v>0</v>
      </c>
      <c r="EV110">
        <v>9.9940000000001902E-2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0.3</v>
      </c>
      <c r="FE110">
        <v>0.3</v>
      </c>
      <c r="FF110">
        <v>0.56518599999999997</v>
      </c>
      <c r="FG110">
        <v>2.5927699999999998</v>
      </c>
      <c r="FH110">
        <v>2.19604</v>
      </c>
      <c r="FI110">
        <v>2.5817899999999998</v>
      </c>
      <c r="FJ110">
        <v>2.4462899999999999</v>
      </c>
      <c r="FK110">
        <v>2.2802699999999998</v>
      </c>
      <c r="FL110">
        <v>30.114699999999999</v>
      </c>
      <c r="FM110">
        <v>24.14</v>
      </c>
      <c r="FN110">
        <v>19</v>
      </c>
      <c r="FO110">
        <v>861.11</v>
      </c>
      <c r="FP110">
        <v>595.33600000000001</v>
      </c>
      <c r="FQ110">
        <v>18.052299999999999</v>
      </c>
      <c r="FR110">
        <v>24.77</v>
      </c>
      <c r="FS110">
        <v>30.0001</v>
      </c>
      <c r="FT110">
        <v>24.754300000000001</v>
      </c>
      <c r="FU110">
        <v>24.754799999999999</v>
      </c>
      <c r="FV110">
        <v>11.3721</v>
      </c>
      <c r="FW110">
        <v>30.7317</v>
      </c>
      <c r="FX110">
        <v>56.8934</v>
      </c>
      <c r="FY110">
        <v>18.074100000000001</v>
      </c>
      <c r="FZ110">
        <v>150</v>
      </c>
      <c r="GA110">
        <v>14.441800000000001</v>
      </c>
      <c r="GB110">
        <v>99.946700000000007</v>
      </c>
      <c r="GC110">
        <v>99.7547</v>
      </c>
    </row>
    <row r="111" spans="1:185" x14ac:dyDescent="0.2">
      <c r="A111">
        <v>96</v>
      </c>
      <c r="B111">
        <v>1771087321</v>
      </c>
      <c r="C111">
        <v>2001</v>
      </c>
      <c r="D111" t="s">
        <v>488</v>
      </c>
      <c r="E111" t="s">
        <v>489</v>
      </c>
      <c r="F111">
        <v>15</v>
      </c>
      <c r="G111">
        <v>1771087312.9333301</v>
      </c>
      <c r="H111">
        <f t="shared" si="13"/>
        <v>8.1744452567979317E-4</v>
      </c>
      <c r="I111">
        <v>0</v>
      </c>
      <c r="J111">
        <f t="shared" si="25"/>
        <v>-5.0101881051881191E-3</v>
      </c>
      <c r="K111">
        <f t="shared" si="14"/>
        <v>-0.13580583375667438</v>
      </c>
      <c r="L111">
        <f t="shared" si="15"/>
        <v>70.322277956377761</v>
      </c>
      <c r="M111">
        <f t="shared" si="16"/>
        <v>1.5483767508821733</v>
      </c>
      <c r="N111">
        <f t="shared" si="17"/>
        <v>2.2018296276503735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26203.98192363212</v>
      </c>
      <c r="T111">
        <f t="shared" si="21"/>
        <v>799.99980000000005</v>
      </c>
      <c r="U111">
        <f t="shared" si="22"/>
        <v>674.39983363999931</v>
      </c>
      <c r="V111">
        <f t="shared" si="23"/>
        <v>0.84300000279999976</v>
      </c>
      <c r="W111">
        <f t="shared" si="24"/>
        <v>0.15870005896799996</v>
      </c>
      <c r="X111">
        <v>1</v>
      </c>
      <c r="Y111">
        <v>1771087312.9333301</v>
      </c>
      <c r="Z111">
        <v>150.019133333333</v>
      </c>
      <c r="AA111">
        <v>150.00266666666701</v>
      </c>
      <c r="AB111">
        <v>15.480919999999999</v>
      </c>
      <c r="AC111">
        <v>14.4749466666667</v>
      </c>
      <c r="AD111">
        <v>150.553</v>
      </c>
      <c r="AE111">
        <v>15.380986666666701</v>
      </c>
      <c r="AF111">
        <v>800.01099999999997</v>
      </c>
      <c r="AG111">
        <v>99.953760000000003</v>
      </c>
      <c r="AH111">
        <v>6.46336666666667E-2</v>
      </c>
      <c r="AI111">
        <v>18.975633333333299</v>
      </c>
      <c r="AJ111">
        <v>999.9</v>
      </c>
      <c r="AK111">
        <v>999.9</v>
      </c>
      <c r="AL111">
        <v>0</v>
      </c>
      <c r="AM111">
        <v>0</v>
      </c>
      <c r="AN111">
        <v>4998.6333333333296</v>
      </c>
      <c r="AO111">
        <v>0</v>
      </c>
      <c r="AP111">
        <v>2.0325500000000001</v>
      </c>
      <c r="AQ111">
        <v>1.65822377333333E-2</v>
      </c>
      <c r="AR111">
        <v>152.378266666667</v>
      </c>
      <c r="AS111">
        <v>152.20580000000001</v>
      </c>
      <c r="AT111">
        <v>1.0059693333333299</v>
      </c>
      <c r="AU111">
        <v>150.00266666666701</v>
      </c>
      <c r="AV111">
        <v>14.4749466666667</v>
      </c>
      <c r="AW111">
        <v>1.5473779999999999</v>
      </c>
      <c r="AX111">
        <v>1.4468259999999999</v>
      </c>
      <c r="AY111">
        <v>13.444513333333299</v>
      </c>
      <c r="AZ111">
        <v>12.4175066666667</v>
      </c>
      <c r="BA111">
        <v>799.99980000000005</v>
      </c>
      <c r="BB111">
        <v>0.89999913333333303</v>
      </c>
      <c r="BC111">
        <v>0</v>
      </c>
      <c r="BD111">
        <v>0.10000083999999999</v>
      </c>
      <c r="BE111">
        <v>0</v>
      </c>
      <c r="BF111">
        <v>25</v>
      </c>
      <c r="BG111">
        <v>13191.0133333333</v>
      </c>
      <c r="BH111">
        <v>1771087289</v>
      </c>
      <c r="BI111" t="s">
        <v>483</v>
      </c>
      <c r="BJ111">
        <v>1771087289</v>
      </c>
      <c r="BK111">
        <v>1771087289</v>
      </c>
      <c r="BL111">
        <v>4</v>
      </c>
      <c r="BM111">
        <v>-4.5999999999999999E-2</v>
      </c>
      <c r="BN111">
        <v>-4.0000000000000001E-3</v>
      </c>
      <c r="BO111">
        <v>-0.53400000000000003</v>
      </c>
      <c r="BP111">
        <v>0.1</v>
      </c>
      <c r="BQ111">
        <v>150</v>
      </c>
      <c r="BR111">
        <v>14</v>
      </c>
      <c r="BS111">
        <v>0.42</v>
      </c>
      <c r="BT111">
        <v>0.03</v>
      </c>
      <c r="BU111">
        <v>1.53869683E-2</v>
      </c>
      <c r="BV111">
        <v>6.9958663669172902E-2</v>
      </c>
      <c r="BW111">
        <v>1.2362852499959699E-2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1.0006780500000001</v>
      </c>
      <c r="CD111">
        <v>9.2616045112780904E-2</v>
      </c>
      <c r="CE111">
        <v>1.3727508508374699E-2</v>
      </c>
      <c r="CF111">
        <v>1</v>
      </c>
      <c r="CG111">
        <v>2</v>
      </c>
      <c r="CH111">
        <v>2</v>
      </c>
      <c r="CI111" t="s">
        <v>310</v>
      </c>
      <c r="CJ111">
        <v>3.5325799999999998</v>
      </c>
      <c r="CK111">
        <v>2.7021000000000002</v>
      </c>
      <c r="CL111">
        <v>4.20361E-2</v>
      </c>
      <c r="CM111">
        <v>4.1452700000000002E-2</v>
      </c>
      <c r="CN111">
        <v>8.7489499999999998E-2</v>
      </c>
      <c r="CO111">
        <v>8.2351300000000002E-2</v>
      </c>
      <c r="CP111">
        <v>33623.800000000003</v>
      </c>
      <c r="CQ111">
        <v>29529.1</v>
      </c>
      <c r="CR111">
        <v>32482.400000000001</v>
      </c>
      <c r="CS111">
        <v>30730</v>
      </c>
      <c r="CT111">
        <v>40118.699999999997</v>
      </c>
      <c r="CU111">
        <v>39642.1</v>
      </c>
      <c r="CV111">
        <v>47427.5</v>
      </c>
      <c r="CW111">
        <v>46854.9</v>
      </c>
      <c r="CX111">
        <v>2.6330399999999998</v>
      </c>
      <c r="CY111">
        <v>2.1663199999999998</v>
      </c>
      <c r="CZ111">
        <v>0</v>
      </c>
      <c r="DA111">
        <v>0</v>
      </c>
      <c r="DB111">
        <v>999.9</v>
      </c>
      <c r="DC111">
        <v>999.9</v>
      </c>
      <c r="DD111">
        <v>63.399000000000001</v>
      </c>
      <c r="DE111">
        <v>24.683</v>
      </c>
      <c r="DF111">
        <v>19.790299999999998</v>
      </c>
      <c r="DG111">
        <v>30.267399999999999</v>
      </c>
      <c r="DH111">
        <v>15.1683</v>
      </c>
      <c r="DI111">
        <v>2</v>
      </c>
      <c r="DJ111">
        <v>-0.17830699999999999</v>
      </c>
      <c r="DK111">
        <v>1.89957</v>
      </c>
      <c r="DL111">
        <v>20.1995</v>
      </c>
      <c r="DM111">
        <v>5.2488000000000001</v>
      </c>
      <c r="DN111">
        <v>12.033899999999999</v>
      </c>
      <c r="DO111">
        <v>4.9669999999999996</v>
      </c>
      <c r="DP111">
        <v>3.29088</v>
      </c>
      <c r="DQ111">
        <v>9999</v>
      </c>
      <c r="DR111">
        <v>9999</v>
      </c>
      <c r="DS111">
        <v>9999</v>
      </c>
      <c r="DT111">
        <v>604.4</v>
      </c>
      <c r="DU111">
        <v>1.87104</v>
      </c>
      <c r="DV111">
        <v>1.87609</v>
      </c>
      <c r="DW111">
        <v>1.87629</v>
      </c>
      <c r="DX111">
        <v>1.88279</v>
      </c>
      <c r="DY111">
        <v>1.87561</v>
      </c>
      <c r="DZ111">
        <v>1.87466</v>
      </c>
      <c r="EA111">
        <v>1.8707499999999999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-0.53400000000000003</v>
      </c>
      <c r="EQ111">
        <v>9.9900000000000003E-2</v>
      </c>
      <c r="ER111">
        <v>-0.53370000000001006</v>
      </c>
      <c r="ES111">
        <v>0</v>
      </c>
      <c r="ET111">
        <v>0</v>
      </c>
      <c r="EU111">
        <v>0</v>
      </c>
      <c r="EV111">
        <v>9.9940000000001902E-2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0.5</v>
      </c>
      <c r="FE111">
        <v>0.5</v>
      </c>
      <c r="FF111">
        <v>0.56640599999999997</v>
      </c>
      <c r="FG111">
        <v>2.5976599999999999</v>
      </c>
      <c r="FH111">
        <v>2.19604</v>
      </c>
      <c r="FI111">
        <v>2.5817899999999998</v>
      </c>
      <c r="FJ111">
        <v>2.4462899999999999</v>
      </c>
      <c r="FK111">
        <v>2.3010299999999999</v>
      </c>
      <c r="FL111">
        <v>30.136099999999999</v>
      </c>
      <c r="FM111">
        <v>24.148800000000001</v>
      </c>
      <c r="FN111">
        <v>19</v>
      </c>
      <c r="FO111">
        <v>862.80499999999995</v>
      </c>
      <c r="FP111">
        <v>595.95500000000004</v>
      </c>
      <c r="FQ111">
        <v>18.104099999999999</v>
      </c>
      <c r="FR111">
        <v>24.775400000000001</v>
      </c>
      <c r="FS111">
        <v>30.0002</v>
      </c>
      <c r="FT111">
        <v>24.758500000000002</v>
      </c>
      <c r="FU111">
        <v>24.759399999999999</v>
      </c>
      <c r="FV111">
        <v>11.371700000000001</v>
      </c>
      <c r="FW111">
        <v>30.7317</v>
      </c>
      <c r="FX111">
        <v>56.518999999999998</v>
      </c>
      <c r="FY111">
        <v>18.125399999999999</v>
      </c>
      <c r="FZ111">
        <v>150</v>
      </c>
      <c r="GA111">
        <v>14.4201</v>
      </c>
      <c r="GB111">
        <v>99.945300000000003</v>
      </c>
      <c r="GC111">
        <v>99.751999999999995</v>
      </c>
    </row>
    <row r="112" spans="1:185" x14ac:dyDescent="0.2">
      <c r="A112">
        <v>97</v>
      </c>
      <c r="B112">
        <v>1771087336</v>
      </c>
      <c r="C112">
        <v>2016</v>
      </c>
      <c r="D112" t="s">
        <v>490</v>
      </c>
      <c r="E112" t="s">
        <v>491</v>
      </c>
      <c r="F112">
        <v>15</v>
      </c>
      <c r="G112">
        <v>1771087327.9333301</v>
      </c>
      <c r="H112">
        <f t="shared" si="13"/>
        <v>8.2770600691276332E-4</v>
      </c>
      <c r="I112">
        <v>0</v>
      </c>
      <c r="J112">
        <f t="shared" si="25"/>
        <v>-5.3486878679261489E-3</v>
      </c>
      <c r="K112">
        <f t="shared" si="14"/>
        <v>-0.14498118636618454</v>
      </c>
      <c r="L112">
        <f t="shared" si="15"/>
        <v>70.330874408902716</v>
      </c>
      <c r="M112">
        <f t="shared" si="16"/>
        <v>1.5486266003718123</v>
      </c>
      <c r="N112">
        <f t="shared" si="17"/>
        <v>2.2019157495015902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26208.744091349989</v>
      </c>
      <c r="T112">
        <f t="shared" si="21"/>
        <v>800.00046666666697</v>
      </c>
      <c r="U112">
        <f t="shared" si="22"/>
        <v>674.40044460003003</v>
      </c>
      <c r="V112">
        <f t="shared" si="23"/>
        <v>0.84300006399999994</v>
      </c>
      <c r="W112">
        <f t="shared" si="24"/>
        <v>0.15870015999999998</v>
      </c>
      <c r="X112">
        <v>1</v>
      </c>
      <c r="Y112">
        <v>1771087327.9333301</v>
      </c>
      <c r="Z112">
        <v>150.03039999999999</v>
      </c>
      <c r="AA112">
        <v>150.0044</v>
      </c>
      <c r="AB112">
        <v>15.48358</v>
      </c>
      <c r="AC112">
        <v>14.464973333333299</v>
      </c>
      <c r="AD112">
        <v>150.5642</v>
      </c>
      <c r="AE112">
        <v>15.3836333333333</v>
      </c>
      <c r="AF112">
        <v>800.00473333333298</v>
      </c>
      <c r="AG112">
        <v>99.9528733333334</v>
      </c>
      <c r="AH112">
        <v>6.4474100000000006E-2</v>
      </c>
      <c r="AI112">
        <v>18.97626</v>
      </c>
      <c r="AJ112">
        <v>999.9</v>
      </c>
      <c r="AK112">
        <v>999.9</v>
      </c>
      <c r="AL112">
        <v>0</v>
      </c>
      <c r="AM112">
        <v>0</v>
      </c>
      <c r="AN112">
        <v>4999.4666666666699</v>
      </c>
      <c r="AO112">
        <v>0</v>
      </c>
      <c r="AP112">
        <v>2.0325500000000001</v>
      </c>
      <c r="AQ112">
        <v>2.6023353333333301E-2</v>
      </c>
      <c r="AR112">
        <v>152.39013333333301</v>
      </c>
      <c r="AS112">
        <v>152.206066666667</v>
      </c>
      <c r="AT112">
        <v>1.0186126666666699</v>
      </c>
      <c r="AU112">
        <v>150.0044</v>
      </c>
      <c r="AV112">
        <v>14.464973333333299</v>
      </c>
      <c r="AW112">
        <v>1.547628</v>
      </c>
      <c r="AX112">
        <v>1.4458139999999999</v>
      </c>
      <c r="AY112">
        <v>13.447006666666701</v>
      </c>
      <c r="AZ112">
        <v>12.40686</v>
      </c>
      <c r="BA112">
        <v>800.00046666666697</v>
      </c>
      <c r="BB112">
        <v>0.89999786666666703</v>
      </c>
      <c r="BC112">
        <v>0</v>
      </c>
      <c r="BD112">
        <v>0.10000213333333299</v>
      </c>
      <c r="BE112">
        <v>0</v>
      </c>
      <c r="BF112">
        <v>25</v>
      </c>
      <c r="BG112">
        <v>13191.026666666699</v>
      </c>
      <c r="BH112">
        <v>1771087289</v>
      </c>
      <c r="BI112" t="s">
        <v>483</v>
      </c>
      <c r="BJ112">
        <v>1771087289</v>
      </c>
      <c r="BK112">
        <v>1771087289</v>
      </c>
      <c r="BL112">
        <v>4</v>
      </c>
      <c r="BM112">
        <v>-4.5999999999999999E-2</v>
      </c>
      <c r="BN112">
        <v>-4.0000000000000001E-3</v>
      </c>
      <c r="BO112">
        <v>-0.53400000000000003</v>
      </c>
      <c r="BP112">
        <v>0.1</v>
      </c>
      <c r="BQ112">
        <v>150</v>
      </c>
      <c r="BR112">
        <v>14</v>
      </c>
      <c r="BS112">
        <v>0.42</v>
      </c>
      <c r="BT112">
        <v>0.03</v>
      </c>
      <c r="BU112">
        <v>2.5604249380952401E-2</v>
      </c>
      <c r="BV112">
        <v>4.2200997818181797E-2</v>
      </c>
      <c r="BW112">
        <v>2.60974605142455E-2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1.0154980952381001</v>
      </c>
      <c r="CD112">
        <v>4.0627792207792203E-2</v>
      </c>
      <c r="CE112">
        <v>5.7124439095277797E-3</v>
      </c>
      <c r="CF112">
        <v>1</v>
      </c>
      <c r="CG112">
        <v>2</v>
      </c>
      <c r="CH112">
        <v>2</v>
      </c>
      <c r="CI112" t="s">
        <v>310</v>
      </c>
      <c r="CJ112">
        <v>3.5324399999999998</v>
      </c>
      <c r="CK112">
        <v>2.7022499999999998</v>
      </c>
      <c r="CL112">
        <v>4.2035999999999997E-2</v>
      </c>
      <c r="CM112">
        <v>4.1451300000000003E-2</v>
      </c>
      <c r="CN112">
        <v>8.7473300000000004E-2</v>
      </c>
      <c r="CO112">
        <v>8.2317399999999999E-2</v>
      </c>
      <c r="CP112">
        <v>33623.699999999997</v>
      </c>
      <c r="CQ112">
        <v>29529.4</v>
      </c>
      <c r="CR112">
        <v>32482.400000000001</v>
      </c>
      <c r="CS112">
        <v>30730.3</v>
      </c>
      <c r="CT112">
        <v>40119.5</v>
      </c>
      <c r="CU112">
        <v>39644.1</v>
      </c>
      <c r="CV112">
        <v>47427.6</v>
      </c>
      <c r="CW112">
        <v>46855.5</v>
      </c>
      <c r="CX112">
        <v>2.6336200000000001</v>
      </c>
      <c r="CY112">
        <v>2.1661800000000002</v>
      </c>
      <c r="CZ112">
        <v>0</v>
      </c>
      <c r="DA112">
        <v>0</v>
      </c>
      <c r="DB112">
        <v>999.9</v>
      </c>
      <c r="DC112">
        <v>999.9</v>
      </c>
      <c r="DD112">
        <v>63.319000000000003</v>
      </c>
      <c r="DE112">
        <v>24.702999999999999</v>
      </c>
      <c r="DF112">
        <v>19.788499999999999</v>
      </c>
      <c r="DG112">
        <v>30.177399999999999</v>
      </c>
      <c r="DH112">
        <v>15.180300000000001</v>
      </c>
      <c r="DI112">
        <v>2</v>
      </c>
      <c r="DJ112">
        <v>-0.1779</v>
      </c>
      <c r="DK112">
        <v>1.8551599999999999</v>
      </c>
      <c r="DL112">
        <v>20.200500000000002</v>
      </c>
      <c r="DM112">
        <v>5.2485600000000003</v>
      </c>
      <c r="DN112">
        <v>12.033899999999999</v>
      </c>
      <c r="DO112">
        <v>4.9669600000000003</v>
      </c>
      <c r="DP112">
        <v>3.2909999999999999</v>
      </c>
      <c r="DQ112">
        <v>9999</v>
      </c>
      <c r="DR112">
        <v>9999</v>
      </c>
      <c r="DS112">
        <v>9999</v>
      </c>
      <c r="DT112">
        <v>604.4</v>
      </c>
      <c r="DU112">
        <v>1.87104</v>
      </c>
      <c r="DV112">
        <v>1.8761099999999999</v>
      </c>
      <c r="DW112">
        <v>1.87635</v>
      </c>
      <c r="DX112">
        <v>1.88279</v>
      </c>
      <c r="DY112">
        <v>1.87561</v>
      </c>
      <c r="DZ112">
        <v>1.8746700000000001</v>
      </c>
      <c r="EA112">
        <v>1.87079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-0.53300000000000003</v>
      </c>
      <c r="EQ112">
        <v>0.1</v>
      </c>
      <c r="ER112">
        <v>-0.53370000000001006</v>
      </c>
      <c r="ES112">
        <v>0</v>
      </c>
      <c r="ET112">
        <v>0</v>
      </c>
      <c r="EU112">
        <v>0</v>
      </c>
      <c r="EV112">
        <v>9.9940000000001902E-2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0.8</v>
      </c>
      <c r="FE112">
        <v>0.8</v>
      </c>
      <c r="FF112">
        <v>0.56518599999999997</v>
      </c>
      <c r="FG112">
        <v>2.5878899999999998</v>
      </c>
      <c r="FH112">
        <v>2.19604</v>
      </c>
      <c r="FI112">
        <v>2.5817899999999998</v>
      </c>
      <c r="FJ112">
        <v>2.4462899999999999</v>
      </c>
      <c r="FK112">
        <v>2.32056</v>
      </c>
      <c r="FL112">
        <v>30.136099999999999</v>
      </c>
      <c r="FM112">
        <v>24.148800000000001</v>
      </c>
      <c r="FN112">
        <v>19</v>
      </c>
      <c r="FO112">
        <v>863.42700000000002</v>
      </c>
      <c r="FP112">
        <v>595.91300000000001</v>
      </c>
      <c r="FQ112">
        <v>18.156500000000001</v>
      </c>
      <c r="FR112">
        <v>24.78</v>
      </c>
      <c r="FS112">
        <v>30.0001</v>
      </c>
      <c r="FT112">
        <v>24.7638</v>
      </c>
      <c r="FU112">
        <v>24.7652</v>
      </c>
      <c r="FV112">
        <v>11.3718</v>
      </c>
      <c r="FW112">
        <v>30.7317</v>
      </c>
      <c r="FX112">
        <v>56.518999999999998</v>
      </c>
      <c r="FY112">
        <v>18.175000000000001</v>
      </c>
      <c r="FZ112">
        <v>150</v>
      </c>
      <c r="GA112">
        <v>14.3988</v>
      </c>
      <c r="GB112">
        <v>99.945400000000006</v>
      </c>
      <c r="GC112">
        <v>99.753100000000003</v>
      </c>
    </row>
    <row r="113" spans="1:185" x14ac:dyDescent="0.2">
      <c r="A113">
        <v>98</v>
      </c>
      <c r="B113">
        <v>1771087351</v>
      </c>
      <c r="C113">
        <v>2031</v>
      </c>
      <c r="D113" t="s">
        <v>492</v>
      </c>
      <c r="E113" t="s">
        <v>493</v>
      </c>
      <c r="F113">
        <v>15</v>
      </c>
      <c r="G113">
        <v>1771087342.9333301</v>
      </c>
      <c r="H113">
        <f t="shared" si="13"/>
        <v>8.3759289410142155E-4</v>
      </c>
      <c r="I113">
        <v>0</v>
      </c>
      <c r="J113">
        <f t="shared" si="25"/>
        <v>-5.1985156755928966E-3</v>
      </c>
      <c r="K113">
        <f t="shared" si="14"/>
        <v>-0.14091062866281878</v>
      </c>
      <c r="L113">
        <f t="shared" si="15"/>
        <v>70.312489070544515</v>
      </c>
      <c r="M113">
        <f t="shared" si="16"/>
        <v>1.5485928729147749</v>
      </c>
      <c r="N113">
        <f t="shared" si="17"/>
        <v>2.2024435393846913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26203.960998866001</v>
      </c>
      <c r="T113">
        <f t="shared" si="21"/>
        <v>799.99893333333296</v>
      </c>
      <c r="U113">
        <f t="shared" si="22"/>
        <v>674.39905312006317</v>
      </c>
      <c r="V113">
        <f t="shared" si="23"/>
        <v>0.84299994039999993</v>
      </c>
      <c r="W113">
        <f t="shared" si="24"/>
        <v>0.15870000690399999</v>
      </c>
      <c r="X113">
        <v>1</v>
      </c>
      <c r="Y113">
        <v>1771087342.9333301</v>
      </c>
      <c r="Z113">
        <v>150.02180000000001</v>
      </c>
      <c r="AA113">
        <v>150.002733333333</v>
      </c>
      <c r="AB113">
        <v>15.483333333333301</v>
      </c>
      <c r="AC113">
        <v>14.45256</v>
      </c>
      <c r="AD113">
        <v>150.55566666666701</v>
      </c>
      <c r="AE113">
        <v>15.3834066666667</v>
      </c>
      <c r="AF113">
        <v>800.00533333333306</v>
      </c>
      <c r="AG113">
        <v>99.9521266666667</v>
      </c>
      <c r="AH113">
        <v>6.4635846666666705E-2</v>
      </c>
      <c r="AI113">
        <v>18.9801</v>
      </c>
      <c r="AJ113">
        <v>999.9</v>
      </c>
      <c r="AK113">
        <v>999.9</v>
      </c>
      <c r="AL113">
        <v>0</v>
      </c>
      <c r="AM113">
        <v>0</v>
      </c>
      <c r="AN113">
        <v>4998.7666666666701</v>
      </c>
      <c r="AO113">
        <v>0</v>
      </c>
      <c r="AP113">
        <v>2.0325500000000001</v>
      </c>
      <c r="AQ113">
        <v>1.9167070599999999E-2</v>
      </c>
      <c r="AR113">
        <v>152.38120000000001</v>
      </c>
      <c r="AS113">
        <v>152.202333333333</v>
      </c>
      <c r="AT113">
        <v>1.030794</v>
      </c>
      <c r="AU113">
        <v>150.002733333333</v>
      </c>
      <c r="AV113">
        <v>14.45256</v>
      </c>
      <c r="AW113">
        <v>1.5475926666666699</v>
      </c>
      <c r="AX113">
        <v>1.4445633333333301</v>
      </c>
      <c r="AY113">
        <v>13.446666666666699</v>
      </c>
      <c r="AZ113">
        <v>12.3936666666667</v>
      </c>
      <c r="BA113">
        <v>799.99893333333296</v>
      </c>
      <c r="BB113">
        <v>0.89999966666666698</v>
      </c>
      <c r="BC113">
        <v>0</v>
      </c>
      <c r="BD113">
        <v>0.100000253333333</v>
      </c>
      <c r="BE113">
        <v>0</v>
      </c>
      <c r="BF113">
        <v>25</v>
      </c>
      <c r="BG113">
        <v>13191.02</v>
      </c>
      <c r="BH113">
        <v>1771087289</v>
      </c>
      <c r="BI113" t="s">
        <v>483</v>
      </c>
      <c r="BJ113">
        <v>1771087289</v>
      </c>
      <c r="BK113">
        <v>1771087289</v>
      </c>
      <c r="BL113">
        <v>4</v>
      </c>
      <c r="BM113">
        <v>-4.5999999999999999E-2</v>
      </c>
      <c r="BN113">
        <v>-4.0000000000000001E-3</v>
      </c>
      <c r="BO113">
        <v>-0.53400000000000003</v>
      </c>
      <c r="BP113">
        <v>0.1</v>
      </c>
      <c r="BQ113">
        <v>150</v>
      </c>
      <c r="BR113">
        <v>14</v>
      </c>
      <c r="BS113">
        <v>0.42</v>
      </c>
      <c r="BT113">
        <v>0.03</v>
      </c>
      <c r="BU113">
        <v>2.67079613809524E-2</v>
      </c>
      <c r="BV113">
        <v>-0.17298945974026</v>
      </c>
      <c r="BW113">
        <v>3.8118744197111303E-2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1.0255399999999999</v>
      </c>
      <c r="CD113">
        <v>8.9714025974025197E-2</v>
      </c>
      <c r="CE113">
        <v>1.10015128829759E-2</v>
      </c>
      <c r="CF113">
        <v>1</v>
      </c>
      <c r="CG113">
        <v>2</v>
      </c>
      <c r="CH113">
        <v>2</v>
      </c>
      <c r="CI113" t="s">
        <v>310</v>
      </c>
      <c r="CJ113">
        <v>3.5325600000000001</v>
      </c>
      <c r="CK113">
        <v>2.70261</v>
      </c>
      <c r="CL113">
        <v>4.2030999999999999E-2</v>
      </c>
      <c r="CM113">
        <v>4.1448100000000002E-2</v>
      </c>
      <c r="CN113">
        <v>8.7450899999999998E-2</v>
      </c>
      <c r="CO113">
        <v>8.2139799999999999E-2</v>
      </c>
      <c r="CP113">
        <v>33623.599999999999</v>
      </c>
      <c r="CQ113">
        <v>29528.9</v>
      </c>
      <c r="CR113">
        <v>32482.1</v>
      </c>
      <c r="CS113">
        <v>30729.7</v>
      </c>
      <c r="CT113">
        <v>40120.199999999997</v>
      </c>
      <c r="CU113">
        <v>39651.4</v>
      </c>
      <c r="CV113">
        <v>47427.1</v>
      </c>
      <c r="CW113">
        <v>46854.7</v>
      </c>
      <c r="CX113">
        <v>2.63388</v>
      </c>
      <c r="CY113">
        <v>2.1660200000000001</v>
      </c>
      <c r="CZ113">
        <v>0</v>
      </c>
      <c r="DA113">
        <v>0</v>
      </c>
      <c r="DB113">
        <v>999.9</v>
      </c>
      <c r="DC113">
        <v>999.9</v>
      </c>
      <c r="DD113">
        <v>63.246000000000002</v>
      </c>
      <c r="DE113">
        <v>24.722999999999999</v>
      </c>
      <c r="DF113">
        <v>19.790099999999999</v>
      </c>
      <c r="DG113">
        <v>30.087399999999999</v>
      </c>
      <c r="DH113">
        <v>15.1562</v>
      </c>
      <c r="DI113">
        <v>2</v>
      </c>
      <c r="DJ113">
        <v>-0.177705</v>
      </c>
      <c r="DK113">
        <v>1.82606</v>
      </c>
      <c r="DL113">
        <v>20.200700000000001</v>
      </c>
      <c r="DM113">
        <v>5.2490399999999999</v>
      </c>
      <c r="DN113">
        <v>12.033899999999999</v>
      </c>
      <c r="DO113">
        <v>4.9668000000000001</v>
      </c>
      <c r="DP113">
        <v>3.2909999999999999</v>
      </c>
      <c r="DQ113">
        <v>9999</v>
      </c>
      <c r="DR113">
        <v>9999</v>
      </c>
      <c r="DS113">
        <v>9999</v>
      </c>
      <c r="DT113">
        <v>604.4</v>
      </c>
      <c r="DU113">
        <v>1.87103</v>
      </c>
      <c r="DV113">
        <v>1.87609</v>
      </c>
      <c r="DW113">
        <v>1.8763300000000001</v>
      </c>
      <c r="DX113">
        <v>1.88279</v>
      </c>
      <c r="DY113">
        <v>1.8755999999999999</v>
      </c>
      <c r="DZ113">
        <v>1.8746700000000001</v>
      </c>
      <c r="EA113">
        <v>1.8707400000000001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-0.53300000000000003</v>
      </c>
      <c r="EQ113">
        <v>9.9900000000000003E-2</v>
      </c>
      <c r="ER113">
        <v>-0.53370000000001006</v>
      </c>
      <c r="ES113">
        <v>0</v>
      </c>
      <c r="ET113">
        <v>0</v>
      </c>
      <c r="EU113">
        <v>0</v>
      </c>
      <c r="EV113">
        <v>9.9940000000001902E-2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1</v>
      </c>
      <c r="FE113">
        <v>1</v>
      </c>
      <c r="FF113">
        <v>0.56640599999999997</v>
      </c>
      <c r="FG113">
        <v>2.5988799999999999</v>
      </c>
      <c r="FH113">
        <v>2.19604</v>
      </c>
      <c r="FI113">
        <v>2.5817899999999998</v>
      </c>
      <c r="FJ113">
        <v>2.4462899999999999</v>
      </c>
      <c r="FK113">
        <v>2.2949199999999998</v>
      </c>
      <c r="FL113">
        <v>30.157599999999999</v>
      </c>
      <c r="FM113">
        <v>24.148800000000001</v>
      </c>
      <c r="FN113">
        <v>19</v>
      </c>
      <c r="FO113">
        <v>863.74900000000002</v>
      </c>
      <c r="FP113">
        <v>595.84</v>
      </c>
      <c r="FQ113">
        <v>18.203099999999999</v>
      </c>
      <c r="FR113">
        <v>24.784500000000001</v>
      </c>
      <c r="FS113">
        <v>30.000299999999999</v>
      </c>
      <c r="FT113">
        <v>24.768799999999999</v>
      </c>
      <c r="FU113">
        <v>24.7697</v>
      </c>
      <c r="FV113">
        <v>11.3714</v>
      </c>
      <c r="FW113">
        <v>31.0047</v>
      </c>
      <c r="FX113">
        <v>56.144599999999997</v>
      </c>
      <c r="FY113">
        <v>18.216200000000001</v>
      </c>
      <c r="FZ113">
        <v>150</v>
      </c>
      <c r="GA113">
        <v>14.3863</v>
      </c>
      <c r="GB113">
        <v>99.944500000000005</v>
      </c>
      <c r="GC113">
        <v>99.751300000000001</v>
      </c>
    </row>
    <row r="114" spans="1:185" x14ac:dyDescent="0.2">
      <c r="A114">
        <v>99</v>
      </c>
      <c r="B114">
        <v>1771087366</v>
      </c>
      <c r="C114">
        <v>2046</v>
      </c>
      <c r="D114" t="s">
        <v>494</v>
      </c>
      <c r="E114" t="s">
        <v>495</v>
      </c>
      <c r="F114">
        <v>15</v>
      </c>
      <c r="G114">
        <v>1771087357.9333301</v>
      </c>
      <c r="H114">
        <f t="shared" si="13"/>
        <v>8.5360220973257079E-4</v>
      </c>
      <c r="I114">
        <v>0</v>
      </c>
      <c r="J114">
        <f t="shared" si="25"/>
        <v>-3.3093682969528382E-3</v>
      </c>
      <c r="K114">
        <f t="shared" si="14"/>
        <v>-8.970352237078548E-2</v>
      </c>
      <c r="L114">
        <f t="shared" si="15"/>
        <v>70.218605183587286</v>
      </c>
      <c r="M114">
        <f t="shared" si="16"/>
        <v>1.547326450348417</v>
      </c>
      <c r="N114">
        <f t="shared" si="17"/>
        <v>2.2035847141977762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26189.781213364109</v>
      </c>
      <c r="T114">
        <f t="shared" si="21"/>
        <v>799.99919999999997</v>
      </c>
      <c r="U114">
        <f t="shared" si="22"/>
        <v>674.3992393600862</v>
      </c>
      <c r="V114">
        <f t="shared" si="23"/>
        <v>0.84299989219999993</v>
      </c>
      <c r="W114">
        <f t="shared" si="24"/>
        <v>0.158699743492</v>
      </c>
      <c r="X114">
        <v>1</v>
      </c>
      <c r="Y114">
        <v>1771087357.9333301</v>
      </c>
      <c r="Z114">
        <v>149.949733333333</v>
      </c>
      <c r="AA114">
        <v>149.99760000000001</v>
      </c>
      <c r="AB114">
        <v>15.470606666666701</v>
      </c>
      <c r="AC114">
        <v>14.4201266666667</v>
      </c>
      <c r="AD114">
        <v>150.48339999999999</v>
      </c>
      <c r="AE114">
        <v>15.3706666666667</v>
      </c>
      <c r="AF114">
        <v>800.01186666666695</v>
      </c>
      <c r="AG114">
        <v>99.9525133333333</v>
      </c>
      <c r="AH114">
        <v>6.4666580000000001E-2</v>
      </c>
      <c r="AI114">
        <v>18.988399999999999</v>
      </c>
      <c r="AJ114">
        <v>999.9</v>
      </c>
      <c r="AK114">
        <v>999.9</v>
      </c>
      <c r="AL114">
        <v>0</v>
      </c>
      <c r="AM114">
        <v>0</v>
      </c>
      <c r="AN114">
        <v>4996.5333333333301</v>
      </c>
      <c r="AO114">
        <v>0</v>
      </c>
      <c r="AP114">
        <v>2.0325500000000001</v>
      </c>
      <c r="AQ114">
        <v>-4.7763137333333303E-2</v>
      </c>
      <c r="AR114">
        <v>152.30600000000001</v>
      </c>
      <c r="AS114">
        <v>152.19220000000001</v>
      </c>
      <c r="AT114">
        <v>1.05047933333333</v>
      </c>
      <c r="AU114">
        <v>149.99760000000001</v>
      </c>
      <c r="AV114">
        <v>14.4201266666667</v>
      </c>
      <c r="AW114">
        <v>1.5463273333333301</v>
      </c>
      <c r="AX114">
        <v>1.4413279999999999</v>
      </c>
      <c r="AY114">
        <v>13.434093333333299</v>
      </c>
      <c r="AZ114">
        <v>12.35956</v>
      </c>
      <c r="BA114">
        <v>799.99919999999997</v>
      </c>
      <c r="BB114">
        <v>0.90000340000000001</v>
      </c>
      <c r="BC114">
        <v>0</v>
      </c>
      <c r="BD114">
        <v>9.99965933333333E-2</v>
      </c>
      <c r="BE114">
        <v>0</v>
      </c>
      <c r="BF114">
        <v>25</v>
      </c>
      <c r="BG114">
        <v>13191.02</v>
      </c>
      <c r="BH114">
        <v>1771087289</v>
      </c>
      <c r="BI114" t="s">
        <v>483</v>
      </c>
      <c r="BJ114">
        <v>1771087289</v>
      </c>
      <c r="BK114">
        <v>1771087289</v>
      </c>
      <c r="BL114">
        <v>4</v>
      </c>
      <c r="BM114">
        <v>-4.5999999999999999E-2</v>
      </c>
      <c r="BN114">
        <v>-4.0000000000000001E-3</v>
      </c>
      <c r="BO114">
        <v>-0.53400000000000003</v>
      </c>
      <c r="BP114">
        <v>0.1</v>
      </c>
      <c r="BQ114">
        <v>150</v>
      </c>
      <c r="BR114">
        <v>14</v>
      </c>
      <c r="BS114">
        <v>0.42</v>
      </c>
      <c r="BT114">
        <v>0.03</v>
      </c>
      <c r="BU114">
        <v>-3.9166456714285702E-2</v>
      </c>
      <c r="BV114">
        <v>-0.36215349381818202</v>
      </c>
      <c r="BW114">
        <v>6.87408036434623E-2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1.0488861904761899</v>
      </c>
      <c r="CD114">
        <v>2.6117922077922202E-2</v>
      </c>
      <c r="CE114">
        <v>5.5910118993753796E-3</v>
      </c>
      <c r="CF114">
        <v>1</v>
      </c>
      <c r="CG114">
        <v>2</v>
      </c>
      <c r="CH114">
        <v>2</v>
      </c>
      <c r="CI114" t="s">
        <v>310</v>
      </c>
      <c r="CJ114">
        <v>3.53247</v>
      </c>
      <c r="CK114">
        <v>2.70248</v>
      </c>
      <c r="CL114">
        <v>4.2027099999999998E-2</v>
      </c>
      <c r="CM114">
        <v>4.1447999999999999E-2</v>
      </c>
      <c r="CN114">
        <v>8.7414400000000003E-2</v>
      </c>
      <c r="CO114">
        <v>8.2077499999999998E-2</v>
      </c>
      <c r="CP114">
        <v>33623.800000000003</v>
      </c>
      <c r="CQ114">
        <v>29529</v>
      </c>
      <c r="CR114">
        <v>32482.2</v>
      </c>
      <c r="CS114">
        <v>30729.8</v>
      </c>
      <c r="CT114">
        <v>40122</v>
      </c>
      <c r="CU114">
        <v>39654.1</v>
      </c>
      <c r="CV114">
        <v>47427.3</v>
      </c>
      <c r="CW114">
        <v>46854.7</v>
      </c>
      <c r="CX114">
        <v>2.6338400000000002</v>
      </c>
      <c r="CY114">
        <v>2.1658200000000001</v>
      </c>
      <c r="CZ114">
        <v>0</v>
      </c>
      <c r="DA114">
        <v>0</v>
      </c>
      <c r="DB114">
        <v>999.9</v>
      </c>
      <c r="DC114">
        <v>999.9</v>
      </c>
      <c r="DD114">
        <v>63.149000000000001</v>
      </c>
      <c r="DE114">
        <v>24.733000000000001</v>
      </c>
      <c r="DF114">
        <v>19.771899999999999</v>
      </c>
      <c r="DG114">
        <v>30.2074</v>
      </c>
      <c r="DH114">
        <v>15.240399999999999</v>
      </c>
      <c r="DI114">
        <v>2</v>
      </c>
      <c r="DJ114">
        <v>-0.17732500000000001</v>
      </c>
      <c r="DK114">
        <v>1.82098</v>
      </c>
      <c r="DL114">
        <v>20.200800000000001</v>
      </c>
      <c r="DM114">
        <v>5.2481999999999998</v>
      </c>
      <c r="DN114">
        <v>12.033899999999999</v>
      </c>
      <c r="DO114">
        <v>4.9670399999999999</v>
      </c>
      <c r="DP114">
        <v>3.2909999999999999</v>
      </c>
      <c r="DQ114">
        <v>9999</v>
      </c>
      <c r="DR114">
        <v>9999</v>
      </c>
      <c r="DS114">
        <v>9999</v>
      </c>
      <c r="DT114">
        <v>604.4</v>
      </c>
      <c r="DU114">
        <v>1.8710500000000001</v>
      </c>
      <c r="DV114">
        <v>1.8761000000000001</v>
      </c>
      <c r="DW114">
        <v>1.87635</v>
      </c>
      <c r="DX114">
        <v>1.88279</v>
      </c>
      <c r="DY114">
        <v>1.87561</v>
      </c>
      <c r="DZ114">
        <v>1.8746799999999999</v>
      </c>
      <c r="EA114">
        <v>1.8707400000000001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-0.53300000000000003</v>
      </c>
      <c r="EQ114">
        <v>9.9900000000000003E-2</v>
      </c>
      <c r="ER114">
        <v>-0.53370000000001006</v>
      </c>
      <c r="ES114">
        <v>0</v>
      </c>
      <c r="ET114">
        <v>0</v>
      </c>
      <c r="EU114">
        <v>0</v>
      </c>
      <c r="EV114">
        <v>9.9940000000001902E-2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1.3</v>
      </c>
      <c r="FE114">
        <v>1.3</v>
      </c>
      <c r="FF114">
        <v>0.56518599999999997</v>
      </c>
      <c r="FG114">
        <v>2.5842299999999998</v>
      </c>
      <c r="FH114">
        <v>2.19604</v>
      </c>
      <c r="FI114">
        <v>2.5817899999999998</v>
      </c>
      <c r="FJ114">
        <v>2.4462899999999999</v>
      </c>
      <c r="FK114">
        <v>2.3144499999999999</v>
      </c>
      <c r="FL114">
        <v>30.178999999999998</v>
      </c>
      <c r="FM114">
        <v>24.148800000000001</v>
      </c>
      <c r="FN114">
        <v>19</v>
      </c>
      <c r="FO114">
        <v>863.78700000000003</v>
      </c>
      <c r="FP114">
        <v>595.74599999999998</v>
      </c>
      <c r="FQ114">
        <v>18.2346</v>
      </c>
      <c r="FR114">
        <v>24.788399999999999</v>
      </c>
      <c r="FS114">
        <v>30.0001</v>
      </c>
      <c r="FT114">
        <v>24.773399999999999</v>
      </c>
      <c r="FU114">
        <v>24.775099999999998</v>
      </c>
      <c r="FV114">
        <v>11.3714</v>
      </c>
      <c r="FW114">
        <v>31.0047</v>
      </c>
      <c r="FX114">
        <v>55.773699999999998</v>
      </c>
      <c r="FY114">
        <v>18.238800000000001</v>
      </c>
      <c r="FZ114">
        <v>150</v>
      </c>
      <c r="GA114">
        <v>14.3813</v>
      </c>
      <c r="GB114">
        <v>99.944900000000004</v>
      </c>
      <c r="GC114">
        <v>99.751400000000004</v>
      </c>
    </row>
    <row r="115" spans="1:185" x14ac:dyDescent="0.2">
      <c r="A115">
        <v>100</v>
      </c>
      <c r="B115">
        <v>1771087381</v>
      </c>
      <c r="C115">
        <v>2061</v>
      </c>
      <c r="D115" t="s">
        <v>496</v>
      </c>
      <c r="E115" t="s">
        <v>497</v>
      </c>
      <c r="F115">
        <v>15</v>
      </c>
      <c r="G115">
        <v>1771087372.9333301</v>
      </c>
      <c r="H115">
        <f t="shared" si="13"/>
        <v>8.5492579886216032E-4</v>
      </c>
      <c r="I115">
        <v>0</v>
      </c>
      <c r="J115">
        <f t="shared" si="25"/>
        <v>-4.8905572450788871E-3</v>
      </c>
      <c r="K115">
        <f t="shared" si="14"/>
        <v>-0.13256312742328566</v>
      </c>
      <c r="L115">
        <f t="shared" si="15"/>
        <v>70.118578125066051</v>
      </c>
      <c r="M115">
        <f t="shared" si="16"/>
        <v>1.5461929517700408</v>
      </c>
      <c r="N115">
        <f t="shared" si="17"/>
        <v>2.205111673845118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26230.971813230015</v>
      </c>
      <c r="T115">
        <f t="shared" si="21"/>
        <v>800.00146666666706</v>
      </c>
      <c r="U115">
        <f t="shared" si="22"/>
        <v>674.40124504001585</v>
      </c>
      <c r="V115">
        <f t="shared" si="23"/>
        <v>0.84300001079999964</v>
      </c>
      <c r="W115">
        <f t="shared" si="24"/>
        <v>0.15869981912799994</v>
      </c>
      <c r="X115">
        <v>1</v>
      </c>
      <c r="Y115">
        <v>1771087372.9333301</v>
      </c>
      <c r="Z115">
        <v>150.00493333333301</v>
      </c>
      <c r="AA115">
        <v>149.99953333333301</v>
      </c>
      <c r="AB115">
        <v>15.4594466666667</v>
      </c>
      <c r="AC115">
        <v>14.40732</v>
      </c>
      <c r="AD115">
        <v>150.53866666666701</v>
      </c>
      <c r="AE115">
        <v>15.359493333333299</v>
      </c>
      <c r="AF115">
        <v>800.00739999999996</v>
      </c>
      <c r="AG115">
        <v>99.951613333333299</v>
      </c>
      <c r="AH115">
        <v>6.4447080000000004E-2</v>
      </c>
      <c r="AI115">
        <v>18.999500000000001</v>
      </c>
      <c r="AJ115">
        <v>999.9</v>
      </c>
      <c r="AK115">
        <v>999.9</v>
      </c>
      <c r="AL115">
        <v>0</v>
      </c>
      <c r="AM115">
        <v>0</v>
      </c>
      <c r="AN115">
        <v>5003.5333333333301</v>
      </c>
      <c r="AO115">
        <v>0</v>
      </c>
      <c r="AP115">
        <v>2.0325500000000001</v>
      </c>
      <c r="AQ115">
        <v>5.3812633333333304E-3</v>
      </c>
      <c r="AR115">
        <v>152.3604</v>
      </c>
      <c r="AS115">
        <v>152.192266666667</v>
      </c>
      <c r="AT115">
        <v>1.0521259999999999</v>
      </c>
      <c r="AU115">
        <v>149.99953333333301</v>
      </c>
      <c r="AV115">
        <v>14.40732</v>
      </c>
      <c r="AW115">
        <v>1.5451966666666701</v>
      </c>
      <c r="AX115">
        <v>1.44003533333333</v>
      </c>
      <c r="AY115">
        <v>13.42286</v>
      </c>
      <c r="AZ115">
        <v>12.345893333333301</v>
      </c>
      <c r="BA115">
        <v>800.00146666666706</v>
      </c>
      <c r="BB115">
        <v>0.90000273333333303</v>
      </c>
      <c r="BC115">
        <v>0</v>
      </c>
      <c r="BD115">
        <v>9.9997373333333306E-2</v>
      </c>
      <c r="BE115">
        <v>0</v>
      </c>
      <c r="BF115">
        <v>25</v>
      </c>
      <c r="BG115">
        <v>13191.0666666667</v>
      </c>
      <c r="BH115">
        <v>1771087289</v>
      </c>
      <c r="BI115" t="s">
        <v>483</v>
      </c>
      <c r="BJ115">
        <v>1771087289</v>
      </c>
      <c r="BK115">
        <v>1771087289</v>
      </c>
      <c r="BL115">
        <v>4</v>
      </c>
      <c r="BM115">
        <v>-4.5999999999999999E-2</v>
      </c>
      <c r="BN115">
        <v>-4.0000000000000001E-3</v>
      </c>
      <c r="BO115">
        <v>-0.53400000000000003</v>
      </c>
      <c r="BP115">
        <v>0.1</v>
      </c>
      <c r="BQ115">
        <v>150</v>
      </c>
      <c r="BR115">
        <v>14</v>
      </c>
      <c r="BS115">
        <v>0.42</v>
      </c>
      <c r="BT115">
        <v>0.03</v>
      </c>
      <c r="BU115">
        <v>-2.57111075E-2</v>
      </c>
      <c r="BV115">
        <v>0.51773069999999999</v>
      </c>
      <c r="BW115">
        <v>6.4156737273008996E-2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1.0520419999999999</v>
      </c>
      <c r="CD115">
        <v>-2.81918796992475E-2</v>
      </c>
      <c r="CE115">
        <v>5.5866829156486202E-3</v>
      </c>
      <c r="CF115">
        <v>1</v>
      </c>
      <c r="CG115">
        <v>1</v>
      </c>
      <c r="CH115">
        <v>2</v>
      </c>
      <c r="CI115" t="s">
        <v>299</v>
      </c>
      <c r="CJ115">
        <v>3.5325700000000002</v>
      </c>
      <c r="CK115">
        <v>2.7021799999999998</v>
      </c>
      <c r="CL115">
        <v>4.2031800000000001E-2</v>
      </c>
      <c r="CM115">
        <v>4.1444399999999999E-2</v>
      </c>
      <c r="CN115">
        <v>8.7343400000000002E-2</v>
      </c>
      <c r="CO115">
        <v>8.2082600000000006E-2</v>
      </c>
      <c r="CP115">
        <v>33622.699999999997</v>
      </c>
      <c r="CQ115">
        <v>29528.400000000001</v>
      </c>
      <c r="CR115">
        <v>32481.3</v>
      </c>
      <c r="CS115">
        <v>30729.1</v>
      </c>
      <c r="CT115">
        <v>40124.199999999997</v>
      </c>
      <c r="CU115">
        <v>39653.300000000003</v>
      </c>
      <c r="CV115">
        <v>47426.1</v>
      </c>
      <c r="CW115">
        <v>46853.9</v>
      </c>
      <c r="CX115">
        <v>2.6335600000000001</v>
      </c>
      <c r="CY115">
        <v>2.1656399999999998</v>
      </c>
      <c r="CZ115">
        <v>0</v>
      </c>
      <c r="DA115">
        <v>0</v>
      </c>
      <c r="DB115">
        <v>999.9</v>
      </c>
      <c r="DC115">
        <v>999.9</v>
      </c>
      <c r="DD115">
        <v>63.075000000000003</v>
      </c>
      <c r="DE115">
        <v>24.753</v>
      </c>
      <c r="DF115">
        <v>19.771999999999998</v>
      </c>
      <c r="DG115">
        <v>30.0274</v>
      </c>
      <c r="DH115">
        <v>15.1282</v>
      </c>
      <c r="DI115">
        <v>2</v>
      </c>
      <c r="DJ115">
        <v>-0.17587</v>
      </c>
      <c r="DK115">
        <v>2.2636099999999999</v>
      </c>
      <c r="DL115">
        <v>20.194199999999999</v>
      </c>
      <c r="DM115">
        <v>5.2486800000000002</v>
      </c>
      <c r="DN115">
        <v>12.033899999999999</v>
      </c>
      <c r="DO115">
        <v>4.96652</v>
      </c>
      <c r="DP115">
        <v>3.2909999999999999</v>
      </c>
      <c r="DQ115">
        <v>9999</v>
      </c>
      <c r="DR115">
        <v>9999</v>
      </c>
      <c r="DS115">
        <v>9999</v>
      </c>
      <c r="DT115">
        <v>604.4</v>
      </c>
      <c r="DU115">
        <v>1.87103</v>
      </c>
      <c r="DV115">
        <v>1.87608</v>
      </c>
      <c r="DW115">
        <v>1.8762799999999999</v>
      </c>
      <c r="DX115">
        <v>1.88279</v>
      </c>
      <c r="DY115">
        <v>1.8755999999999999</v>
      </c>
      <c r="DZ115">
        <v>1.8746</v>
      </c>
      <c r="EA115">
        <v>1.87073</v>
      </c>
      <c r="EB115">
        <v>1.8746700000000001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-0.53400000000000003</v>
      </c>
      <c r="EQ115">
        <v>0.1</v>
      </c>
      <c r="ER115">
        <v>-0.53370000000001006</v>
      </c>
      <c r="ES115">
        <v>0</v>
      </c>
      <c r="ET115">
        <v>0</v>
      </c>
      <c r="EU115">
        <v>0</v>
      </c>
      <c r="EV115">
        <v>9.9940000000001902E-2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1.5</v>
      </c>
      <c r="FE115">
        <v>1.5</v>
      </c>
      <c r="FF115">
        <v>0.56640599999999997</v>
      </c>
      <c r="FG115">
        <v>2.5939899999999998</v>
      </c>
      <c r="FH115">
        <v>2.19604</v>
      </c>
      <c r="FI115">
        <v>2.5817899999999998</v>
      </c>
      <c r="FJ115">
        <v>2.4462899999999999</v>
      </c>
      <c r="FK115">
        <v>2.2729499999999998</v>
      </c>
      <c r="FL115">
        <v>30.178999999999998</v>
      </c>
      <c r="FM115">
        <v>24.105</v>
      </c>
      <c r="FN115">
        <v>19</v>
      </c>
      <c r="FO115">
        <v>863.60900000000004</v>
      </c>
      <c r="FP115">
        <v>595.66099999999994</v>
      </c>
      <c r="FQ115">
        <v>18.193200000000001</v>
      </c>
      <c r="FR115">
        <v>24.7925</v>
      </c>
      <c r="FS115">
        <v>30.000900000000001</v>
      </c>
      <c r="FT115">
        <v>24.778400000000001</v>
      </c>
      <c r="FU115">
        <v>24.779900000000001</v>
      </c>
      <c r="FV115">
        <v>11.372199999999999</v>
      </c>
      <c r="FW115">
        <v>31.0047</v>
      </c>
      <c r="FX115">
        <v>55.397500000000001</v>
      </c>
      <c r="FY115">
        <v>18.1373</v>
      </c>
      <c r="FZ115">
        <v>150</v>
      </c>
      <c r="GA115">
        <v>14.3849</v>
      </c>
      <c r="GB115">
        <v>99.9422</v>
      </c>
      <c r="GC115">
        <v>99.749600000000001</v>
      </c>
    </row>
    <row r="116" spans="1:185" x14ac:dyDescent="0.2">
      <c r="A116">
        <v>101</v>
      </c>
      <c r="B116">
        <v>1771087396</v>
      </c>
      <c r="C116">
        <v>2076</v>
      </c>
      <c r="D116" t="s">
        <v>498</v>
      </c>
      <c r="E116" t="s">
        <v>499</v>
      </c>
      <c r="F116">
        <v>15</v>
      </c>
      <c r="G116">
        <v>1771087387.9333301</v>
      </c>
      <c r="H116">
        <f t="shared" si="13"/>
        <v>8.5110884422757483E-4</v>
      </c>
      <c r="I116">
        <v>0</v>
      </c>
      <c r="J116">
        <f t="shared" si="25"/>
        <v>-4.6862749078539637E-3</v>
      </c>
      <c r="K116">
        <f t="shared" si="14"/>
        <v>-0.12702586364273721</v>
      </c>
      <c r="L116">
        <f t="shared" si="15"/>
        <v>70.032672462299914</v>
      </c>
      <c r="M116">
        <f t="shared" si="16"/>
        <v>1.5447060025168382</v>
      </c>
      <c r="N116">
        <f t="shared" si="17"/>
        <v>2.2056933545530288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26227.656804984068</v>
      </c>
      <c r="T116">
        <f t="shared" si="21"/>
        <v>800.000133333333</v>
      </c>
      <c r="U116">
        <f t="shared" si="22"/>
        <v>674.40007959999434</v>
      </c>
      <c r="V116">
        <f t="shared" si="23"/>
        <v>0.84299995900000013</v>
      </c>
      <c r="W116">
        <f t="shared" si="24"/>
        <v>0.15869996246000001</v>
      </c>
      <c r="X116">
        <v>1</v>
      </c>
      <c r="Y116">
        <v>1771087387.9333301</v>
      </c>
      <c r="Z116">
        <v>149.99946666666699</v>
      </c>
      <c r="AA116">
        <v>150.00026666666699</v>
      </c>
      <c r="AB116">
        <v>15.4445266666667</v>
      </c>
      <c r="AC116">
        <v>14.3970866666667</v>
      </c>
      <c r="AD116">
        <v>150.533066666667</v>
      </c>
      <c r="AE116">
        <v>15.344580000000001</v>
      </c>
      <c r="AF116">
        <v>800.01133333333303</v>
      </c>
      <c r="AG116">
        <v>99.951973333333299</v>
      </c>
      <c r="AH116">
        <v>6.4429620000000007E-2</v>
      </c>
      <c r="AI116">
        <v>19.003726666666701</v>
      </c>
      <c r="AJ116">
        <v>999.9</v>
      </c>
      <c r="AK116">
        <v>999.9</v>
      </c>
      <c r="AL116">
        <v>0</v>
      </c>
      <c r="AM116">
        <v>0</v>
      </c>
      <c r="AN116">
        <v>5003.0333333333301</v>
      </c>
      <c r="AO116">
        <v>0</v>
      </c>
      <c r="AP116">
        <v>2.0325500000000001</v>
      </c>
      <c r="AQ116">
        <v>-8.5551686666666602E-4</v>
      </c>
      <c r="AR116">
        <v>152.35253333333301</v>
      </c>
      <c r="AS116">
        <v>152.19139999999999</v>
      </c>
      <c r="AT116">
        <v>1.0474346666666701</v>
      </c>
      <c r="AU116">
        <v>150.00026666666699</v>
      </c>
      <c r="AV116">
        <v>14.3970866666667</v>
      </c>
      <c r="AW116">
        <v>1.54371066666667</v>
      </c>
      <c r="AX116">
        <v>1.4390179999999999</v>
      </c>
      <c r="AY116">
        <v>13.40812</v>
      </c>
      <c r="AZ116">
        <v>12.3351333333333</v>
      </c>
      <c r="BA116">
        <v>800.000133333333</v>
      </c>
      <c r="BB116">
        <v>0.90000040000000003</v>
      </c>
      <c r="BC116">
        <v>0</v>
      </c>
      <c r="BD116">
        <v>9.9999566666666706E-2</v>
      </c>
      <c r="BE116">
        <v>0</v>
      </c>
      <c r="BF116">
        <v>25</v>
      </c>
      <c r="BG116">
        <v>13191.02</v>
      </c>
      <c r="BH116">
        <v>1771087289</v>
      </c>
      <c r="BI116" t="s">
        <v>483</v>
      </c>
      <c r="BJ116">
        <v>1771087289</v>
      </c>
      <c r="BK116">
        <v>1771087289</v>
      </c>
      <c r="BL116">
        <v>4</v>
      </c>
      <c r="BM116">
        <v>-4.5999999999999999E-2</v>
      </c>
      <c r="BN116">
        <v>-4.0000000000000001E-3</v>
      </c>
      <c r="BO116">
        <v>-0.53400000000000003</v>
      </c>
      <c r="BP116">
        <v>0.1</v>
      </c>
      <c r="BQ116">
        <v>150</v>
      </c>
      <c r="BR116">
        <v>14</v>
      </c>
      <c r="BS116">
        <v>0.42</v>
      </c>
      <c r="BT116">
        <v>0.03</v>
      </c>
      <c r="BU116">
        <v>2.77346128571429E-3</v>
      </c>
      <c r="BV116">
        <v>-8.6618939220779196E-3</v>
      </c>
      <c r="BW116">
        <v>1.5255544458809099E-2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1.0468447619047601</v>
      </c>
      <c r="CD116">
        <v>2.32698701298726E-2</v>
      </c>
      <c r="CE116">
        <v>4.1294547305766602E-3</v>
      </c>
      <c r="CF116">
        <v>1</v>
      </c>
      <c r="CG116">
        <v>2</v>
      </c>
      <c r="CH116">
        <v>2</v>
      </c>
      <c r="CI116" t="s">
        <v>310</v>
      </c>
      <c r="CJ116">
        <v>3.5324800000000001</v>
      </c>
      <c r="CK116">
        <v>2.7022599999999999</v>
      </c>
      <c r="CL116">
        <v>4.2023900000000003E-2</v>
      </c>
      <c r="CM116">
        <v>4.14396E-2</v>
      </c>
      <c r="CN116">
        <v>8.7286799999999998E-2</v>
      </c>
      <c r="CO116">
        <v>8.2003499999999993E-2</v>
      </c>
      <c r="CP116">
        <v>33623.300000000003</v>
      </c>
      <c r="CQ116">
        <v>29527.9</v>
      </c>
      <c r="CR116">
        <v>32481.7</v>
      </c>
      <c r="CS116">
        <v>30728.400000000001</v>
      </c>
      <c r="CT116">
        <v>40127.300000000003</v>
      </c>
      <c r="CU116">
        <v>39655.800000000003</v>
      </c>
      <c r="CV116">
        <v>47426.7</v>
      </c>
      <c r="CW116">
        <v>46852.800000000003</v>
      </c>
      <c r="CX116">
        <v>2.6335999999999999</v>
      </c>
      <c r="CY116">
        <v>2.1654200000000001</v>
      </c>
      <c r="CZ116">
        <v>0</v>
      </c>
      <c r="DA116">
        <v>0</v>
      </c>
      <c r="DB116">
        <v>999.9</v>
      </c>
      <c r="DC116">
        <v>999.9</v>
      </c>
      <c r="DD116">
        <v>62.972000000000001</v>
      </c>
      <c r="DE116">
        <v>24.763000000000002</v>
      </c>
      <c r="DF116">
        <v>19.751899999999999</v>
      </c>
      <c r="DG116">
        <v>29.787400000000002</v>
      </c>
      <c r="DH116">
        <v>15.1282</v>
      </c>
      <c r="DI116">
        <v>2</v>
      </c>
      <c r="DJ116">
        <v>-0.17647199999999999</v>
      </c>
      <c r="DK116">
        <v>1.9936400000000001</v>
      </c>
      <c r="DL116">
        <v>20.1982</v>
      </c>
      <c r="DM116">
        <v>5.2476000000000003</v>
      </c>
      <c r="DN116">
        <v>12.033899999999999</v>
      </c>
      <c r="DO116">
        <v>4.9668799999999997</v>
      </c>
      <c r="DP116">
        <v>3.2909999999999999</v>
      </c>
      <c r="DQ116">
        <v>9999</v>
      </c>
      <c r="DR116">
        <v>9999</v>
      </c>
      <c r="DS116">
        <v>9999</v>
      </c>
      <c r="DT116">
        <v>604.4</v>
      </c>
      <c r="DU116">
        <v>1.87104</v>
      </c>
      <c r="DV116">
        <v>1.87612</v>
      </c>
      <c r="DW116">
        <v>1.87635</v>
      </c>
      <c r="DX116">
        <v>1.88279</v>
      </c>
      <c r="DY116">
        <v>1.87561</v>
      </c>
      <c r="DZ116">
        <v>1.8746700000000001</v>
      </c>
      <c r="EA116">
        <v>1.8707499999999999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-0.53400000000000003</v>
      </c>
      <c r="EQ116">
        <v>0.1</v>
      </c>
      <c r="ER116">
        <v>-0.53370000000001006</v>
      </c>
      <c r="ES116">
        <v>0</v>
      </c>
      <c r="ET116">
        <v>0</v>
      </c>
      <c r="EU116">
        <v>0</v>
      </c>
      <c r="EV116">
        <v>9.9940000000001902E-2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1.8</v>
      </c>
      <c r="FE116">
        <v>1.8</v>
      </c>
      <c r="FF116">
        <v>0.56518599999999997</v>
      </c>
      <c r="FG116">
        <v>2.5915499999999998</v>
      </c>
      <c r="FH116">
        <v>2.19604</v>
      </c>
      <c r="FI116">
        <v>2.5805699999999998</v>
      </c>
      <c r="FJ116">
        <v>2.4462899999999999</v>
      </c>
      <c r="FK116">
        <v>2.2741699999999998</v>
      </c>
      <c r="FL116">
        <v>30.200500000000002</v>
      </c>
      <c r="FM116">
        <v>24.148800000000001</v>
      </c>
      <c r="FN116">
        <v>19</v>
      </c>
      <c r="FO116">
        <v>863.72699999999998</v>
      </c>
      <c r="FP116">
        <v>595.54399999999998</v>
      </c>
      <c r="FQ116">
        <v>18.1221</v>
      </c>
      <c r="FR116">
        <v>24.796700000000001</v>
      </c>
      <c r="FS116">
        <v>30</v>
      </c>
      <c r="FT116">
        <v>24.7834</v>
      </c>
      <c r="FU116">
        <v>24.784700000000001</v>
      </c>
      <c r="FV116">
        <v>11.372</v>
      </c>
      <c r="FW116">
        <v>31.0047</v>
      </c>
      <c r="FX116">
        <v>55.397500000000001</v>
      </c>
      <c r="FY116">
        <v>18.1264</v>
      </c>
      <c r="FZ116">
        <v>150</v>
      </c>
      <c r="GA116">
        <v>14.3849</v>
      </c>
      <c r="GB116">
        <v>99.943399999999997</v>
      </c>
      <c r="GC116">
        <v>99.747200000000007</v>
      </c>
    </row>
    <row r="117" spans="1:185" x14ac:dyDescent="0.2">
      <c r="A117">
        <v>102</v>
      </c>
      <c r="B117">
        <v>1771087411</v>
      </c>
      <c r="C117">
        <v>2091</v>
      </c>
      <c r="D117" t="s">
        <v>500</v>
      </c>
      <c r="E117" t="s">
        <v>501</v>
      </c>
      <c r="F117">
        <v>15</v>
      </c>
      <c r="G117">
        <v>1771087402.9333301</v>
      </c>
      <c r="H117">
        <f t="shared" si="13"/>
        <v>8.5141716837748528E-4</v>
      </c>
      <c r="I117">
        <v>0</v>
      </c>
      <c r="J117">
        <f t="shared" si="25"/>
        <v>-4.4020519935889487E-3</v>
      </c>
      <c r="K117">
        <f t="shared" si="14"/>
        <v>-0.11932173576687119</v>
      </c>
      <c r="L117">
        <f t="shared" si="15"/>
        <v>70.012910572960124</v>
      </c>
      <c r="M117">
        <f t="shared" si="16"/>
        <v>1.543886628704481</v>
      </c>
      <c r="N117">
        <f t="shared" si="17"/>
        <v>2.2051456168153503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26145.28635789072</v>
      </c>
      <c r="T117">
        <f t="shared" si="21"/>
        <v>799.99993333333305</v>
      </c>
      <c r="U117">
        <f t="shared" si="22"/>
        <v>674.40000987999474</v>
      </c>
      <c r="V117">
        <f t="shared" si="23"/>
        <v>0.84300008260000059</v>
      </c>
      <c r="W117">
        <f t="shared" si="24"/>
        <v>0.1586999856360001</v>
      </c>
      <c r="X117">
        <v>1</v>
      </c>
      <c r="Y117">
        <v>1771087402.9333301</v>
      </c>
      <c r="Z117">
        <v>149.97946666666701</v>
      </c>
      <c r="AA117">
        <v>149.989933333333</v>
      </c>
      <c r="AB117">
        <v>15.4363733333333</v>
      </c>
      <c r="AC117">
        <v>14.388533333333299</v>
      </c>
      <c r="AD117">
        <v>150.51306666666699</v>
      </c>
      <c r="AE117">
        <v>15.3364266666667</v>
      </c>
      <c r="AF117">
        <v>800.00226666666697</v>
      </c>
      <c r="AG117">
        <v>99.951606666666706</v>
      </c>
      <c r="AH117">
        <v>6.4543199999999995E-2</v>
      </c>
      <c r="AI117">
        <v>18.999746666666699</v>
      </c>
      <c r="AJ117">
        <v>999.9</v>
      </c>
      <c r="AK117">
        <v>999.9</v>
      </c>
      <c r="AL117">
        <v>0</v>
      </c>
      <c r="AM117">
        <v>0</v>
      </c>
      <c r="AN117">
        <v>4989.3999999999996</v>
      </c>
      <c r="AO117">
        <v>0</v>
      </c>
      <c r="AP117">
        <v>2.0325500000000001</v>
      </c>
      <c r="AQ117">
        <v>-1.0589593E-2</v>
      </c>
      <c r="AR117">
        <v>152.33093333333301</v>
      </c>
      <c r="AS117">
        <v>152.17959999999999</v>
      </c>
      <c r="AT117">
        <v>1.0478499999999999</v>
      </c>
      <c r="AU117">
        <v>149.989933333333</v>
      </c>
      <c r="AV117">
        <v>14.388533333333299</v>
      </c>
      <c r="AW117">
        <v>1.5428913333333301</v>
      </c>
      <c r="AX117">
        <v>1.4381553333333299</v>
      </c>
      <c r="AY117">
        <v>13.399953333333301</v>
      </c>
      <c r="AZ117">
        <v>12.326026666666699</v>
      </c>
      <c r="BA117">
        <v>799.99993333333305</v>
      </c>
      <c r="BB117">
        <v>0.90000053333333396</v>
      </c>
      <c r="BC117">
        <v>0</v>
      </c>
      <c r="BD117">
        <v>9.9999580000000005E-2</v>
      </c>
      <c r="BE117">
        <v>0</v>
      </c>
      <c r="BF117">
        <v>25</v>
      </c>
      <c r="BG117">
        <v>13191.02</v>
      </c>
      <c r="BH117">
        <v>1771087289</v>
      </c>
      <c r="BI117" t="s">
        <v>483</v>
      </c>
      <c r="BJ117">
        <v>1771087289</v>
      </c>
      <c r="BK117">
        <v>1771087289</v>
      </c>
      <c r="BL117">
        <v>4</v>
      </c>
      <c r="BM117">
        <v>-4.5999999999999999E-2</v>
      </c>
      <c r="BN117">
        <v>-4.0000000000000001E-3</v>
      </c>
      <c r="BO117">
        <v>-0.53400000000000003</v>
      </c>
      <c r="BP117">
        <v>0.1</v>
      </c>
      <c r="BQ117">
        <v>150</v>
      </c>
      <c r="BR117">
        <v>14</v>
      </c>
      <c r="BS117">
        <v>0.42</v>
      </c>
      <c r="BT117">
        <v>0.03</v>
      </c>
      <c r="BU117">
        <v>-4.5738222499999998E-3</v>
      </c>
      <c r="BV117">
        <v>-0.100939908496241</v>
      </c>
      <c r="BW117">
        <v>1.8170213891018899E-2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1.0484309999999999</v>
      </c>
      <c r="CD117">
        <v>2.8105263157892301E-3</v>
      </c>
      <c r="CE117">
        <v>3.7492344551921602E-3</v>
      </c>
      <c r="CF117">
        <v>1</v>
      </c>
      <c r="CG117">
        <v>2</v>
      </c>
      <c r="CH117">
        <v>2</v>
      </c>
      <c r="CI117" t="s">
        <v>310</v>
      </c>
      <c r="CJ117">
        <v>3.5325600000000001</v>
      </c>
      <c r="CK117">
        <v>2.70248</v>
      </c>
      <c r="CL117">
        <v>4.2023999999999999E-2</v>
      </c>
      <c r="CM117">
        <v>4.1450899999999999E-2</v>
      </c>
      <c r="CN117">
        <v>8.7245100000000006E-2</v>
      </c>
      <c r="CO117">
        <v>8.1931299999999999E-2</v>
      </c>
      <c r="CP117">
        <v>33623.1</v>
      </c>
      <c r="CQ117">
        <v>29528.7</v>
      </c>
      <c r="CR117">
        <v>32481.5</v>
      </c>
      <c r="CS117">
        <v>30729.599999999999</v>
      </c>
      <c r="CT117">
        <v>40128.9</v>
      </c>
      <c r="CU117">
        <v>39660.5</v>
      </c>
      <c r="CV117">
        <v>47426.3</v>
      </c>
      <c r="CW117">
        <v>46854.5</v>
      </c>
      <c r="CX117">
        <v>2.6337600000000001</v>
      </c>
      <c r="CY117">
        <v>2.1652200000000001</v>
      </c>
      <c r="CZ117">
        <v>0</v>
      </c>
      <c r="DA117">
        <v>0</v>
      </c>
      <c r="DB117">
        <v>999.9</v>
      </c>
      <c r="DC117">
        <v>999.9</v>
      </c>
      <c r="DD117">
        <v>62.843000000000004</v>
      </c>
      <c r="DE117">
        <v>24.773</v>
      </c>
      <c r="DF117">
        <v>19.720800000000001</v>
      </c>
      <c r="DG117">
        <v>29.967400000000001</v>
      </c>
      <c r="DH117">
        <v>15.2003</v>
      </c>
      <c r="DI117">
        <v>2</v>
      </c>
      <c r="DJ117">
        <v>-0.17619099999999999</v>
      </c>
      <c r="DK117">
        <v>1.9530400000000001</v>
      </c>
      <c r="DL117">
        <v>20.199300000000001</v>
      </c>
      <c r="DM117">
        <v>5.2472399999999997</v>
      </c>
      <c r="DN117">
        <v>12.033899999999999</v>
      </c>
      <c r="DO117">
        <v>4.9664000000000001</v>
      </c>
      <c r="DP117">
        <v>3.2909999999999999</v>
      </c>
      <c r="DQ117">
        <v>9999</v>
      </c>
      <c r="DR117">
        <v>9999</v>
      </c>
      <c r="DS117">
        <v>9999</v>
      </c>
      <c r="DT117">
        <v>604.4</v>
      </c>
      <c r="DU117">
        <v>1.87104</v>
      </c>
      <c r="DV117">
        <v>1.87608</v>
      </c>
      <c r="DW117">
        <v>1.8763099999999999</v>
      </c>
      <c r="DX117">
        <v>1.88279</v>
      </c>
      <c r="DY117">
        <v>1.8755999999999999</v>
      </c>
      <c r="DZ117">
        <v>1.8746700000000001</v>
      </c>
      <c r="EA117">
        <v>1.87073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-0.53300000000000003</v>
      </c>
      <c r="EQ117">
        <v>9.9900000000000003E-2</v>
      </c>
      <c r="ER117">
        <v>-0.53370000000001006</v>
      </c>
      <c r="ES117">
        <v>0</v>
      </c>
      <c r="ET117">
        <v>0</v>
      </c>
      <c r="EU117">
        <v>0</v>
      </c>
      <c r="EV117">
        <v>9.9940000000001902E-2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2</v>
      </c>
      <c r="FE117">
        <v>2</v>
      </c>
      <c r="FF117">
        <v>0.56640599999999997</v>
      </c>
      <c r="FG117">
        <v>2.5964399999999999</v>
      </c>
      <c r="FH117">
        <v>2.19604</v>
      </c>
      <c r="FI117">
        <v>2.5805699999999998</v>
      </c>
      <c r="FJ117">
        <v>2.4462899999999999</v>
      </c>
      <c r="FK117">
        <v>2.2888199999999999</v>
      </c>
      <c r="FL117">
        <v>30.222000000000001</v>
      </c>
      <c r="FM117">
        <v>24.148800000000001</v>
      </c>
      <c r="FN117">
        <v>19</v>
      </c>
      <c r="FO117">
        <v>863.94500000000005</v>
      </c>
      <c r="FP117">
        <v>595.43100000000004</v>
      </c>
      <c r="FQ117">
        <v>18.1279</v>
      </c>
      <c r="FR117">
        <v>24.8004</v>
      </c>
      <c r="FS117">
        <v>30</v>
      </c>
      <c r="FT117">
        <v>24.787600000000001</v>
      </c>
      <c r="FU117">
        <v>24.788499999999999</v>
      </c>
      <c r="FV117">
        <v>11.3729</v>
      </c>
      <c r="FW117">
        <v>31.0047</v>
      </c>
      <c r="FX117">
        <v>55.0244</v>
      </c>
      <c r="FY117">
        <v>18.133199999999999</v>
      </c>
      <c r="FZ117">
        <v>150</v>
      </c>
      <c r="GA117">
        <v>14.3849</v>
      </c>
      <c r="GB117">
        <v>99.942700000000002</v>
      </c>
      <c r="GC117">
        <v>99.751099999999994</v>
      </c>
    </row>
    <row r="118" spans="1:185" x14ac:dyDescent="0.2">
      <c r="A118">
        <v>103</v>
      </c>
      <c r="B118">
        <v>1771087426</v>
      </c>
      <c r="C118">
        <v>2106</v>
      </c>
      <c r="D118" t="s">
        <v>502</v>
      </c>
      <c r="E118" t="s">
        <v>503</v>
      </c>
      <c r="F118">
        <v>15</v>
      </c>
      <c r="G118">
        <v>1771087417.9333301</v>
      </c>
      <c r="H118">
        <f t="shared" si="13"/>
        <v>8.5148789732988558E-4</v>
      </c>
      <c r="I118">
        <v>0</v>
      </c>
      <c r="J118">
        <f t="shared" si="25"/>
        <v>-4.2767574087767962E-3</v>
      </c>
      <c r="K118">
        <f t="shared" si="14"/>
        <v>-0.11592550887910411</v>
      </c>
      <c r="L118">
        <f t="shared" si="15"/>
        <v>69.961976908787733</v>
      </c>
      <c r="M118">
        <f t="shared" si="16"/>
        <v>1.5426402421513352</v>
      </c>
      <c r="N118">
        <f t="shared" si="17"/>
        <v>2.2049694852999049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26261.898506908634</v>
      </c>
      <c r="T118">
        <f t="shared" si="21"/>
        <v>799.99906666666698</v>
      </c>
      <c r="U118">
        <f t="shared" si="22"/>
        <v>674.39928071992142</v>
      </c>
      <c r="V118">
        <f t="shared" si="23"/>
        <v>0.84300008439999996</v>
      </c>
      <c r="W118">
        <f t="shared" si="24"/>
        <v>0.15869984722400002</v>
      </c>
      <c r="X118">
        <v>1</v>
      </c>
      <c r="Y118">
        <v>1771087417.9333301</v>
      </c>
      <c r="Z118">
        <v>149.9872</v>
      </c>
      <c r="AA118">
        <v>150.001933333333</v>
      </c>
      <c r="AB118">
        <v>15.4240666666667</v>
      </c>
      <c r="AC118">
        <v>14.3761333333333</v>
      </c>
      <c r="AD118">
        <v>150.52093333333301</v>
      </c>
      <c r="AE118">
        <v>15.3241266666667</v>
      </c>
      <c r="AF118">
        <v>800.00746666666703</v>
      </c>
      <c r="AG118">
        <v>99.950586666666695</v>
      </c>
      <c r="AH118">
        <v>6.4556906666666705E-2</v>
      </c>
      <c r="AI118">
        <v>18.998466666666701</v>
      </c>
      <c r="AJ118">
        <v>999.9</v>
      </c>
      <c r="AK118">
        <v>999.9</v>
      </c>
      <c r="AL118">
        <v>0</v>
      </c>
      <c r="AM118">
        <v>0</v>
      </c>
      <c r="AN118">
        <v>5008.6666666666697</v>
      </c>
      <c r="AO118">
        <v>0</v>
      </c>
      <c r="AP118">
        <v>2.0325500000000001</v>
      </c>
      <c r="AQ118">
        <v>-1.47206556E-2</v>
      </c>
      <c r="AR118">
        <v>152.33693333333301</v>
      </c>
      <c r="AS118">
        <v>152.18979999999999</v>
      </c>
      <c r="AT118">
        <v>1.04794733333333</v>
      </c>
      <c r="AU118">
        <v>150.001933333333</v>
      </c>
      <c r="AV118">
        <v>14.3761333333333</v>
      </c>
      <c r="AW118">
        <v>1.5416460000000001</v>
      </c>
      <c r="AX118">
        <v>1.4369033333333301</v>
      </c>
      <c r="AY118">
        <v>13.387586666666699</v>
      </c>
      <c r="AZ118">
        <v>12.3127666666667</v>
      </c>
      <c r="BA118">
        <v>799.99906666666698</v>
      </c>
      <c r="BB118">
        <v>0.90000259999999999</v>
      </c>
      <c r="BC118">
        <v>0</v>
      </c>
      <c r="BD118">
        <v>9.9997586666666693E-2</v>
      </c>
      <c r="BE118">
        <v>0</v>
      </c>
      <c r="BF118">
        <v>25</v>
      </c>
      <c r="BG118">
        <v>13191.02</v>
      </c>
      <c r="BH118">
        <v>1771087289</v>
      </c>
      <c r="BI118" t="s">
        <v>483</v>
      </c>
      <c r="BJ118">
        <v>1771087289</v>
      </c>
      <c r="BK118">
        <v>1771087289</v>
      </c>
      <c r="BL118">
        <v>4</v>
      </c>
      <c r="BM118">
        <v>-4.5999999999999999E-2</v>
      </c>
      <c r="BN118">
        <v>-4.0000000000000001E-3</v>
      </c>
      <c r="BO118">
        <v>-0.53400000000000003</v>
      </c>
      <c r="BP118">
        <v>0.1</v>
      </c>
      <c r="BQ118">
        <v>150</v>
      </c>
      <c r="BR118">
        <v>14</v>
      </c>
      <c r="BS118">
        <v>0.42</v>
      </c>
      <c r="BT118">
        <v>0.03</v>
      </c>
      <c r="BU118">
        <v>-1.39821301904762E-2</v>
      </c>
      <c r="BV118">
        <v>6.4253413870129894E-2</v>
      </c>
      <c r="BW118">
        <v>2.1849425062419901E-2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1.04850714285714</v>
      </c>
      <c r="CD118">
        <v>-2.4483896103896501E-2</v>
      </c>
      <c r="CE118">
        <v>4.6996374154539599E-3</v>
      </c>
      <c r="CF118">
        <v>1</v>
      </c>
      <c r="CG118">
        <v>2</v>
      </c>
      <c r="CH118">
        <v>2</v>
      </c>
      <c r="CI118" t="s">
        <v>310</v>
      </c>
      <c r="CJ118">
        <v>3.5325199999999999</v>
      </c>
      <c r="CK118">
        <v>2.7023799999999998</v>
      </c>
      <c r="CL118">
        <v>4.2026000000000001E-2</v>
      </c>
      <c r="CM118">
        <v>4.1444700000000001E-2</v>
      </c>
      <c r="CN118">
        <v>8.7206199999999998E-2</v>
      </c>
      <c r="CO118">
        <v>8.1948300000000002E-2</v>
      </c>
      <c r="CP118">
        <v>33623.300000000003</v>
      </c>
      <c r="CQ118">
        <v>29529.4</v>
      </c>
      <c r="CR118">
        <v>32481.8</v>
      </c>
      <c r="CS118">
        <v>30730.2</v>
      </c>
      <c r="CT118">
        <v>40131.1</v>
      </c>
      <c r="CU118">
        <v>39660.699999999997</v>
      </c>
      <c r="CV118">
        <v>47426.8</v>
      </c>
      <c r="CW118">
        <v>46855.7</v>
      </c>
      <c r="CX118">
        <v>2.6336200000000001</v>
      </c>
      <c r="CY118">
        <v>2.16472</v>
      </c>
      <c r="CZ118">
        <v>0</v>
      </c>
      <c r="DA118">
        <v>0</v>
      </c>
      <c r="DB118">
        <v>999.9</v>
      </c>
      <c r="DC118">
        <v>999.9</v>
      </c>
      <c r="DD118">
        <v>62.77</v>
      </c>
      <c r="DE118">
        <v>24.792999999999999</v>
      </c>
      <c r="DF118">
        <v>19.723800000000001</v>
      </c>
      <c r="DG118">
        <v>30.087399999999999</v>
      </c>
      <c r="DH118">
        <v>15.1402</v>
      </c>
      <c r="DI118">
        <v>2</v>
      </c>
      <c r="DJ118">
        <v>-0.176037</v>
      </c>
      <c r="DK118">
        <v>1.9607600000000001</v>
      </c>
      <c r="DL118">
        <v>20.198699999999999</v>
      </c>
      <c r="DM118">
        <v>5.2474800000000004</v>
      </c>
      <c r="DN118">
        <v>12.033899999999999</v>
      </c>
      <c r="DO118">
        <v>4.9661999999999997</v>
      </c>
      <c r="DP118">
        <v>3.2909999999999999</v>
      </c>
      <c r="DQ118">
        <v>9999</v>
      </c>
      <c r="DR118">
        <v>9999</v>
      </c>
      <c r="DS118">
        <v>9999</v>
      </c>
      <c r="DT118">
        <v>604.4</v>
      </c>
      <c r="DU118">
        <v>1.87104</v>
      </c>
      <c r="DV118">
        <v>1.8760699999999999</v>
      </c>
      <c r="DW118">
        <v>1.87629</v>
      </c>
      <c r="DX118">
        <v>1.88279</v>
      </c>
      <c r="DY118">
        <v>1.8755999999999999</v>
      </c>
      <c r="DZ118">
        <v>1.87462</v>
      </c>
      <c r="EA118">
        <v>1.8707400000000001</v>
      </c>
      <c r="EB118">
        <v>1.8746400000000001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-0.53300000000000003</v>
      </c>
      <c r="EQ118">
        <v>0.1</v>
      </c>
      <c r="ER118">
        <v>-0.53370000000001006</v>
      </c>
      <c r="ES118">
        <v>0</v>
      </c>
      <c r="ET118">
        <v>0</v>
      </c>
      <c r="EU118">
        <v>0</v>
      </c>
      <c r="EV118">
        <v>9.9940000000001902E-2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2.2999999999999998</v>
      </c>
      <c r="FE118">
        <v>2.2999999999999998</v>
      </c>
      <c r="FF118">
        <v>0.56518599999999997</v>
      </c>
      <c r="FG118">
        <v>2.5988799999999999</v>
      </c>
      <c r="FH118">
        <v>2.19604</v>
      </c>
      <c r="FI118">
        <v>2.5805699999999998</v>
      </c>
      <c r="FJ118">
        <v>2.4462899999999999</v>
      </c>
      <c r="FK118">
        <v>2.2485400000000002</v>
      </c>
      <c r="FL118">
        <v>30.222000000000001</v>
      </c>
      <c r="FM118">
        <v>24.14</v>
      </c>
      <c r="FN118">
        <v>19</v>
      </c>
      <c r="FO118">
        <v>863.88</v>
      </c>
      <c r="FP118">
        <v>595.09199999999998</v>
      </c>
      <c r="FQ118">
        <v>18.135899999999999</v>
      </c>
      <c r="FR118">
        <v>24.803699999999999</v>
      </c>
      <c r="FS118">
        <v>30.0001</v>
      </c>
      <c r="FT118">
        <v>24.791699999999999</v>
      </c>
      <c r="FU118">
        <v>24.792999999999999</v>
      </c>
      <c r="FV118">
        <v>11.372400000000001</v>
      </c>
      <c r="FW118">
        <v>31.0047</v>
      </c>
      <c r="FX118">
        <v>54.649000000000001</v>
      </c>
      <c r="FY118">
        <v>18.136299999999999</v>
      </c>
      <c r="FZ118">
        <v>150</v>
      </c>
      <c r="GA118">
        <v>14.3849</v>
      </c>
      <c r="GB118">
        <v>99.943600000000004</v>
      </c>
      <c r="GC118">
        <v>99.753299999999996</v>
      </c>
    </row>
    <row r="119" spans="1:185" x14ac:dyDescent="0.2">
      <c r="A119">
        <v>104</v>
      </c>
      <c r="B119">
        <v>1771087441</v>
      </c>
      <c r="C119">
        <v>2121</v>
      </c>
      <c r="D119" t="s">
        <v>504</v>
      </c>
      <c r="E119" t="s">
        <v>505</v>
      </c>
      <c r="F119">
        <v>15</v>
      </c>
      <c r="G119">
        <v>1771087432.9333301</v>
      </c>
      <c r="H119">
        <f t="shared" si="13"/>
        <v>8.5628983490840455E-4</v>
      </c>
      <c r="I119">
        <v>0</v>
      </c>
      <c r="J119">
        <f t="shared" si="25"/>
        <v>-4.0868278478614793E-3</v>
      </c>
      <c r="K119">
        <f t="shared" si="14"/>
        <v>-0.11077729052210587</v>
      </c>
      <c r="L119">
        <f t="shared" si="15"/>
        <v>69.925366153710058</v>
      </c>
      <c r="M119">
        <f t="shared" si="16"/>
        <v>1.5418990556351706</v>
      </c>
      <c r="N119">
        <f t="shared" si="17"/>
        <v>2.2050639709855298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26241.32011306399</v>
      </c>
      <c r="T119">
        <f t="shared" si="21"/>
        <v>800.00066666666703</v>
      </c>
      <c r="U119">
        <f t="shared" si="22"/>
        <v>674.40065160007521</v>
      </c>
      <c r="V119">
        <f t="shared" si="23"/>
        <v>0.84300011200000025</v>
      </c>
      <c r="W119">
        <f t="shared" si="24"/>
        <v>0.15869989024000003</v>
      </c>
      <c r="X119">
        <v>1</v>
      </c>
      <c r="Y119">
        <v>1771087432.9333301</v>
      </c>
      <c r="Z119">
        <v>149.985266666667</v>
      </c>
      <c r="AA119">
        <v>150.00733333333301</v>
      </c>
      <c r="AB119">
        <v>15.4168133333333</v>
      </c>
      <c r="AC119">
        <v>14.362966666666701</v>
      </c>
      <c r="AD119">
        <v>150.51886666666701</v>
      </c>
      <c r="AE119">
        <v>15.316879999999999</v>
      </c>
      <c r="AF119">
        <v>800.01066666666702</v>
      </c>
      <c r="AG119">
        <v>99.949366666666705</v>
      </c>
      <c r="AH119">
        <v>6.4755726666666694E-2</v>
      </c>
      <c r="AI119">
        <v>18.9991533333333</v>
      </c>
      <c r="AJ119">
        <v>999.9</v>
      </c>
      <c r="AK119">
        <v>999.9</v>
      </c>
      <c r="AL119">
        <v>0</v>
      </c>
      <c r="AM119">
        <v>0</v>
      </c>
      <c r="AN119">
        <v>5005.3333333333303</v>
      </c>
      <c r="AO119">
        <v>0</v>
      </c>
      <c r="AP119">
        <v>2.0325500000000001</v>
      </c>
      <c r="AQ119">
        <v>-2.207133E-2</v>
      </c>
      <c r="AR119">
        <v>152.3338</v>
      </c>
      <c r="AS119">
        <v>152.19313333333301</v>
      </c>
      <c r="AT119">
        <v>1.05384266666667</v>
      </c>
      <c r="AU119">
        <v>150.00733333333301</v>
      </c>
      <c r="AV119">
        <v>14.362966666666701</v>
      </c>
      <c r="AW119">
        <v>1.5408993333333301</v>
      </c>
      <c r="AX119">
        <v>1.4355706666666701</v>
      </c>
      <c r="AY119">
        <v>13.3801666666667</v>
      </c>
      <c r="AZ119">
        <v>12.2986466666667</v>
      </c>
      <c r="BA119">
        <v>800.00066666666703</v>
      </c>
      <c r="BB119">
        <v>0.90000206666666704</v>
      </c>
      <c r="BC119">
        <v>0</v>
      </c>
      <c r="BD119">
        <v>9.9998133333333294E-2</v>
      </c>
      <c r="BE119">
        <v>0</v>
      </c>
      <c r="BF119">
        <v>25</v>
      </c>
      <c r="BG119">
        <v>13191.0466666667</v>
      </c>
      <c r="BH119">
        <v>1771087289</v>
      </c>
      <c r="BI119" t="s">
        <v>483</v>
      </c>
      <c r="BJ119">
        <v>1771087289</v>
      </c>
      <c r="BK119">
        <v>1771087289</v>
      </c>
      <c r="BL119">
        <v>4</v>
      </c>
      <c r="BM119">
        <v>-4.5999999999999999E-2</v>
      </c>
      <c r="BN119">
        <v>-4.0000000000000001E-3</v>
      </c>
      <c r="BO119">
        <v>-0.53400000000000003</v>
      </c>
      <c r="BP119">
        <v>0.1</v>
      </c>
      <c r="BQ119">
        <v>150</v>
      </c>
      <c r="BR119">
        <v>14</v>
      </c>
      <c r="BS119">
        <v>0.42</v>
      </c>
      <c r="BT119">
        <v>0.03</v>
      </c>
      <c r="BU119">
        <v>-1.47010762E-2</v>
      </c>
      <c r="BV119">
        <v>-9.9813880601503799E-2</v>
      </c>
      <c r="BW119">
        <v>1.6511629776646601E-2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1.05118</v>
      </c>
      <c r="CD119">
        <v>5.5253233082707402E-2</v>
      </c>
      <c r="CE119">
        <v>6.4876228312071398E-3</v>
      </c>
      <c r="CF119">
        <v>1</v>
      </c>
      <c r="CG119">
        <v>2</v>
      </c>
      <c r="CH119">
        <v>2</v>
      </c>
      <c r="CI119" t="s">
        <v>310</v>
      </c>
      <c r="CJ119">
        <v>3.53247</v>
      </c>
      <c r="CK119">
        <v>2.7025700000000001</v>
      </c>
      <c r="CL119">
        <v>4.2018399999999997E-2</v>
      </c>
      <c r="CM119">
        <v>4.1443000000000001E-2</v>
      </c>
      <c r="CN119">
        <v>8.7164000000000005E-2</v>
      </c>
      <c r="CO119">
        <v>8.1861600000000007E-2</v>
      </c>
      <c r="CP119">
        <v>33623.4</v>
      </c>
      <c r="CQ119">
        <v>29529.5</v>
      </c>
      <c r="CR119">
        <v>32481.7</v>
      </c>
      <c r="CS119">
        <v>30730.2</v>
      </c>
      <c r="CT119">
        <v>40133</v>
      </c>
      <c r="CU119">
        <v>39664.6</v>
      </c>
      <c r="CV119">
        <v>47426.8</v>
      </c>
      <c r="CW119">
        <v>46855.8</v>
      </c>
      <c r="CX119">
        <v>2.6334</v>
      </c>
      <c r="CY119">
        <v>2.1646000000000001</v>
      </c>
      <c r="CZ119">
        <v>0</v>
      </c>
      <c r="DA119">
        <v>0</v>
      </c>
      <c r="DB119">
        <v>999.9</v>
      </c>
      <c r="DC119">
        <v>999.9</v>
      </c>
      <c r="DD119">
        <v>62.648000000000003</v>
      </c>
      <c r="DE119">
        <v>24.824000000000002</v>
      </c>
      <c r="DF119">
        <v>19.722899999999999</v>
      </c>
      <c r="DG119">
        <v>30.1174</v>
      </c>
      <c r="DH119">
        <v>15.276400000000001</v>
      </c>
      <c r="DI119">
        <v>2</v>
      </c>
      <c r="DJ119">
        <v>-0.17577200000000001</v>
      </c>
      <c r="DK119">
        <v>1.9643600000000001</v>
      </c>
      <c r="DL119">
        <v>20.198699999999999</v>
      </c>
      <c r="DM119">
        <v>5.2472399999999997</v>
      </c>
      <c r="DN119">
        <v>12.033899999999999</v>
      </c>
      <c r="DO119">
        <v>4.9663199999999996</v>
      </c>
      <c r="DP119">
        <v>3.2909999999999999</v>
      </c>
      <c r="DQ119">
        <v>9999</v>
      </c>
      <c r="DR119">
        <v>9999</v>
      </c>
      <c r="DS119">
        <v>9999</v>
      </c>
      <c r="DT119">
        <v>604.4</v>
      </c>
      <c r="DU119">
        <v>1.87103</v>
      </c>
      <c r="DV119">
        <v>1.87608</v>
      </c>
      <c r="DW119">
        <v>1.8763000000000001</v>
      </c>
      <c r="DX119">
        <v>1.88279</v>
      </c>
      <c r="DY119">
        <v>1.8755999999999999</v>
      </c>
      <c r="DZ119">
        <v>1.8746400000000001</v>
      </c>
      <c r="EA119">
        <v>1.87073</v>
      </c>
      <c r="EB119">
        <v>1.8746700000000001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-0.53400000000000003</v>
      </c>
      <c r="EQ119">
        <v>0.1</v>
      </c>
      <c r="ER119">
        <v>-0.53370000000001006</v>
      </c>
      <c r="ES119">
        <v>0</v>
      </c>
      <c r="ET119">
        <v>0</v>
      </c>
      <c r="EU119">
        <v>0</v>
      </c>
      <c r="EV119">
        <v>9.9940000000001902E-2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2.5</v>
      </c>
      <c r="FE119">
        <v>2.5</v>
      </c>
      <c r="FF119">
        <v>0.56518599999999997</v>
      </c>
      <c r="FG119">
        <v>2.5891099999999998</v>
      </c>
      <c r="FH119">
        <v>2.19604</v>
      </c>
      <c r="FI119">
        <v>2.5805699999999998</v>
      </c>
      <c r="FJ119">
        <v>2.4462899999999999</v>
      </c>
      <c r="FK119">
        <v>2.3059099999999999</v>
      </c>
      <c r="FL119">
        <v>30.243400000000001</v>
      </c>
      <c r="FM119">
        <v>24.148800000000001</v>
      </c>
      <c r="FN119">
        <v>19</v>
      </c>
      <c r="FO119">
        <v>863.74599999999998</v>
      </c>
      <c r="FP119">
        <v>595.05100000000004</v>
      </c>
      <c r="FQ119">
        <v>18.137599999999999</v>
      </c>
      <c r="FR119">
        <v>24.807099999999998</v>
      </c>
      <c r="FS119">
        <v>30.0001</v>
      </c>
      <c r="FT119">
        <v>24.7959</v>
      </c>
      <c r="FU119">
        <v>24.797599999999999</v>
      </c>
      <c r="FV119">
        <v>11.371499999999999</v>
      </c>
      <c r="FW119">
        <v>31.0047</v>
      </c>
      <c r="FX119">
        <v>54.649000000000001</v>
      </c>
      <c r="FY119">
        <v>18.137899999999998</v>
      </c>
      <c r="FZ119">
        <v>150</v>
      </c>
      <c r="GA119">
        <v>14.3849</v>
      </c>
      <c r="GB119">
        <v>99.9435</v>
      </c>
      <c r="GC119">
        <v>99.753299999999996</v>
      </c>
    </row>
    <row r="120" spans="1:185" x14ac:dyDescent="0.2">
      <c r="A120">
        <v>105</v>
      </c>
      <c r="B120">
        <v>1771087456.0999999</v>
      </c>
      <c r="C120">
        <v>2136.0999999046298</v>
      </c>
      <c r="D120" t="s">
        <v>506</v>
      </c>
      <c r="E120" t="s">
        <v>507</v>
      </c>
      <c r="F120">
        <v>15</v>
      </c>
      <c r="G120">
        <v>1771087448.9400001</v>
      </c>
      <c r="H120">
        <f t="shared" si="13"/>
        <v>8.5769827750179623E-4</v>
      </c>
      <c r="I120">
        <v>0</v>
      </c>
      <c r="J120">
        <f t="shared" si="25"/>
        <v>-4.2694448578628075E-3</v>
      </c>
      <c r="K120">
        <f t="shared" si="14"/>
        <v>-0.11572729534841171</v>
      </c>
      <c r="L120">
        <f t="shared" si="15"/>
        <v>69.87480000480906</v>
      </c>
      <c r="M120">
        <f t="shared" si="16"/>
        <v>1.540916731560557</v>
      </c>
      <c r="N120">
        <f t="shared" si="17"/>
        <v>2.2052538704289746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26157.074285746745</v>
      </c>
      <c r="T120">
        <f t="shared" si="21"/>
        <v>799.99946666666699</v>
      </c>
      <c r="U120">
        <f t="shared" si="22"/>
        <v>674.39954736000254</v>
      </c>
      <c r="V120">
        <f t="shared" si="23"/>
        <v>0.84299999620000032</v>
      </c>
      <c r="W120">
        <f t="shared" si="24"/>
        <v>0.15869987357200005</v>
      </c>
      <c r="X120">
        <v>1</v>
      </c>
      <c r="Y120">
        <v>1771087448.9400001</v>
      </c>
      <c r="Z120">
        <v>149.97593333333299</v>
      </c>
      <c r="AA120">
        <v>149.992066666667</v>
      </c>
      <c r="AB120">
        <v>15.4070533333333</v>
      </c>
      <c r="AC120">
        <v>14.351459999999999</v>
      </c>
      <c r="AD120">
        <v>150.509533333333</v>
      </c>
      <c r="AE120">
        <v>15.3071066666667</v>
      </c>
      <c r="AF120">
        <v>800.00853333333305</v>
      </c>
      <c r="AG120">
        <v>99.949046666666703</v>
      </c>
      <c r="AH120">
        <v>6.4674206666666706E-2</v>
      </c>
      <c r="AI120">
        <v>19.000533333333301</v>
      </c>
      <c r="AJ120">
        <v>999.9</v>
      </c>
      <c r="AK120">
        <v>999.9</v>
      </c>
      <c r="AL120">
        <v>0</v>
      </c>
      <c r="AM120">
        <v>0</v>
      </c>
      <c r="AN120">
        <v>4991.4666666666699</v>
      </c>
      <c r="AO120">
        <v>0</v>
      </c>
      <c r="AP120">
        <v>2.0325500000000001</v>
      </c>
      <c r="AQ120">
        <v>-1.63065646666667E-2</v>
      </c>
      <c r="AR120">
        <v>152.32286666666701</v>
      </c>
      <c r="AS120">
        <v>152.176266666667</v>
      </c>
      <c r="AT120">
        <v>1.05559466666667</v>
      </c>
      <c r="AU120">
        <v>149.992066666667</v>
      </c>
      <c r="AV120">
        <v>14.351459999999999</v>
      </c>
      <c r="AW120">
        <v>1.5399193333333301</v>
      </c>
      <c r="AX120">
        <v>1.4344140000000001</v>
      </c>
      <c r="AY120">
        <v>13.3703933333333</v>
      </c>
      <c r="AZ120">
        <v>12.2864066666667</v>
      </c>
      <c r="BA120">
        <v>799.99946666666699</v>
      </c>
      <c r="BB120">
        <v>0.90000186666666704</v>
      </c>
      <c r="BC120">
        <v>0</v>
      </c>
      <c r="BD120">
        <v>9.9998193333333305E-2</v>
      </c>
      <c r="BE120">
        <v>0</v>
      </c>
      <c r="BF120">
        <v>25</v>
      </c>
      <c r="BG120">
        <v>13191.0133333333</v>
      </c>
      <c r="BH120">
        <v>1771087289</v>
      </c>
      <c r="BI120" t="s">
        <v>483</v>
      </c>
      <c r="BJ120">
        <v>1771087289</v>
      </c>
      <c r="BK120">
        <v>1771087289</v>
      </c>
      <c r="BL120">
        <v>4</v>
      </c>
      <c r="BM120">
        <v>-4.5999999999999999E-2</v>
      </c>
      <c r="BN120">
        <v>-4.0000000000000001E-3</v>
      </c>
      <c r="BO120">
        <v>-0.53400000000000003</v>
      </c>
      <c r="BP120">
        <v>0.1</v>
      </c>
      <c r="BQ120">
        <v>150</v>
      </c>
      <c r="BR120">
        <v>14</v>
      </c>
      <c r="BS120">
        <v>0.42</v>
      </c>
      <c r="BT120">
        <v>0.03</v>
      </c>
      <c r="BU120">
        <v>-1.748367E-2</v>
      </c>
      <c r="BV120">
        <v>4.1320023896103897E-2</v>
      </c>
      <c r="BW120">
        <v>9.6317872436141195E-3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1.0549528571428599</v>
      </c>
      <c r="CD120">
        <v>2.08238961038976E-2</v>
      </c>
      <c r="CE120">
        <v>5.8394121873590697E-3</v>
      </c>
      <c r="CF120">
        <v>1</v>
      </c>
      <c r="CG120">
        <v>2</v>
      </c>
      <c r="CH120">
        <v>2</v>
      </c>
      <c r="CI120" t="s">
        <v>310</v>
      </c>
      <c r="CJ120">
        <v>3.53254</v>
      </c>
      <c r="CK120">
        <v>2.70248</v>
      </c>
      <c r="CL120">
        <v>4.2020799999999997E-2</v>
      </c>
      <c r="CM120">
        <v>4.1442699999999999E-2</v>
      </c>
      <c r="CN120">
        <v>8.7112599999999998E-2</v>
      </c>
      <c r="CO120">
        <v>8.1753999999999993E-2</v>
      </c>
      <c r="CP120">
        <v>33622.6</v>
      </c>
      <c r="CQ120">
        <v>29529.5</v>
      </c>
      <c r="CR120">
        <v>32480.9</v>
      </c>
      <c r="CS120">
        <v>30730.2</v>
      </c>
      <c r="CT120">
        <v>40134.400000000001</v>
      </c>
      <c r="CU120">
        <v>39669.4</v>
      </c>
      <c r="CV120">
        <v>47425.7</v>
      </c>
      <c r="CW120">
        <v>46855.7</v>
      </c>
      <c r="CX120">
        <v>2.63348</v>
      </c>
      <c r="CY120">
        <v>2.1644000000000001</v>
      </c>
      <c r="CZ120">
        <v>0</v>
      </c>
      <c r="DA120">
        <v>0</v>
      </c>
      <c r="DB120">
        <v>999.9</v>
      </c>
      <c r="DC120">
        <v>999.9</v>
      </c>
      <c r="DD120">
        <v>62.555999999999997</v>
      </c>
      <c r="DE120">
        <v>24.834</v>
      </c>
      <c r="DF120">
        <v>19.704899999999999</v>
      </c>
      <c r="DG120">
        <v>30.261900000000001</v>
      </c>
      <c r="DH120">
        <v>15.1082</v>
      </c>
      <c r="DI120">
        <v>2</v>
      </c>
      <c r="DJ120">
        <v>-0.17543700000000001</v>
      </c>
      <c r="DK120">
        <v>1.982</v>
      </c>
      <c r="DL120">
        <v>20.198499999999999</v>
      </c>
      <c r="DM120">
        <v>5.2473599999999996</v>
      </c>
      <c r="DN120">
        <v>12.033899999999999</v>
      </c>
      <c r="DO120">
        <v>4.9664000000000001</v>
      </c>
      <c r="DP120">
        <v>3.2909999999999999</v>
      </c>
      <c r="DQ120">
        <v>9999</v>
      </c>
      <c r="DR120">
        <v>9999</v>
      </c>
      <c r="DS120">
        <v>9999</v>
      </c>
      <c r="DT120">
        <v>604.4</v>
      </c>
      <c r="DU120">
        <v>1.8710599999999999</v>
      </c>
      <c r="DV120">
        <v>1.8761099999999999</v>
      </c>
      <c r="DW120">
        <v>1.8763700000000001</v>
      </c>
      <c r="DX120">
        <v>1.8828400000000001</v>
      </c>
      <c r="DY120">
        <v>1.87561</v>
      </c>
      <c r="DZ120">
        <v>1.8746700000000001</v>
      </c>
      <c r="EA120">
        <v>1.87077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-0.53400000000000003</v>
      </c>
      <c r="EQ120">
        <v>9.9900000000000003E-2</v>
      </c>
      <c r="ER120">
        <v>-0.53370000000001006</v>
      </c>
      <c r="ES120">
        <v>0</v>
      </c>
      <c r="ET120">
        <v>0</v>
      </c>
      <c r="EU120">
        <v>0</v>
      </c>
      <c r="EV120">
        <v>9.9940000000001902E-2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2.8</v>
      </c>
      <c r="FE120">
        <v>2.8</v>
      </c>
      <c r="FF120">
        <v>0.56640599999999997</v>
      </c>
      <c r="FG120">
        <v>2.5939899999999998</v>
      </c>
      <c r="FH120">
        <v>2.19604</v>
      </c>
      <c r="FI120">
        <v>2.5805699999999998</v>
      </c>
      <c r="FJ120">
        <v>2.4462899999999999</v>
      </c>
      <c r="FK120">
        <v>2.3034699999999999</v>
      </c>
      <c r="FL120">
        <v>30.243400000000001</v>
      </c>
      <c r="FM120">
        <v>24.148800000000001</v>
      </c>
      <c r="FN120">
        <v>19</v>
      </c>
      <c r="FO120">
        <v>863.88800000000003</v>
      </c>
      <c r="FP120">
        <v>594.94299999999998</v>
      </c>
      <c r="FQ120">
        <v>18.137</v>
      </c>
      <c r="FR120">
        <v>24.8108</v>
      </c>
      <c r="FS120">
        <v>30.0001</v>
      </c>
      <c r="FT120">
        <v>24.8002</v>
      </c>
      <c r="FU120">
        <v>24.8018</v>
      </c>
      <c r="FV120">
        <v>11.3726</v>
      </c>
      <c r="FW120">
        <v>31.0047</v>
      </c>
      <c r="FX120">
        <v>54.275300000000001</v>
      </c>
      <c r="FY120">
        <v>18.134499999999999</v>
      </c>
      <c r="FZ120">
        <v>150</v>
      </c>
      <c r="GA120">
        <v>14.3849</v>
      </c>
      <c r="GB120">
        <v>99.941199999999995</v>
      </c>
      <c r="GC120">
        <v>99.753299999999996</v>
      </c>
    </row>
    <row r="121" spans="1:185" x14ac:dyDescent="0.2">
      <c r="A121">
        <v>106</v>
      </c>
      <c r="B121">
        <v>1771087471.0999999</v>
      </c>
      <c r="C121">
        <v>2151.0999999046298</v>
      </c>
      <c r="D121" t="s">
        <v>508</v>
      </c>
      <c r="E121" t="s">
        <v>509</v>
      </c>
      <c r="F121">
        <v>15</v>
      </c>
      <c r="G121">
        <v>1771087463.5999999</v>
      </c>
      <c r="H121">
        <f t="shared" si="13"/>
        <v>8.6017503221474034E-4</v>
      </c>
      <c r="I121">
        <v>0</v>
      </c>
      <c r="J121">
        <f t="shared" si="25"/>
        <v>-4.2135050656981077E-3</v>
      </c>
      <c r="K121">
        <f t="shared" si="14"/>
        <v>-0.11421099497093977</v>
      </c>
      <c r="L121">
        <f t="shared" si="15"/>
        <v>69.816767089682344</v>
      </c>
      <c r="M121">
        <f t="shared" si="16"/>
        <v>1.5395404263081707</v>
      </c>
      <c r="N121">
        <f t="shared" si="17"/>
        <v>2.2051156054398384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26226.500768795813</v>
      </c>
      <c r="T121">
        <f t="shared" si="21"/>
        <v>800.00107142857098</v>
      </c>
      <c r="U121">
        <f t="shared" si="22"/>
        <v>674.40090372857196</v>
      </c>
      <c r="V121">
        <f t="shared" si="23"/>
        <v>0.84300000064285741</v>
      </c>
      <c r="W121">
        <f t="shared" si="24"/>
        <v>0.15869990416714291</v>
      </c>
      <c r="X121">
        <v>1</v>
      </c>
      <c r="Y121">
        <v>1771087463.5999999</v>
      </c>
      <c r="Z121">
        <v>149.98242857142901</v>
      </c>
      <c r="AA121">
        <v>150.000928571429</v>
      </c>
      <c r="AB121">
        <v>15.393378571428601</v>
      </c>
      <c r="AC121">
        <v>14.334721428571401</v>
      </c>
      <c r="AD121">
        <v>150.516214285714</v>
      </c>
      <c r="AE121">
        <v>15.29345</v>
      </c>
      <c r="AF121">
        <v>800.00785714285701</v>
      </c>
      <c r="AG121">
        <v>99.948549999999997</v>
      </c>
      <c r="AH121">
        <v>6.46095E-2</v>
      </c>
      <c r="AI121">
        <v>18.999528571428598</v>
      </c>
      <c r="AJ121">
        <v>999.9</v>
      </c>
      <c r="AK121">
        <v>999.9</v>
      </c>
      <c r="AL121">
        <v>0</v>
      </c>
      <c r="AM121">
        <v>0</v>
      </c>
      <c r="AN121">
        <v>5002.9285714285697</v>
      </c>
      <c r="AO121">
        <v>0</v>
      </c>
      <c r="AP121">
        <v>2.0325500000000001</v>
      </c>
      <c r="AQ121">
        <v>-1.85045570714286E-2</v>
      </c>
      <c r="AR121">
        <v>152.32735714285701</v>
      </c>
      <c r="AS121">
        <v>152.182357142857</v>
      </c>
      <c r="AT121">
        <v>1.058665</v>
      </c>
      <c r="AU121">
        <v>150.000928571429</v>
      </c>
      <c r="AV121">
        <v>14.334721428571401</v>
      </c>
      <c r="AW121">
        <v>1.5385450000000001</v>
      </c>
      <c r="AX121">
        <v>1.4327350000000001</v>
      </c>
      <c r="AY121">
        <v>13.3567142857143</v>
      </c>
      <c r="AZ121">
        <v>12.2685785714286</v>
      </c>
      <c r="BA121">
        <v>800.00107142857098</v>
      </c>
      <c r="BB121">
        <v>0.90000142857142895</v>
      </c>
      <c r="BC121">
        <v>0</v>
      </c>
      <c r="BD121">
        <v>9.9998621428571396E-2</v>
      </c>
      <c r="BE121">
        <v>0</v>
      </c>
      <c r="BF121">
        <v>25</v>
      </c>
      <c r="BG121">
        <v>13191.064285714299</v>
      </c>
      <c r="BH121">
        <v>1771087289</v>
      </c>
      <c r="BI121" t="s">
        <v>483</v>
      </c>
      <c r="BJ121">
        <v>1771087289</v>
      </c>
      <c r="BK121">
        <v>1771087289</v>
      </c>
      <c r="BL121">
        <v>4</v>
      </c>
      <c r="BM121">
        <v>-4.5999999999999999E-2</v>
      </c>
      <c r="BN121">
        <v>-4.0000000000000001E-3</v>
      </c>
      <c r="BO121">
        <v>-0.53400000000000003</v>
      </c>
      <c r="BP121">
        <v>0.1</v>
      </c>
      <c r="BQ121">
        <v>150</v>
      </c>
      <c r="BR121">
        <v>14</v>
      </c>
      <c r="BS121">
        <v>0.42</v>
      </c>
      <c r="BT121">
        <v>0.03</v>
      </c>
      <c r="BU121">
        <v>-1.53227366190476E-2</v>
      </c>
      <c r="BV121">
        <v>4.2573265132200997E-3</v>
      </c>
      <c r="BW121">
        <v>1.13549449152944E-2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1.0605952380952399</v>
      </c>
      <c r="CD121">
        <v>-4.9191466665450198E-2</v>
      </c>
      <c r="CE121">
        <v>6.0939717434508401E-3</v>
      </c>
      <c r="CF121">
        <v>1</v>
      </c>
      <c r="CG121">
        <v>2</v>
      </c>
      <c r="CH121">
        <v>2</v>
      </c>
      <c r="CI121" t="s">
        <v>310</v>
      </c>
      <c r="CJ121">
        <v>3.5325099999999998</v>
      </c>
      <c r="CK121">
        <v>2.7022300000000001</v>
      </c>
      <c r="CL121">
        <v>4.2023199999999997E-2</v>
      </c>
      <c r="CM121">
        <v>4.1441100000000002E-2</v>
      </c>
      <c r="CN121">
        <v>8.7046499999999999E-2</v>
      </c>
      <c r="CO121">
        <v>8.1754800000000002E-2</v>
      </c>
      <c r="CP121">
        <v>33622.699999999997</v>
      </c>
      <c r="CQ121">
        <v>29529.5</v>
      </c>
      <c r="CR121">
        <v>32481.200000000001</v>
      </c>
      <c r="CS121">
        <v>30730.2</v>
      </c>
      <c r="CT121">
        <v>40138.1</v>
      </c>
      <c r="CU121">
        <v>39669.4</v>
      </c>
      <c r="CV121">
        <v>47426.400000000001</v>
      </c>
      <c r="CW121">
        <v>46855.7</v>
      </c>
      <c r="CX121">
        <v>2.6334</v>
      </c>
      <c r="CY121">
        <v>2.1643599999999998</v>
      </c>
      <c r="CZ121">
        <v>0</v>
      </c>
      <c r="DA121">
        <v>0</v>
      </c>
      <c r="DB121">
        <v>999.9</v>
      </c>
      <c r="DC121">
        <v>999.9</v>
      </c>
      <c r="DD121">
        <v>62.470999999999997</v>
      </c>
      <c r="DE121">
        <v>24.844000000000001</v>
      </c>
      <c r="DF121">
        <v>19.690300000000001</v>
      </c>
      <c r="DG121">
        <v>29.811900000000001</v>
      </c>
      <c r="DH121">
        <v>15.2965</v>
      </c>
      <c r="DI121">
        <v>2</v>
      </c>
      <c r="DJ121">
        <v>-0.17519899999999999</v>
      </c>
      <c r="DK121">
        <v>1.9742900000000001</v>
      </c>
      <c r="DL121">
        <v>20.198599999999999</v>
      </c>
      <c r="DM121">
        <v>5.2473599999999996</v>
      </c>
      <c r="DN121">
        <v>12.033899999999999</v>
      </c>
      <c r="DO121">
        <v>4.96652</v>
      </c>
      <c r="DP121">
        <v>3.2909999999999999</v>
      </c>
      <c r="DQ121">
        <v>9999</v>
      </c>
      <c r="DR121">
        <v>9999</v>
      </c>
      <c r="DS121">
        <v>9999</v>
      </c>
      <c r="DT121">
        <v>604.4</v>
      </c>
      <c r="DU121">
        <v>1.87107</v>
      </c>
      <c r="DV121">
        <v>1.87615</v>
      </c>
      <c r="DW121">
        <v>1.87635</v>
      </c>
      <c r="DX121">
        <v>1.8828199999999999</v>
      </c>
      <c r="DY121">
        <v>1.87561</v>
      </c>
      <c r="DZ121">
        <v>1.87466</v>
      </c>
      <c r="EA121">
        <v>1.87077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-0.53400000000000003</v>
      </c>
      <c r="EQ121">
        <v>0.1</v>
      </c>
      <c r="ER121">
        <v>-0.53370000000001006</v>
      </c>
      <c r="ES121">
        <v>0</v>
      </c>
      <c r="ET121">
        <v>0</v>
      </c>
      <c r="EU121">
        <v>0</v>
      </c>
      <c r="EV121">
        <v>9.9940000000001902E-2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3</v>
      </c>
      <c r="FE121">
        <v>3</v>
      </c>
      <c r="FF121">
        <v>0.56518599999999997</v>
      </c>
      <c r="FG121">
        <v>2.5964399999999999</v>
      </c>
      <c r="FH121">
        <v>2.19604</v>
      </c>
      <c r="FI121">
        <v>2.5805699999999998</v>
      </c>
      <c r="FJ121">
        <v>2.4462899999999999</v>
      </c>
      <c r="FK121">
        <v>2.2753899999999998</v>
      </c>
      <c r="FL121">
        <v>30.264900000000001</v>
      </c>
      <c r="FM121">
        <v>24.14</v>
      </c>
      <c r="FN121">
        <v>19</v>
      </c>
      <c r="FO121">
        <v>863.88199999999995</v>
      </c>
      <c r="FP121">
        <v>594.96500000000003</v>
      </c>
      <c r="FQ121">
        <v>18.135400000000001</v>
      </c>
      <c r="FR121">
        <v>24.813800000000001</v>
      </c>
      <c r="FS121">
        <v>30.0002</v>
      </c>
      <c r="FT121">
        <v>24.804300000000001</v>
      </c>
      <c r="FU121">
        <v>24.8064</v>
      </c>
      <c r="FV121">
        <v>11.3728</v>
      </c>
      <c r="FW121">
        <v>31.0047</v>
      </c>
      <c r="FX121">
        <v>53.902900000000002</v>
      </c>
      <c r="FY121">
        <v>18.135300000000001</v>
      </c>
      <c r="FZ121">
        <v>150</v>
      </c>
      <c r="GA121">
        <v>14.3985</v>
      </c>
      <c r="GB121">
        <v>99.942400000000006</v>
      </c>
      <c r="GC121">
        <v>99.753299999999996</v>
      </c>
    </row>
    <row r="122" spans="1:185" x14ac:dyDescent="0.2">
      <c r="A122">
        <v>107</v>
      </c>
      <c r="B122">
        <v>1771087486.0999999</v>
      </c>
      <c r="C122">
        <v>2166.0999999046298</v>
      </c>
      <c r="D122" t="s">
        <v>510</v>
      </c>
      <c r="E122" t="s">
        <v>511</v>
      </c>
      <c r="F122">
        <v>15</v>
      </c>
      <c r="G122">
        <v>1771087478.5999999</v>
      </c>
      <c r="H122">
        <f t="shared" si="13"/>
        <v>8.5479023680124953E-4</v>
      </c>
      <c r="I122">
        <v>0</v>
      </c>
      <c r="J122">
        <f t="shared" si="25"/>
        <v>-4.7828911920478542E-3</v>
      </c>
      <c r="K122">
        <f t="shared" si="14"/>
        <v>-0.12964473837437374</v>
      </c>
      <c r="L122">
        <f t="shared" si="15"/>
        <v>69.755491663729231</v>
      </c>
      <c r="M122">
        <f t="shared" si="16"/>
        <v>1.5383976751172257</v>
      </c>
      <c r="N122">
        <f t="shared" si="17"/>
        <v>2.2054144246210603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26132.884861536804</v>
      </c>
      <c r="T122">
        <f t="shared" si="21"/>
        <v>800.00071428571403</v>
      </c>
      <c r="U122">
        <f t="shared" si="22"/>
        <v>674.40058859998794</v>
      </c>
      <c r="V122">
        <f t="shared" si="23"/>
        <v>0.84299998307142887</v>
      </c>
      <c r="W122">
        <f t="shared" si="24"/>
        <v>0.15869983239857149</v>
      </c>
      <c r="X122">
        <v>1</v>
      </c>
      <c r="Y122">
        <v>1771087478.5999999</v>
      </c>
      <c r="Z122">
        <v>149.99721428571399</v>
      </c>
      <c r="AA122">
        <v>149.99542857142899</v>
      </c>
      <c r="AB122">
        <v>15.382149999999999</v>
      </c>
      <c r="AC122">
        <v>14.3301071428571</v>
      </c>
      <c r="AD122">
        <v>150.53100000000001</v>
      </c>
      <c r="AE122">
        <v>15.2822142857143</v>
      </c>
      <c r="AF122">
        <v>800.00707142857095</v>
      </c>
      <c r="AG122">
        <v>99.947242857142896</v>
      </c>
      <c r="AH122">
        <v>6.4632928571428605E-2</v>
      </c>
      <c r="AI122">
        <v>19.0017</v>
      </c>
      <c r="AJ122">
        <v>999.9</v>
      </c>
      <c r="AK122">
        <v>999.9</v>
      </c>
      <c r="AL122">
        <v>0</v>
      </c>
      <c r="AM122">
        <v>0</v>
      </c>
      <c r="AN122">
        <v>4987.5714285714303</v>
      </c>
      <c r="AO122">
        <v>0</v>
      </c>
      <c r="AP122">
        <v>2.0325500000000001</v>
      </c>
      <c r="AQ122">
        <v>1.8266892857142899E-3</v>
      </c>
      <c r="AR122">
        <v>152.34049999999999</v>
      </c>
      <c r="AS122">
        <v>152.17592857142901</v>
      </c>
      <c r="AT122">
        <v>1.0520471428571401</v>
      </c>
      <c r="AU122">
        <v>149.99542857142899</v>
      </c>
      <c r="AV122">
        <v>14.3301071428571</v>
      </c>
      <c r="AW122">
        <v>1.53740428571429</v>
      </c>
      <c r="AX122">
        <v>1.4322550000000001</v>
      </c>
      <c r="AY122">
        <v>13.345321428571401</v>
      </c>
      <c r="AZ122">
        <v>12.263500000000001</v>
      </c>
      <c r="BA122">
        <v>800.00071428571403</v>
      </c>
      <c r="BB122">
        <v>0.90000242857142898</v>
      </c>
      <c r="BC122">
        <v>0</v>
      </c>
      <c r="BD122">
        <v>9.9997635714285701E-2</v>
      </c>
      <c r="BE122">
        <v>0</v>
      </c>
      <c r="BF122">
        <v>25</v>
      </c>
      <c r="BG122">
        <v>13191.05</v>
      </c>
      <c r="BH122">
        <v>1771087289</v>
      </c>
      <c r="BI122" t="s">
        <v>483</v>
      </c>
      <c r="BJ122">
        <v>1771087289</v>
      </c>
      <c r="BK122">
        <v>1771087289</v>
      </c>
      <c r="BL122">
        <v>4</v>
      </c>
      <c r="BM122">
        <v>-4.5999999999999999E-2</v>
      </c>
      <c r="BN122">
        <v>-4.0000000000000001E-3</v>
      </c>
      <c r="BO122">
        <v>-0.53400000000000003</v>
      </c>
      <c r="BP122">
        <v>0.1</v>
      </c>
      <c r="BQ122">
        <v>150</v>
      </c>
      <c r="BR122">
        <v>14</v>
      </c>
      <c r="BS122">
        <v>0.42</v>
      </c>
      <c r="BT122">
        <v>0.03</v>
      </c>
      <c r="BU122">
        <v>-1.71204395E-3</v>
      </c>
      <c r="BV122">
        <v>7.0011039203007497E-2</v>
      </c>
      <c r="BW122">
        <v>1.3960065499170501E-2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1.0520115000000001</v>
      </c>
      <c r="CD122">
        <v>-3.5869624060150603E-2</v>
      </c>
      <c r="CE122">
        <v>7.2523804885017097E-3</v>
      </c>
      <c r="CF122">
        <v>1</v>
      </c>
      <c r="CG122">
        <v>2</v>
      </c>
      <c r="CH122">
        <v>2</v>
      </c>
      <c r="CI122" t="s">
        <v>310</v>
      </c>
      <c r="CJ122">
        <v>3.5325199999999999</v>
      </c>
      <c r="CK122">
        <v>2.7024300000000001</v>
      </c>
      <c r="CL122">
        <v>4.2019500000000001E-2</v>
      </c>
      <c r="CM122">
        <v>4.1437799999999997E-2</v>
      </c>
      <c r="CN122">
        <v>8.7047799999999995E-2</v>
      </c>
      <c r="CO122">
        <v>8.1793099999999994E-2</v>
      </c>
      <c r="CP122">
        <v>33623.300000000003</v>
      </c>
      <c r="CQ122">
        <v>29529.5</v>
      </c>
      <c r="CR122">
        <v>32481.599999999999</v>
      </c>
      <c r="CS122">
        <v>30730.1</v>
      </c>
      <c r="CT122">
        <v>40138.6</v>
      </c>
      <c r="CU122">
        <v>39667.599999999999</v>
      </c>
      <c r="CV122">
        <v>47427.1</v>
      </c>
      <c r="CW122">
        <v>46855.7</v>
      </c>
      <c r="CX122">
        <v>2.6332599999999999</v>
      </c>
      <c r="CY122">
        <v>2.1639599999999999</v>
      </c>
      <c r="CZ122">
        <v>0</v>
      </c>
      <c r="DA122">
        <v>0</v>
      </c>
      <c r="DB122">
        <v>999.9</v>
      </c>
      <c r="DC122">
        <v>999.9</v>
      </c>
      <c r="DD122">
        <v>62.354999999999997</v>
      </c>
      <c r="DE122">
        <v>24.864000000000001</v>
      </c>
      <c r="DF122">
        <v>19.6782</v>
      </c>
      <c r="DG122">
        <v>30.1419</v>
      </c>
      <c r="DH122">
        <v>15.180300000000001</v>
      </c>
      <c r="DI122">
        <v>2</v>
      </c>
      <c r="DJ122">
        <v>-0.174896</v>
      </c>
      <c r="DK122">
        <v>1.99102</v>
      </c>
      <c r="DL122">
        <v>20.1982</v>
      </c>
      <c r="DM122">
        <v>5.2474800000000004</v>
      </c>
      <c r="DN122">
        <v>12.033899999999999</v>
      </c>
      <c r="DO122">
        <v>4.9665999999999997</v>
      </c>
      <c r="DP122">
        <v>3.2909999999999999</v>
      </c>
      <c r="DQ122">
        <v>9999</v>
      </c>
      <c r="DR122">
        <v>9999</v>
      </c>
      <c r="DS122">
        <v>9999</v>
      </c>
      <c r="DT122">
        <v>604.4</v>
      </c>
      <c r="DU122">
        <v>1.87103</v>
      </c>
      <c r="DV122">
        <v>1.8761000000000001</v>
      </c>
      <c r="DW122">
        <v>1.87632</v>
      </c>
      <c r="DX122">
        <v>1.8828</v>
      </c>
      <c r="DY122">
        <v>1.87561</v>
      </c>
      <c r="DZ122">
        <v>1.87462</v>
      </c>
      <c r="EA122">
        <v>1.8707400000000001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-0.53300000000000003</v>
      </c>
      <c r="EQ122">
        <v>0.1</v>
      </c>
      <c r="ER122">
        <v>-0.53370000000001006</v>
      </c>
      <c r="ES122">
        <v>0</v>
      </c>
      <c r="ET122">
        <v>0</v>
      </c>
      <c r="EU122">
        <v>0</v>
      </c>
      <c r="EV122">
        <v>9.9940000000001902E-2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3.3</v>
      </c>
      <c r="FE122">
        <v>3.3</v>
      </c>
      <c r="FF122">
        <v>0.56640599999999997</v>
      </c>
      <c r="FG122">
        <v>2.5891099999999998</v>
      </c>
      <c r="FH122">
        <v>2.19604</v>
      </c>
      <c r="FI122">
        <v>2.5805699999999998</v>
      </c>
      <c r="FJ122">
        <v>2.4462899999999999</v>
      </c>
      <c r="FK122">
        <v>2.3120099999999999</v>
      </c>
      <c r="FL122">
        <v>30.264900000000001</v>
      </c>
      <c r="FM122">
        <v>24.148800000000001</v>
      </c>
      <c r="FN122">
        <v>19</v>
      </c>
      <c r="FO122">
        <v>863.82</v>
      </c>
      <c r="FP122">
        <v>594.70000000000005</v>
      </c>
      <c r="FQ122">
        <v>18.133199999999999</v>
      </c>
      <c r="FR122">
        <v>24.817599999999999</v>
      </c>
      <c r="FS122">
        <v>30.0002</v>
      </c>
      <c r="FT122">
        <v>24.808499999999999</v>
      </c>
      <c r="FU122">
        <v>24.810500000000001</v>
      </c>
      <c r="FV122">
        <v>11.3733</v>
      </c>
      <c r="FW122">
        <v>30.727799999999998</v>
      </c>
      <c r="FX122">
        <v>53.902900000000002</v>
      </c>
      <c r="FY122">
        <v>18.130099999999999</v>
      </c>
      <c r="FZ122">
        <v>150</v>
      </c>
      <c r="GA122">
        <v>14.398300000000001</v>
      </c>
      <c r="GB122">
        <v>99.943799999999996</v>
      </c>
      <c r="GC122">
        <v>99.753100000000003</v>
      </c>
    </row>
    <row r="123" spans="1:185" x14ac:dyDescent="0.2">
      <c r="A123">
        <v>108</v>
      </c>
      <c r="B123">
        <v>1771087501.0999999</v>
      </c>
      <c r="C123">
        <v>2181.0999999046298</v>
      </c>
      <c r="D123" t="s">
        <v>512</v>
      </c>
      <c r="E123" t="s">
        <v>513</v>
      </c>
      <c r="F123">
        <v>15</v>
      </c>
      <c r="G123">
        <v>1771087493.5999999</v>
      </c>
      <c r="H123">
        <f t="shared" si="13"/>
        <v>8.520585696780564E-4</v>
      </c>
      <c r="I123">
        <v>0</v>
      </c>
      <c r="J123">
        <f t="shared" si="25"/>
        <v>-4.4152849082664163E-3</v>
      </c>
      <c r="K123">
        <f t="shared" si="14"/>
        <v>-0.11968042629366867</v>
      </c>
      <c r="L123">
        <f t="shared" si="15"/>
        <v>69.787797471475315</v>
      </c>
      <c r="M123">
        <f t="shared" si="16"/>
        <v>1.5390710490507178</v>
      </c>
      <c r="N123">
        <f t="shared" si="17"/>
        <v>2.2053583933205361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26256.509726137243</v>
      </c>
      <c r="T123">
        <f t="shared" si="21"/>
        <v>799.99885714285699</v>
      </c>
      <c r="U123">
        <f t="shared" si="22"/>
        <v>674.39901891431066</v>
      </c>
      <c r="V123">
        <f t="shared" si="23"/>
        <v>0.84299997792857129</v>
      </c>
      <c r="W123">
        <f t="shared" si="24"/>
        <v>0.15869990306142856</v>
      </c>
      <c r="X123">
        <v>1</v>
      </c>
      <c r="Y123">
        <v>1771087493.5999999</v>
      </c>
      <c r="Z123">
        <v>149.983714285714</v>
      </c>
      <c r="AA123">
        <v>149.993857142857</v>
      </c>
      <c r="AB123">
        <v>15.3891785714286</v>
      </c>
      <c r="AC123">
        <v>14.3405214285714</v>
      </c>
      <c r="AD123">
        <v>150.517285714286</v>
      </c>
      <c r="AE123">
        <v>15.2892357142857</v>
      </c>
      <c r="AF123">
        <v>800.01942857142899</v>
      </c>
      <c r="AG123">
        <v>99.945592857142898</v>
      </c>
      <c r="AH123">
        <v>6.4361664285714298E-2</v>
      </c>
      <c r="AI123">
        <v>19.0012928571429</v>
      </c>
      <c r="AJ123">
        <v>999.9</v>
      </c>
      <c r="AK123">
        <v>999.9</v>
      </c>
      <c r="AL123">
        <v>0</v>
      </c>
      <c r="AM123">
        <v>0</v>
      </c>
      <c r="AN123">
        <v>5008.0357142857101</v>
      </c>
      <c r="AO123">
        <v>0</v>
      </c>
      <c r="AP123">
        <v>2.0325500000000001</v>
      </c>
      <c r="AQ123">
        <v>-1.02659007142857E-2</v>
      </c>
      <c r="AR123">
        <v>152.328</v>
      </c>
      <c r="AS123">
        <v>152.176285714286</v>
      </c>
      <c r="AT123">
        <v>1.0486707142857099</v>
      </c>
      <c r="AU123">
        <v>149.993857142857</v>
      </c>
      <c r="AV123">
        <v>14.3405214285714</v>
      </c>
      <c r="AW123">
        <v>1.53808285714286</v>
      </c>
      <c r="AX123">
        <v>1.43327</v>
      </c>
      <c r="AY123">
        <v>13.352057142857101</v>
      </c>
      <c r="AZ123">
        <v>12.274278571428599</v>
      </c>
      <c r="BA123">
        <v>799.99885714285699</v>
      </c>
      <c r="BB123">
        <v>0.90000135714285701</v>
      </c>
      <c r="BC123">
        <v>0</v>
      </c>
      <c r="BD123">
        <v>9.99986642857143E-2</v>
      </c>
      <c r="BE123">
        <v>0</v>
      </c>
      <c r="BF123">
        <v>25</v>
      </c>
      <c r="BG123">
        <v>13191.007142857099</v>
      </c>
      <c r="BH123">
        <v>1771087289</v>
      </c>
      <c r="BI123" t="s">
        <v>483</v>
      </c>
      <c r="BJ123">
        <v>1771087289</v>
      </c>
      <c r="BK123">
        <v>1771087289</v>
      </c>
      <c r="BL123">
        <v>4</v>
      </c>
      <c r="BM123">
        <v>-4.5999999999999999E-2</v>
      </c>
      <c r="BN123">
        <v>-4.0000000000000001E-3</v>
      </c>
      <c r="BO123">
        <v>-0.53400000000000003</v>
      </c>
      <c r="BP123">
        <v>0.1</v>
      </c>
      <c r="BQ123">
        <v>150</v>
      </c>
      <c r="BR123">
        <v>14</v>
      </c>
      <c r="BS123">
        <v>0.42</v>
      </c>
      <c r="BT123">
        <v>0.03</v>
      </c>
      <c r="BU123">
        <v>-6.8344880952381001E-3</v>
      </c>
      <c r="BV123">
        <v>-7.39796415584415E-3</v>
      </c>
      <c r="BW123">
        <v>1.55438302308722E-2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1.0467423809523799</v>
      </c>
      <c r="CD123">
        <v>4.0467272727273997E-2</v>
      </c>
      <c r="CE123">
        <v>5.2115265150222603E-3</v>
      </c>
      <c r="CF123">
        <v>1</v>
      </c>
      <c r="CG123">
        <v>2</v>
      </c>
      <c r="CH123">
        <v>2</v>
      </c>
      <c r="CI123" t="s">
        <v>310</v>
      </c>
      <c r="CJ123">
        <v>3.5324499999999999</v>
      </c>
      <c r="CK123">
        <v>2.7019000000000002</v>
      </c>
      <c r="CL123">
        <v>4.2025399999999997E-2</v>
      </c>
      <c r="CM123">
        <v>4.1440699999999997E-2</v>
      </c>
      <c r="CN123">
        <v>8.7043400000000007E-2</v>
      </c>
      <c r="CO123">
        <v>8.1757999999999997E-2</v>
      </c>
      <c r="CP123">
        <v>33623.300000000003</v>
      </c>
      <c r="CQ123">
        <v>29529.4</v>
      </c>
      <c r="CR123">
        <v>32481.9</v>
      </c>
      <c r="CS123">
        <v>30730.1</v>
      </c>
      <c r="CT123">
        <v>40138.699999999997</v>
      </c>
      <c r="CU123">
        <v>39669.300000000003</v>
      </c>
      <c r="CV123">
        <v>47427</v>
      </c>
      <c r="CW123">
        <v>46855.8</v>
      </c>
      <c r="CX123">
        <v>2.63314</v>
      </c>
      <c r="CY123">
        <v>2.16398</v>
      </c>
      <c r="CZ123">
        <v>0</v>
      </c>
      <c r="DA123">
        <v>0</v>
      </c>
      <c r="DB123">
        <v>999.9</v>
      </c>
      <c r="DC123">
        <v>999.9</v>
      </c>
      <c r="DD123">
        <v>62.244999999999997</v>
      </c>
      <c r="DE123">
        <v>24.873999999999999</v>
      </c>
      <c r="DF123">
        <v>19.655100000000001</v>
      </c>
      <c r="DG123">
        <v>30.111899999999999</v>
      </c>
      <c r="DH123">
        <v>15.180300000000001</v>
      </c>
      <c r="DI123">
        <v>2</v>
      </c>
      <c r="DJ123">
        <v>-0.17461599999999999</v>
      </c>
      <c r="DK123">
        <v>1.99054</v>
      </c>
      <c r="DL123">
        <v>20.198399999999999</v>
      </c>
      <c r="DM123">
        <v>5.2478400000000001</v>
      </c>
      <c r="DN123">
        <v>12.033899999999999</v>
      </c>
      <c r="DO123">
        <v>4.9659199999999997</v>
      </c>
      <c r="DP123">
        <v>3.2909999999999999</v>
      </c>
      <c r="DQ123">
        <v>9999</v>
      </c>
      <c r="DR123">
        <v>9999</v>
      </c>
      <c r="DS123">
        <v>9999</v>
      </c>
      <c r="DT123">
        <v>604.4</v>
      </c>
      <c r="DU123">
        <v>1.8710599999999999</v>
      </c>
      <c r="DV123">
        <v>1.87612</v>
      </c>
      <c r="DW123">
        <v>1.87635</v>
      </c>
      <c r="DX123">
        <v>1.8828</v>
      </c>
      <c r="DY123">
        <v>1.87561</v>
      </c>
      <c r="DZ123">
        <v>1.8746799999999999</v>
      </c>
      <c r="EA123">
        <v>1.8707800000000001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-0.53400000000000003</v>
      </c>
      <c r="EQ123">
        <v>9.9900000000000003E-2</v>
      </c>
      <c r="ER123">
        <v>-0.53370000000001006</v>
      </c>
      <c r="ES123">
        <v>0</v>
      </c>
      <c r="ET123">
        <v>0</v>
      </c>
      <c r="EU123">
        <v>0</v>
      </c>
      <c r="EV123">
        <v>9.9940000000001902E-2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3.5</v>
      </c>
      <c r="FE123">
        <v>3.5</v>
      </c>
      <c r="FF123">
        <v>0.56640599999999997</v>
      </c>
      <c r="FG123">
        <v>2.5964399999999999</v>
      </c>
      <c r="FH123">
        <v>2.19604</v>
      </c>
      <c r="FI123">
        <v>2.5805699999999998</v>
      </c>
      <c r="FJ123">
        <v>2.4462899999999999</v>
      </c>
      <c r="FK123">
        <v>2.3168899999999999</v>
      </c>
      <c r="FL123">
        <v>30.2864</v>
      </c>
      <c r="FM123">
        <v>24.148800000000001</v>
      </c>
      <c r="FN123">
        <v>19</v>
      </c>
      <c r="FO123">
        <v>863.77499999999998</v>
      </c>
      <c r="FP123">
        <v>594.76400000000001</v>
      </c>
      <c r="FQ123">
        <v>18.127500000000001</v>
      </c>
      <c r="FR123">
        <v>24.8217</v>
      </c>
      <c r="FS123">
        <v>30.000299999999999</v>
      </c>
      <c r="FT123">
        <v>24.8126</v>
      </c>
      <c r="FU123">
        <v>24.814699999999998</v>
      </c>
      <c r="FV123">
        <v>11.3736</v>
      </c>
      <c r="FW123">
        <v>30.452400000000001</v>
      </c>
      <c r="FX123">
        <v>53.528399999999998</v>
      </c>
      <c r="FY123">
        <v>18.126000000000001</v>
      </c>
      <c r="FZ123">
        <v>150</v>
      </c>
      <c r="GA123">
        <v>14.4109</v>
      </c>
      <c r="GB123">
        <v>99.944000000000003</v>
      </c>
      <c r="GC123">
        <v>99.753399999999999</v>
      </c>
    </row>
    <row r="124" spans="1:185" x14ac:dyDescent="0.2">
      <c r="A124">
        <v>109</v>
      </c>
      <c r="B124">
        <v>1771087516.0999999</v>
      </c>
      <c r="C124">
        <v>2196.0999999046298</v>
      </c>
      <c r="D124" t="s">
        <v>514</v>
      </c>
      <c r="E124" t="s">
        <v>515</v>
      </c>
      <c r="F124">
        <v>15</v>
      </c>
      <c r="G124">
        <v>1771087508.5999999</v>
      </c>
      <c r="H124">
        <f t="shared" si="13"/>
        <v>8.3237492458501899E-4</v>
      </c>
      <c r="I124">
        <v>0</v>
      </c>
      <c r="J124">
        <f t="shared" si="25"/>
        <v>-4.4204545864727444E-3</v>
      </c>
      <c r="K124">
        <f t="shared" si="14"/>
        <v>-0.11982055525576035</v>
      </c>
      <c r="L124">
        <f t="shared" si="15"/>
        <v>69.773410163793201</v>
      </c>
      <c r="M124">
        <f t="shared" si="16"/>
        <v>1.5390034313028382</v>
      </c>
      <c r="N124">
        <f t="shared" si="17"/>
        <v>2.2057162287037784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26207.102558399478</v>
      </c>
      <c r="T124">
        <f t="shared" si="21"/>
        <v>799.998285714286</v>
      </c>
      <c r="U124">
        <f t="shared" si="22"/>
        <v>674.39840777174368</v>
      </c>
      <c r="V124">
        <f t="shared" si="23"/>
        <v>0.84299981614285679</v>
      </c>
      <c r="W124">
        <f t="shared" si="24"/>
        <v>0.15869956819714279</v>
      </c>
      <c r="X124">
        <v>1</v>
      </c>
      <c r="Y124">
        <v>1771087508.5999999</v>
      </c>
      <c r="Z124">
        <v>149.9915</v>
      </c>
      <c r="AA124">
        <v>149.99778571428601</v>
      </c>
      <c r="AB124">
        <v>15.388407142857099</v>
      </c>
      <c r="AC124">
        <v>14.3639571428571</v>
      </c>
      <c r="AD124">
        <v>150.52521428571399</v>
      </c>
      <c r="AE124">
        <v>15.288442857142901</v>
      </c>
      <c r="AF124">
        <v>800.00585714285705</v>
      </c>
      <c r="AG124">
        <v>99.946221428571405</v>
      </c>
      <c r="AH124">
        <v>6.4352571428571398E-2</v>
      </c>
      <c r="AI124">
        <v>19.003892857142901</v>
      </c>
      <c r="AJ124">
        <v>999.9</v>
      </c>
      <c r="AK124">
        <v>999.9</v>
      </c>
      <c r="AL124">
        <v>0</v>
      </c>
      <c r="AM124">
        <v>0</v>
      </c>
      <c r="AN124">
        <v>4999.8928571428596</v>
      </c>
      <c r="AO124">
        <v>0</v>
      </c>
      <c r="AP124">
        <v>2.0325500000000001</v>
      </c>
      <c r="AQ124">
        <v>-6.38361857142857E-3</v>
      </c>
      <c r="AR124">
        <v>152.335714285714</v>
      </c>
      <c r="AS124">
        <v>152.18378571428599</v>
      </c>
      <c r="AT124">
        <v>1.0244528571428599</v>
      </c>
      <c r="AU124">
        <v>149.99778571428601</v>
      </c>
      <c r="AV124">
        <v>14.3639571428571</v>
      </c>
      <c r="AW124">
        <v>1.5380114285714299</v>
      </c>
      <c r="AX124">
        <v>1.4356235714285699</v>
      </c>
      <c r="AY124">
        <v>13.3514</v>
      </c>
      <c r="AZ124">
        <v>12.299207142857099</v>
      </c>
      <c r="BA124">
        <v>799.998285714286</v>
      </c>
      <c r="BB124">
        <v>0.90000571428571396</v>
      </c>
      <c r="BC124">
        <v>0</v>
      </c>
      <c r="BD124">
        <v>9.9994271428571396E-2</v>
      </c>
      <c r="BE124">
        <v>0</v>
      </c>
      <c r="BF124">
        <v>25</v>
      </c>
      <c r="BG124">
        <v>13191.021428571399</v>
      </c>
      <c r="BH124">
        <v>1771087289</v>
      </c>
      <c r="BI124" t="s">
        <v>483</v>
      </c>
      <c r="BJ124">
        <v>1771087289</v>
      </c>
      <c r="BK124">
        <v>1771087289</v>
      </c>
      <c r="BL124">
        <v>4</v>
      </c>
      <c r="BM124">
        <v>-4.5999999999999999E-2</v>
      </c>
      <c r="BN124">
        <v>-4.0000000000000001E-3</v>
      </c>
      <c r="BO124">
        <v>-0.53400000000000003</v>
      </c>
      <c r="BP124">
        <v>0.1</v>
      </c>
      <c r="BQ124">
        <v>150</v>
      </c>
      <c r="BR124">
        <v>14</v>
      </c>
      <c r="BS124">
        <v>0.42</v>
      </c>
      <c r="BT124">
        <v>0.03</v>
      </c>
      <c r="BU124">
        <v>-2.4055470000000001E-3</v>
      </c>
      <c r="BV124">
        <v>-0.119514824661654</v>
      </c>
      <c r="BW124">
        <v>1.7052603229505199E-2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1.0333950000000001</v>
      </c>
      <c r="CD124">
        <v>-0.12604511278195499</v>
      </c>
      <c r="CE124">
        <v>1.4619635939379601E-2</v>
      </c>
      <c r="CF124">
        <v>0</v>
      </c>
      <c r="CG124">
        <v>1</v>
      </c>
      <c r="CH124">
        <v>2</v>
      </c>
      <c r="CI124" t="s">
        <v>299</v>
      </c>
      <c r="CJ124">
        <v>3.5324900000000001</v>
      </c>
      <c r="CK124">
        <v>2.7023100000000002</v>
      </c>
      <c r="CL124">
        <v>4.2017199999999998E-2</v>
      </c>
      <c r="CM124">
        <v>4.1442100000000003E-2</v>
      </c>
      <c r="CN124">
        <v>8.7094400000000002E-2</v>
      </c>
      <c r="CO124">
        <v>8.1904500000000005E-2</v>
      </c>
      <c r="CP124">
        <v>33623.599999999999</v>
      </c>
      <c r="CQ124">
        <v>29530.400000000001</v>
      </c>
      <c r="CR124">
        <v>32481.9</v>
      </c>
      <c r="CS124">
        <v>30731.3</v>
      </c>
      <c r="CT124">
        <v>40136.9</v>
      </c>
      <c r="CU124">
        <v>39664.300000000003</v>
      </c>
      <c r="CV124">
        <v>47427.5</v>
      </c>
      <c r="CW124">
        <v>46857.7</v>
      </c>
      <c r="CX124">
        <v>2.6332200000000001</v>
      </c>
      <c r="CY124">
        <v>2.1636000000000002</v>
      </c>
      <c r="CZ124">
        <v>0</v>
      </c>
      <c r="DA124">
        <v>0</v>
      </c>
      <c r="DB124">
        <v>999.9</v>
      </c>
      <c r="DC124">
        <v>999.9</v>
      </c>
      <c r="DD124">
        <v>62.154000000000003</v>
      </c>
      <c r="DE124">
        <v>24.904</v>
      </c>
      <c r="DF124">
        <v>19.661899999999999</v>
      </c>
      <c r="DG124">
        <v>30.2319</v>
      </c>
      <c r="DH124">
        <v>15.2965</v>
      </c>
      <c r="DI124">
        <v>2</v>
      </c>
      <c r="DJ124">
        <v>-0.17425399999999999</v>
      </c>
      <c r="DK124">
        <v>2.01362</v>
      </c>
      <c r="DL124">
        <v>20.198</v>
      </c>
      <c r="DM124">
        <v>5.2517899999999997</v>
      </c>
      <c r="DN124">
        <v>12.033899999999999</v>
      </c>
      <c r="DO124">
        <v>4.9673999999999996</v>
      </c>
      <c r="DP124">
        <v>3.2909999999999999</v>
      </c>
      <c r="DQ124">
        <v>9999</v>
      </c>
      <c r="DR124">
        <v>9999</v>
      </c>
      <c r="DS124">
        <v>9999</v>
      </c>
      <c r="DT124">
        <v>604.4</v>
      </c>
      <c r="DU124">
        <v>1.87104</v>
      </c>
      <c r="DV124">
        <v>1.87608</v>
      </c>
      <c r="DW124">
        <v>1.87632</v>
      </c>
      <c r="DX124">
        <v>1.8827799999999999</v>
      </c>
      <c r="DY124">
        <v>1.8755999999999999</v>
      </c>
      <c r="DZ124">
        <v>1.8746400000000001</v>
      </c>
      <c r="EA124">
        <v>1.87076</v>
      </c>
      <c r="EB124">
        <v>1.87466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-0.53400000000000003</v>
      </c>
      <c r="EQ124">
        <v>9.9900000000000003E-2</v>
      </c>
      <c r="ER124">
        <v>-0.53370000000001006</v>
      </c>
      <c r="ES124">
        <v>0</v>
      </c>
      <c r="ET124">
        <v>0</v>
      </c>
      <c r="EU124">
        <v>0</v>
      </c>
      <c r="EV124">
        <v>9.9940000000001902E-2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3.8</v>
      </c>
      <c r="FE124">
        <v>3.8</v>
      </c>
      <c r="FF124">
        <v>0.56640599999999997</v>
      </c>
      <c r="FG124">
        <v>2.6000999999999999</v>
      </c>
      <c r="FH124">
        <v>2.19604</v>
      </c>
      <c r="FI124">
        <v>2.5805699999999998</v>
      </c>
      <c r="FJ124">
        <v>2.4462899999999999</v>
      </c>
      <c r="FK124">
        <v>2.2570800000000002</v>
      </c>
      <c r="FL124">
        <v>30.2864</v>
      </c>
      <c r="FM124">
        <v>24.14</v>
      </c>
      <c r="FN124">
        <v>19</v>
      </c>
      <c r="FO124">
        <v>863.91899999999998</v>
      </c>
      <c r="FP124">
        <v>594.52</v>
      </c>
      <c r="FQ124">
        <v>18.120100000000001</v>
      </c>
      <c r="FR124">
        <v>24.8246</v>
      </c>
      <c r="FS124">
        <v>30.0001</v>
      </c>
      <c r="FT124">
        <v>24.816800000000001</v>
      </c>
      <c r="FU124">
        <v>24.819299999999998</v>
      </c>
      <c r="FV124">
        <v>11.373900000000001</v>
      </c>
      <c r="FW124">
        <v>30.452400000000001</v>
      </c>
      <c r="FX124">
        <v>53.151000000000003</v>
      </c>
      <c r="FY124">
        <v>18.114100000000001</v>
      </c>
      <c r="FZ124">
        <v>150</v>
      </c>
      <c r="GA124">
        <v>14.4034</v>
      </c>
      <c r="GB124">
        <v>99.944699999999997</v>
      </c>
      <c r="GC124">
        <v>99.757199999999997</v>
      </c>
    </row>
    <row r="125" spans="1:185" x14ac:dyDescent="0.2">
      <c r="A125">
        <v>110</v>
      </c>
      <c r="B125">
        <v>1771087531.0999999</v>
      </c>
      <c r="C125">
        <v>2211.0999999046298</v>
      </c>
      <c r="D125" t="s">
        <v>516</v>
      </c>
      <c r="E125" t="s">
        <v>517</v>
      </c>
      <c r="F125">
        <v>15</v>
      </c>
      <c r="G125">
        <v>1771087523.5999999</v>
      </c>
      <c r="H125">
        <f t="shared" si="13"/>
        <v>8.4989125544357815E-4</v>
      </c>
      <c r="I125">
        <v>0</v>
      </c>
      <c r="J125">
        <f t="shared" si="25"/>
        <v>-4.3401310298949534E-3</v>
      </c>
      <c r="K125">
        <f t="shared" si="14"/>
        <v>-0.11764331014193867</v>
      </c>
      <c r="L125">
        <f t="shared" si="15"/>
        <v>69.811184978914213</v>
      </c>
      <c r="M125">
        <f t="shared" si="16"/>
        <v>1.5396032972459099</v>
      </c>
      <c r="N125">
        <f t="shared" si="17"/>
        <v>2.2053819852949528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26199.276999472077</v>
      </c>
      <c r="T125">
        <f t="shared" si="21"/>
        <v>799.99928571428597</v>
      </c>
      <c r="U125">
        <f t="shared" si="22"/>
        <v>674.39927700010787</v>
      </c>
      <c r="V125">
        <f t="shared" si="23"/>
        <v>0.84299984892857105</v>
      </c>
      <c r="W125">
        <f t="shared" si="24"/>
        <v>0.15869955272142852</v>
      </c>
      <c r="X125">
        <v>1</v>
      </c>
      <c r="Y125">
        <v>1771087523.5999999</v>
      </c>
      <c r="Z125">
        <v>149.986214285714</v>
      </c>
      <c r="AA125">
        <v>149.99850000000001</v>
      </c>
      <c r="AB125">
        <v>15.394392857142901</v>
      </c>
      <c r="AC125">
        <v>14.348392857142899</v>
      </c>
      <c r="AD125">
        <v>150.519785714286</v>
      </c>
      <c r="AE125">
        <v>15.294449999999999</v>
      </c>
      <c r="AF125">
        <v>800.00735714285702</v>
      </c>
      <c r="AG125">
        <v>99.946085714285701</v>
      </c>
      <c r="AH125">
        <v>6.45682642857143E-2</v>
      </c>
      <c r="AI125">
        <v>19.001464285714299</v>
      </c>
      <c r="AJ125">
        <v>999.9</v>
      </c>
      <c r="AK125">
        <v>999.9</v>
      </c>
      <c r="AL125">
        <v>0</v>
      </c>
      <c r="AM125">
        <v>0</v>
      </c>
      <c r="AN125">
        <v>4998.5714285714303</v>
      </c>
      <c r="AO125">
        <v>0</v>
      </c>
      <c r="AP125">
        <v>2.0436035714285699</v>
      </c>
      <c r="AQ125">
        <v>-1.25427337142857E-2</v>
      </c>
      <c r="AR125">
        <v>152.33114285714299</v>
      </c>
      <c r="AS125">
        <v>152.18214285714299</v>
      </c>
      <c r="AT125">
        <v>1.0459857142857101</v>
      </c>
      <c r="AU125">
        <v>149.99850000000001</v>
      </c>
      <c r="AV125">
        <v>14.348392857142899</v>
      </c>
      <c r="AW125">
        <v>1.53860857142857</v>
      </c>
      <c r="AX125">
        <v>1.4340671428571401</v>
      </c>
      <c r="AY125">
        <v>13.3573357142857</v>
      </c>
      <c r="AZ125">
        <v>12.282721428571399</v>
      </c>
      <c r="BA125">
        <v>799.99928571428597</v>
      </c>
      <c r="BB125">
        <v>0.90000607142857103</v>
      </c>
      <c r="BC125">
        <v>0</v>
      </c>
      <c r="BD125">
        <v>9.9993964285714304E-2</v>
      </c>
      <c r="BE125">
        <v>0</v>
      </c>
      <c r="BF125">
        <v>25</v>
      </c>
      <c r="BG125">
        <v>13191.0428571429</v>
      </c>
      <c r="BH125">
        <v>1771087289</v>
      </c>
      <c r="BI125" t="s">
        <v>483</v>
      </c>
      <c r="BJ125">
        <v>1771087289</v>
      </c>
      <c r="BK125">
        <v>1771087289</v>
      </c>
      <c r="BL125">
        <v>4</v>
      </c>
      <c r="BM125">
        <v>-4.5999999999999999E-2</v>
      </c>
      <c r="BN125">
        <v>-4.0000000000000001E-3</v>
      </c>
      <c r="BO125">
        <v>-0.53400000000000003</v>
      </c>
      <c r="BP125">
        <v>0.1</v>
      </c>
      <c r="BQ125">
        <v>150</v>
      </c>
      <c r="BR125">
        <v>14</v>
      </c>
      <c r="BS125">
        <v>0.42</v>
      </c>
      <c r="BT125">
        <v>0.03</v>
      </c>
      <c r="BU125">
        <v>-1.43309162857143E-2</v>
      </c>
      <c r="BV125">
        <v>1.6951483480519499E-2</v>
      </c>
      <c r="BW125">
        <v>1.2298233412236599E-2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1.03852761904762</v>
      </c>
      <c r="CD125">
        <v>0.101914285714285</v>
      </c>
      <c r="CE125">
        <v>1.18737810019996E-2</v>
      </c>
      <c r="CF125">
        <v>0</v>
      </c>
      <c r="CG125">
        <v>1</v>
      </c>
      <c r="CH125">
        <v>2</v>
      </c>
      <c r="CI125" t="s">
        <v>299</v>
      </c>
      <c r="CJ125">
        <v>3.5325000000000002</v>
      </c>
      <c r="CK125">
        <v>2.7025600000000001</v>
      </c>
      <c r="CL125">
        <v>4.2017199999999998E-2</v>
      </c>
      <c r="CM125">
        <v>4.1431900000000001E-2</v>
      </c>
      <c r="CN125">
        <v>8.7052599999999994E-2</v>
      </c>
      <c r="CO125">
        <v>8.1793500000000005E-2</v>
      </c>
      <c r="CP125">
        <v>33623.4</v>
      </c>
      <c r="CQ125">
        <v>29530.799999999999</v>
      </c>
      <c r="CR125">
        <v>32481.7</v>
      </c>
      <c r="CS125">
        <v>30731.4</v>
      </c>
      <c r="CT125">
        <v>40138.5</v>
      </c>
      <c r="CU125">
        <v>39669.800000000003</v>
      </c>
      <c r="CV125">
        <v>47427.199999999997</v>
      </c>
      <c r="CW125">
        <v>46858.3</v>
      </c>
      <c r="CX125">
        <v>2.6330200000000001</v>
      </c>
      <c r="CY125">
        <v>2.1632600000000002</v>
      </c>
      <c r="CZ125">
        <v>0</v>
      </c>
      <c r="DA125">
        <v>0</v>
      </c>
      <c r="DB125">
        <v>999.9</v>
      </c>
      <c r="DC125">
        <v>999.9</v>
      </c>
      <c r="DD125">
        <v>62.030999999999999</v>
      </c>
      <c r="DE125">
        <v>24.904</v>
      </c>
      <c r="DF125">
        <v>19.619700000000002</v>
      </c>
      <c r="DG125">
        <v>30.291899999999998</v>
      </c>
      <c r="DH125">
        <v>15.1402</v>
      </c>
      <c r="DI125">
        <v>2</v>
      </c>
      <c r="DJ125">
        <v>-0.17410400000000001</v>
      </c>
      <c r="DK125">
        <v>2.0092400000000001</v>
      </c>
      <c r="DL125">
        <v>20.1982</v>
      </c>
      <c r="DM125">
        <v>5.25251</v>
      </c>
      <c r="DN125">
        <v>12.033899999999999</v>
      </c>
      <c r="DO125">
        <v>4.9677600000000002</v>
      </c>
      <c r="DP125">
        <v>3.2909999999999999</v>
      </c>
      <c r="DQ125">
        <v>9999</v>
      </c>
      <c r="DR125">
        <v>9999</v>
      </c>
      <c r="DS125">
        <v>9999</v>
      </c>
      <c r="DT125">
        <v>604.4</v>
      </c>
      <c r="DU125">
        <v>1.8710500000000001</v>
      </c>
      <c r="DV125">
        <v>1.8761000000000001</v>
      </c>
      <c r="DW125">
        <v>1.8763000000000001</v>
      </c>
      <c r="DX125">
        <v>1.88279</v>
      </c>
      <c r="DY125">
        <v>1.8755999999999999</v>
      </c>
      <c r="DZ125">
        <v>1.8746400000000001</v>
      </c>
      <c r="EA125">
        <v>1.87076</v>
      </c>
      <c r="EB125">
        <v>1.8746700000000001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-0.53400000000000003</v>
      </c>
      <c r="EQ125">
        <v>9.9900000000000003E-2</v>
      </c>
      <c r="ER125">
        <v>-0.53370000000001006</v>
      </c>
      <c r="ES125">
        <v>0</v>
      </c>
      <c r="ET125">
        <v>0</v>
      </c>
      <c r="EU125">
        <v>0</v>
      </c>
      <c r="EV125">
        <v>9.9940000000001902E-2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4</v>
      </c>
      <c r="FE125">
        <v>4</v>
      </c>
      <c r="FF125">
        <v>0.56640599999999997</v>
      </c>
      <c r="FG125">
        <v>2.5891099999999998</v>
      </c>
      <c r="FH125">
        <v>2.19604</v>
      </c>
      <c r="FI125">
        <v>2.5805699999999998</v>
      </c>
      <c r="FJ125">
        <v>2.4462899999999999</v>
      </c>
      <c r="FK125">
        <v>2.3290999999999999</v>
      </c>
      <c r="FL125">
        <v>30.3079</v>
      </c>
      <c r="FM125">
        <v>24.148800000000001</v>
      </c>
      <c r="FN125">
        <v>19</v>
      </c>
      <c r="FO125">
        <v>863.79899999999998</v>
      </c>
      <c r="FP125">
        <v>594.29200000000003</v>
      </c>
      <c r="FQ125">
        <v>18.1097</v>
      </c>
      <c r="FR125">
        <v>24.827999999999999</v>
      </c>
      <c r="FS125">
        <v>30.0001</v>
      </c>
      <c r="FT125">
        <v>24.820900000000002</v>
      </c>
      <c r="FU125">
        <v>24.822600000000001</v>
      </c>
      <c r="FV125">
        <v>11.3764</v>
      </c>
      <c r="FW125">
        <v>30.452400000000001</v>
      </c>
      <c r="FX125">
        <v>53.151000000000003</v>
      </c>
      <c r="FY125">
        <v>18.1098</v>
      </c>
      <c r="FZ125">
        <v>150</v>
      </c>
      <c r="GA125">
        <v>14.410299999999999</v>
      </c>
      <c r="GB125">
        <v>99.944100000000006</v>
      </c>
      <c r="GC125">
        <v>99.758099999999999</v>
      </c>
    </row>
    <row r="126" spans="1:185" x14ac:dyDescent="0.2">
      <c r="A126">
        <v>111</v>
      </c>
      <c r="B126">
        <v>1771087546.0999999</v>
      </c>
      <c r="C126">
        <v>2226.0999999046298</v>
      </c>
      <c r="D126" t="s">
        <v>518</v>
      </c>
      <c r="E126" t="s">
        <v>519</v>
      </c>
      <c r="F126">
        <v>15</v>
      </c>
      <c r="G126">
        <v>1771087538.5999999</v>
      </c>
      <c r="H126">
        <f t="shared" si="13"/>
        <v>8.3124869430490473E-4</v>
      </c>
      <c r="I126">
        <v>0</v>
      </c>
      <c r="J126">
        <f t="shared" si="25"/>
        <v>-4.1653533070110382E-3</v>
      </c>
      <c r="K126">
        <f t="shared" si="14"/>
        <v>-0.11290579652368465</v>
      </c>
      <c r="L126">
        <f t="shared" si="15"/>
        <v>69.791948948029997</v>
      </c>
      <c r="M126">
        <f t="shared" si="16"/>
        <v>1.5392147446298057</v>
      </c>
      <c r="N126">
        <f t="shared" si="17"/>
        <v>2.2054331019985836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26253.154089584132</v>
      </c>
      <c r="T126">
        <f t="shared" si="21"/>
        <v>799.99978571428596</v>
      </c>
      <c r="U126">
        <f t="shared" si="22"/>
        <v>674.39979947143433</v>
      </c>
      <c r="V126">
        <f t="shared" si="23"/>
        <v>0.84299997514285741</v>
      </c>
      <c r="W126">
        <f t="shared" si="24"/>
        <v>0.1586994367371429</v>
      </c>
      <c r="X126">
        <v>1</v>
      </c>
      <c r="Y126">
        <v>1771087538.5999999</v>
      </c>
      <c r="Z126">
        <v>149.988142857143</v>
      </c>
      <c r="AA126">
        <v>150.00285714285701</v>
      </c>
      <c r="AB126">
        <v>15.390342857142899</v>
      </c>
      <c r="AC126">
        <v>14.3672928571429</v>
      </c>
      <c r="AD126">
        <v>150.52178571428601</v>
      </c>
      <c r="AE126">
        <v>15.2904</v>
      </c>
      <c r="AF126">
        <v>800.01514285714302</v>
      </c>
      <c r="AG126">
        <v>99.947007142857103</v>
      </c>
      <c r="AH126">
        <v>6.4718321428571396E-2</v>
      </c>
      <c r="AI126">
        <v>19.001835714285701</v>
      </c>
      <c r="AJ126">
        <v>999.9</v>
      </c>
      <c r="AK126">
        <v>999.9</v>
      </c>
      <c r="AL126">
        <v>0</v>
      </c>
      <c r="AM126">
        <v>0</v>
      </c>
      <c r="AN126">
        <v>5007.4285714285697</v>
      </c>
      <c r="AO126">
        <v>0</v>
      </c>
      <c r="AP126">
        <v>2.0552178571428601</v>
      </c>
      <c r="AQ126">
        <v>-1.4922007857142899E-2</v>
      </c>
      <c r="AR126">
        <v>152.33242857142901</v>
      </c>
      <c r="AS126">
        <v>152.18957142857101</v>
      </c>
      <c r="AT126">
        <v>1.02304942857143</v>
      </c>
      <c r="AU126">
        <v>150.00285714285701</v>
      </c>
      <c r="AV126">
        <v>14.3672928571429</v>
      </c>
      <c r="AW126">
        <v>1.5382199999999999</v>
      </c>
      <c r="AX126">
        <v>1.43596785714286</v>
      </c>
      <c r="AY126">
        <v>13.3534428571429</v>
      </c>
      <c r="AZ126">
        <v>12.3028714285714</v>
      </c>
      <c r="BA126">
        <v>799.99978571428596</v>
      </c>
      <c r="BB126">
        <v>0.90000828571428604</v>
      </c>
      <c r="BC126">
        <v>0</v>
      </c>
      <c r="BD126">
        <v>9.99919714285714E-2</v>
      </c>
      <c r="BE126">
        <v>0</v>
      </c>
      <c r="BF126">
        <v>25</v>
      </c>
      <c r="BG126">
        <v>13191.035714285699</v>
      </c>
      <c r="BH126">
        <v>1771087289</v>
      </c>
      <c r="BI126" t="s">
        <v>483</v>
      </c>
      <c r="BJ126">
        <v>1771087289</v>
      </c>
      <c r="BK126">
        <v>1771087289</v>
      </c>
      <c r="BL126">
        <v>4</v>
      </c>
      <c r="BM126">
        <v>-4.5999999999999999E-2</v>
      </c>
      <c r="BN126">
        <v>-4.0000000000000001E-3</v>
      </c>
      <c r="BO126">
        <v>-0.53400000000000003</v>
      </c>
      <c r="BP126">
        <v>0.1</v>
      </c>
      <c r="BQ126">
        <v>150</v>
      </c>
      <c r="BR126">
        <v>14</v>
      </c>
      <c r="BS126">
        <v>0.42</v>
      </c>
      <c r="BT126">
        <v>0.03</v>
      </c>
      <c r="BU126">
        <v>-1.27449091E-2</v>
      </c>
      <c r="BV126">
        <v>-2.3056775729323301E-2</v>
      </c>
      <c r="BW126">
        <v>2.1644943975625101E-2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1.0300275999999999</v>
      </c>
      <c r="CD126">
        <v>-0.19067206015037499</v>
      </c>
      <c r="CE126">
        <v>2.10051252659916E-2</v>
      </c>
      <c r="CF126">
        <v>0</v>
      </c>
      <c r="CG126">
        <v>1</v>
      </c>
      <c r="CH126">
        <v>2</v>
      </c>
      <c r="CI126" t="s">
        <v>299</v>
      </c>
      <c r="CJ126">
        <v>3.5325199999999999</v>
      </c>
      <c r="CK126">
        <v>2.7023899999999998</v>
      </c>
      <c r="CL126">
        <v>4.2016999999999999E-2</v>
      </c>
      <c r="CM126">
        <v>4.1431299999999997E-2</v>
      </c>
      <c r="CN126">
        <v>8.7099700000000002E-2</v>
      </c>
      <c r="CO126">
        <v>8.2013100000000005E-2</v>
      </c>
      <c r="CP126">
        <v>33623</v>
      </c>
      <c r="CQ126">
        <v>29530.9</v>
      </c>
      <c r="CR126">
        <v>32481.3</v>
      </c>
      <c r="CS126">
        <v>30731.4</v>
      </c>
      <c r="CT126">
        <v>40136.1</v>
      </c>
      <c r="CU126">
        <v>39659.699999999997</v>
      </c>
      <c r="CV126">
        <v>47426.8</v>
      </c>
      <c r="CW126">
        <v>46857.9</v>
      </c>
      <c r="CX126">
        <v>2.6333000000000002</v>
      </c>
      <c r="CY126">
        <v>2.1633399999999998</v>
      </c>
      <c r="CZ126">
        <v>0</v>
      </c>
      <c r="DA126">
        <v>0</v>
      </c>
      <c r="DB126">
        <v>999.9</v>
      </c>
      <c r="DC126">
        <v>999.9</v>
      </c>
      <c r="DD126">
        <v>61.933999999999997</v>
      </c>
      <c r="DE126">
        <v>24.934000000000001</v>
      </c>
      <c r="DF126">
        <v>19.625599999999999</v>
      </c>
      <c r="DG126">
        <v>30.081900000000001</v>
      </c>
      <c r="DH126">
        <v>15.208299999999999</v>
      </c>
      <c r="DI126">
        <v>2</v>
      </c>
      <c r="DJ126">
        <v>-0.173841</v>
      </c>
      <c r="DK126">
        <v>2.0151699999999999</v>
      </c>
      <c r="DL126">
        <v>20.1981</v>
      </c>
      <c r="DM126">
        <v>5.2513100000000001</v>
      </c>
      <c r="DN126">
        <v>12.033899999999999</v>
      </c>
      <c r="DO126">
        <v>4.9673600000000002</v>
      </c>
      <c r="DP126">
        <v>3.2909999999999999</v>
      </c>
      <c r="DQ126">
        <v>9999</v>
      </c>
      <c r="DR126">
        <v>9999</v>
      </c>
      <c r="DS126">
        <v>9999</v>
      </c>
      <c r="DT126">
        <v>604.5</v>
      </c>
      <c r="DU126">
        <v>1.8710500000000001</v>
      </c>
      <c r="DV126">
        <v>1.8761300000000001</v>
      </c>
      <c r="DW126">
        <v>1.87632</v>
      </c>
      <c r="DX126">
        <v>1.88279</v>
      </c>
      <c r="DY126">
        <v>1.87561</v>
      </c>
      <c r="DZ126">
        <v>1.8746799999999999</v>
      </c>
      <c r="EA126">
        <v>1.87079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-0.53400000000000003</v>
      </c>
      <c r="EQ126">
        <v>9.9900000000000003E-2</v>
      </c>
      <c r="ER126">
        <v>-0.53370000000001006</v>
      </c>
      <c r="ES126">
        <v>0</v>
      </c>
      <c r="ET126">
        <v>0</v>
      </c>
      <c r="EU126">
        <v>0</v>
      </c>
      <c r="EV126">
        <v>9.9940000000001902E-2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4.3</v>
      </c>
      <c r="FE126">
        <v>4.3</v>
      </c>
      <c r="FF126">
        <v>0.56640599999999997</v>
      </c>
      <c r="FG126">
        <v>2.6013199999999999</v>
      </c>
      <c r="FH126">
        <v>2.19604</v>
      </c>
      <c r="FI126">
        <v>2.5805699999999998</v>
      </c>
      <c r="FJ126">
        <v>2.4462899999999999</v>
      </c>
      <c r="FK126">
        <v>2.32422</v>
      </c>
      <c r="FL126">
        <v>30.3294</v>
      </c>
      <c r="FM126">
        <v>24.148800000000001</v>
      </c>
      <c r="FN126">
        <v>19</v>
      </c>
      <c r="FO126">
        <v>864.11900000000003</v>
      </c>
      <c r="FP126">
        <v>594.40800000000002</v>
      </c>
      <c r="FQ126">
        <v>18.1065</v>
      </c>
      <c r="FR126">
        <v>24.832100000000001</v>
      </c>
      <c r="FS126">
        <v>30.0001</v>
      </c>
      <c r="FT126">
        <v>24.8247</v>
      </c>
      <c r="FU126">
        <v>24.827200000000001</v>
      </c>
      <c r="FV126">
        <v>11.3744</v>
      </c>
      <c r="FW126">
        <v>30.175999999999998</v>
      </c>
      <c r="FX126">
        <v>52.779299999999999</v>
      </c>
      <c r="FY126">
        <v>18.104299999999999</v>
      </c>
      <c r="FZ126">
        <v>150</v>
      </c>
      <c r="GA126">
        <v>14.407999999999999</v>
      </c>
      <c r="GB126">
        <v>99.943200000000004</v>
      </c>
      <c r="GC126">
        <v>99.757599999999996</v>
      </c>
    </row>
    <row r="127" spans="1:185" x14ac:dyDescent="0.2">
      <c r="A127">
        <v>112</v>
      </c>
      <c r="B127">
        <v>1771087561.0999999</v>
      </c>
      <c r="C127">
        <v>2241.0999999046298</v>
      </c>
      <c r="D127" t="s">
        <v>520</v>
      </c>
      <c r="E127" t="s">
        <v>521</v>
      </c>
      <c r="F127">
        <v>15</v>
      </c>
      <c r="G127">
        <v>1771087553.5999999</v>
      </c>
      <c r="H127">
        <f t="shared" si="13"/>
        <v>8.1844740100915788E-4</v>
      </c>
      <c r="I127">
        <v>0</v>
      </c>
      <c r="J127">
        <f t="shared" si="25"/>
        <v>-3.5986248736561209E-3</v>
      </c>
      <c r="K127">
        <f t="shared" si="14"/>
        <v>-9.7544092374157787E-2</v>
      </c>
      <c r="L127">
        <f t="shared" si="15"/>
        <v>69.873612282067697</v>
      </c>
      <c r="M127">
        <f t="shared" si="16"/>
        <v>1.5408639822221621</v>
      </c>
      <c r="N127">
        <f t="shared" si="17"/>
        <v>2.2052158631815977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26199.72455902151</v>
      </c>
      <c r="T127">
        <f t="shared" si="21"/>
        <v>800.00099999999998</v>
      </c>
      <c r="U127">
        <f t="shared" si="22"/>
        <v>674.40064019974648</v>
      </c>
      <c r="V127">
        <f t="shared" si="23"/>
        <v>0.84299974649999998</v>
      </c>
      <c r="W127">
        <f t="shared" si="24"/>
        <v>0.15869946369000001</v>
      </c>
      <c r="X127">
        <v>1</v>
      </c>
      <c r="Y127">
        <v>1771087553.5999999</v>
      </c>
      <c r="Z127">
        <v>149.97200000000001</v>
      </c>
      <c r="AA127">
        <v>150.0035</v>
      </c>
      <c r="AB127">
        <v>15.407071428571401</v>
      </c>
      <c r="AC127">
        <v>14.3997785714286</v>
      </c>
      <c r="AD127">
        <v>150.50564285714299</v>
      </c>
      <c r="AE127">
        <v>15.3071428571429</v>
      </c>
      <c r="AF127">
        <v>800.00321428571397</v>
      </c>
      <c r="AG127">
        <v>99.945728571428603</v>
      </c>
      <c r="AH127">
        <v>6.4451128571428595E-2</v>
      </c>
      <c r="AI127">
        <v>19.000257142857102</v>
      </c>
      <c r="AJ127">
        <v>999.9</v>
      </c>
      <c r="AK127">
        <v>999.9</v>
      </c>
      <c r="AL127">
        <v>0</v>
      </c>
      <c r="AM127">
        <v>0</v>
      </c>
      <c r="AN127">
        <v>4998.6428571428596</v>
      </c>
      <c r="AO127">
        <v>0</v>
      </c>
      <c r="AP127">
        <v>2.0823171428571401</v>
      </c>
      <c r="AQ127">
        <v>-3.1526830785714298E-2</v>
      </c>
      <c r="AR127">
        <v>152.31871428571401</v>
      </c>
      <c r="AS127">
        <v>152.19492857142899</v>
      </c>
      <c r="AT127">
        <v>1.0072914285714301</v>
      </c>
      <c r="AU127">
        <v>150.0035</v>
      </c>
      <c r="AV127">
        <v>14.3997785714286</v>
      </c>
      <c r="AW127">
        <v>1.53987071428571</v>
      </c>
      <c r="AX127">
        <v>1.4391978571428601</v>
      </c>
      <c r="AY127">
        <v>13.3699071428571</v>
      </c>
      <c r="AZ127">
        <v>12.33705</v>
      </c>
      <c r="BA127">
        <v>800.00099999999998</v>
      </c>
      <c r="BB127">
        <v>0.900007</v>
      </c>
      <c r="BC127">
        <v>0</v>
      </c>
      <c r="BD127">
        <v>9.9992949999999997E-2</v>
      </c>
      <c r="BE127">
        <v>0</v>
      </c>
      <c r="BF127">
        <v>25</v>
      </c>
      <c r="BG127">
        <v>13191.064285714299</v>
      </c>
      <c r="BH127">
        <v>1771087289</v>
      </c>
      <c r="BI127" t="s">
        <v>483</v>
      </c>
      <c r="BJ127">
        <v>1771087289</v>
      </c>
      <c r="BK127">
        <v>1771087289</v>
      </c>
      <c r="BL127">
        <v>4</v>
      </c>
      <c r="BM127">
        <v>-4.5999999999999999E-2</v>
      </c>
      <c r="BN127">
        <v>-4.0000000000000001E-3</v>
      </c>
      <c r="BO127">
        <v>-0.53400000000000003</v>
      </c>
      <c r="BP127">
        <v>0.1</v>
      </c>
      <c r="BQ127">
        <v>150</v>
      </c>
      <c r="BR127">
        <v>14</v>
      </c>
      <c r="BS127">
        <v>0.42</v>
      </c>
      <c r="BT127">
        <v>0.03</v>
      </c>
      <c r="BU127">
        <v>-2.2341042904761899E-2</v>
      </c>
      <c r="BV127">
        <v>-0.129298543402597</v>
      </c>
      <c r="BW127">
        <v>1.9030005376943201E-2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1.00477342857143</v>
      </c>
      <c r="CD127">
        <v>3.8716675324675202E-2</v>
      </c>
      <c r="CE127">
        <v>5.7583961769413E-3</v>
      </c>
      <c r="CF127">
        <v>1</v>
      </c>
      <c r="CG127">
        <v>2</v>
      </c>
      <c r="CH127">
        <v>2</v>
      </c>
      <c r="CI127" t="s">
        <v>310</v>
      </c>
      <c r="CJ127">
        <v>3.5325799999999998</v>
      </c>
      <c r="CK127">
        <v>2.7023100000000002</v>
      </c>
      <c r="CL127">
        <v>4.2015499999999997E-2</v>
      </c>
      <c r="CM127">
        <v>4.1441400000000003E-2</v>
      </c>
      <c r="CN127">
        <v>8.7181900000000007E-2</v>
      </c>
      <c r="CO127">
        <v>8.2038399999999997E-2</v>
      </c>
      <c r="CP127">
        <v>33623.1</v>
      </c>
      <c r="CQ127">
        <v>29530.1</v>
      </c>
      <c r="CR127">
        <v>32481.3</v>
      </c>
      <c r="CS127">
        <v>30731</v>
      </c>
      <c r="CT127">
        <v>40132.300000000003</v>
      </c>
      <c r="CU127">
        <v>39658.300000000003</v>
      </c>
      <c r="CV127">
        <v>47426.8</v>
      </c>
      <c r="CW127">
        <v>46857.599999999999</v>
      </c>
      <c r="CX127">
        <v>2.63314</v>
      </c>
      <c r="CY127">
        <v>2.1630799999999999</v>
      </c>
      <c r="CZ127">
        <v>0</v>
      </c>
      <c r="DA127">
        <v>0</v>
      </c>
      <c r="DB127">
        <v>999.9</v>
      </c>
      <c r="DC127">
        <v>999.9</v>
      </c>
      <c r="DD127">
        <v>61.841999999999999</v>
      </c>
      <c r="DE127">
        <v>24.943999999999999</v>
      </c>
      <c r="DF127">
        <v>19.608899999999998</v>
      </c>
      <c r="DG127">
        <v>30.021899999999999</v>
      </c>
      <c r="DH127">
        <v>15.2524</v>
      </c>
      <c r="DI127">
        <v>2</v>
      </c>
      <c r="DJ127">
        <v>-0.17369499999999999</v>
      </c>
      <c r="DK127">
        <v>1.9491400000000001</v>
      </c>
      <c r="DL127">
        <v>20.198899999999998</v>
      </c>
      <c r="DM127">
        <v>5.2519099999999996</v>
      </c>
      <c r="DN127">
        <v>12.033899999999999</v>
      </c>
      <c r="DO127">
        <v>4.9675200000000004</v>
      </c>
      <c r="DP127">
        <v>3.2909999999999999</v>
      </c>
      <c r="DQ127">
        <v>9999</v>
      </c>
      <c r="DR127">
        <v>9999</v>
      </c>
      <c r="DS127">
        <v>9999</v>
      </c>
      <c r="DT127">
        <v>604.5</v>
      </c>
      <c r="DU127">
        <v>1.8710599999999999</v>
      </c>
      <c r="DV127">
        <v>1.87615</v>
      </c>
      <c r="DW127">
        <v>1.87635</v>
      </c>
      <c r="DX127">
        <v>1.8828</v>
      </c>
      <c r="DY127">
        <v>1.87561</v>
      </c>
      <c r="DZ127">
        <v>1.87469</v>
      </c>
      <c r="EA127">
        <v>1.87083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-0.53400000000000003</v>
      </c>
      <c r="EQ127">
        <v>0.1</v>
      </c>
      <c r="ER127">
        <v>-0.53370000000001006</v>
      </c>
      <c r="ES127">
        <v>0</v>
      </c>
      <c r="ET127">
        <v>0</v>
      </c>
      <c r="EU127">
        <v>0</v>
      </c>
      <c r="EV127">
        <v>9.9940000000001902E-2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4.5</v>
      </c>
      <c r="FE127">
        <v>4.5</v>
      </c>
      <c r="FF127">
        <v>0.56640599999999997</v>
      </c>
      <c r="FG127">
        <v>2.6013199999999999</v>
      </c>
      <c r="FH127">
        <v>2.19604</v>
      </c>
      <c r="FI127">
        <v>2.5805699999999998</v>
      </c>
      <c r="FJ127">
        <v>2.4462899999999999</v>
      </c>
      <c r="FK127">
        <v>2.2778299999999998</v>
      </c>
      <c r="FL127">
        <v>30.3294</v>
      </c>
      <c r="FM127">
        <v>24.14</v>
      </c>
      <c r="FN127">
        <v>19</v>
      </c>
      <c r="FO127">
        <v>864.03899999999999</v>
      </c>
      <c r="FP127">
        <v>594.24300000000005</v>
      </c>
      <c r="FQ127">
        <v>18.1112</v>
      </c>
      <c r="FR127">
        <v>24.834599999999998</v>
      </c>
      <c r="FS127">
        <v>30.0001</v>
      </c>
      <c r="FT127">
        <v>24.828900000000001</v>
      </c>
      <c r="FU127">
        <v>24.830500000000001</v>
      </c>
      <c r="FV127">
        <v>11.3725</v>
      </c>
      <c r="FW127">
        <v>30.175999999999998</v>
      </c>
      <c r="FX127">
        <v>52.779299999999999</v>
      </c>
      <c r="FY127">
        <v>18.115300000000001</v>
      </c>
      <c r="FZ127">
        <v>150</v>
      </c>
      <c r="GA127">
        <v>14.407999999999999</v>
      </c>
      <c r="GB127">
        <v>99.943100000000001</v>
      </c>
      <c r="GC127">
        <v>99.756699999999995</v>
      </c>
    </row>
    <row r="128" spans="1:185" x14ac:dyDescent="0.2">
      <c r="A128">
        <v>113</v>
      </c>
      <c r="B128">
        <v>1771087703.0999999</v>
      </c>
      <c r="C128">
        <v>2383.0999999046298</v>
      </c>
      <c r="D128" t="s">
        <v>522</v>
      </c>
      <c r="E128" t="s">
        <v>523</v>
      </c>
      <c r="F128">
        <v>15</v>
      </c>
      <c r="G128">
        <v>1771087695.0999999</v>
      </c>
      <c r="H128">
        <f t="shared" si="13"/>
        <v>-9.3413889305990234E-4</v>
      </c>
      <c r="I128">
        <v>0</v>
      </c>
      <c r="J128">
        <f t="shared" si="25"/>
        <v>-0.55577989206939826</v>
      </c>
      <c r="K128">
        <f t="shared" si="14"/>
        <v>-15.064933699698912</v>
      </c>
      <c r="L128">
        <f t="shared" si="15"/>
        <v>68.35490044500358</v>
      </c>
      <c r="M128">
        <f t="shared" si="16"/>
        <v>1.5077383842919059</v>
      </c>
      <c r="N128">
        <f t="shared" si="17"/>
        <v>2.2057502453755884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26191.639601931623</v>
      </c>
      <c r="T128">
        <f t="shared" si="21"/>
        <v>799.99946666666699</v>
      </c>
      <c r="U128">
        <f t="shared" si="22"/>
        <v>674.39942048008709</v>
      </c>
      <c r="V128">
        <f t="shared" si="23"/>
        <v>0.8429998376000003</v>
      </c>
      <c r="W128">
        <f t="shared" si="24"/>
        <v>0.15869969793600006</v>
      </c>
      <c r="X128">
        <v>1</v>
      </c>
      <c r="Y128">
        <v>1771087695.0999999</v>
      </c>
      <c r="Z128">
        <v>394.24619999999999</v>
      </c>
      <c r="AA128">
        <v>374.95460000000003</v>
      </c>
      <c r="AB128">
        <v>15.0771333333333</v>
      </c>
      <c r="AC128">
        <v>16.227206666666699</v>
      </c>
      <c r="AD128">
        <v>394.78</v>
      </c>
      <c r="AE128">
        <v>14.9771933333333</v>
      </c>
      <c r="AF128">
        <v>799.99659999999994</v>
      </c>
      <c r="AG128">
        <v>99.937240000000003</v>
      </c>
      <c r="AH128">
        <v>6.4421519999999996E-2</v>
      </c>
      <c r="AI128">
        <v>19.00414</v>
      </c>
      <c r="AJ128">
        <v>999.9</v>
      </c>
      <c r="AK128">
        <v>999.9</v>
      </c>
      <c r="AL128">
        <v>0</v>
      </c>
      <c r="AM128">
        <v>0</v>
      </c>
      <c r="AN128">
        <v>4997.7333333333299</v>
      </c>
      <c r="AO128">
        <v>0</v>
      </c>
      <c r="AP128">
        <v>2.08773066666667</v>
      </c>
      <c r="AQ128">
        <v>19.2917533333333</v>
      </c>
      <c r="AR128">
        <v>400.27859999999998</v>
      </c>
      <c r="AS128">
        <v>381.13940000000002</v>
      </c>
      <c r="AT128">
        <v>-1.1500720666666699</v>
      </c>
      <c r="AU128">
        <v>374.95460000000003</v>
      </c>
      <c r="AV128">
        <v>16.227206666666699</v>
      </c>
      <c r="AW128">
        <v>1.50676733333333</v>
      </c>
      <c r="AX128">
        <v>1.6216999999999999</v>
      </c>
      <c r="AY128">
        <v>13.031753333333301</v>
      </c>
      <c r="AZ128">
        <v>14.165893333333299</v>
      </c>
      <c r="BA128">
        <v>799.99946666666699</v>
      </c>
      <c r="BB128">
        <v>0.90000386666666699</v>
      </c>
      <c r="BC128">
        <v>0</v>
      </c>
      <c r="BD128">
        <v>9.9996080000000001E-2</v>
      </c>
      <c r="BE128">
        <v>0</v>
      </c>
      <c r="BF128">
        <v>25</v>
      </c>
      <c r="BG128">
        <v>13191.0333333333</v>
      </c>
      <c r="BH128">
        <v>1771087289</v>
      </c>
      <c r="BI128" t="s">
        <v>483</v>
      </c>
      <c r="BJ128">
        <v>1771087289</v>
      </c>
      <c r="BK128">
        <v>1771087289</v>
      </c>
      <c r="BL128">
        <v>4</v>
      </c>
      <c r="BM128">
        <v>-4.5999999999999999E-2</v>
      </c>
      <c r="BN128">
        <v>-4.0000000000000001E-3</v>
      </c>
      <c r="BO128">
        <v>-0.53400000000000003</v>
      </c>
      <c r="BP128">
        <v>0.1</v>
      </c>
      <c r="BQ128">
        <v>150</v>
      </c>
      <c r="BR128">
        <v>14</v>
      </c>
      <c r="BS128">
        <v>0.42</v>
      </c>
      <c r="BT128">
        <v>0.03</v>
      </c>
      <c r="BU128">
        <v>26.0213619047619</v>
      </c>
      <c r="BV128">
        <v>-120.38156883116901</v>
      </c>
      <c r="BW128">
        <v>12.4385193994292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-1.3747457619047601</v>
      </c>
      <c r="CD128">
        <v>4.6062218961039001</v>
      </c>
      <c r="CE128">
        <v>0.48046419895118098</v>
      </c>
      <c r="CF128">
        <v>0</v>
      </c>
      <c r="CG128">
        <v>0</v>
      </c>
      <c r="CH128">
        <v>2</v>
      </c>
      <c r="CI128" t="s">
        <v>290</v>
      </c>
      <c r="CJ128">
        <v>3.5325299999999999</v>
      </c>
      <c r="CK128">
        <v>2.7024599999999999</v>
      </c>
      <c r="CL128">
        <v>9.3228699999999998E-2</v>
      </c>
      <c r="CM128">
        <v>9.0228000000000003E-2</v>
      </c>
      <c r="CN128">
        <v>8.8403099999999998E-2</v>
      </c>
      <c r="CO128">
        <v>8.9360400000000006E-2</v>
      </c>
      <c r="CP128">
        <v>31822.799999999999</v>
      </c>
      <c r="CQ128">
        <v>28027</v>
      </c>
      <c r="CR128">
        <v>32478.9</v>
      </c>
      <c r="CS128">
        <v>30730.799999999999</v>
      </c>
      <c r="CT128">
        <v>40079.5</v>
      </c>
      <c r="CU128">
        <v>39336.199999999997</v>
      </c>
      <c r="CV128">
        <v>47424</v>
      </c>
      <c r="CW128">
        <v>46857.8</v>
      </c>
      <c r="CX128">
        <v>2.63062</v>
      </c>
      <c r="CY128">
        <v>2.1652999999999998</v>
      </c>
      <c r="CZ128">
        <v>0</v>
      </c>
      <c r="DA128">
        <v>0</v>
      </c>
      <c r="DB128">
        <v>999.9</v>
      </c>
      <c r="DC128">
        <v>999.9</v>
      </c>
      <c r="DD128">
        <v>61.128</v>
      </c>
      <c r="DE128">
        <v>25.096</v>
      </c>
      <c r="DF128">
        <v>19.561900000000001</v>
      </c>
      <c r="DG128">
        <v>30.451899999999998</v>
      </c>
      <c r="DH128">
        <v>15.100199999999999</v>
      </c>
      <c r="DI128">
        <v>2</v>
      </c>
      <c r="DJ128">
        <v>-0.16734599999999999</v>
      </c>
      <c r="DK128">
        <v>2.3491200000000001</v>
      </c>
      <c r="DL128">
        <v>20.190999999999999</v>
      </c>
      <c r="DM128">
        <v>5.25143</v>
      </c>
      <c r="DN128">
        <v>12.033899999999999</v>
      </c>
      <c r="DO128">
        <v>4.9673600000000002</v>
      </c>
      <c r="DP128">
        <v>3.2909999999999999</v>
      </c>
      <c r="DQ128">
        <v>9999</v>
      </c>
      <c r="DR128">
        <v>9999</v>
      </c>
      <c r="DS128">
        <v>9999</v>
      </c>
      <c r="DT128">
        <v>604.5</v>
      </c>
      <c r="DU128">
        <v>1.87107</v>
      </c>
      <c r="DV128">
        <v>1.87612</v>
      </c>
      <c r="DW128">
        <v>1.8763099999999999</v>
      </c>
      <c r="DX128">
        <v>1.8828100000000001</v>
      </c>
      <c r="DY128">
        <v>1.87561</v>
      </c>
      <c r="DZ128">
        <v>1.8746799999999999</v>
      </c>
      <c r="EA128">
        <v>1.8707499999999999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-0.53400000000000003</v>
      </c>
      <c r="EQ128">
        <v>9.9900000000000003E-2</v>
      </c>
      <c r="ER128">
        <v>-0.53370000000001006</v>
      </c>
      <c r="ES128">
        <v>0</v>
      </c>
      <c r="ET128">
        <v>0</v>
      </c>
      <c r="EU128">
        <v>0</v>
      </c>
      <c r="EV128">
        <v>9.9940000000001902E-2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6.9</v>
      </c>
      <c r="FE128">
        <v>6.9</v>
      </c>
      <c r="FF128">
        <v>1.15601</v>
      </c>
      <c r="FG128">
        <v>2.5842299999999998</v>
      </c>
      <c r="FH128">
        <v>2.19604</v>
      </c>
      <c r="FI128">
        <v>2.5805699999999998</v>
      </c>
      <c r="FJ128">
        <v>2.4462899999999999</v>
      </c>
      <c r="FK128">
        <v>2.2656200000000002</v>
      </c>
      <c r="FL128">
        <v>30.458400000000001</v>
      </c>
      <c r="FM128">
        <v>24.113800000000001</v>
      </c>
      <c r="FN128">
        <v>19</v>
      </c>
      <c r="FO128">
        <v>862.49099999999999</v>
      </c>
      <c r="FP128">
        <v>596.53599999999994</v>
      </c>
      <c r="FQ128">
        <v>17.254999999999999</v>
      </c>
      <c r="FR128">
        <v>24.886500000000002</v>
      </c>
      <c r="FS128">
        <v>29.999099999999999</v>
      </c>
      <c r="FT128">
        <v>24.877300000000002</v>
      </c>
      <c r="FU128">
        <v>24.877700000000001</v>
      </c>
      <c r="FV128">
        <v>23.205400000000001</v>
      </c>
      <c r="FW128">
        <v>22.711400000000001</v>
      </c>
      <c r="FX128">
        <v>52.422499999999999</v>
      </c>
      <c r="FY128">
        <v>17.5518</v>
      </c>
      <c r="FZ128">
        <v>375</v>
      </c>
      <c r="GA128">
        <v>15.8538</v>
      </c>
      <c r="GB128">
        <v>99.936700000000002</v>
      </c>
      <c r="GC128">
        <v>99.756699999999995</v>
      </c>
    </row>
    <row r="129" spans="1:185" x14ac:dyDescent="0.2">
      <c r="A129">
        <v>114</v>
      </c>
      <c r="B129">
        <v>1771087718.0999999</v>
      </c>
      <c r="C129">
        <v>2398.0999999046298</v>
      </c>
      <c r="D129" t="s">
        <v>524</v>
      </c>
      <c r="E129" t="s">
        <v>525</v>
      </c>
      <c r="F129">
        <v>15</v>
      </c>
      <c r="G129">
        <v>1771087710.03333</v>
      </c>
      <c r="H129">
        <f t="shared" si="13"/>
        <v>2.3916765075131062E-5</v>
      </c>
      <c r="I129">
        <v>0</v>
      </c>
      <c r="J129">
        <f t="shared" si="25"/>
        <v>-0.17307489168160586</v>
      </c>
      <c r="K129">
        <f t="shared" si="14"/>
        <v>-4.691356786150858</v>
      </c>
      <c r="L129">
        <f t="shared" si="15"/>
        <v>72.565402267653823</v>
      </c>
      <c r="M129">
        <f t="shared" si="16"/>
        <v>1.5919327341402758</v>
      </c>
      <c r="N129">
        <f t="shared" si="17"/>
        <v>2.1937902697328298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26271.867086399347</v>
      </c>
      <c r="T129">
        <f t="shared" si="21"/>
        <v>799.99980000000005</v>
      </c>
      <c r="U129">
        <f t="shared" si="22"/>
        <v>674.39969908003309</v>
      </c>
      <c r="V129">
        <f t="shared" si="23"/>
        <v>0.84299983459999994</v>
      </c>
      <c r="W129">
        <f t="shared" si="24"/>
        <v>0.15869975539600001</v>
      </c>
      <c r="X129">
        <v>1</v>
      </c>
      <c r="Y129">
        <v>1771087710.03333</v>
      </c>
      <c r="Z129">
        <v>380.92706666666697</v>
      </c>
      <c r="AA129">
        <v>375.07426666666697</v>
      </c>
      <c r="AB129">
        <v>15.9191133333333</v>
      </c>
      <c r="AC129">
        <v>15.8896933333333</v>
      </c>
      <c r="AD129">
        <v>381.46066666666701</v>
      </c>
      <c r="AE129">
        <v>15.8192</v>
      </c>
      <c r="AF129">
        <v>800.00106666666704</v>
      </c>
      <c r="AG129">
        <v>99.936819999999997</v>
      </c>
      <c r="AH129">
        <v>6.4524346666666704E-2</v>
      </c>
      <c r="AI129">
        <v>18.91704</v>
      </c>
      <c r="AJ129">
        <v>999.9</v>
      </c>
      <c r="AK129">
        <v>999.9</v>
      </c>
      <c r="AL129">
        <v>0</v>
      </c>
      <c r="AM129">
        <v>0</v>
      </c>
      <c r="AN129">
        <v>5009.7</v>
      </c>
      <c r="AO129">
        <v>0</v>
      </c>
      <c r="AP129">
        <v>2.08652666666667</v>
      </c>
      <c r="AQ129">
        <v>5.8528226666666701</v>
      </c>
      <c r="AR129">
        <v>387.089</v>
      </c>
      <c r="AS129">
        <v>381.13026666666701</v>
      </c>
      <c r="AT129">
        <v>2.942898E-2</v>
      </c>
      <c r="AU129">
        <v>375.07426666666697</v>
      </c>
      <c r="AV129">
        <v>15.8896933333333</v>
      </c>
      <c r="AW129">
        <v>1.59090666666667</v>
      </c>
      <c r="AX129">
        <v>1.5879653333333299</v>
      </c>
      <c r="AY129">
        <v>13.8706666666667</v>
      </c>
      <c r="AZ129">
        <v>13.8415</v>
      </c>
      <c r="BA129">
        <v>799.99980000000005</v>
      </c>
      <c r="BB129">
        <v>0.900003</v>
      </c>
      <c r="BC129">
        <v>0</v>
      </c>
      <c r="BD129">
        <v>9.9996913333333298E-2</v>
      </c>
      <c r="BE129">
        <v>0</v>
      </c>
      <c r="BF129">
        <v>25</v>
      </c>
      <c r="BG129">
        <v>13191.026666666699</v>
      </c>
      <c r="BH129">
        <v>1771087289</v>
      </c>
      <c r="BI129" t="s">
        <v>483</v>
      </c>
      <c r="BJ129">
        <v>1771087289</v>
      </c>
      <c r="BK129">
        <v>1771087289</v>
      </c>
      <c r="BL129">
        <v>4</v>
      </c>
      <c r="BM129">
        <v>-4.5999999999999999E-2</v>
      </c>
      <c r="BN129">
        <v>-4.0000000000000001E-3</v>
      </c>
      <c r="BO129">
        <v>-0.53400000000000003</v>
      </c>
      <c r="BP129">
        <v>0.1</v>
      </c>
      <c r="BQ129">
        <v>150</v>
      </c>
      <c r="BR129">
        <v>14</v>
      </c>
      <c r="BS129">
        <v>0.42</v>
      </c>
      <c r="BT129">
        <v>0.03</v>
      </c>
      <c r="BU129">
        <v>8.4559038095238108</v>
      </c>
      <c r="BV129">
        <v>-38.945128831168802</v>
      </c>
      <c r="BW129">
        <v>4.01702791002488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-0.27534072857142899</v>
      </c>
      <c r="CD129">
        <v>4.6268652389610399</v>
      </c>
      <c r="CE129">
        <v>0.46842573439121399</v>
      </c>
      <c r="CF129">
        <v>0</v>
      </c>
      <c r="CG129">
        <v>0</v>
      </c>
      <c r="CH129">
        <v>2</v>
      </c>
      <c r="CI129" t="s">
        <v>290</v>
      </c>
      <c r="CJ129">
        <v>3.5325099999999998</v>
      </c>
      <c r="CK129">
        <v>2.70235</v>
      </c>
      <c r="CL129">
        <v>9.1986100000000001E-2</v>
      </c>
      <c r="CM129">
        <v>9.0234900000000007E-2</v>
      </c>
      <c r="CN129">
        <v>8.98336E-2</v>
      </c>
      <c r="CO129">
        <v>8.6703500000000003E-2</v>
      </c>
      <c r="CP129">
        <v>31867.5</v>
      </c>
      <c r="CQ129">
        <v>28027.4</v>
      </c>
      <c r="CR129">
        <v>32480</v>
      </c>
      <c r="CS129">
        <v>30731.599999999999</v>
      </c>
      <c r="CT129">
        <v>40015.699999999997</v>
      </c>
      <c r="CU129">
        <v>39456.1</v>
      </c>
      <c r="CV129">
        <v>47425.7</v>
      </c>
      <c r="CW129">
        <v>46859.3</v>
      </c>
      <c r="CX129">
        <v>2.6316199999999998</v>
      </c>
      <c r="CY129">
        <v>2.1641400000000002</v>
      </c>
      <c r="CZ129">
        <v>0</v>
      </c>
      <c r="DA129">
        <v>0</v>
      </c>
      <c r="DB129">
        <v>999.9</v>
      </c>
      <c r="DC129">
        <v>999.9</v>
      </c>
      <c r="DD129">
        <v>61.079000000000001</v>
      </c>
      <c r="DE129">
        <v>25.116</v>
      </c>
      <c r="DF129">
        <v>19.568200000000001</v>
      </c>
      <c r="DG129">
        <v>30.091899999999999</v>
      </c>
      <c r="DH129">
        <v>15.152200000000001</v>
      </c>
      <c r="DI129">
        <v>2</v>
      </c>
      <c r="DJ129">
        <v>-0.16986399999999999</v>
      </c>
      <c r="DK129">
        <v>2.0598299999999998</v>
      </c>
      <c r="DL129">
        <v>20.198</v>
      </c>
      <c r="DM129">
        <v>5.2522700000000002</v>
      </c>
      <c r="DN129">
        <v>12.033899999999999</v>
      </c>
      <c r="DO129">
        <v>4.9676</v>
      </c>
      <c r="DP129">
        <v>3.2909999999999999</v>
      </c>
      <c r="DQ129">
        <v>9999</v>
      </c>
      <c r="DR129">
        <v>9999</v>
      </c>
      <c r="DS129">
        <v>9999</v>
      </c>
      <c r="DT129">
        <v>604.5</v>
      </c>
      <c r="DU129">
        <v>1.8710599999999999</v>
      </c>
      <c r="DV129">
        <v>1.8761000000000001</v>
      </c>
      <c r="DW129">
        <v>1.8763099999999999</v>
      </c>
      <c r="DX129">
        <v>1.88279</v>
      </c>
      <c r="DY129">
        <v>1.87561</v>
      </c>
      <c r="DZ129">
        <v>1.8746799999999999</v>
      </c>
      <c r="EA129">
        <v>1.87076</v>
      </c>
      <c r="EB129">
        <v>1.8746799999999999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-0.53400000000000003</v>
      </c>
      <c r="EQ129">
        <v>9.9900000000000003E-2</v>
      </c>
      <c r="ER129">
        <v>-0.53370000000001006</v>
      </c>
      <c r="ES129">
        <v>0</v>
      </c>
      <c r="ET129">
        <v>0</v>
      </c>
      <c r="EU129">
        <v>0</v>
      </c>
      <c r="EV129">
        <v>9.9940000000001902E-2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7.2</v>
      </c>
      <c r="FE129">
        <v>7.2</v>
      </c>
      <c r="FF129">
        <v>1.15479</v>
      </c>
      <c r="FG129">
        <v>2.5781200000000002</v>
      </c>
      <c r="FH129">
        <v>2.19604</v>
      </c>
      <c r="FI129">
        <v>2.5793499999999998</v>
      </c>
      <c r="FJ129">
        <v>2.4462899999999999</v>
      </c>
      <c r="FK129">
        <v>2.2839399999999999</v>
      </c>
      <c r="FL129">
        <v>30.458400000000001</v>
      </c>
      <c r="FM129">
        <v>24.148800000000001</v>
      </c>
      <c r="FN129">
        <v>19</v>
      </c>
      <c r="FO129">
        <v>863.48500000000001</v>
      </c>
      <c r="FP129">
        <v>595.66099999999994</v>
      </c>
      <c r="FQ129">
        <v>17.675699999999999</v>
      </c>
      <c r="FR129">
        <v>24.893999999999998</v>
      </c>
      <c r="FS129">
        <v>30.0001</v>
      </c>
      <c r="FT129">
        <v>24.881499999999999</v>
      </c>
      <c r="FU129">
        <v>24.8809</v>
      </c>
      <c r="FV129">
        <v>23.194700000000001</v>
      </c>
      <c r="FW129">
        <v>26.1021</v>
      </c>
      <c r="FX129">
        <v>52.044400000000003</v>
      </c>
      <c r="FY129">
        <v>17.719200000000001</v>
      </c>
      <c r="FZ129">
        <v>375</v>
      </c>
      <c r="GA129">
        <v>15.2021</v>
      </c>
      <c r="GB129">
        <v>99.940100000000001</v>
      </c>
      <c r="GC129">
        <v>99.759699999999995</v>
      </c>
    </row>
    <row r="130" spans="1:185" x14ac:dyDescent="0.2">
      <c r="A130">
        <v>115</v>
      </c>
      <c r="B130">
        <v>1771087733.0999999</v>
      </c>
      <c r="C130">
        <v>2413.0999999046298</v>
      </c>
      <c r="D130" t="s">
        <v>526</v>
      </c>
      <c r="E130" t="s">
        <v>527</v>
      </c>
      <c r="F130">
        <v>15</v>
      </c>
      <c r="G130">
        <v>1771087725.03333</v>
      </c>
      <c r="H130">
        <f t="shared" si="13"/>
        <v>6.0047024912013888E-4</v>
      </c>
      <c r="I130">
        <v>0</v>
      </c>
      <c r="J130">
        <f t="shared" si="25"/>
        <v>-6.1173897769963168E-2</v>
      </c>
      <c r="K130">
        <f t="shared" si="14"/>
        <v>-1.6581757044595986</v>
      </c>
      <c r="L130">
        <f t="shared" si="15"/>
        <v>73.168187787274675</v>
      </c>
      <c r="M130">
        <f t="shared" si="16"/>
        <v>1.6024797227389884</v>
      </c>
      <c r="N130">
        <f t="shared" si="17"/>
        <v>2.1901317651845544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26218.142630065806</v>
      </c>
      <c r="T130">
        <f t="shared" si="21"/>
        <v>799.99893333333296</v>
      </c>
      <c r="U130">
        <f t="shared" si="22"/>
        <v>674.39923135982519</v>
      </c>
      <c r="V130">
        <f t="shared" si="23"/>
        <v>0.84300016319999949</v>
      </c>
      <c r="W130">
        <f t="shared" si="24"/>
        <v>0.15870035603199989</v>
      </c>
      <c r="X130">
        <v>1</v>
      </c>
      <c r="Y130">
        <v>1771087725.03333</v>
      </c>
      <c r="Z130">
        <v>376.84233333333299</v>
      </c>
      <c r="AA130">
        <v>375.05246666666699</v>
      </c>
      <c r="AB130">
        <v>16.0246866666667</v>
      </c>
      <c r="AC130">
        <v>15.2861266666667</v>
      </c>
      <c r="AD130">
        <v>377.37593333333302</v>
      </c>
      <c r="AE130">
        <v>15.924759999999999</v>
      </c>
      <c r="AF130">
        <v>799.999866666667</v>
      </c>
      <c r="AG130">
        <v>99.936173333333301</v>
      </c>
      <c r="AH130">
        <v>6.4516606666666698E-2</v>
      </c>
      <c r="AI130">
        <v>18.8903133333333</v>
      </c>
      <c r="AJ130">
        <v>999.9</v>
      </c>
      <c r="AK130">
        <v>999.9</v>
      </c>
      <c r="AL130">
        <v>0</v>
      </c>
      <c r="AM130">
        <v>0</v>
      </c>
      <c r="AN130">
        <v>5000.4666666666699</v>
      </c>
      <c r="AO130">
        <v>0</v>
      </c>
      <c r="AP130">
        <v>2.08901</v>
      </c>
      <c r="AQ130">
        <v>1.7897097333333301</v>
      </c>
      <c r="AR130">
        <v>382.97933333333299</v>
      </c>
      <c r="AS130">
        <v>380.874666666667</v>
      </c>
      <c r="AT130">
        <v>0.73858559999999995</v>
      </c>
      <c r="AU130">
        <v>375.05246666666699</v>
      </c>
      <c r="AV130">
        <v>15.2861266666667</v>
      </c>
      <c r="AW130">
        <v>1.6014459999999999</v>
      </c>
      <c r="AX130">
        <v>1.5276339999999999</v>
      </c>
      <c r="AY130">
        <v>13.972720000000001</v>
      </c>
      <c r="AZ130">
        <v>13.246980000000001</v>
      </c>
      <c r="BA130">
        <v>799.99893333333296</v>
      </c>
      <c r="BB130">
        <v>0.89999533333333304</v>
      </c>
      <c r="BC130">
        <v>0</v>
      </c>
      <c r="BD130">
        <v>0.10000469333333301</v>
      </c>
      <c r="BE130">
        <v>0</v>
      </c>
      <c r="BF130">
        <v>25</v>
      </c>
      <c r="BG130">
        <v>13190.993333333299</v>
      </c>
      <c r="BH130">
        <v>1771087289</v>
      </c>
      <c r="BI130" t="s">
        <v>483</v>
      </c>
      <c r="BJ130">
        <v>1771087289</v>
      </c>
      <c r="BK130">
        <v>1771087289</v>
      </c>
      <c r="BL130">
        <v>4</v>
      </c>
      <c r="BM130">
        <v>-4.5999999999999999E-2</v>
      </c>
      <c r="BN130">
        <v>-4.0000000000000001E-3</v>
      </c>
      <c r="BO130">
        <v>-0.53400000000000003</v>
      </c>
      <c r="BP130">
        <v>0.1</v>
      </c>
      <c r="BQ130">
        <v>150</v>
      </c>
      <c r="BR130">
        <v>14</v>
      </c>
      <c r="BS130">
        <v>0.42</v>
      </c>
      <c r="BT130">
        <v>0.03</v>
      </c>
      <c r="BU130">
        <v>2.4355150000000001</v>
      </c>
      <c r="BV130">
        <v>-10.980904060150401</v>
      </c>
      <c r="BW130">
        <v>1.0749033828419201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0.61087179999999996</v>
      </c>
      <c r="CD130">
        <v>2.1718253233082701</v>
      </c>
      <c r="CE130">
        <v>0.2116562517037</v>
      </c>
      <c r="CF130">
        <v>0</v>
      </c>
      <c r="CG130">
        <v>0</v>
      </c>
      <c r="CH130">
        <v>2</v>
      </c>
      <c r="CI130" t="s">
        <v>290</v>
      </c>
      <c r="CJ130">
        <v>3.5325199999999999</v>
      </c>
      <c r="CK130">
        <v>2.7023600000000001</v>
      </c>
      <c r="CL130">
        <v>9.1597799999999993E-2</v>
      </c>
      <c r="CM130">
        <v>9.0217199999999997E-2</v>
      </c>
      <c r="CN130">
        <v>8.9532500000000001E-2</v>
      </c>
      <c r="CO130">
        <v>8.4676000000000001E-2</v>
      </c>
      <c r="CP130">
        <v>31880.1</v>
      </c>
      <c r="CQ130">
        <v>28026.9</v>
      </c>
      <c r="CR130">
        <v>32479</v>
      </c>
      <c r="CS130">
        <v>30730.5</v>
      </c>
      <c r="CT130">
        <v>40028</v>
      </c>
      <c r="CU130">
        <v>39545.300000000003</v>
      </c>
      <c r="CV130">
        <v>47423.9</v>
      </c>
      <c r="CW130">
        <v>46857.8</v>
      </c>
      <c r="CX130">
        <v>2.63232</v>
      </c>
      <c r="CY130">
        <v>2.1630400000000001</v>
      </c>
      <c r="CZ130">
        <v>0</v>
      </c>
      <c r="DA130">
        <v>0</v>
      </c>
      <c r="DB130">
        <v>999.9</v>
      </c>
      <c r="DC130">
        <v>999.9</v>
      </c>
      <c r="DD130">
        <v>61.042999999999999</v>
      </c>
      <c r="DE130">
        <v>25.146000000000001</v>
      </c>
      <c r="DF130">
        <v>19.590499999999999</v>
      </c>
      <c r="DG130">
        <v>30.001899999999999</v>
      </c>
      <c r="DH130">
        <v>15.1562</v>
      </c>
      <c r="DI130">
        <v>2</v>
      </c>
      <c r="DJ130">
        <v>-0.16938800000000001</v>
      </c>
      <c r="DK130">
        <v>1.8382400000000001</v>
      </c>
      <c r="DL130">
        <v>20.200399999999998</v>
      </c>
      <c r="DM130">
        <v>5.25143</v>
      </c>
      <c r="DN130">
        <v>12.033899999999999</v>
      </c>
      <c r="DO130">
        <v>4.9673600000000002</v>
      </c>
      <c r="DP130">
        <v>3.2909999999999999</v>
      </c>
      <c r="DQ130">
        <v>9999</v>
      </c>
      <c r="DR130">
        <v>9999</v>
      </c>
      <c r="DS130">
        <v>9999</v>
      </c>
      <c r="DT130">
        <v>604.5</v>
      </c>
      <c r="DU130">
        <v>1.87103</v>
      </c>
      <c r="DV130">
        <v>1.8761399999999999</v>
      </c>
      <c r="DW130">
        <v>1.8763000000000001</v>
      </c>
      <c r="DX130">
        <v>1.8828100000000001</v>
      </c>
      <c r="DY130">
        <v>1.87561</v>
      </c>
      <c r="DZ130">
        <v>1.8746700000000001</v>
      </c>
      <c r="EA130">
        <v>1.8707499999999999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-0.53300000000000003</v>
      </c>
      <c r="EQ130">
        <v>9.9900000000000003E-2</v>
      </c>
      <c r="ER130">
        <v>-0.53370000000001006</v>
      </c>
      <c r="ES130">
        <v>0</v>
      </c>
      <c r="ET130">
        <v>0</v>
      </c>
      <c r="EU130">
        <v>0</v>
      </c>
      <c r="EV130">
        <v>9.9940000000001902E-2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7.4</v>
      </c>
      <c r="FE130">
        <v>7.4</v>
      </c>
      <c r="FF130">
        <v>1.15479</v>
      </c>
      <c r="FG130">
        <v>2.5805699999999998</v>
      </c>
      <c r="FH130">
        <v>2.19604</v>
      </c>
      <c r="FI130">
        <v>2.5805699999999998</v>
      </c>
      <c r="FJ130">
        <v>2.4462899999999999</v>
      </c>
      <c r="FK130">
        <v>2.32178</v>
      </c>
      <c r="FL130">
        <v>30.48</v>
      </c>
      <c r="FM130">
        <v>24.148800000000001</v>
      </c>
      <c r="FN130">
        <v>19</v>
      </c>
      <c r="FO130">
        <v>864.221</v>
      </c>
      <c r="FP130">
        <v>594.86599999999999</v>
      </c>
      <c r="FQ130">
        <v>17.8826</v>
      </c>
      <c r="FR130">
        <v>24.901900000000001</v>
      </c>
      <c r="FS130">
        <v>30.0001</v>
      </c>
      <c r="FT130">
        <v>24.886900000000001</v>
      </c>
      <c r="FU130">
        <v>24.886700000000001</v>
      </c>
      <c r="FV130">
        <v>23.1905</v>
      </c>
      <c r="FW130">
        <v>28.277699999999999</v>
      </c>
      <c r="FX130">
        <v>51.667499999999997</v>
      </c>
      <c r="FY130">
        <v>17.9482</v>
      </c>
      <c r="FZ130">
        <v>375</v>
      </c>
      <c r="GA130">
        <v>14.824999999999999</v>
      </c>
      <c r="GB130">
        <v>99.936599999999999</v>
      </c>
      <c r="GC130">
        <v>99.756299999999996</v>
      </c>
    </row>
    <row r="131" spans="1:185" x14ac:dyDescent="0.2">
      <c r="A131">
        <v>116</v>
      </c>
      <c r="B131">
        <v>1771087748.0999999</v>
      </c>
      <c r="C131">
        <v>2428.0999999046298</v>
      </c>
      <c r="D131" t="s">
        <v>528</v>
      </c>
      <c r="E131" t="s">
        <v>529</v>
      </c>
      <c r="F131">
        <v>15</v>
      </c>
      <c r="G131">
        <v>1771087740.03333</v>
      </c>
      <c r="H131">
        <f t="shared" si="13"/>
        <v>8.3188406127419966E-4</v>
      </c>
      <c r="I131">
        <v>0</v>
      </c>
      <c r="J131">
        <f t="shared" si="25"/>
        <v>-2.6812027944933602E-2</v>
      </c>
      <c r="K131">
        <f t="shared" si="14"/>
        <v>-0.7267650901167596</v>
      </c>
      <c r="L131">
        <f t="shared" si="15"/>
        <v>72.59492296897669</v>
      </c>
      <c r="M131">
        <f t="shared" si="16"/>
        <v>1.5903541547614271</v>
      </c>
      <c r="N131">
        <f t="shared" si="17"/>
        <v>2.1907236618200723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26210.929910853381</v>
      </c>
      <c r="T131">
        <f t="shared" si="21"/>
        <v>800.00173333333305</v>
      </c>
      <c r="U131">
        <f t="shared" si="22"/>
        <v>674.40164056038805</v>
      </c>
      <c r="V131">
        <f t="shared" si="23"/>
        <v>0.84300022419999965</v>
      </c>
      <c r="W131">
        <f t="shared" si="24"/>
        <v>0.15870057349199992</v>
      </c>
      <c r="X131">
        <v>1</v>
      </c>
      <c r="Y131">
        <v>1771087740.03333</v>
      </c>
      <c r="Z131">
        <v>375.549933333333</v>
      </c>
      <c r="AA131">
        <v>375.03199999999998</v>
      </c>
      <c r="AB131">
        <v>15.903653333333301</v>
      </c>
      <c r="AC131">
        <v>14.8803466666667</v>
      </c>
      <c r="AD131">
        <v>376.083666666667</v>
      </c>
      <c r="AE131">
        <v>15.803713333333301</v>
      </c>
      <c r="AF131">
        <v>800.00853333333305</v>
      </c>
      <c r="AG131">
        <v>99.934806666666702</v>
      </c>
      <c r="AH131">
        <v>6.4490439999999996E-2</v>
      </c>
      <c r="AI131">
        <v>18.894639999999999</v>
      </c>
      <c r="AJ131">
        <v>999.9</v>
      </c>
      <c r="AK131">
        <v>999.9</v>
      </c>
      <c r="AL131">
        <v>0</v>
      </c>
      <c r="AM131">
        <v>0</v>
      </c>
      <c r="AN131">
        <v>4999.3999999999996</v>
      </c>
      <c r="AO131">
        <v>0</v>
      </c>
      <c r="AP131">
        <v>2.1255220000000001</v>
      </c>
      <c r="AQ131">
        <v>0.51786500000000002</v>
      </c>
      <c r="AR131">
        <v>381.61926666666699</v>
      </c>
      <c r="AS131">
        <v>380.697</v>
      </c>
      <c r="AT131">
        <v>1.0233213999999999</v>
      </c>
      <c r="AU131">
        <v>375.03199999999998</v>
      </c>
      <c r="AV131">
        <v>14.8803466666667</v>
      </c>
      <c r="AW131">
        <v>1.5893286666666699</v>
      </c>
      <c r="AX131">
        <v>1.4870633333333301</v>
      </c>
      <c r="AY131">
        <v>13.8556733333333</v>
      </c>
      <c r="AZ131">
        <v>12.8355333333333</v>
      </c>
      <c r="BA131">
        <v>800.00173333333305</v>
      </c>
      <c r="BB131">
        <v>0.89999233333333295</v>
      </c>
      <c r="BC131">
        <v>0</v>
      </c>
      <c r="BD131">
        <v>0.10000766</v>
      </c>
      <c r="BE131">
        <v>0</v>
      </c>
      <c r="BF131">
        <v>25</v>
      </c>
      <c r="BG131">
        <v>13191.02</v>
      </c>
      <c r="BH131">
        <v>1771087289</v>
      </c>
      <c r="BI131" t="s">
        <v>483</v>
      </c>
      <c r="BJ131">
        <v>1771087289</v>
      </c>
      <c r="BK131">
        <v>1771087289</v>
      </c>
      <c r="BL131">
        <v>4</v>
      </c>
      <c r="BM131">
        <v>-4.5999999999999999E-2</v>
      </c>
      <c r="BN131">
        <v>-4.0000000000000001E-3</v>
      </c>
      <c r="BO131">
        <v>-0.53400000000000003</v>
      </c>
      <c r="BP131">
        <v>0.1</v>
      </c>
      <c r="BQ131">
        <v>150</v>
      </c>
      <c r="BR131">
        <v>14</v>
      </c>
      <c r="BS131">
        <v>0.42</v>
      </c>
      <c r="BT131">
        <v>0.03</v>
      </c>
      <c r="BU131">
        <v>0.76782119047619102</v>
      </c>
      <c r="BV131">
        <v>-3.8187996623376601</v>
      </c>
      <c r="BW131">
        <v>0.39112377078747301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0.96379923809523804</v>
      </c>
      <c r="CD131">
        <v>0.881298545454545</v>
      </c>
      <c r="CE131">
        <v>9.0723485456216196E-2</v>
      </c>
      <c r="CF131">
        <v>0</v>
      </c>
      <c r="CG131">
        <v>0</v>
      </c>
      <c r="CH131">
        <v>2</v>
      </c>
      <c r="CI131" t="s">
        <v>290</v>
      </c>
      <c r="CJ131">
        <v>3.5325600000000001</v>
      </c>
      <c r="CK131">
        <v>2.7024900000000001</v>
      </c>
      <c r="CL131">
        <v>9.1457499999999997E-2</v>
      </c>
      <c r="CM131">
        <v>9.0204099999999995E-2</v>
      </c>
      <c r="CN131">
        <v>8.8884599999999994E-2</v>
      </c>
      <c r="CO131">
        <v>8.3368700000000004E-2</v>
      </c>
      <c r="CP131">
        <v>31883.8</v>
      </c>
      <c r="CQ131">
        <v>28026.400000000001</v>
      </c>
      <c r="CR131">
        <v>32477.9</v>
      </c>
      <c r="CS131">
        <v>30729.5</v>
      </c>
      <c r="CT131">
        <v>40056.699999999997</v>
      </c>
      <c r="CU131">
        <v>39602.300000000003</v>
      </c>
      <c r="CV131">
        <v>47423</v>
      </c>
      <c r="CW131">
        <v>46856.4</v>
      </c>
      <c r="CX131">
        <v>2.6324999999999998</v>
      </c>
      <c r="CY131">
        <v>2.1621999999999999</v>
      </c>
      <c r="CZ131">
        <v>0</v>
      </c>
      <c r="DA131">
        <v>0</v>
      </c>
      <c r="DB131">
        <v>999.9</v>
      </c>
      <c r="DC131">
        <v>999.9</v>
      </c>
      <c r="DD131">
        <v>60.957000000000001</v>
      </c>
      <c r="DE131">
        <v>25.155999999999999</v>
      </c>
      <c r="DF131">
        <v>19.576899999999998</v>
      </c>
      <c r="DG131">
        <v>30.271899999999999</v>
      </c>
      <c r="DH131">
        <v>15.272399999999999</v>
      </c>
      <c r="DI131">
        <v>2</v>
      </c>
      <c r="DJ131">
        <v>-0.169236</v>
      </c>
      <c r="DK131">
        <v>1.63391</v>
      </c>
      <c r="DL131">
        <v>20.202999999999999</v>
      </c>
      <c r="DM131">
        <v>5.2486800000000002</v>
      </c>
      <c r="DN131">
        <v>12.033899999999999</v>
      </c>
      <c r="DO131">
        <v>4.9673999999999996</v>
      </c>
      <c r="DP131">
        <v>3.2909999999999999</v>
      </c>
      <c r="DQ131">
        <v>9999</v>
      </c>
      <c r="DR131">
        <v>9999</v>
      </c>
      <c r="DS131">
        <v>9999</v>
      </c>
      <c r="DT131">
        <v>604.5</v>
      </c>
      <c r="DU131">
        <v>1.8710800000000001</v>
      </c>
      <c r="DV131">
        <v>1.87615</v>
      </c>
      <c r="DW131">
        <v>1.87635</v>
      </c>
      <c r="DX131">
        <v>1.8828400000000001</v>
      </c>
      <c r="DY131">
        <v>1.87561</v>
      </c>
      <c r="DZ131">
        <v>1.87469</v>
      </c>
      <c r="EA131">
        <v>1.8708100000000001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-0.53400000000000003</v>
      </c>
      <c r="EQ131">
        <v>9.9900000000000003E-2</v>
      </c>
      <c r="ER131">
        <v>-0.53370000000001006</v>
      </c>
      <c r="ES131">
        <v>0</v>
      </c>
      <c r="ET131">
        <v>0</v>
      </c>
      <c r="EU131">
        <v>0</v>
      </c>
      <c r="EV131">
        <v>9.9940000000001902E-2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7.7</v>
      </c>
      <c r="FE131">
        <v>7.7</v>
      </c>
      <c r="FF131">
        <v>1.15479</v>
      </c>
      <c r="FG131">
        <v>2.5817899999999998</v>
      </c>
      <c r="FH131">
        <v>2.19604</v>
      </c>
      <c r="FI131">
        <v>2.5805699999999998</v>
      </c>
      <c r="FJ131">
        <v>2.4462899999999999</v>
      </c>
      <c r="FK131">
        <v>2.2936999999999999</v>
      </c>
      <c r="FL131">
        <v>30.48</v>
      </c>
      <c r="FM131">
        <v>24.148800000000001</v>
      </c>
      <c r="FN131">
        <v>19</v>
      </c>
      <c r="FO131">
        <v>864.476</v>
      </c>
      <c r="FP131">
        <v>594.28</v>
      </c>
      <c r="FQ131">
        <v>18.116399999999999</v>
      </c>
      <c r="FR131">
        <v>24.908999999999999</v>
      </c>
      <c r="FS131">
        <v>30.0001</v>
      </c>
      <c r="FT131">
        <v>24.892399999999999</v>
      </c>
      <c r="FU131">
        <v>24.893000000000001</v>
      </c>
      <c r="FV131">
        <v>23.188099999999999</v>
      </c>
      <c r="FW131">
        <v>29.1615</v>
      </c>
      <c r="FX131">
        <v>51.667499999999997</v>
      </c>
      <c r="FY131">
        <v>18.171500000000002</v>
      </c>
      <c r="FZ131">
        <v>375</v>
      </c>
      <c r="GA131">
        <v>14.5969</v>
      </c>
      <c r="GB131">
        <v>99.933999999999997</v>
      </c>
      <c r="GC131">
        <v>99.753299999999996</v>
      </c>
    </row>
    <row r="132" spans="1:185" x14ac:dyDescent="0.2">
      <c r="A132">
        <v>117</v>
      </c>
      <c r="B132">
        <v>1771087763.0999999</v>
      </c>
      <c r="C132">
        <v>2443.0999999046298</v>
      </c>
      <c r="D132" t="s">
        <v>530</v>
      </c>
      <c r="E132" t="s">
        <v>531</v>
      </c>
      <c r="F132">
        <v>15</v>
      </c>
      <c r="G132">
        <v>1771087755.03333</v>
      </c>
      <c r="H132">
        <f t="shared" si="13"/>
        <v>9.1366313323089474E-4</v>
      </c>
      <c r="I132">
        <v>0</v>
      </c>
      <c r="J132">
        <f t="shared" si="25"/>
        <v>-1.470105035476873E-2</v>
      </c>
      <c r="K132">
        <f t="shared" si="14"/>
        <v>-0.39848571722503384</v>
      </c>
      <c r="L132">
        <f t="shared" si="15"/>
        <v>71.819713763351629</v>
      </c>
      <c r="M132">
        <f t="shared" si="16"/>
        <v>1.5755496246405187</v>
      </c>
      <c r="N132">
        <f t="shared" si="17"/>
        <v>2.1937564800550553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26234.578487386945</v>
      </c>
      <c r="T132">
        <f t="shared" si="21"/>
        <v>799.999866666667</v>
      </c>
      <c r="U132">
        <f t="shared" si="22"/>
        <v>674.39985464000574</v>
      </c>
      <c r="V132">
        <f t="shared" si="23"/>
        <v>0.84299995879999989</v>
      </c>
      <c r="W132">
        <f t="shared" si="24"/>
        <v>0.15869994896800002</v>
      </c>
      <c r="X132">
        <v>1</v>
      </c>
      <c r="Y132">
        <v>1771087755.03333</v>
      </c>
      <c r="Z132">
        <v>375.08260000000001</v>
      </c>
      <c r="AA132">
        <v>375.01286666666698</v>
      </c>
      <c r="AB132">
        <v>15.7555866666667</v>
      </c>
      <c r="AC132">
        <v>14.631500000000001</v>
      </c>
      <c r="AD132">
        <v>375.61593333333298</v>
      </c>
      <c r="AE132">
        <v>15.655620000000001</v>
      </c>
      <c r="AF132">
        <v>799.99866666666696</v>
      </c>
      <c r="AG132">
        <v>99.934733333333298</v>
      </c>
      <c r="AH132">
        <v>6.46927733333333E-2</v>
      </c>
      <c r="AI132">
        <v>18.916793333333299</v>
      </c>
      <c r="AJ132">
        <v>999.9</v>
      </c>
      <c r="AK132">
        <v>999.9</v>
      </c>
      <c r="AL132">
        <v>0</v>
      </c>
      <c r="AM132">
        <v>0</v>
      </c>
      <c r="AN132">
        <v>5003.6333333333296</v>
      </c>
      <c r="AO132">
        <v>0</v>
      </c>
      <c r="AP132">
        <v>2.14547</v>
      </c>
      <c r="AQ132">
        <v>6.9606513999999994E-2</v>
      </c>
      <c r="AR132">
        <v>381.08666666666699</v>
      </c>
      <c r="AS132">
        <v>380.58139999999997</v>
      </c>
      <c r="AT132">
        <v>1.12406733333333</v>
      </c>
      <c r="AU132">
        <v>375.01286666666698</v>
      </c>
      <c r="AV132">
        <v>14.631500000000001</v>
      </c>
      <c r="AW132">
        <v>1.57452866666667</v>
      </c>
      <c r="AX132">
        <v>1.46219533333333</v>
      </c>
      <c r="AY132">
        <v>13.7117133333333</v>
      </c>
      <c r="AZ132">
        <v>12.5783466666667</v>
      </c>
      <c r="BA132">
        <v>799.999866666667</v>
      </c>
      <c r="BB132">
        <v>0.90000060000000004</v>
      </c>
      <c r="BC132">
        <v>0</v>
      </c>
      <c r="BD132">
        <v>9.9999373333333294E-2</v>
      </c>
      <c r="BE132">
        <v>0</v>
      </c>
      <c r="BF132">
        <v>25</v>
      </c>
      <c r="BG132">
        <v>13191.026666666699</v>
      </c>
      <c r="BH132">
        <v>1771087289</v>
      </c>
      <c r="BI132" t="s">
        <v>483</v>
      </c>
      <c r="BJ132">
        <v>1771087289</v>
      </c>
      <c r="BK132">
        <v>1771087289</v>
      </c>
      <c r="BL132">
        <v>4</v>
      </c>
      <c r="BM132">
        <v>-4.5999999999999999E-2</v>
      </c>
      <c r="BN132">
        <v>-4.0000000000000001E-3</v>
      </c>
      <c r="BO132">
        <v>-0.53400000000000003</v>
      </c>
      <c r="BP132">
        <v>0.1</v>
      </c>
      <c r="BQ132">
        <v>150</v>
      </c>
      <c r="BR132">
        <v>14</v>
      </c>
      <c r="BS132">
        <v>0.42</v>
      </c>
      <c r="BT132">
        <v>0.03</v>
      </c>
      <c r="BU132">
        <v>0.14424285549999999</v>
      </c>
      <c r="BV132">
        <v>-1.3456285348872199</v>
      </c>
      <c r="BW132">
        <v>0.13028102846624801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1.1061245</v>
      </c>
      <c r="CD132">
        <v>0.32358451127819599</v>
      </c>
      <c r="CE132">
        <v>3.2284156249621901E-2</v>
      </c>
      <c r="CF132">
        <v>0</v>
      </c>
      <c r="CG132">
        <v>0</v>
      </c>
      <c r="CH132">
        <v>2</v>
      </c>
      <c r="CI132" t="s">
        <v>290</v>
      </c>
      <c r="CJ132">
        <v>3.5324900000000001</v>
      </c>
      <c r="CK132">
        <v>2.70228</v>
      </c>
      <c r="CL132">
        <v>9.1407299999999997E-2</v>
      </c>
      <c r="CM132">
        <v>9.0206400000000006E-2</v>
      </c>
      <c r="CN132">
        <v>8.8277300000000003E-2</v>
      </c>
      <c r="CO132">
        <v>8.25317E-2</v>
      </c>
      <c r="CP132">
        <v>31885.7</v>
      </c>
      <c r="CQ132">
        <v>28026.400000000001</v>
      </c>
      <c r="CR132">
        <v>32478</v>
      </c>
      <c r="CS132">
        <v>30729.7</v>
      </c>
      <c r="CT132">
        <v>40084.6</v>
      </c>
      <c r="CU132">
        <v>39639.699999999997</v>
      </c>
      <c r="CV132">
        <v>47423.3</v>
      </c>
      <c r="CW132">
        <v>46856.5</v>
      </c>
      <c r="CX132">
        <v>2.6322999999999999</v>
      </c>
      <c r="CY132">
        <v>2.1614</v>
      </c>
      <c r="CZ132">
        <v>0</v>
      </c>
      <c r="DA132">
        <v>0</v>
      </c>
      <c r="DB132">
        <v>999.9</v>
      </c>
      <c r="DC132">
        <v>999.9</v>
      </c>
      <c r="DD132">
        <v>60.866</v>
      </c>
      <c r="DE132">
        <v>25.166</v>
      </c>
      <c r="DF132">
        <v>19.560400000000001</v>
      </c>
      <c r="DG132">
        <v>30.001899999999999</v>
      </c>
      <c r="DH132">
        <v>15.3085</v>
      </c>
      <c r="DI132">
        <v>2</v>
      </c>
      <c r="DJ132">
        <v>-0.168738</v>
      </c>
      <c r="DK132">
        <v>1.54556</v>
      </c>
      <c r="DL132">
        <v>20.203600000000002</v>
      </c>
      <c r="DM132">
        <v>5.2453200000000004</v>
      </c>
      <c r="DN132">
        <v>12.033899999999999</v>
      </c>
      <c r="DO132">
        <v>4.9669600000000003</v>
      </c>
      <c r="DP132">
        <v>3.2905799999999998</v>
      </c>
      <c r="DQ132">
        <v>9999</v>
      </c>
      <c r="DR132">
        <v>9999</v>
      </c>
      <c r="DS132">
        <v>9999</v>
      </c>
      <c r="DT132">
        <v>604.5</v>
      </c>
      <c r="DU132">
        <v>1.8710500000000001</v>
      </c>
      <c r="DV132">
        <v>1.8761399999999999</v>
      </c>
      <c r="DW132">
        <v>1.8763399999999999</v>
      </c>
      <c r="DX132">
        <v>1.8828199999999999</v>
      </c>
      <c r="DY132">
        <v>1.87561</v>
      </c>
      <c r="DZ132">
        <v>1.8746499999999999</v>
      </c>
      <c r="EA132">
        <v>1.87077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-0.53400000000000003</v>
      </c>
      <c r="EQ132">
        <v>0.1</v>
      </c>
      <c r="ER132">
        <v>-0.53370000000001006</v>
      </c>
      <c r="ES132">
        <v>0</v>
      </c>
      <c r="ET132">
        <v>0</v>
      </c>
      <c r="EU132">
        <v>0</v>
      </c>
      <c r="EV132">
        <v>9.9940000000001902E-2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7.9</v>
      </c>
      <c r="FE132">
        <v>7.9</v>
      </c>
      <c r="FF132">
        <v>1.15601</v>
      </c>
      <c r="FG132">
        <v>2.5866699999999998</v>
      </c>
      <c r="FH132">
        <v>2.19604</v>
      </c>
      <c r="FI132">
        <v>2.5805699999999998</v>
      </c>
      <c r="FJ132">
        <v>2.4462899999999999</v>
      </c>
      <c r="FK132">
        <v>2.2961399999999998</v>
      </c>
      <c r="FL132">
        <v>30.5015</v>
      </c>
      <c r="FM132">
        <v>24.148800000000001</v>
      </c>
      <c r="FN132">
        <v>19</v>
      </c>
      <c r="FO132">
        <v>864.38699999999994</v>
      </c>
      <c r="FP132">
        <v>593.726</v>
      </c>
      <c r="FQ132">
        <v>18.314599999999999</v>
      </c>
      <c r="FR132">
        <v>24.915800000000001</v>
      </c>
      <c r="FS132">
        <v>30.0001</v>
      </c>
      <c r="FT132">
        <v>24.898299999999999</v>
      </c>
      <c r="FU132">
        <v>24.8993</v>
      </c>
      <c r="FV132">
        <v>23.1861</v>
      </c>
      <c r="FW132">
        <v>29.72</v>
      </c>
      <c r="FX132">
        <v>51.296399999999998</v>
      </c>
      <c r="FY132">
        <v>18.3505</v>
      </c>
      <c r="FZ132">
        <v>375</v>
      </c>
      <c r="GA132">
        <v>14.4518</v>
      </c>
      <c r="GB132">
        <v>99.934700000000007</v>
      </c>
      <c r="GC132">
        <v>99.753699999999995</v>
      </c>
    </row>
    <row r="133" spans="1:185" x14ac:dyDescent="0.2">
      <c r="A133">
        <v>118</v>
      </c>
      <c r="B133">
        <v>1771087778.0999999</v>
      </c>
      <c r="C133">
        <v>2458.0999999046298</v>
      </c>
      <c r="D133" t="s">
        <v>532</v>
      </c>
      <c r="E133" t="s">
        <v>533</v>
      </c>
      <c r="F133">
        <v>15</v>
      </c>
      <c r="G133">
        <v>1771087770.03333</v>
      </c>
      <c r="H133">
        <f t="shared" si="13"/>
        <v>9.1577064500255765E-4</v>
      </c>
      <c r="I133">
        <v>0</v>
      </c>
      <c r="J133">
        <f t="shared" si="25"/>
        <v>-1.0839021389385556E-2</v>
      </c>
      <c r="K133">
        <f t="shared" si="14"/>
        <v>-0.29380181062815858</v>
      </c>
      <c r="L133">
        <f t="shared" si="15"/>
        <v>71.078079482438383</v>
      </c>
      <c r="M133">
        <f t="shared" si="16"/>
        <v>1.5627977040566232</v>
      </c>
      <c r="N133">
        <f t="shared" si="17"/>
        <v>2.1987055860770006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26188.300017621634</v>
      </c>
      <c r="T133">
        <f t="shared" si="21"/>
        <v>799.99973333333298</v>
      </c>
      <c r="U133">
        <f t="shared" si="22"/>
        <v>674.39972512001634</v>
      </c>
      <c r="V133">
        <f t="shared" si="23"/>
        <v>0.8429999373999999</v>
      </c>
      <c r="W133">
        <f t="shared" si="24"/>
        <v>0.158699674604</v>
      </c>
      <c r="X133">
        <v>1</v>
      </c>
      <c r="Y133">
        <v>1771087770.03333</v>
      </c>
      <c r="Z133">
        <v>374.92926666666699</v>
      </c>
      <c r="AA133">
        <v>374.99119999999999</v>
      </c>
      <c r="AB133">
        <v>15.628220000000001</v>
      </c>
      <c r="AC133">
        <v>14.5014133333333</v>
      </c>
      <c r="AD133">
        <v>375.46273333333301</v>
      </c>
      <c r="AE133">
        <v>15.5282866666667</v>
      </c>
      <c r="AF133">
        <v>800.01193333333299</v>
      </c>
      <c r="AG133">
        <v>99.9339333333333</v>
      </c>
      <c r="AH133">
        <v>6.4512046666666698E-2</v>
      </c>
      <c r="AI133">
        <v>18.9528866666667</v>
      </c>
      <c r="AJ133">
        <v>999.9</v>
      </c>
      <c r="AK133">
        <v>999.9</v>
      </c>
      <c r="AL133">
        <v>0</v>
      </c>
      <c r="AM133">
        <v>0</v>
      </c>
      <c r="AN133">
        <v>4996.5666666666702</v>
      </c>
      <c r="AO133">
        <v>0</v>
      </c>
      <c r="AP133">
        <v>2.14547</v>
      </c>
      <c r="AQ133">
        <v>-6.1997486666666698E-2</v>
      </c>
      <c r="AR133">
        <v>380.881666666667</v>
      </c>
      <c r="AS133">
        <v>380.50913333333301</v>
      </c>
      <c r="AT133">
        <v>1.12680933333333</v>
      </c>
      <c r="AU133">
        <v>374.99119999999999</v>
      </c>
      <c r="AV133">
        <v>14.5014133333333</v>
      </c>
      <c r="AW133">
        <v>1.5617906666666701</v>
      </c>
      <c r="AX133">
        <v>1.4491826666666701</v>
      </c>
      <c r="AY133">
        <v>13.5868533333333</v>
      </c>
      <c r="AZ133">
        <v>12.442273333333301</v>
      </c>
      <c r="BA133">
        <v>799.99973333333298</v>
      </c>
      <c r="BB133">
        <v>0.90000460000000004</v>
      </c>
      <c r="BC133">
        <v>0</v>
      </c>
      <c r="BD133">
        <v>9.9995486666666605E-2</v>
      </c>
      <c r="BE133">
        <v>0</v>
      </c>
      <c r="BF133">
        <v>25</v>
      </c>
      <c r="BG133">
        <v>13191.0333333333</v>
      </c>
      <c r="BH133">
        <v>1771087289</v>
      </c>
      <c r="BI133" t="s">
        <v>483</v>
      </c>
      <c r="BJ133">
        <v>1771087289</v>
      </c>
      <c r="BK133">
        <v>1771087289</v>
      </c>
      <c r="BL133">
        <v>4</v>
      </c>
      <c r="BM133">
        <v>-4.5999999999999999E-2</v>
      </c>
      <c r="BN133">
        <v>-4.0000000000000001E-3</v>
      </c>
      <c r="BO133">
        <v>-0.53400000000000003</v>
      </c>
      <c r="BP133">
        <v>0.1</v>
      </c>
      <c r="BQ133">
        <v>150</v>
      </c>
      <c r="BR133">
        <v>14</v>
      </c>
      <c r="BS133">
        <v>0.42</v>
      </c>
      <c r="BT133">
        <v>0.03</v>
      </c>
      <c r="BU133">
        <v>-5.5014044999999998E-2</v>
      </c>
      <c r="BV133">
        <v>-0.19580724360902299</v>
      </c>
      <c r="BW133">
        <v>2.3280855783958498E-2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1.1341129999999999</v>
      </c>
      <c r="CD133">
        <v>-0.159769624060148</v>
      </c>
      <c r="CE133">
        <v>1.7388977284475401E-2</v>
      </c>
      <c r="CF133">
        <v>0</v>
      </c>
      <c r="CG133">
        <v>1</v>
      </c>
      <c r="CH133">
        <v>2</v>
      </c>
      <c r="CI133" t="s">
        <v>299</v>
      </c>
      <c r="CJ133">
        <v>3.5325000000000002</v>
      </c>
      <c r="CK133">
        <v>2.70228</v>
      </c>
      <c r="CL133">
        <v>9.1388399999999995E-2</v>
      </c>
      <c r="CM133">
        <v>9.0199600000000005E-2</v>
      </c>
      <c r="CN133">
        <v>8.7825299999999995E-2</v>
      </c>
      <c r="CO133">
        <v>8.2294699999999998E-2</v>
      </c>
      <c r="CP133">
        <v>31885.9</v>
      </c>
      <c r="CQ133">
        <v>28026.2</v>
      </c>
      <c r="CR133">
        <v>32477.599999999999</v>
      </c>
      <c r="CS133">
        <v>30729.3</v>
      </c>
      <c r="CT133">
        <v>40104.6</v>
      </c>
      <c r="CU133">
        <v>39650</v>
      </c>
      <c r="CV133">
        <v>47422.7</v>
      </c>
      <c r="CW133">
        <v>46856.3</v>
      </c>
      <c r="CX133">
        <v>2.63232</v>
      </c>
      <c r="CY133">
        <v>2.1611199999999999</v>
      </c>
      <c r="CZ133">
        <v>0</v>
      </c>
      <c r="DA133">
        <v>0</v>
      </c>
      <c r="DB133">
        <v>999.9</v>
      </c>
      <c r="DC133">
        <v>999.9</v>
      </c>
      <c r="DD133">
        <v>60.792000000000002</v>
      </c>
      <c r="DE133">
        <v>25.186</v>
      </c>
      <c r="DF133">
        <v>19.556899999999999</v>
      </c>
      <c r="DG133">
        <v>29.911899999999999</v>
      </c>
      <c r="DH133">
        <v>15.3446</v>
      </c>
      <c r="DI133">
        <v>2</v>
      </c>
      <c r="DJ133">
        <v>-0.16805500000000001</v>
      </c>
      <c r="DK133">
        <v>1.55996</v>
      </c>
      <c r="DL133">
        <v>20.203600000000002</v>
      </c>
      <c r="DM133">
        <v>5.2472399999999997</v>
      </c>
      <c r="DN133">
        <v>12.033899999999999</v>
      </c>
      <c r="DO133">
        <v>4.9671200000000004</v>
      </c>
      <c r="DP133">
        <v>3.2909999999999999</v>
      </c>
      <c r="DQ133">
        <v>9999</v>
      </c>
      <c r="DR133">
        <v>9999</v>
      </c>
      <c r="DS133">
        <v>9999</v>
      </c>
      <c r="DT133">
        <v>604.5</v>
      </c>
      <c r="DU133">
        <v>1.87107</v>
      </c>
      <c r="DV133">
        <v>1.8761099999999999</v>
      </c>
      <c r="DW133">
        <v>1.8763399999999999</v>
      </c>
      <c r="DX133">
        <v>1.8828100000000001</v>
      </c>
      <c r="DY133">
        <v>1.87561</v>
      </c>
      <c r="DZ133">
        <v>1.87466</v>
      </c>
      <c r="EA133">
        <v>1.87076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-0.53400000000000003</v>
      </c>
      <c r="EQ133">
        <v>0.1</v>
      </c>
      <c r="ER133">
        <v>-0.53370000000001006</v>
      </c>
      <c r="ES133">
        <v>0</v>
      </c>
      <c r="ET133">
        <v>0</v>
      </c>
      <c r="EU133">
        <v>0</v>
      </c>
      <c r="EV133">
        <v>9.9940000000001902E-2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8.1999999999999993</v>
      </c>
      <c r="FE133">
        <v>8.1999999999999993</v>
      </c>
      <c r="FF133">
        <v>1.15479</v>
      </c>
      <c r="FG133">
        <v>2.5817899999999998</v>
      </c>
      <c r="FH133">
        <v>2.19604</v>
      </c>
      <c r="FI133">
        <v>2.5805699999999998</v>
      </c>
      <c r="FJ133">
        <v>2.4462899999999999</v>
      </c>
      <c r="FK133">
        <v>2.2473100000000001</v>
      </c>
      <c r="FL133">
        <v>30.5015</v>
      </c>
      <c r="FM133">
        <v>24.14</v>
      </c>
      <c r="FN133">
        <v>19</v>
      </c>
      <c r="FO133">
        <v>864.50599999999997</v>
      </c>
      <c r="FP133">
        <v>593.58399999999995</v>
      </c>
      <c r="FQ133">
        <v>18.441700000000001</v>
      </c>
      <c r="FR133">
        <v>24.922499999999999</v>
      </c>
      <c r="FS133">
        <v>30.000299999999999</v>
      </c>
      <c r="FT133">
        <v>24.904499999999999</v>
      </c>
      <c r="FU133">
        <v>24.905899999999999</v>
      </c>
      <c r="FV133">
        <v>23.187000000000001</v>
      </c>
      <c r="FW133">
        <v>30.271599999999999</v>
      </c>
      <c r="FX133">
        <v>50.923999999999999</v>
      </c>
      <c r="FY133">
        <v>18.454499999999999</v>
      </c>
      <c r="FZ133">
        <v>375</v>
      </c>
      <c r="GA133">
        <v>14.373699999999999</v>
      </c>
      <c r="GB133">
        <v>99.933400000000006</v>
      </c>
      <c r="GC133">
        <v>99.752799999999993</v>
      </c>
    </row>
    <row r="134" spans="1:185" x14ac:dyDescent="0.2">
      <c r="A134">
        <v>119</v>
      </c>
      <c r="B134">
        <v>1771087793.0999999</v>
      </c>
      <c r="C134">
        <v>2473.0999999046298</v>
      </c>
      <c r="D134" t="s">
        <v>534</v>
      </c>
      <c r="E134" t="s">
        <v>535</v>
      </c>
      <c r="F134">
        <v>15</v>
      </c>
      <c r="G134">
        <v>1771087785.03333</v>
      </c>
      <c r="H134">
        <f t="shared" si="13"/>
        <v>9.1235986113901433E-4</v>
      </c>
      <c r="I134">
        <v>0</v>
      </c>
      <c r="J134">
        <f t="shared" si="25"/>
        <v>-8.9667758776858456E-3</v>
      </c>
      <c r="K134">
        <f t="shared" si="14"/>
        <v>-0.24305284524494694</v>
      </c>
      <c r="L134">
        <f t="shared" si="15"/>
        <v>70.482201750218849</v>
      </c>
      <c r="M134">
        <f t="shared" si="16"/>
        <v>1.5535964644535296</v>
      </c>
      <c r="N134">
        <f t="shared" si="17"/>
        <v>2.2042394049483645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26192.123400176479</v>
      </c>
      <c r="T134">
        <f t="shared" si="21"/>
        <v>799.99980000000005</v>
      </c>
      <c r="U134">
        <f t="shared" si="22"/>
        <v>674.39949556008389</v>
      </c>
      <c r="V134">
        <f t="shared" si="23"/>
        <v>0.84299958019999988</v>
      </c>
      <c r="W134">
        <f t="shared" si="24"/>
        <v>0.15869896349199999</v>
      </c>
      <c r="X134">
        <v>1</v>
      </c>
      <c r="Y134">
        <v>1771087785.03333</v>
      </c>
      <c r="Z134">
        <v>374.89586666666702</v>
      </c>
      <c r="AA134">
        <v>375.01960000000003</v>
      </c>
      <c r="AB134">
        <v>15.5362333333333</v>
      </c>
      <c r="AC134">
        <v>14.4135066666667</v>
      </c>
      <c r="AD134">
        <v>375.42939999999999</v>
      </c>
      <c r="AE134">
        <v>15.4362733333333</v>
      </c>
      <c r="AF134">
        <v>800.00346666666701</v>
      </c>
      <c r="AG134">
        <v>99.933786666666705</v>
      </c>
      <c r="AH134">
        <v>6.4483899999999997E-2</v>
      </c>
      <c r="AI134">
        <v>18.99316</v>
      </c>
      <c r="AJ134">
        <v>999.9</v>
      </c>
      <c r="AK134">
        <v>999.9</v>
      </c>
      <c r="AL134">
        <v>0</v>
      </c>
      <c r="AM134">
        <v>0</v>
      </c>
      <c r="AN134">
        <v>4997.8</v>
      </c>
      <c r="AO134">
        <v>0</v>
      </c>
      <c r="AP134">
        <v>2.14547</v>
      </c>
      <c r="AQ134">
        <v>-0.12390944666666701</v>
      </c>
      <c r="AR134">
        <v>380.81213333333301</v>
      </c>
      <c r="AS134">
        <v>380.50400000000002</v>
      </c>
      <c r="AT134">
        <v>1.122716</v>
      </c>
      <c r="AU134">
        <v>375.01960000000003</v>
      </c>
      <c r="AV134">
        <v>14.4135066666667</v>
      </c>
      <c r="AW134">
        <v>1.552594</v>
      </c>
      <c r="AX134">
        <v>1.440396</v>
      </c>
      <c r="AY134">
        <v>13.4961533333333</v>
      </c>
      <c r="AZ134">
        <v>12.349693333333301</v>
      </c>
      <c r="BA134">
        <v>799.99980000000005</v>
      </c>
      <c r="BB134">
        <v>0.90001379999999997</v>
      </c>
      <c r="BC134">
        <v>0</v>
      </c>
      <c r="BD134">
        <v>9.9986193333333306E-2</v>
      </c>
      <c r="BE134">
        <v>0</v>
      </c>
      <c r="BF134">
        <v>25</v>
      </c>
      <c r="BG134">
        <v>13191.08</v>
      </c>
      <c r="BH134">
        <v>1771087289</v>
      </c>
      <c r="BI134" t="s">
        <v>483</v>
      </c>
      <c r="BJ134">
        <v>1771087289</v>
      </c>
      <c r="BK134">
        <v>1771087289</v>
      </c>
      <c r="BL134">
        <v>4</v>
      </c>
      <c r="BM134">
        <v>-4.5999999999999999E-2</v>
      </c>
      <c r="BN134">
        <v>-4.0000000000000001E-3</v>
      </c>
      <c r="BO134">
        <v>-0.53400000000000003</v>
      </c>
      <c r="BP134">
        <v>0.1</v>
      </c>
      <c r="BQ134">
        <v>150</v>
      </c>
      <c r="BR134">
        <v>14</v>
      </c>
      <c r="BS134">
        <v>0.42</v>
      </c>
      <c r="BT134">
        <v>0.03</v>
      </c>
      <c r="BU134">
        <v>-0.11281888</v>
      </c>
      <c r="BV134">
        <v>-0.19180751278195499</v>
      </c>
      <c r="BW134">
        <v>2.69612453783315E-2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1.122301</v>
      </c>
      <c r="CD134">
        <v>1.6036691729321598E-2</v>
      </c>
      <c r="CE134">
        <v>1.0572108540872999E-2</v>
      </c>
      <c r="CF134">
        <v>1</v>
      </c>
      <c r="CG134">
        <v>2</v>
      </c>
      <c r="CH134">
        <v>2</v>
      </c>
      <c r="CI134" t="s">
        <v>310</v>
      </c>
      <c r="CJ134">
        <v>3.5325000000000002</v>
      </c>
      <c r="CK134">
        <v>2.7021700000000002</v>
      </c>
      <c r="CL134">
        <v>9.1383800000000001E-2</v>
      </c>
      <c r="CM134">
        <v>9.0198700000000007E-2</v>
      </c>
      <c r="CN134">
        <v>8.7476700000000004E-2</v>
      </c>
      <c r="CO134">
        <v>8.1966300000000006E-2</v>
      </c>
      <c r="CP134">
        <v>31885.4</v>
      </c>
      <c r="CQ134">
        <v>28025.8</v>
      </c>
      <c r="CR134">
        <v>32477</v>
      </c>
      <c r="CS134">
        <v>30728.799999999999</v>
      </c>
      <c r="CT134">
        <v>40119.800000000003</v>
      </c>
      <c r="CU134">
        <v>39664.199999999997</v>
      </c>
      <c r="CV134">
        <v>47421.9</v>
      </c>
      <c r="CW134">
        <v>46855.8</v>
      </c>
      <c r="CX134">
        <v>2.6320800000000002</v>
      </c>
      <c r="CY134">
        <v>2.1604800000000002</v>
      </c>
      <c r="CZ134">
        <v>0</v>
      </c>
      <c r="DA134">
        <v>0</v>
      </c>
      <c r="DB134">
        <v>999.9</v>
      </c>
      <c r="DC134">
        <v>999.9</v>
      </c>
      <c r="DD134">
        <v>60.676000000000002</v>
      </c>
      <c r="DE134">
        <v>25.196000000000002</v>
      </c>
      <c r="DF134">
        <v>19.5335</v>
      </c>
      <c r="DG134">
        <v>29.971900000000002</v>
      </c>
      <c r="DH134">
        <v>15.164300000000001</v>
      </c>
      <c r="DI134">
        <v>2</v>
      </c>
      <c r="DJ134">
        <v>-0.16686200000000001</v>
      </c>
      <c r="DK134">
        <v>2.57158</v>
      </c>
      <c r="DL134">
        <v>20.182700000000001</v>
      </c>
      <c r="DM134">
        <v>5.2448399999999999</v>
      </c>
      <c r="DN134">
        <v>12.033899999999999</v>
      </c>
      <c r="DO134">
        <v>4.9670399999999999</v>
      </c>
      <c r="DP134">
        <v>3.2906</v>
      </c>
      <c r="DQ134">
        <v>9999</v>
      </c>
      <c r="DR134">
        <v>9999</v>
      </c>
      <c r="DS134">
        <v>9999</v>
      </c>
      <c r="DT134">
        <v>604.5</v>
      </c>
      <c r="DU134">
        <v>1.87104</v>
      </c>
      <c r="DV134">
        <v>1.87609</v>
      </c>
      <c r="DW134">
        <v>1.8763399999999999</v>
      </c>
      <c r="DX134">
        <v>1.88279</v>
      </c>
      <c r="DY134">
        <v>1.87561</v>
      </c>
      <c r="DZ134">
        <v>1.87466</v>
      </c>
      <c r="EA134">
        <v>1.87077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-0.53300000000000003</v>
      </c>
      <c r="EQ134">
        <v>0.1</v>
      </c>
      <c r="ER134">
        <v>-0.53370000000001006</v>
      </c>
      <c r="ES134">
        <v>0</v>
      </c>
      <c r="ET134">
        <v>0</v>
      </c>
      <c r="EU134">
        <v>0</v>
      </c>
      <c r="EV134">
        <v>9.9940000000001902E-2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8.4</v>
      </c>
      <c r="FE134">
        <v>8.4</v>
      </c>
      <c r="FF134">
        <v>1.15479</v>
      </c>
      <c r="FG134">
        <v>2.5793499999999998</v>
      </c>
      <c r="FH134">
        <v>2.19604</v>
      </c>
      <c r="FI134">
        <v>2.5805699999999998</v>
      </c>
      <c r="FJ134">
        <v>2.4462899999999999</v>
      </c>
      <c r="FK134">
        <v>2.2936999999999999</v>
      </c>
      <c r="FL134">
        <v>30.523099999999999</v>
      </c>
      <c r="FM134">
        <v>24.14</v>
      </c>
      <c r="FN134">
        <v>19</v>
      </c>
      <c r="FO134">
        <v>864.37900000000002</v>
      </c>
      <c r="FP134">
        <v>593.14599999999996</v>
      </c>
      <c r="FQ134">
        <v>18.458600000000001</v>
      </c>
      <c r="FR134">
        <v>24.9283</v>
      </c>
      <c r="FS134">
        <v>30.000699999999998</v>
      </c>
      <c r="FT134">
        <v>24.910299999999999</v>
      </c>
      <c r="FU134">
        <v>24.911300000000001</v>
      </c>
      <c r="FV134">
        <v>23.183399999999999</v>
      </c>
      <c r="FW134">
        <v>30.271599999999999</v>
      </c>
      <c r="FX134">
        <v>50.923999999999999</v>
      </c>
      <c r="FY134">
        <v>18.017600000000002</v>
      </c>
      <c r="FZ134">
        <v>375</v>
      </c>
      <c r="GA134">
        <v>14.3467</v>
      </c>
      <c r="GB134">
        <v>99.9315</v>
      </c>
      <c r="GC134">
        <v>99.7517</v>
      </c>
    </row>
    <row r="135" spans="1:185" x14ac:dyDescent="0.2">
      <c r="A135">
        <v>120</v>
      </c>
      <c r="B135">
        <v>1771087808.0999999</v>
      </c>
      <c r="C135">
        <v>2488.0999999046298</v>
      </c>
      <c r="D135" t="s">
        <v>536</v>
      </c>
      <c r="E135" t="s">
        <v>537</v>
      </c>
      <c r="F135">
        <v>15</v>
      </c>
      <c r="G135">
        <v>1771087800.03333</v>
      </c>
      <c r="H135">
        <f t="shared" si="13"/>
        <v>8.7345877190527031E-4</v>
      </c>
      <c r="I135">
        <v>0</v>
      </c>
      <c r="J135">
        <f t="shared" si="25"/>
        <v>-8.4046338263573696E-3</v>
      </c>
      <c r="K135">
        <f t="shared" si="14"/>
        <v>-0.22781545926909955</v>
      </c>
      <c r="L135">
        <f t="shared" si="15"/>
        <v>70.06641666049434</v>
      </c>
      <c r="M135">
        <f t="shared" si="16"/>
        <v>1.5462470513422619</v>
      </c>
      <c r="N135">
        <f t="shared" si="17"/>
        <v>2.2068304974615387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26191.196517628283</v>
      </c>
      <c r="T135">
        <f t="shared" si="21"/>
        <v>799.99913333333302</v>
      </c>
      <c r="U135">
        <f t="shared" si="22"/>
        <v>674.39928571998166</v>
      </c>
      <c r="V135">
        <f t="shared" si="23"/>
        <v>0.84300002039999944</v>
      </c>
      <c r="W135">
        <f t="shared" si="24"/>
        <v>0.15870007698399988</v>
      </c>
      <c r="X135">
        <v>1</v>
      </c>
      <c r="Y135">
        <v>1771087800.03333</v>
      </c>
      <c r="Z135">
        <v>374.88066666666703</v>
      </c>
      <c r="AA135">
        <v>375.0052</v>
      </c>
      <c r="AB135">
        <v>15.4629266666667</v>
      </c>
      <c r="AC135">
        <v>14.3879933333333</v>
      </c>
      <c r="AD135">
        <v>375.4144</v>
      </c>
      <c r="AE135">
        <v>15.36298</v>
      </c>
      <c r="AF135">
        <v>800.00546666666696</v>
      </c>
      <c r="AG135">
        <v>99.932839999999999</v>
      </c>
      <c r="AH135">
        <v>6.4210020000000007E-2</v>
      </c>
      <c r="AI135">
        <v>19.011986666666701</v>
      </c>
      <c r="AJ135">
        <v>999.9</v>
      </c>
      <c r="AK135">
        <v>999.9</v>
      </c>
      <c r="AL135">
        <v>0</v>
      </c>
      <c r="AM135">
        <v>0</v>
      </c>
      <c r="AN135">
        <v>4997.9666666666699</v>
      </c>
      <c r="AO135">
        <v>0</v>
      </c>
      <c r="AP135">
        <v>2.14547</v>
      </c>
      <c r="AQ135">
        <v>-0.12442015333333301</v>
      </c>
      <c r="AR135">
        <v>380.76826666666699</v>
      </c>
      <c r="AS135">
        <v>380.47946666666701</v>
      </c>
      <c r="AT135">
        <v>1.0749266666666699</v>
      </c>
      <c r="AU135">
        <v>375.0052</v>
      </c>
      <c r="AV135">
        <v>14.3879933333333</v>
      </c>
      <c r="AW135">
        <v>1.5452539999999999</v>
      </c>
      <c r="AX135">
        <v>1.4378313333333299</v>
      </c>
      <c r="AY135">
        <v>13.4234266666667</v>
      </c>
      <c r="AZ135">
        <v>12.322613333333299</v>
      </c>
      <c r="BA135">
        <v>799.99913333333302</v>
      </c>
      <c r="BB135">
        <v>0.89999893333333303</v>
      </c>
      <c r="BC135">
        <v>0</v>
      </c>
      <c r="BD135">
        <v>0.10000105333333301</v>
      </c>
      <c r="BE135">
        <v>0</v>
      </c>
      <c r="BF135">
        <v>25</v>
      </c>
      <c r="BG135">
        <v>13191.0133333333</v>
      </c>
      <c r="BH135">
        <v>1771087289</v>
      </c>
      <c r="BI135" t="s">
        <v>483</v>
      </c>
      <c r="BJ135">
        <v>1771087289</v>
      </c>
      <c r="BK135">
        <v>1771087289</v>
      </c>
      <c r="BL135">
        <v>4</v>
      </c>
      <c r="BM135">
        <v>-4.5999999999999999E-2</v>
      </c>
      <c r="BN135">
        <v>-4.0000000000000001E-3</v>
      </c>
      <c r="BO135">
        <v>-0.53400000000000003</v>
      </c>
      <c r="BP135">
        <v>0.1</v>
      </c>
      <c r="BQ135">
        <v>150</v>
      </c>
      <c r="BR135">
        <v>14</v>
      </c>
      <c r="BS135">
        <v>0.42</v>
      </c>
      <c r="BT135">
        <v>0.03</v>
      </c>
      <c r="BU135">
        <v>-0.124027776190476</v>
      </c>
      <c r="BV135">
        <v>-9.8628046753246906E-2</v>
      </c>
      <c r="BW135">
        <v>2.1711840936663E-2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1.0894671428571401</v>
      </c>
      <c r="CD135">
        <v>-0.23633454545454599</v>
      </c>
      <c r="CE135">
        <v>2.4502001500918701E-2</v>
      </c>
      <c r="CF135">
        <v>0</v>
      </c>
      <c r="CG135">
        <v>1</v>
      </c>
      <c r="CH135">
        <v>2</v>
      </c>
      <c r="CI135" t="s">
        <v>299</v>
      </c>
      <c r="CJ135">
        <v>3.5324900000000001</v>
      </c>
      <c r="CK135">
        <v>2.7021700000000002</v>
      </c>
      <c r="CL135">
        <v>9.1378699999999993E-2</v>
      </c>
      <c r="CM135">
        <v>9.0195600000000001E-2</v>
      </c>
      <c r="CN135">
        <v>8.7212499999999998E-2</v>
      </c>
      <c r="CO135">
        <v>8.1818600000000005E-2</v>
      </c>
      <c r="CP135">
        <v>31884.7</v>
      </c>
      <c r="CQ135">
        <v>28025.200000000001</v>
      </c>
      <c r="CR135">
        <v>32476</v>
      </c>
      <c r="CS135">
        <v>30728.1</v>
      </c>
      <c r="CT135">
        <v>40130.699999999997</v>
      </c>
      <c r="CU135">
        <v>39669.9</v>
      </c>
      <c r="CV135">
        <v>47420.6</v>
      </c>
      <c r="CW135">
        <v>46854.7</v>
      </c>
      <c r="CX135">
        <v>2.6316000000000002</v>
      </c>
      <c r="CY135">
        <v>2.1601400000000002</v>
      </c>
      <c r="CZ135">
        <v>0</v>
      </c>
      <c r="DA135">
        <v>0</v>
      </c>
      <c r="DB135">
        <v>999.9</v>
      </c>
      <c r="DC135">
        <v>999.9</v>
      </c>
      <c r="DD135">
        <v>60.554000000000002</v>
      </c>
      <c r="DE135">
        <v>25.225999999999999</v>
      </c>
      <c r="DF135">
        <v>19.527999999999999</v>
      </c>
      <c r="DG135">
        <v>29.911899999999999</v>
      </c>
      <c r="DH135">
        <v>15.2163</v>
      </c>
      <c r="DI135">
        <v>2</v>
      </c>
      <c r="DJ135">
        <v>-0.16450400000000001</v>
      </c>
      <c r="DK135">
        <v>2.3497499999999998</v>
      </c>
      <c r="DL135">
        <v>20.192699999999999</v>
      </c>
      <c r="DM135">
        <v>5.2474800000000004</v>
      </c>
      <c r="DN135">
        <v>12.033899999999999</v>
      </c>
      <c r="DO135">
        <v>4.9674399999999999</v>
      </c>
      <c r="DP135">
        <v>3.2909999999999999</v>
      </c>
      <c r="DQ135">
        <v>9999</v>
      </c>
      <c r="DR135">
        <v>9999</v>
      </c>
      <c r="DS135">
        <v>9999</v>
      </c>
      <c r="DT135">
        <v>604.5</v>
      </c>
      <c r="DU135">
        <v>1.8710599999999999</v>
      </c>
      <c r="DV135">
        <v>1.8761099999999999</v>
      </c>
      <c r="DW135">
        <v>1.8763099999999999</v>
      </c>
      <c r="DX135">
        <v>1.88279</v>
      </c>
      <c r="DY135">
        <v>1.87561</v>
      </c>
      <c r="DZ135">
        <v>1.8746799999999999</v>
      </c>
      <c r="EA135">
        <v>1.87076</v>
      </c>
      <c r="EB135">
        <v>1.8746799999999999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-0.53300000000000003</v>
      </c>
      <c r="EQ135">
        <v>0.1</v>
      </c>
      <c r="ER135">
        <v>-0.53370000000001006</v>
      </c>
      <c r="ES135">
        <v>0</v>
      </c>
      <c r="ET135">
        <v>0</v>
      </c>
      <c r="EU135">
        <v>0</v>
      </c>
      <c r="EV135">
        <v>9.9940000000001902E-2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8.6999999999999993</v>
      </c>
      <c r="FE135">
        <v>8.6999999999999993</v>
      </c>
      <c r="FF135">
        <v>1.15479</v>
      </c>
      <c r="FG135">
        <v>2.5805699999999998</v>
      </c>
      <c r="FH135">
        <v>2.19604</v>
      </c>
      <c r="FI135">
        <v>2.5805699999999998</v>
      </c>
      <c r="FJ135">
        <v>2.4462899999999999</v>
      </c>
      <c r="FK135">
        <v>2.2863799999999999</v>
      </c>
      <c r="FL135">
        <v>30.544599999999999</v>
      </c>
      <c r="FM135">
        <v>24.148800000000001</v>
      </c>
      <c r="FN135">
        <v>19</v>
      </c>
      <c r="FO135">
        <v>864.02200000000005</v>
      </c>
      <c r="FP135">
        <v>592.95000000000005</v>
      </c>
      <c r="FQ135">
        <v>17.939399999999999</v>
      </c>
      <c r="FR135">
        <v>24.933299999999999</v>
      </c>
      <c r="FS135">
        <v>29.999500000000001</v>
      </c>
      <c r="FT135">
        <v>24.915800000000001</v>
      </c>
      <c r="FU135">
        <v>24.917300000000001</v>
      </c>
      <c r="FV135">
        <v>23.183499999999999</v>
      </c>
      <c r="FW135">
        <v>30.271599999999999</v>
      </c>
      <c r="FX135">
        <v>50.552599999999998</v>
      </c>
      <c r="FY135">
        <v>17.979900000000001</v>
      </c>
      <c r="FZ135">
        <v>375</v>
      </c>
      <c r="GA135">
        <v>14.394500000000001</v>
      </c>
      <c r="GB135">
        <v>99.928799999999995</v>
      </c>
      <c r="GC135">
        <v>99.749399999999994</v>
      </c>
    </row>
    <row r="136" spans="1:185" x14ac:dyDescent="0.2">
      <c r="A136">
        <v>121</v>
      </c>
      <c r="B136">
        <v>1771087823.0999999</v>
      </c>
      <c r="C136">
        <v>2503.0999999046298</v>
      </c>
      <c r="D136" t="s">
        <v>538</v>
      </c>
      <c r="E136" t="s">
        <v>539</v>
      </c>
      <c r="F136">
        <v>15</v>
      </c>
      <c r="G136">
        <v>1771087815.03333</v>
      </c>
      <c r="H136">
        <f t="shared" si="13"/>
        <v>8.5881107193828575E-4</v>
      </c>
      <c r="I136">
        <v>0</v>
      </c>
      <c r="J136">
        <f t="shared" si="25"/>
        <v>-7.7934532643256513E-3</v>
      </c>
      <c r="K136">
        <f t="shared" si="14"/>
        <v>-0.21124883860337229</v>
      </c>
      <c r="L136">
        <f t="shared" si="15"/>
        <v>69.927476752914757</v>
      </c>
      <c r="M136">
        <f t="shared" si="16"/>
        <v>1.5410483906180825</v>
      </c>
      <c r="N136">
        <f t="shared" si="17"/>
        <v>2.2037809201428789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26212.574438875232</v>
      </c>
      <c r="T136">
        <f t="shared" si="21"/>
        <v>800.00040000000001</v>
      </c>
      <c r="U136">
        <f t="shared" si="22"/>
        <v>674.40026007996141</v>
      </c>
      <c r="V136">
        <f t="shared" si="23"/>
        <v>0.84299990359999999</v>
      </c>
      <c r="W136">
        <f t="shared" si="24"/>
        <v>0.15869973301599999</v>
      </c>
      <c r="X136">
        <v>1</v>
      </c>
      <c r="Y136">
        <v>1771087815.03333</v>
      </c>
      <c r="Z136">
        <v>374.84059999999999</v>
      </c>
      <c r="AA136">
        <v>374.97893333333298</v>
      </c>
      <c r="AB136">
        <v>15.41086</v>
      </c>
      <c r="AC136">
        <v>14.353906666666701</v>
      </c>
      <c r="AD136">
        <v>375.37400000000002</v>
      </c>
      <c r="AE136">
        <v>15.310926666666701</v>
      </c>
      <c r="AF136">
        <v>800.01266666666697</v>
      </c>
      <c r="AG136">
        <v>99.932839999999999</v>
      </c>
      <c r="AH136">
        <v>6.4719553333333305E-2</v>
      </c>
      <c r="AI136">
        <v>18.989826666666701</v>
      </c>
      <c r="AJ136">
        <v>999.9</v>
      </c>
      <c r="AK136">
        <v>999.9</v>
      </c>
      <c r="AL136">
        <v>0</v>
      </c>
      <c r="AM136">
        <v>0</v>
      </c>
      <c r="AN136">
        <v>5001.1666666666697</v>
      </c>
      <c r="AO136">
        <v>0</v>
      </c>
      <c r="AP136">
        <v>2.14547</v>
      </c>
      <c r="AQ136">
        <v>-0.13855999999999999</v>
      </c>
      <c r="AR136">
        <v>380.70740000000001</v>
      </c>
      <c r="AS136">
        <v>380.43973333333298</v>
      </c>
      <c r="AT136">
        <v>1.0569519999999999</v>
      </c>
      <c r="AU136">
        <v>374.97893333333298</v>
      </c>
      <c r="AV136">
        <v>14.353906666666701</v>
      </c>
      <c r="AW136">
        <v>1.5400513333333301</v>
      </c>
      <c r="AX136">
        <v>1.434428</v>
      </c>
      <c r="AY136">
        <v>13.371700000000001</v>
      </c>
      <c r="AZ136">
        <v>12.2865466666667</v>
      </c>
      <c r="BA136">
        <v>800.00040000000001</v>
      </c>
      <c r="BB136">
        <v>0.90000360000000001</v>
      </c>
      <c r="BC136">
        <v>0</v>
      </c>
      <c r="BD136">
        <v>9.9996413333333298E-2</v>
      </c>
      <c r="BE136">
        <v>0</v>
      </c>
      <c r="BF136">
        <v>25</v>
      </c>
      <c r="BG136">
        <v>13191.053333333301</v>
      </c>
      <c r="BH136">
        <v>1771087289</v>
      </c>
      <c r="BI136" t="s">
        <v>483</v>
      </c>
      <c r="BJ136">
        <v>1771087289</v>
      </c>
      <c r="BK136">
        <v>1771087289</v>
      </c>
      <c r="BL136">
        <v>4</v>
      </c>
      <c r="BM136">
        <v>-4.5999999999999999E-2</v>
      </c>
      <c r="BN136">
        <v>-4.0000000000000001E-3</v>
      </c>
      <c r="BO136">
        <v>-0.53400000000000003</v>
      </c>
      <c r="BP136">
        <v>0.1</v>
      </c>
      <c r="BQ136">
        <v>150</v>
      </c>
      <c r="BR136">
        <v>14</v>
      </c>
      <c r="BS136">
        <v>0.42</v>
      </c>
      <c r="BT136">
        <v>0.03</v>
      </c>
      <c r="BU136">
        <v>-0.141417047619048</v>
      </c>
      <c r="BV136">
        <v>7.02989610389608E-3</v>
      </c>
      <c r="BW136">
        <v>1.7158226871640501E-2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1.05872619047619</v>
      </c>
      <c r="CD136">
        <v>-6.8131948051949498E-2</v>
      </c>
      <c r="CE136">
        <v>9.8193203509303606E-3</v>
      </c>
      <c r="CF136">
        <v>1</v>
      </c>
      <c r="CG136">
        <v>2</v>
      </c>
      <c r="CH136">
        <v>2</v>
      </c>
      <c r="CI136" t="s">
        <v>310</v>
      </c>
      <c r="CJ136">
        <v>3.5325000000000002</v>
      </c>
      <c r="CK136">
        <v>2.7025600000000001</v>
      </c>
      <c r="CL136">
        <v>9.1367000000000004E-2</v>
      </c>
      <c r="CM136">
        <v>9.0190599999999996E-2</v>
      </c>
      <c r="CN136">
        <v>8.7054099999999995E-2</v>
      </c>
      <c r="CO136">
        <v>8.1800200000000003E-2</v>
      </c>
      <c r="CP136">
        <v>31885.8</v>
      </c>
      <c r="CQ136">
        <v>28026.2</v>
      </c>
      <c r="CR136">
        <v>32476.799999999999</v>
      </c>
      <c r="CS136">
        <v>30729</v>
      </c>
      <c r="CT136">
        <v>40138.9</v>
      </c>
      <c r="CU136">
        <v>39671.9</v>
      </c>
      <c r="CV136">
        <v>47421.7</v>
      </c>
      <c r="CW136">
        <v>46856.2</v>
      </c>
      <c r="CX136">
        <v>2.6316799999999998</v>
      </c>
      <c r="CY136">
        <v>2.16</v>
      </c>
      <c r="CZ136">
        <v>0</v>
      </c>
      <c r="DA136">
        <v>0</v>
      </c>
      <c r="DB136">
        <v>999.9</v>
      </c>
      <c r="DC136">
        <v>999.9</v>
      </c>
      <c r="DD136">
        <v>60.457000000000001</v>
      </c>
      <c r="DE136">
        <v>25.236999999999998</v>
      </c>
      <c r="DF136">
        <v>19.5106</v>
      </c>
      <c r="DG136">
        <v>30.061900000000001</v>
      </c>
      <c r="DH136">
        <v>15.320499999999999</v>
      </c>
      <c r="DI136">
        <v>2</v>
      </c>
      <c r="DJ136">
        <v>-0.16561799999999999</v>
      </c>
      <c r="DK136">
        <v>2.1126800000000001</v>
      </c>
      <c r="DL136">
        <v>20.196899999999999</v>
      </c>
      <c r="DM136">
        <v>5.2474800000000004</v>
      </c>
      <c r="DN136">
        <v>12.033899999999999</v>
      </c>
      <c r="DO136">
        <v>4.96732</v>
      </c>
      <c r="DP136">
        <v>3.2909999999999999</v>
      </c>
      <c r="DQ136">
        <v>9999</v>
      </c>
      <c r="DR136">
        <v>9999</v>
      </c>
      <c r="DS136">
        <v>9999</v>
      </c>
      <c r="DT136">
        <v>604.5</v>
      </c>
      <c r="DU136">
        <v>1.87104</v>
      </c>
      <c r="DV136">
        <v>1.87609</v>
      </c>
      <c r="DW136">
        <v>1.87629</v>
      </c>
      <c r="DX136">
        <v>1.8827799999999999</v>
      </c>
      <c r="DY136">
        <v>1.8755999999999999</v>
      </c>
      <c r="DZ136">
        <v>1.8746400000000001</v>
      </c>
      <c r="EA136">
        <v>1.8707499999999999</v>
      </c>
      <c r="EB136">
        <v>1.8746499999999999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-0.53300000000000003</v>
      </c>
      <c r="EQ136">
        <v>9.9900000000000003E-2</v>
      </c>
      <c r="ER136">
        <v>-0.53370000000001006</v>
      </c>
      <c r="ES136">
        <v>0</v>
      </c>
      <c r="ET136">
        <v>0</v>
      </c>
      <c r="EU136">
        <v>0</v>
      </c>
      <c r="EV136">
        <v>9.9940000000001902E-2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8.9</v>
      </c>
      <c r="FE136">
        <v>8.9</v>
      </c>
      <c r="FF136">
        <v>1.15479</v>
      </c>
      <c r="FG136">
        <v>2.5830099999999998</v>
      </c>
      <c r="FH136">
        <v>2.19604</v>
      </c>
      <c r="FI136">
        <v>2.5805699999999998</v>
      </c>
      <c r="FJ136">
        <v>2.4462899999999999</v>
      </c>
      <c r="FK136">
        <v>2.3010299999999999</v>
      </c>
      <c r="FL136">
        <v>30.544599999999999</v>
      </c>
      <c r="FM136">
        <v>24.148800000000001</v>
      </c>
      <c r="FN136">
        <v>19</v>
      </c>
      <c r="FO136">
        <v>864.18600000000004</v>
      </c>
      <c r="FP136">
        <v>592.90599999999995</v>
      </c>
      <c r="FQ136">
        <v>17.978200000000001</v>
      </c>
      <c r="FR136">
        <v>24.938800000000001</v>
      </c>
      <c r="FS136">
        <v>29.9999</v>
      </c>
      <c r="FT136">
        <v>24.921299999999999</v>
      </c>
      <c r="FU136">
        <v>24.923100000000002</v>
      </c>
      <c r="FV136">
        <v>23.186399999999999</v>
      </c>
      <c r="FW136">
        <v>30.271599999999999</v>
      </c>
      <c r="FX136">
        <v>50.552599999999998</v>
      </c>
      <c r="FY136">
        <v>17.997199999999999</v>
      </c>
      <c r="FZ136">
        <v>375</v>
      </c>
      <c r="GA136">
        <v>14.4246</v>
      </c>
      <c r="GB136">
        <v>99.931100000000001</v>
      </c>
      <c r="GC136">
        <v>99.752399999999994</v>
      </c>
    </row>
    <row r="137" spans="1:185" x14ac:dyDescent="0.2">
      <c r="A137">
        <v>122</v>
      </c>
      <c r="B137">
        <v>1771087838.0999999</v>
      </c>
      <c r="C137">
        <v>2518.0999999046298</v>
      </c>
      <c r="D137" t="s">
        <v>540</v>
      </c>
      <c r="E137" t="s">
        <v>541</v>
      </c>
      <c r="F137">
        <v>15</v>
      </c>
      <c r="G137">
        <v>1771087830.03333</v>
      </c>
      <c r="H137">
        <f t="shared" si="13"/>
        <v>8.3887486442028706E-4</v>
      </c>
      <c r="I137">
        <v>0</v>
      </c>
      <c r="J137">
        <f t="shared" si="25"/>
        <v>-6.7085884154389095E-3</v>
      </c>
      <c r="K137">
        <f t="shared" si="14"/>
        <v>-0.18184256238715413</v>
      </c>
      <c r="L137">
        <f t="shared" si="15"/>
        <v>69.886104672309614</v>
      </c>
      <c r="M137">
        <f t="shared" si="16"/>
        <v>1.5388273827984738</v>
      </c>
      <c r="N137">
        <f t="shared" si="17"/>
        <v>2.2019075036645881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26154.300308228048</v>
      </c>
      <c r="T137">
        <f t="shared" si="21"/>
        <v>800</v>
      </c>
      <c r="U137">
        <f t="shared" si="22"/>
        <v>674.40006095999956</v>
      </c>
      <c r="V137">
        <f t="shared" si="23"/>
        <v>0.84300007619999939</v>
      </c>
      <c r="W137">
        <f t="shared" si="24"/>
        <v>0.15870033341199991</v>
      </c>
      <c r="X137">
        <v>1</v>
      </c>
      <c r="Y137">
        <v>1771087830.03333</v>
      </c>
      <c r="Z137">
        <v>374.8252</v>
      </c>
      <c r="AA137">
        <v>374.99093333333298</v>
      </c>
      <c r="AB137">
        <v>15.388586666666701</v>
      </c>
      <c r="AC137">
        <v>14.356146666666699</v>
      </c>
      <c r="AD137">
        <v>375.35879999999997</v>
      </c>
      <c r="AE137">
        <v>15.2886333333333</v>
      </c>
      <c r="AF137">
        <v>800.01333333333298</v>
      </c>
      <c r="AG137">
        <v>99.933206666666706</v>
      </c>
      <c r="AH137">
        <v>6.4760406666666701E-2</v>
      </c>
      <c r="AI137">
        <v>18.976199999999999</v>
      </c>
      <c r="AJ137">
        <v>999.9</v>
      </c>
      <c r="AK137">
        <v>999.9</v>
      </c>
      <c r="AL137">
        <v>0</v>
      </c>
      <c r="AM137">
        <v>0</v>
      </c>
      <c r="AN137">
        <v>4991.3333333333303</v>
      </c>
      <c r="AO137">
        <v>0</v>
      </c>
      <c r="AP137">
        <v>2.14547</v>
      </c>
      <c r="AQ137">
        <v>-0.16589139999999999</v>
      </c>
      <c r="AR137">
        <v>380.6832</v>
      </c>
      <c r="AS137">
        <v>380.45280000000002</v>
      </c>
      <c r="AT137">
        <v>1.03243666666667</v>
      </c>
      <c r="AU137">
        <v>374.99093333333298</v>
      </c>
      <c r="AV137">
        <v>14.356146666666699</v>
      </c>
      <c r="AW137">
        <v>1.53783133333333</v>
      </c>
      <c r="AX137">
        <v>1.4346553333333301</v>
      </c>
      <c r="AY137">
        <v>13.3495666666667</v>
      </c>
      <c r="AZ137">
        <v>12.288966666666701</v>
      </c>
      <c r="BA137">
        <v>800</v>
      </c>
      <c r="BB137">
        <v>0.89999533333333304</v>
      </c>
      <c r="BC137">
        <v>0</v>
      </c>
      <c r="BD137">
        <v>0.100004593333333</v>
      </c>
      <c r="BE137">
        <v>0</v>
      </c>
      <c r="BF137">
        <v>25</v>
      </c>
      <c r="BG137">
        <v>13191.02</v>
      </c>
      <c r="BH137">
        <v>1771087289</v>
      </c>
      <c r="BI137" t="s">
        <v>483</v>
      </c>
      <c r="BJ137">
        <v>1771087289</v>
      </c>
      <c r="BK137">
        <v>1771087289</v>
      </c>
      <c r="BL137">
        <v>4</v>
      </c>
      <c r="BM137">
        <v>-4.5999999999999999E-2</v>
      </c>
      <c r="BN137">
        <v>-4.0000000000000001E-3</v>
      </c>
      <c r="BO137">
        <v>-0.53400000000000003</v>
      </c>
      <c r="BP137">
        <v>0.1</v>
      </c>
      <c r="BQ137">
        <v>150</v>
      </c>
      <c r="BR137">
        <v>14</v>
      </c>
      <c r="BS137">
        <v>0.42</v>
      </c>
      <c r="BT137">
        <v>0.03</v>
      </c>
      <c r="BU137">
        <v>-0.15988454999999999</v>
      </c>
      <c r="BV137">
        <v>-9.6809007518796994E-2</v>
      </c>
      <c r="BW137">
        <v>2.3000471039687401E-2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1.0357894999999999</v>
      </c>
      <c r="CD137">
        <v>-9.0682556390975902E-2</v>
      </c>
      <c r="CE137">
        <v>9.0099275663015291E-3</v>
      </c>
      <c r="CF137">
        <v>1</v>
      </c>
      <c r="CG137">
        <v>2</v>
      </c>
      <c r="CH137">
        <v>2</v>
      </c>
      <c r="CI137" t="s">
        <v>310</v>
      </c>
      <c r="CJ137">
        <v>3.5324499999999999</v>
      </c>
      <c r="CK137">
        <v>2.7024900000000001</v>
      </c>
      <c r="CL137">
        <v>9.1367100000000007E-2</v>
      </c>
      <c r="CM137">
        <v>9.0190000000000006E-2</v>
      </c>
      <c r="CN137">
        <v>8.6995699999999995E-2</v>
      </c>
      <c r="CO137">
        <v>8.1897899999999996E-2</v>
      </c>
      <c r="CP137">
        <v>31886.1</v>
      </c>
      <c r="CQ137">
        <v>28026.1</v>
      </c>
      <c r="CR137">
        <v>32477.1</v>
      </c>
      <c r="CS137">
        <v>30729</v>
      </c>
      <c r="CT137">
        <v>40142.1</v>
      </c>
      <c r="CU137">
        <v>39667.4</v>
      </c>
      <c r="CV137">
        <v>47422.400000000001</v>
      </c>
      <c r="CW137">
        <v>46856</v>
      </c>
      <c r="CX137">
        <v>2.63178</v>
      </c>
      <c r="CY137">
        <v>2.15998</v>
      </c>
      <c r="CZ137">
        <v>0</v>
      </c>
      <c r="DA137">
        <v>0</v>
      </c>
      <c r="DB137">
        <v>999.9</v>
      </c>
      <c r="DC137">
        <v>999.9</v>
      </c>
      <c r="DD137">
        <v>60.341000000000001</v>
      </c>
      <c r="DE137">
        <v>25.225999999999999</v>
      </c>
      <c r="DF137">
        <v>19.459700000000002</v>
      </c>
      <c r="DG137">
        <v>30.331900000000001</v>
      </c>
      <c r="DH137">
        <v>15.4207</v>
      </c>
      <c r="DI137">
        <v>2</v>
      </c>
      <c r="DJ137">
        <v>-0.16525799999999999</v>
      </c>
      <c r="DK137">
        <v>2.0341200000000002</v>
      </c>
      <c r="DL137">
        <v>20.1982</v>
      </c>
      <c r="DM137">
        <v>5.2480799999999999</v>
      </c>
      <c r="DN137">
        <v>12.033899999999999</v>
      </c>
      <c r="DO137">
        <v>4.9664000000000001</v>
      </c>
      <c r="DP137">
        <v>3.2909999999999999</v>
      </c>
      <c r="DQ137">
        <v>9999</v>
      </c>
      <c r="DR137">
        <v>9999</v>
      </c>
      <c r="DS137">
        <v>9999</v>
      </c>
      <c r="DT137">
        <v>604.5</v>
      </c>
      <c r="DU137">
        <v>1.8710800000000001</v>
      </c>
      <c r="DV137">
        <v>1.8761000000000001</v>
      </c>
      <c r="DW137">
        <v>1.87635</v>
      </c>
      <c r="DX137">
        <v>1.88279</v>
      </c>
      <c r="DY137">
        <v>1.87561</v>
      </c>
      <c r="DZ137">
        <v>1.8746700000000001</v>
      </c>
      <c r="EA137">
        <v>1.87079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-0.53400000000000003</v>
      </c>
      <c r="EQ137">
        <v>0.1</v>
      </c>
      <c r="ER137">
        <v>-0.53370000000001006</v>
      </c>
      <c r="ES137">
        <v>0</v>
      </c>
      <c r="ET137">
        <v>0</v>
      </c>
      <c r="EU137">
        <v>0</v>
      </c>
      <c r="EV137">
        <v>9.9940000000001902E-2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9.1999999999999993</v>
      </c>
      <c r="FE137">
        <v>9.1999999999999993</v>
      </c>
      <c r="FF137">
        <v>1.15479</v>
      </c>
      <c r="FG137">
        <v>2.5854499999999998</v>
      </c>
      <c r="FH137">
        <v>2.19604</v>
      </c>
      <c r="FI137">
        <v>2.5805699999999998</v>
      </c>
      <c r="FJ137">
        <v>2.4462899999999999</v>
      </c>
      <c r="FK137">
        <v>2.2766099999999998</v>
      </c>
      <c r="FL137">
        <v>30.566199999999998</v>
      </c>
      <c r="FM137">
        <v>24.14</v>
      </c>
      <c r="FN137">
        <v>19</v>
      </c>
      <c r="FO137">
        <v>864.36500000000001</v>
      </c>
      <c r="FP137">
        <v>592.95399999999995</v>
      </c>
      <c r="FQ137">
        <v>18.0305</v>
      </c>
      <c r="FR137">
        <v>24.943899999999999</v>
      </c>
      <c r="FS137">
        <v>30.0002</v>
      </c>
      <c r="FT137">
        <v>24.9267</v>
      </c>
      <c r="FU137">
        <v>24.9285</v>
      </c>
      <c r="FV137">
        <v>23.1875</v>
      </c>
      <c r="FW137">
        <v>29.704499999999999</v>
      </c>
      <c r="FX137">
        <v>50.181600000000003</v>
      </c>
      <c r="FY137">
        <v>18.046399999999998</v>
      </c>
      <c r="FZ137">
        <v>375</v>
      </c>
      <c r="GA137">
        <v>14.459199999999999</v>
      </c>
      <c r="GB137">
        <v>99.932299999999998</v>
      </c>
      <c r="GC137">
        <v>99.752099999999999</v>
      </c>
    </row>
    <row r="138" spans="1:185" x14ac:dyDescent="0.2">
      <c r="A138">
        <v>123</v>
      </c>
      <c r="B138">
        <v>1771087853.0999999</v>
      </c>
      <c r="C138">
        <v>2533.0999999046298</v>
      </c>
      <c r="D138" t="s">
        <v>542</v>
      </c>
      <c r="E138" t="s">
        <v>543</v>
      </c>
      <c r="F138">
        <v>15</v>
      </c>
      <c r="G138">
        <v>1771087845.03333</v>
      </c>
      <c r="H138">
        <f t="shared" si="13"/>
        <v>8.1052340011377746E-4</v>
      </c>
      <c r="I138">
        <v>0</v>
      </c>
      <c r="J138">
        <f t="shared" si="25"/>
        <v>-5.8243335846742024E-3</v>
      </c>
      <c r="K138">
        <f t="shared" si="14"/>
        <v>-0.15787400830811341</v>
      </c>
      <c r="L138">
        <f t="shared" si="15"/>
        <v>69.925630181605328</v>
      </c>
      <c r="M138">
        <f t="shared" si="16"/>
        <v>1.5393799591191439</v>
      </c>
      <c r="N138">
        <f t="shared" si="17"/>
        <v>2.2014531082825965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26235.349999996699</v>
      </c>
      <c r="T138">
        <f t="shared" si="21"/>
        <v>799.99966666666705</v>
      </c>
      <c r="U138">
        <f t="shared" si="22"/>
        <v>674.39970780000488</v>
      </c>
      <c r="V138">
        <f t="shared" si="23"/>
        <v>0.84299998599999992</v>
      </c>
      <c r="W138">
        <f t="shared" si="24"/>
        <v>0.15869983508000002</v>
      </c>
      <c r="X138">
        <v>1</v>
      </c>
      <c r="Y138">
        <v>1771087845.03333</v>
      </c>
      <c r="Z138">
        <v>374.815333333333</v>
      </c>
      <c r="AA138">
        <v>374.99773333333297</v>
      </c>
      <c r="AB138">
        <v>15.3940466666667</v>
      </c>
      <c r="AC138">
        <v>14.396506666666699</v>
      </c>
      <c r="AD138">
        <v>375.349066666667</v>
      </c>
      <c r="AE138">
        <v>15.294093333333301</v>
      </c>
      <c r="AF138">
        <v>800.01419999999996</v>
      </c>
      <c r="AG138">
        <v>99.933793333333398</v>
      </c>
      <c r="AH138">
        <v>6.4601660000000005E-2</v>
      </c>
      <c r="AI138">
        <v>18.9728933333333</v>
      </c>
      <c r="AJ138">
        <v>999.9</v>
      </c>
      <c r="AK138">
        <v>999.9</v>
      </c>
      <c r="AL138">
        <v>0</v>
      </c>
      <c r="AM138">
        <v>0</v>
      </c>
      <c r="AN138">
        <v>5004.6333333333296</v>
      </c>
      <c r="AO138">
        <v>0</v>
      </c>
      <c r="AP138">
        <v>2.14547</v>
      </c>
      <c r="AQ138">
        <v>-0.182358733333333</v>
      </c>
      <c r="AR138">
        <v>380.67553333333302</v>
      </c>
      <c r="AS138">
        <v>380.47519999999997</v>
      </c>
      <c r="AT138">
        <v>0.99753346666666698</v>
      </c>
      <c r="AU138">
        <v>374.99773333333297</v>
      </c>
      <c r="AV138">
        <v>14.396506666666699</v>
      </c>
      <c r="AW138">
        <v>1.5383853333333299</v>
      </c>
      <c r="AX138">
        <v>1.4386966666666701</v>
      </c>
      <c r="AY138">
        <v>13.3551066666667</v>
      </c>
      <c r="AZ138">
        <v>12.331766666666701</v>
      </c>
      <c r="BA138">
        <v>799.99966666666705</v>
      </c>
      <c r="BB138">
        <v>0.90000239999999998</v>
      </c>
      <c r="BC138">
        <v>0</v>
      </c>
      <c r="BD138">
        <v>9.9997666666666707E-2</v>
      </c>
      <c r="BE138">
        <v>0</v>
      </c>
      <c r="BF138">
        <v>25</v>
      </c>
      <c r="BG138">
        <v>13191.026666666699</v>
      </c>
      <c r="BH138">
        <v>1771087289</v>
      </c>
      <c r="BI138" t="s">
        <v>483</v>
      </c>
      <c r="BJ138">
        <v>1771087289</v>
      </c>
      <c r="BK138">
        <v>1771087289</v>
      </c>
      <c r="BL138">
        <v>4</v>
      </c>
      <c r="BM138">
        <v>-4.5999999999999999E-2</v>
      </c>
      <c r="BN138">
        <v>-4.0000000000000001E-3</v>
      </c>
      <c r="BO138">
        <v>-0.53400000000000003</v>
      </c>
      <c r="BP138">
        <v>0.1</v>
      </c>
      <c r="BQ138">
        <v>150</v>
      </c>
      <c r="BR138">
        <v>14</v>
      </c>
      <c r="BS138">
        <v>0.42</v>
      </c>
      <c r="BT138">
        <v>0.03</v>
      </c>
      <c r="BU138">
        <v>-0.179228238095238</v>
      </c>
      <c r="BV138">
        <v>-5.04542337662338E-2</v>
      </c>
      <c r="BW138">
        <v>1.0559567541220401E-2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1.00495057142857</v>
      </c>
      <c r="CD138">
        <v>-9.63777662337644E-2</v>
      </c>
      <c r="CE138">
        <v>1.3338218945040999E-2</v>
      </c>
      <c r="CF138">
        <v>1</v>
      </c>
      <c r="CG138">
        <v>2</v>
      </c>
      <c r="CH138">
        <v>2</v>
      </c>
      <c r="CI138" t="s">
        <v>310</v>
      </c>
      <c r="CJ138">
        <v>3.5325299999999999</v>
      </c>
      <c r="CK138">
        <v>2.7024699999999999</v>
      </c>
      <c r="CL138">
        <v>9.1365100000000005E-2</v>
      </c>
      <c r="CM138">
        <v>9.0192700000000001E-2</v>
      </c>
      <c r="CN138">
        <v>8.7079699999999996E-2</v>
      </c>
      <c r="CO138">
        <v>8.2010899999999998E-2</v>
      </c>
      <c r="CP138">
        <v>31885.5</v>
      </c>
      <c r="CQ138">
        <v>28026</v>
      </c>
      <c r="CR138">
        <v>32476.400000000001</v>
      </c>
      <c r="CS138">
        <v>30728.9</v>
      </c>
      <c r="CT138">
        <v>40137.699999999997</v>
      </c>
      <c r="CU138">
        <v>39662.5</v>
      </c>
      <c r="CV138">
        <v>47421.599999999999</v>
      </c>
      <c r="CW138">
        <v>46856.2</v>
      </c>
      <c r="CX138">
        <v>2.6314199999999999</v>
      </c>
      <c r="CY138">
        <v>2.1596000000000002</v>
      </c>
      <c r="CZ138">
        <v>0</v>
      </c>
      <c r="DA138">
        <v>0</v>
      </c>
      <c r="DB138">
        <v>999.9</v>
      </c>
      <c r="DC138">
        <v>999.9</v>
      </c>
      <c r="DD138">
        <v>60.28</v>
      </c>
      <c r="DE138">
        <v>25.266999999999999</v>
      </c>
      <c r="DF138">
        <v>19.488199999999999</v>
      </c>
      <c r="DG138">
        <v>29.911899999999999</v>
      </c>
      <c r="DH138">
        <v>15.352600000000001</v>
      </c>
      <c r="DI138">
        <v>2</v>
      </c>
      <c r="DJ138">
        <v>-0.16522999999999999</v>
      </c>
      <c r="DK138">
        <v>1.9702900000000001</v>
      </c>
      <c r="DL138">
        <v>20.198699999999999</v>
      </c>
      <c r="DM138">
        <v>5.25</v>
      </c>
      <c r="DN138">
        <v>12.033899999999999</v>
      </c>
      <c r="DO138">
        <v>4.9659599999999999</v>
      </c>
      <c r="DP138">
        <v>3.2909999999999999</v>
      </c>
      <c r="DQ138">
        <v>9999</v>
      </c>
      <c r="DR138">
        <v>9999</v>
      </c>
      <c r="DS138">
        <v>9999</v>
      </c>
      <c r="DT138">
        <v>604.5</v>
      </c>
      <c r="DU138">
        <v>1.8710800000000001</v>
      </c>
      <c r="DV138">
        <v>1.87609</v>
      </c>
      <c r="DW138">
        <v>1.8763399999999999</v>
      </c>
      <c r="DX138">
        <v>1.88279</v>
      </c>
      <c r="DY138">
        <v>1.87561</v>
      </c>
      <c r="DZ138">
        <v>1.8746700000000001</v>
      </c>
      <c r="EA138">
        <v>1.8707499999999999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-0.53300000000000003</v>
      </c>
      <c r="EQ138">
        <v>9.9900000000000003E-2</v>
      </c>
      <c r="ER138">
        <v>-0.53370000000001006</v>
      </c>
      <c r="ES138">
        <v>0</v>
      </c>
      <c r="ET138">
        <v>0</v>
      </c>
      <c r="EU138">
        <v>0</v>
      </c>
      <c r="EV138">
        <v>9.9940000000001902E-2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9.4</v>
      </c>
      <c r="FE138">
        <v>9.4</v>
      </c>
      <c r="FF138">
        <v>1.15479</v>
      </c>
      <c r="FG138">
        <v>2.5891099999999998</v>
      </c>
      <c r="FH138">
        <v>2.19604</v>
      </c>
      <c r="FI138">
        <v>2.5805699999999998</v>
      </c>
      <c r="FJ138">
        <v>2.4462899999999999</v>
      </c>
      <c r="FK138">
        <v>2.2607400000000002</v>
      </c>
      <c r="FL138">
        <v>30.566199999999998</v>
      </c>
      <c r="FM138">
        <v>24.14</v>
      </c>
      <c r="FN138">
        <v>19</v>
      </c>
      <c r="FO138">
        <v>864.12</v>
      </c>
      <c r="FP138">
        <v>592.71900000000005</v>
      </c>
      <c r="FQ138">
        <v>18.0871</v>
      </c>
      <c r="FR138">
        <v>24.949300000000001</v>
      </c>
      <c r="FS138">
        <v>30.0001</v>
      </c>
      <c r="FT138">
        <v>24.932099999999998</v>
      </c>
      <c r="FU138">
        <v>24.933900000000001</v>
      </c>
      <c r="FV138">
        <v>23.186900000000001</v>
      </c>
      <c r="FW138">
        <v>29.704499999999999</v>
      </c>
      <c r="FX138">
        <v>49.811</v>
      </c>
      <c r="FY138">
        <v>18.103300000000001</v>
      </c>
      <c r="FZ138">
        <v>375</v>
      </c>
      <c r="GA138">
        <v>14.4612</v>
      </c>
      <c r="GB138">
        <v>99.930499999999995</v>
      </c>
      <c r="GC138">
        <v>99.752300000000005</v>
      </c>
    </row>
    <row r="139" spans="1:185" x14ac:dyDescent="0.2">
      <c r="A139">
        <v>124</v>
      </c>
      <c r="B139">
        <v>1771087868.0999999</v>
      </c>
      <c r="C139">
        <v>2548.0999999046298</v>
      </c>
      <c r="D139" t="s">
        <v>544</v>
      </c>
      <c r="E139" t="s">
        <v>545</v>
      </c>
      <c r="F139">
        <v>15</v>
      </c>
      <c r="G139">
        <v>1771087860.03333</v>
      </c>
      <c r="H139">
        <f t="shared" si="13"/>
        <v>8.0197106763693019E-4</v>
      </c>
      <c r="I139">
        <v>0</v>
      </c>
      <c r="J139">
        <f t="shared" si="25"/>
        <v>-6.788697218598338E-3</v>
      </c>
      <c r="K139">
        <f t="shared" si="14"/>
        <v>-0.18401398640874922</v>
      </c>
      <c r="L139">
        <f t="shared" si="15"/>
        <v>69.973299619436091</v>
      </c>
      <c r="M139">
        <f t="shared" si="16"/>
        <v>1.5408261916062731</v>
      </c>
      <c r="N139">
        <f t="shared" si="17"/>
        <v>2.202020199113615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26194.241219344345</v>
      </c>
      <c r="T139">
        <f t="shared" si="21"/>
        <v>800.00019999999995</v>
      </c>
      <c r="U139">
        <f t="shared" si="22"/>
        <v>674.39969915988229</v>
      </c>
      <c r="V139">
        <f t="shared" si="23"/>
        <v>0.8429994131999996</v>
      </c>
      <c r="W139">
        <f t="shared" si="24"/>
        <v>0.15869887079199996</v>
      </c>
      <c r="X139">
        <v>1</v>
      </c>
      <c r="Y139">
        <v>1771087860.03333</v>
      </c>
      <c r="Z139">
        <v>374.82886666666701</v>
      </c>
      <c r="AA139">
        <v>374.97460000000001</v>
      </c>
      <c r="AB139">
        <v>15.4085933333333</v>
      </c>
      <c r="AC139">
        <v>14.4215866666667</v>
      </c>
      <c r="AD139">
        <v>375.36246666666699</v>
      </c>
      <c r="AE139">
        <v>15.3086466666667</v>
      </c>
      <c r="AF139">
        <v>800.0086</v>
      </c>
      <c r="AG139">
        <v>99.933260000000004</v>
      </c>
      <c r="AH139">
        <v>6.4589140000000003E-2</v>
      </c>
      <c r="AI139">
        <v>18.97702</v>
      </c>
      <c r="AJ139">
        <v>999.9</v>
      </c>
      <c r="AK139">
        <v>999.9</v>
      </c>
      <c r="AL139">
        <v>0</v>
      </c>
      <c r="AM139">
        <v>0</v>
      </c>
      <c r="AN139">
        <v>4997.9333333333298</v>
      </c>
      <c r="AO139">
        <v>0</v>
      </c>
      <c r="AP139">
        <v>2.14547</v>
      </c>
      <c r="AQ139">
        <v>-0.145920833333333</v>
      </c>
      <c r="AR139">
        <v>380.69473333333298</v>
      </c>
      <c r="AS139">
        <v>380.46159999999998</v>
      </c>
      <c r="AT139">
        <v>0.98701513333333302</v>
      </c>
      <c r="AU139">
        <v>374.97460000000001</v>
      </c>
      <c r="AV139">
        <v>14.4215866666667</v>
      </c>
      <c r="AW139">
        <v>1.53983133333333</v>
      </c>
      <c r="AX139">
        <v>1.4411959999999999</v>
      </c>
      <c r="AY139">
        <v>13.3695</v>
      </c>
      <c r="AZ139">
        <v>12.358140000000001</v>
      </c>
      <c r="BA139">
        <v>800.00019999999995</v>
      </c>
      <c r="BB139">
        <v>0.90001453333333303</v>
      </c>
      <c r="BC139">
        <v>0</v>
      </c>
      <c r="BD139">
        <v>9.9985293333333294E-2</v>
      </c>
      <c r="BE139">
        <v>0</v>
      </c>
      <c r="BF139">
        <v>25</v>
      </c>
      <c r="BG139">
        <v>13191.0933333333</v>
      </c>
      <c r="BH139">
        <v>1771087289</v>
      </c>
      <c r="BI139" t="s">
        <v>483</v>
      </c>
      <c r="BJ139">
        <v>1771087289</v>
      </c>
      <c r="BK139">
        <v>1771087289</v>
      </c>
      <c r="BL139">
        <v>4</v>
      </c>
      <c r="BM139">
        <v>-4.5999999999999999E-2</v>
      </c>
      <c r="BN139">
        <v>-4.0000000000000001E-3</v>
      </c>
      <c r="BO139">
        <v>-0.53400000000000003</v>
      </c>
      <c r="BP139">
        <v>0.1</v>
      </c>
      <c r="BQ139">
        <v>150</v>
      </c>
      <c r="BR139">
        <v>14</v>
      </c>
      <c r="BS139">
        <v>0.42</v>
      </c>
      <c r="BT139">
        <v>0.03</v>
      </c>
      <c r="BU139">
        <v>-0.15448152500000001</v>
      </c>
      <c r="BV139">
        <v>0.233473033082707</v>
      </c>
      <c r="BW139">
        <v>3.4048814158071303E-2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0.99014270000000004</v>
      </c>
      <c r="CD139">
        <v>-0.14212493233082699</v>
      </c>
      <c r="CE139">
        <v>1.84477862251816E-2</v>
      </c>
      <c r="CF139">
        <v>0</v>
      </c>
      <c r="CG139">
        <v>1</v>
      </c>
      <c r="CH139">
        <v>2</v>
      </c>
      <c r="CI139" t="s">
        <v>299</v>
      </c>
      <c r="CJ139">
        <v>3.5325199999999999</v>
      </c>
      <c r="CK139">
        <v>2.7023199999999998</v>
      </c>
      <c r="CL139">
        <v>9.1365299999999997E-2</v>
      </c>
      <c r="CM139">
        <v>9.0189900000000003E-2</v>
      </c>
      <c r="CN139">
        <v>8.7173600000000004E-2</v>
      </c>
      <c r="CO139">
        <v>8.2249799999999998E-2</v>
      </c>
      <c r="CP139">
        <v>31885.1</v>
      </c>
      <c r="CQ139">
        <v>28025.5</v>
      </c>
      <c r="CR139">
        <v>32476.1</v>
      </c>
      <c r="CS139">
        <v>30728.3</v>
      </c>
      <c r="CT139">
        <v>40133.1</v>
      </c>
      <c r="CU139">
        <v>39651.1</v>
      </c>
      <c r="CV139">
        <v>47421.3</v>
      </c>
      <c r="CW139">
        <v>46855.199999999997</v>
      </c>
      <c r="CX139">
        <v>2.6313</v>
      </c>
      <c r="CY139">
        <v>2.1594799999999998</v>
      </c>
      <c r="CZ139">
        <v>0</v>
      </c>
      <c r="DA139">
        <v>0</v>
      </c>
      <c r="DB139">
        <v>999.9</v>
      </c>
      <c r="DC139">
        <v>999.9</v>
      </c>
      <c r="DD139">
        <v>60.164000000000001</v>
      </c>
      <c r="DE139">
        <v>25.277000000000001</v>
      </c>
      <c r="DF139">
        <v>19.463200000000001</v>
      </c>
      <c r="DG139">
        <v>30.241900000000001</v>
      </c>
      <c r="DH139">
        <v>15.2845</v>
      </c>
      <c r="DI139">
        <v>2</v>
      </c>
      <c r="DJ139">
        <v>-0.164961</v>
      </c>
      <c r="DK139">
        <v>1.93303</v>
      </c>
      <c r="DL139">
        <v>20.199100000000001</v>
      </c>
      <c r="DM139">
        <v>5.2513100000000001</v>
      </c>
      <c r="DN139">
        <v>12.033899999999999</v>
      </c>
      <c r="DO139">
        <v>4.9660000000000002</v>
      </c>
      <c r="DP139">
        <v>3.2909999999999999</v>
      </c>
      <c r="DQ139">
        <v>9999</v>
      </c>
      <c r="DR139">
        <v>9999</v>
      </c>
      <c r="DS139">
        <v>9999</v>
      </c>
      <c r="DT139">
        <v>604.5</v>
      </c>
      <c r="DU139">
        <v>1.87107</v>
      </c>
      <c r="DV139">
        <v>1.87609</v>
      </c>
      <c r="DW139">
        <v>1.8763300000000001</v>
      </c>
      <c r="DX139">
        <v>1.88279</v>
      </c>
      <c r="DY139">
        <v>1.87561</v>
      </c>
      <c r="DZ139">
        <v>1.8746499999999999</v>
      </c>
      <c r="EA139">
        <v>1.8707499999999999</v>
      </c>
      <c r="EB139">
        <v>1.8746799999999999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-0.53400000000000003</v>
      </c>
      <c r="EQ139">
        <v>9.9900000000000003E-2</v>
      </c>
      <c r="ER139">
        <v>-0.53370000000001006</v>
      </c>
      <c r="ES139">
        <v>0</v>
      </c>
      <c r="ET139">
        <v>0</v>
      </c>
      <c r="EU139">
        <v>0</v>
      </c>
      <c r="EV139">
        <v>9.9940000000001902E-2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9.6999999999999993</v>
      </c>
      <c r="FE139">
        <v>9.6999999999999993</v>
      </c>
      <c r="FF139">
        <v>1.15479</v>
      </c>
      <c r="FG139">
        <v>2.5805699999999998</v>
      </c>
      <c r="FH139">
        <v>2.19604</v>
      </c>
      <c r="FI139">
        <v>2.5805699999999998</v>
      </c>
      <c r="FJ139">
        <v>2.4462899999999999</v>
      </c>
      <c r="FK139">
        <v>2.323</v>
      </c>
      <c r="FL139">
        <v>30.587700000000002</v>
      </c>
      <c r="FM139">
        <v>24.148800000000001</v>
      </c>
      <c r="FN139">
        <v>19</v>
      </c>
      <c r="FO139">
        <v>864.09</v>
      </c>
      <c r="FP139">
        <v>592.68299999999999</v>
      </c>
      <c r="FQ139">
        <v>18.141500000000001</v>
      </c>
      <c r="FR139">
        <v>24.953900000000001</v>
      </c>
      <c r="FS139">
        <v>30.0002</v>
      </c>
      <c r="FT139">
        <v>24.937200000000001</v>
      </c>
      <c r="FU139">
        <v>24.9389</v>
      </c>
      <c r="FV139">
        <v>23.190100000000001</v>
      </c>
      <c r="FW139">
        <v>29.422999999999998</v>
      </c>
      <c r="FX139">
        <v>49.811</v>
      </c>
      <c r="FY139">
        <v>18.1525</v>
      </c>
      <c r="FZ139">
        <v>375</v>
      </c>
      <c r="GA139">
        <v>14.4557</v>
      </c>
      <c r="GB139">
        <v>99.929699999999997</v>
      </c>
      <c r="GC139">
        <v>99.750200000000007</v>
      </c>
    </row>
    <row r="140" spans="1:185" x14ac:dyDescent="0.2">
      <c r="A140">
        <v>125</v>
      </c>
      <c r="B140">
        <v>1771087883.0999999</v>
      </c>
      <c r="C140">
        <v>2563.0999999046298</v>
      </c>
      <c r="D140" t="s">
        <v>546</v>
      </c>
      <c r="E140" t="s">
        <v>547</v>
      </c>
      <c r="F140">
        <v>15</v>
      </c>
      <c r="G140">
        <v>1771087875.03333</v>
      </c>
      <c r="H140">
        <f t="shared" si="13"/>
        <v>7.8818838695165214E-4</v>
      </c>
      <c r="I140">
        <v>0</v>
      </c>
      <c r="J140">
        <f t="shared" si="25"/>
        <v>-6.2699999760770413E-3</v>
      </c>
      <c r="K140">
        <f t="shared" si="14"/>
        <v>-0.16995421260206345</v>
      </c>
      <c r="L140">
        <f t="shared" si="15"/>
        <v>70.051707551685567</v>
      </c>
      <c r="M140">
        <f t="shared" si="16"/>
        <v>1.5434554147631578</v>
      </c>
      <c r="N140">
        <f t="shared" si="17"/>
        <v>2.2033087682043511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26195.642509381461</v>
      </c>
      <c r="T140">
        <f t="shared" si="21"/>
        <v>800</v>
      </c>
      <c r="U140">
        <f t="shared" si="22"/>
        <v>674.39967135999973</v>
      </c>
      <c r="V140">
        <f t="shared" si="23"/>
        <v>0.84299958919999973</v>
      </c>
      <c r="W140">
        <f t="shared" si="24"/>
        <v>0.15869905095199996</v>
      </c>
      <c r="X140">
        <v>1</v>
      </c>
      <c r="Y140">
        <v>1771087875.03333</v>
      </c>
      <c r="Z140">
        <v>374.84519999999998</v>
      </c>
      <c r="AA140">
        <v>375.00206666666702</v>
      </c>
      <c r="AB140">
        <v>15.4349666666667</v>
      </c>
      <c r="AC140">
        <v>14.4649466666667</v>
      </c>
      <c r="AD140">
        <v>375.37880000000001</v>
      </c>
      <c r="AE140">
        <v>15.3350266666667</v>
      </c>
      <c r="AF140">
        <v>800.006933333333</v>
      </c>
      <c r="AG140">
        <v>99.932566666666702</v>
      </c>
      <c r="AH140">
        <v>6.4760706666666695E-2</v>
      </c>
      <c r="AI140">
        <v>18.9863933333333</v>
      </c>
      <c r="AJ140">
        <v>999.9</v>
      </c>
      <c r="AK140">
        <v>999.9</v>
      </c>
      <c r="AL140">
        <v>0</v>
      </c>
      <c r="AM140">
        <v>0</v>
      </c>
      <c r="AN140">
        <v>4998.3333333333303</v>
      </c>
      <c r="AO140">
        <v>0</v>
      </c>
      <c r="AP140">
        <v>2.1475026666666701</v>
      </c>
      <c r="AQ140">
        <v>-0.15709826666666701</v>
      </c>
      <c r="AR140">
        <v>380.72153333333301</v>
      </c>
      <c r="AS140">
        <v>380.50619999999998</v>
      </c>
      <c r="AT140">
        <v>0.97003573333333304</v>
      </c>
      <c r="AU140">
        <v>375.00206666666702</v>
      </c>
      <c r="AV140">
        <v>14.4649466666667</v>
      </c>
      <c r="AW140">
        <v>1.54245533333333</v>
      </c>
      <c r="AX140">
        <v>1.4455186666666699</v>
      </c>
      <c r="AY140">
        <v>13.395633333333301</v>
      </c>
      <c r="AZ140">
        <v>12.403740000000001</v>
      </c>
      <c r="BA140">
        <v>800</v>
      </c>
      <c r="BB140">
        <v>0.90001253333333298</v>
      </c>
      <c r="BC140">
        <v>0</v>
      </c>
      <c r="BD140">
        <v>9.9987426666666698E-2</v>
      </c>
      <c r="BE140">
        <v>0</v>
      </c>
      <c r="BF140">
        <v>25</v>
      </c>
      <c r="BG140">
        <v>13191.08</v>
      </c>
      <c r="BH140">
        <v>1771087289</v>
      </c>
      <c r="BI140" t="s">
        <v>483</v>
      </c>
      <c r="BJ140">
        <v>1771087289</v>
      </c>
      <c r="BK140">
        <v>1771087289</v>
      </c>
      <c r="BL140">
        <v>4</v>
      </c>
      <c r="BM140">
        <v>-4.5999999999999999E-2</v>
      </c>
      <c r="BN140">
        <v>-4.0000000000000001E-3</v>
      </c>
      <c r="BO140">
        <v>-0.53400000000000003</v>
      </c>
      <c r="BP140">
        <v>0.1</v>
      </c>
      <c r="BQ140">
        <v>150</v>
      </c>
      <c r="BR140">
        <v>14</v>
      </c>
      <c r="BS140">
        <v>0.42</v>
      </c>
      <c r="BT140">
        <v>0.03</v>
      </c>
      <c r="BU140">
        <v>-0.14796896500000001</v>
      </c>
      <c r="BV140">
        <v>-7.2950900751879696E-2</v>
      </c>
      <c r="BW140">
        <v>2.9620592646219499E-2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0.96764819999999996</v>
      </c>
      <c r="CD140">
        <v>3.5484902255641201E-2</v>
      </c>
      <c r="CE140">
        <v>4.7787944881528396E-3</v>
      </c>
      <c r="CF140">
        <v>1</v>
      </c>
      <c r="CG140">
        <v>2</v>
      </c>
      <c r="CH140">
        <v>2</v>
      </c>
      <c r="CI140" t="s">
        <v>310</v>
      </c>
      <c r="CJ140">
        <v>3.53254</v>
      </c>
      <c r="CK140">
        <v>2.70261</v>
      </c>
      <c r="CL140">
        <v>9.1369400000000003E-2</v>
      </c>
      <c r="CM140">
        <v>9.0189800000000001E-2</v>
      </c>
      <c r="CN140">
        <v>8.7258799999999997E-2</v>
      </c>
      <c r="CO140">
        <v>8.2238900000000004E-2</v>
      </c>
      <c r="CP140">
        <v>31884.2</v>
      </c>
      <c r="CQ140">
        <v>28025.9</v>
      </c>
      <c r="CR140">
        <v>32475.4</v>
      </c>
      <c r="CS140">
        <v>30728.799999999999</v>
      </c>
      <c r="CT140">
        <v>40128.300000000003</v>
      </c>
      <c r="CU140">
        <v>39652.1</v>
      </c>
      <c r="CV140">
        <v>47420.1</v>
      </c>
      <c r="CW140">
        <v>46855.8</v>
      </c>
      <c r="CX140">
        <v>2.6314799999999998</v>
      </c>
      <c r="CY140">
        <v>2.1591800000000001</v>
      </c>
      <c r="CZ140">
        <v>0</v>
      </c>
      <c r="DA140">
        <v>0</v>
      </c>
      <c r="DB140">
        <v>999.9</v>
      </c>
      <c r="DC140">
        <v>999.9</v>
      </c>
      <c r="DD140">
        <v>60.066000000000003</v>
      </c>
      <c r="DE140">
        <v>25.277000000000001</v>
      </c>
      <c r="DF140">
        <v>19.430199999999999</v>
      </c>
      <c r="DG140">
        <v>30.241900000000001</v>
      </c>
      <c r="DH140">
        <v>15.1843</v>
      </c>
      <c r="DI140">
        <v>2</v>
      </c>
      <c r="DJ140">
        <v>-0.164522</v>
      </c>
      <c r="DK140">
        <v>1.9339599999999999</v>
      </c>
      <c r="DL140">
        <v>20.199300000000001</v>
      </c>
      <c r="DM140">
        <v>5.2521500000000003</v>
      </c>
      <c r="DN140">
        <v>12.033899999999999</v>
      </c>
      <c r="DO140">
        <v>4.9661200000000001</v>
      </c>
      <c r="DP140">
        <v>3.2909999999999999</v>
      </c>
      <c r="DQ140">
        <v>9999</v>
      </c>
      <c r="DR140">
        <v>9999</v>
      </c>
      <c r="DS140">
        <v>9999</v>
      </c>
      <c r="DT140">
        <v>604.5</v>
      </c>
      <c r="DU140">
        <v>1.8711</v>
      </c>
      <c r="DV140">
        <v>1.87612</v>
      </c>
      <c r="DW140">
        <v>1.87629</v>
      </c>
      <c r="DX140">
        <v>1.8828</v>
      </c>
      <c r="DY140">
        <v>1.87561</v>
      </c>
      <c r="DZ140">
        <v>1.8746799999999999</v>
      </c>
      <c r="EA140">
        <v>1.8707800000000001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-0.53400000000000003</v>
      </c>
      <c r="EQ140">
        <v>9.9900000000000003E-2</v>
      </c>
      <c r="ER140">
        <v>-0.53370000000001006</v>
      </c>
      <c r="ES140">
        <v>0</v>
      </c>
      <c r="ET140">
        <v>0</v>
      </c>
      <c r="EU140">
        <v>0</v>
      </c>
      <c r="EV140">
        <v>9.9940000000001902E-2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9.9</v>
      </c>
      <c r="FE140">
        <v>9.9</v>
      </c>
      <c r="FF140">
        <v>1.15601</v>
      </c>
      <c r="FG140">
        <v>2.5805699999999998</v>
      </c>
      <c r="FH140">
        <v>2.19604</v>
      </c>
      <c r="FI140">
        <v>2.5805699999999998</v>
      </c>
      <c r="FJ140">
        <v>2.4462899999999999</v>
      </c>
      <c r="FK140">
        <v>2.3132299999999999</v>
      </c>
      <c r="FL140">
        <v>30.609300000000001</v>
      </c>
      <c r="FM140">
        <v>24.148800000000001</v>
      </c>
      <c r="FN140">
        <v>19</v>
      </c>
      <c r="FO140">
        <v>864.33900000000006</v>
      </c>
      <c r="FP140">
        <v>592.50599999999997</v>
      </c>
      <c r="FQ140">
        <v>18.177600000000002</v>
      </c>
      <c r="FR140">
        <v>24.958500000000001</v>
      </c>
      <c r="FS140">
        <v>30.0001</v>
      </c>
      <c r="FT140">
        <v>24.9422</v>
      </c>
      <c r="FU140">
        <v>24.943899999999999</v>
      </c>
      <c r="FV140">
        <v>23.189699999999998</v>
      </c>
      <c r="FW140">
        <v>29.422999999999998</v>
      </c>
      <c r="FX140">
        <v>49.432000000000002</v>
      </c>
      <c r="FY140">
        <v>18.182600000000001</v>
      </c>
      <c r="FZ140">
        <v>375</v>
      </c>
      <c r="GA140">
        <v>14.4557</v>
      </c>
      <c r="GB140">
        <v>99.927300000000002</v>
      </c>
      <c r="GC140">
        <v>99.751499999999993</v>
      </c>
    </row>
    <row r="141" spans="1:185" x14ac:dyDescent="0.2">
      <c r="A141">
        <v>126</v>
      </c>
      <c r="B141">
        <v>1771087898.0999999</v>
      </c>
      <c r="C141">
        <v>2578.0999999046298</v>
      </c>
      <c r="D141" t="s">
        <v>548</v>
      </c>
      <c r="E141" t="s">
        <v>549</v>
      </c>
      <c r="F141">
        <v>15</v>
      </c>
      <c r="G141">
        <v>1771087890.03333</v>
      </c>
      <c r="H141">
        <f t="shared" si="13"/>
        <v>8.1225609005190107E-4</v>
      </c>
      <c r="I141">
        <v>0</v>
      </c>
      <c r="J141">
        <f t="shared" si="25"/>
        <v>3.3986402243432324E-3</v>
      </c>
      <c r="K141">
        <f t="shared" si="14"/>
        <v>9.2123321443351947E-2</v>
      </c>
      <c r="L141">
        <f t="shared" si="15"/>
        <v>70.051150621946363</v>
      </c>
      <c r="M141">
        <f t="shared" si="16"/>
        <v>1.5443674669801717</v>
      </c>
      <c r="N141">
        <f t="shared" si="17"/>
        <v>2.2046282655867411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26221.963050470407</v>
      </c>
      <c r="T141">
        <f t="shared" si="21"/>
        <v>799.999866666667</v>
      </c>
      <c r="U141">
        <f t="shared" si="22"/>
        <v>674.39970216003121</v>
      </c>
      <c r="V141">
        <f t="shared" si="23"/>
        <v>0.8429997682</v>
      </c>
      <c r="W141">
        <f t="shared" si="24"/>
        <v>0.15869956341199998</v>
      </c>
      <c r="X141">
        <v>1</v>
      </c>
      <c r="Y141">
        <v>1771087890.03333</v>
      </c>
      <c r="Z141">
        <v>374.51459999999997</v>
      </c>
      <c r="AA141">
        <v>375.01</v>
      </c>
      <c r="AB141">
        <v>15.444013333333301</v>
      </c>
      <c r="AC141">
        <v>14.4443866666667</v>
      </c>
      <c r="AD141">
        <v>375.38959999999997</v>
      </c>
      <c r="AE141">
        <v>15.344013333333301</v>
      </c>
      <c r="AF141">
        <v>800.01026666666701</v>
      </c>
      <c r="AG141">
        <v>99.933013333333307</v>
      </c>
      <c r="AH141">
        <v>6.4793820000000002E-2</v>
      </c>
      <c r="AI141">
        <v>18.995986666666699</v>
      </c>
      <c r="AJ141">
        <v>999.9</v>
      </c>
      <c r="AK141">
        <v>999.9</v>
      </c>
      <c r="AL141">
        <v>0</v>
      </c>
      <c r="AM141">
        <v>0</v>
      </c>
      <c r="AN141">
        <v>5002.8</v>
      </c>
      <c r="AO141">
        <v>0</v>
      </c>
      <c r="AP141">
        <v>2.1686580000000002</v>
      </c>
      <c r="AQ141">
        <v>-0.154052733333333</v>
      </c>
      <c r="AR141">
        <v>380.73599999999999</v>
      </c>
      <c r="AS141">
        <v>380.50626666666699</v>
      </c>
      <c r="AT141">
        <v>0.99956433333333305</v>
      </c>
      <c r="AU141">
        <v>375.01</v>
      </c>
      <c r="AV141">
        <v>14.4443866666667</v>
      </c>
      <c r="AW141">
        <v>1.54336133333333</v>
      </c>
      <c r="AX141">
        <v>1.44347</v>
      </c>
      <c r="AY141">
        <v>13.404626666666701</v>
      </c>
      <c r="AZ141">
        <v>12.382153333333299</v>
      </c>
      <c r="BA141">
        <v>799.999866666667</v>
      </c>
      <c r="BB141">
        <v>0.90000559999999996</v>
      </c>
      <c r="BC141">
        <v>0</v>
      </c>
      <c r="BD141">
        <v>9.9994326666666702E-2</v>
      </c>
      <c r="BE141">
        <v>0</v>
      </c>
      <c r="BF141">
        <v>25</v>
      </c>
      <c r="BG141">
        <v>13191.0466666667</v>
      </c>
      <c r="BH141">
        <v>1771087918.0999999</v>
      </c>
      <c r="BI141" t="s">
        <v>550</v>
      </c>
      <c r="BJ141">
        <v>1771087916.0999999</v>
      </c>
      <c r="BK141">
        <v>1771087918.0999999</v>
      </c>
      <c r="BL141">
        <v>5</v>
      </c>
      <c r="BM141">
        <v>-0.34200000000000003</v>
      </c>
      <c r="BN141">
        <v>0</v>
      </c>
      <c r="BO141">
        <v>-0.875</v>
      </c>
      <c r="BP141">
        <v>0.1</v>
      </c>
      <c r="BQ141">
        <v>375</v>
      </c>
      <c r="BR141">
        <v>14</v>
      </c>
      <c r="BS141">
        <v>0.27</v>
      </c>
      <c r="BT141">
        <v>0.04</v>
      </c>
      <c r="BU141">
        <v>-0.152008</v>
      </c>
      <c r="BV141">
        <v>3.9203007518797302E-3</v>
      </c>
      <c r="BW141">
        <v>1.35393151673192E-2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0.99364005</v>
      </c>
      <c r="CD141">
        <v>0.105647684210528</v>
      </c>
      <c r="CE141">
        <v>1.1789045056640499E-2</v>
      </c>
      <c r="CF141">
        <v>0</v>
      </c>
      <c r="CG141">
        <v>1</v>
      </c>
      <c r="CH141">
        <v>2</v>
      </c>
      <c r="CI141" t="s">
        <v>299</v>
      </c>
      <c r="CJ141">
        <v>3.5325099999999998</v>
      </c>
      <c r="CK141">
        <v>2.7025000000000001</v>
      </c>
      <c r="CL141">
        <v>9.1365799999999997E-2</v>
      </c>
      <c r="CM141">
        <v>9.0188500000000005E-2</v>
      </c>
      <c r="CN141">
        <v>8.7256799999999995E-2</v>
      </c>
      <c r="CO141">
        <v>8.2170999999999994E-2</v>
      </c>
      <c r="CP141">
        <v>31884.3</v>
      </c>
      <c r="CQ141">
        <v>28025.9</v>
      </c>
      <c r="CR141">
        <v>32475.3</v>
      </c>
      <c r="CS141">
        <v>30728.799999999999</v>
      </c>
      <c r="CT141">
        <v>40128.199999999997</v>
      </c>
      <c r="CU141">
        <v>39655.1</v>
      </c>
      <c r="CV141">
        <v>47419.9</v>
      </c>
      <c r="CW141">
        <v>46855.8</v>
      </c>
      <c r="CX141">
        <v>2.6313599999999999</v>
      </c>
      <c r="CY141">
        <v>2.1588599999999998</v>
      </c>
      <c r="CZ141">
        <v>0</v>
      </c>
      <c r="DA141">
        <v>0</v>
      </c>
      <c r="DB141">
        <v>999.9</v>
      </c>
      <c r="DC141">
        <v>999.9</v>
      </c>
      <c r="DD141">
        <v>59.968000000000004</v>
      </c>
      <c r="DE141">
        <v>25.306999999999999</v>
      </c>
      <c r="DF141">
        <v>19.433299999999999</v>
      </c>
      <c r="DG141">
        <v>29.851900000000001</v>
      </c>
      <c r="DH141">
        <v>15.208299999999999</v>
      </c>
      <c r="DI141">
        <v>2</v>
      </c>
      <c r="DJ141">
        <v>-0.16414799999999999</v>
      </c>
      <c r="DK141">
        <v>1.95469</v>
      </c>
      <c r="DL141">
        <v>20.198799999999999</v>
      </c>
      <c r="DM141">
        <v>5.2516699999999998</v>
      </c>
      <c r="DN141">
        <v>12.033899999999999</v>
      </c>
      <c r="DO141">
        <v>4.9665999999999997</v>
      </c>
      <c r="DP141">
        <v>3.2909999999999999</v>
      </c>
      <c r="DQ141">
        <v>9999</v>
      </c>
      <c r="DR141">
        <v>9999</v>
      </c>
      <c r="DS141">
        <v>9999</v>
      </c>
      <c r="DT141">
        <v>604.6</v>
      </c>
      <c r="DU141">
        <v>1.8711100000000001</v>
      </c>
      <c r="DV141">
        <v>1.8761300000000001</v>
      </c>
      <c r="DW141">
        <v>1.8763399999999999</v>
      </c>
      <c r="DX141">
        <v>1.8828100000000001</v>
      </c>
      <c r="DY141">
        <v>1.87561</v>
      </c>
      <c r="DZ141">
        <v>1.87466</v>
      </c>
      <c r="EA141">
        <v>1.8707800000000001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-0.875</v>
      </c>
      <c r="EQ141">
        <v>0.1</v>
      </c>
      <c r="ER141">
        <v>-0.53370000000001006</v>
      </c>
      <c r="ES141">
        <v>0</v>
      </c>
      <c r="ET141">
        <v>0</v>
      </c>
      <c r="EU141">
        <v>0</v>
      </c>
      <c r="EV141">
        <v>9.9940000000001902E-2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10.199999999999999</v>
      </c>
      <c r="FE141">
        <v>10.199999999999999</v>
      </c>
      <c r="FF141">
        <v>1.15479</v>
      </c>
      <c r="FG141">
        <v>2.5878899999999998</v>
      </c>
      <c r="FH141">
        <v>2.19604</v>
      </c>
      <c r="FI141">
        <v>2.5805699999999998</v>
      </c>
      <c r="FJ141">
        <v>2.4462899999999999</v>
      </c>
      <c r="FK141">
        <v>2.2997999999999998</v>
      </c>
      <c r="FL141">
        <v>30.6309</v>
      </c>
      <c r="FM141">
        <v>24.148800000000001</v>
      </c>
      <c r="FN141">
        <v>19</v>
      </c>
      <c r="FO141">
        <v>864.29600000000005</v>
      </c>
      <c r="FP141">
        <v>592.30999999999995</v>
      </c>
      <c r="FQ141">
        <v>18.192299999999999</v>
      </c>
      <c r="FR141">
        <v>24.9619</v>
      </c>
      <c r="FS141">
        <v>30.000399999999999</v>
      </c>
      <c r="FT141">
        <v>24.946400000000001</v>
      </c>
      <c r="FU141">
        <v>24.948499999999999</v>
      </c>
      <c r="FV141">
        <v>23.189299999999999</v>
      </c>
      <c r="FW141">
        <v>29.422999999999998</v>
      </c>
      <c r="FX141">
        <v>49.432000000000002</v>
      </c>
      <c r="FY141">
        <v>18.1919</v>
      </c>
      <c r="FZ141">
        <v>375</v>
      </c>
      <c r="GA141">
        <v>14.4557</v>
      </c>
      <c r="GB141">
        <v>99.927000000000007</v>
      </c>
      <c r="GC141">
        <v>99.751499999999993</v>
      </c>
    </row>
    <row r="142" spans="1:185" x14ac:dyDescent="0.2">
      <c r="A142">
        <v>127</v>
      </c>
      <c r="B142">
        <v>1771087920.0999999</v>
      </c>
      <c r="C142">
        <v>2600.0999999046298</v>
      </c>
      <c r="D142" t="s">
        <v>551</v>
      </c>
      <c r="E142" t="s">
        <v>552</v>
      </c>
      <c r="F142">
        <v>15</v>
      </c>
      <c r="G142">
        <v>1771087919.0999999</v>
      </c>
      <c r="H142">
        <f t="shared" si="13"/>
        <v>2.4350364323544918E-7</v>
      </c>
      <c r="I142">
        <v>0</v>
      </c>
      <c r="J142">
        <f t="shared" si="25"/>
        <v>-1.1838513541259322E-3</v>
      </c>
      <c r="K142">
        <f t="shared" si="14"/>
        <v>-3.2089398005746846E-2</v>
      </c>
      <c r="L142">
        <f t="shared" si="15"/>
        <v>65.506582700694594</v>
      </c>
      <c r="M142">
        <f t="shared" si="16"/>
        <v>1.4448719371152798</v>
      </c>
      <c r="N142">
        <f t="shared" si="17"/>
        <v>2.205689684221551</v>
      </c>
      <c r="O142">
        <v>465</v>
      </c>
      <c r="P142">
        <v>58</v>
      </c>
      <c r="Q142">
        <f t="shared" si="18"/>
        <v>1</v>
      </c>
      <c r="R142">
        <f t="shared" si="19"/>
        <v>0</v>
      </c>
      <c r="S142">
        <f t="shared" si="20"/>
        <v>26134.662570267545</v>
      </c>
      <c r="T142">
        <f t="shared" si="21"/>
        <v>800.00099999999998</v>
      </c>
      <c r="U142">
        <f t="shared" si="22"/>
        <v>674.40003659899196</v>
      </c>
      <c r="V142">
        <f t="shared" si="23"/>
        <v>0.84299899199999995</v>
      </c>
      <c r="W142">
        <f t="shared" si="24"/>
        <v>0.15869825952</v>
      </c>
      <c r="X142">
        <v>1</v>
      </c>
      <c r="Y142">
        <v>1771087919.0999999</v>
      </c>
      <c r="Z142">
        <v>375.017</v>
      </c>
      <c r="AA142">
        <v>374.97699999999998</v>
      </c>
      <c r="AB142">
        <v>14.4476</v>
      </c>
      <c r="AC142">
        <v>14.4473</v>
      </c>
      <c r="AD142">
        <v>375.89299999999997</v>
      </c>
      <c r="AE142">
        <v>14.3474</v>
      </c>
      <c r="AF142">
        <v>799.952</v>
      </c>
      <c r="AG142">
        <v>99.933199999999999</v>
      </c>
      <c r="AH142">
        <v>7.4547799999999997E-2</v>
      </c>
      <c r="AI142">
        <v>19.003699999999998</v>
      </c>
      <c r="AJ142">
        <v>999.9</v>
      </c>
      <c r="AK142">
        <v>999.9</v>
      </c>
      <c r="AL142">
        <v>0</v>
      </c>
      <c r="AM142">
        <v>0</v>
      </c>
      <c r="AN142">
        <v>4988.5</v>
      </c>
      <c r="AO142">
        <v>0</v>
      </c>
      <c r="AP142">
        <v>2.2019299999999999</v>
      </c>
      <c r="AQ142">
        <v>4.0008500000000002E-2</v>
      </c>
      <c r="AR142">
        <v>380.51499999999999</v>
      </c>
      <c r="AS142">
        <v>380.47399999999999</v>
      </c>
      <c r="AT142">
        <v>3.2424899999999998E-4</v>
      </c>
      <c r="AU142">
        <v>374.97699999999998</v>
      </c>
      <c r="AV142">
        <v>14.4473</v>
      </c>
      <c r="AW142">
        <v>1.4438</v>
      </c>
      <c r="AX142">
        <v>1.44377</v>
      </c>
      <c r="AY142">
        <v>12.3856</v>
      </c>
      <c r="AZ142">
        <v>12.385300000000001</v>
      </c>
      <c r="BA142">
        <v>800.00099999999998</v>
      </c>
      <c r="BB142">
        <v>0.90002199999999999</v>
      </c>
      <c r="BC142">
        <v>0</v>
      </c>
      <c r="BD142">
        <v>9.99776E-2</v>
      </c>
      <c r="BE142">
        <v>0</v>
      </c>
      <c r="BF142">
        <v>25</v>
      </c>
      <c r="BG142">
        <v>13191.1</v>
      </c>
      <c r="BH142">
        <v>1771087918.0999999</v>
      </c>
      <c r="BI142" t="s">
        <v>550</v>
      </c>
      <c r="BJ142">
        <v>1771087916.0999999</v>
      </c>
      <c r="BK142">
        <v>1771087918.0999999</v>
      </c>
      <c r="BL142">
        <v>5</v>
      </c>
      <c r="BM142">
        <v>-0.34200000000000003</v>
      </c>
      <c r="BN142">
        <v>0</v>
      </c>
      <c r="BO142">
        <v>-0.875</v>
      </c>
      <c r="BP142">
        <v>0.1</v>
      </c>
      <c r="BQ142">
        <v>375</v>
      </c>
      <c r="BR142">
        <v>14</v>
      </c>
      <c r="BS142">
        <v>0.27</v>
      </c>
      <c r="BT142">
        <v>0.04</v>
      </c>
      <c r="BU142">
        <v>0.22186576</v>
      </c>
      <c r="BV142">
        <v>0.45387277894736899</v>
      </c>
      <c r="BW142">
        <v>0.162426699908129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0.15123555701499999</v>
      </c>
      <c r="CD142">
        <v>-2.2074118928887199</v>
      </c>
      <c r="CE142">
        <v>0.29022575610511597</v>
      </c>
      <c r="CF142">
        <v>0</v>
      </c>
      <c r="CG142">
        <v>1</v>
      </c>
      <c r="CH142">
        <v>2</v>
      </c>
      <c r="CI142" t="s">
        <v>299</v>
      </c>
      <c r="CJ142">
        <v>3.5337700000000001</v>
      </c>
      <c r="CK142">
        <v>2.7113800000000001</v>
      </c>
      <c r="CL142">
        <v>9.1446200000000005E-2</v>
      </c>
      <c r="CM142">
        <v>9.0182600000000002E-2</v>
      </c>
      <c r="CN142">
        <v>8.3139900000000003E-2</v>
      </c>
      <c r="CO142">
        <v>8.2189899999999996E-2</v>
      </c>
      <c r="CP142">
        <v>31881.9</v>
      </c>
      <c r="CQ142">
        <v>28026</v>
      </c>
      <c r="CR142">
        <v>32475.8</v>
      </c>
      <c r="CS142">
        <v>30728.7</v>
      </c>
      <c r="CT142">
        <v>40315.9</v>
      </c>
      <c r="CU142">
        <v>39654.1</v>
      </c>
      <c r="CV142">
        <v>47420.7</v>
      </c>
      <c r="CW142">
        <v>46855.7</v>
      </c>
      <c r="CX142">
        <v>1.7159800000000001</v>
      </c>
      <c r="CY142">
        <v>1.6303799999999999</v>
      </c>
      <c r="CZ142">
        <v>0</v>
      </c>
      <c r="DA142">
        <v>0</v>
      </c>
      <c r="DB142">
        <v>999.9</v>
      </c>
      <c r="DC142">
        <v>999.9</v>
      </c>
      <c r="DD142">
        <v>59.851999999999997</v>
      </c>
      <c r="DE142">
        <v>25.327000000000002</v>
      </c>
      <c r="DF142">
        <v>19.417899999999999</v>
      </c>
      <c r="DG142">
        <v>30.521899999999999</v>
      </c>
      <c r="DH142">
        <v>15.645</v>
      </c>
      <c r="DI142">
        <v>2</v>
      </c>
      <c r="DJ142">
        <v>-0.16333300000000001</v>
      </c>
      <c r="DK142">
        <v>2.11768</v>
      </c>
      <c r="DL142">
        <v>20.194600000000001</v>
      </c>
      <c r="DM142">
        <v>5.2423299999999999</v>
      </c>
      <c r="DN142">
        <v>12.033899999999999</v>
      </c>
      <c r="DO142">
        <v>4.9655199999999997</v>
      </c>
      <c r="DP142">
        <v>3.2896800000000002</v>
      </c>
      <c r="DQ142">
        <v>9999</v>
      </c>
      <c r="DR142">
        <v>9999</v>
      </c>
      <c r="DS142">
        <v>9999</v>
      </c>
      <c r="DT142">
        <v>604.6</v>
      </c>
      <c r="DU142">
        <v>1.87113</v>
      </c>
      <c r="DV142">
        <v>1.8761300000000001</v>
      </c>
      <c r="DW142">
        <v>1.87635</v>
      </c>
      <c r="DX142">
        <v>1.8828100000000001</v>
      </c>
      <c r="DY142">
        <v>1.87561</v>
      </c>
      <c r="DZ142">
        <v>1.87469</v>
      </c>
      <c r="EA142">
        <v>1.8708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-0.875</v>
      </c>
      <c r="EQ142">
        <v>0.1003</v>
      </c>
      <c r="ER142">
        <v>-0.87549999999998795</v>
      </c>
      <c r="ES142">
        <v>0</v>
      </c>
      <c r="ET142">
        <v>0</v>
      </c>
      <c r="EU142">
        <v>0</v>
      </c>
      <c r="EV142">
        <v>0.100239999999996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0.1</v>
      </c>
      <c r="FE142">
        <v>0</v>
      </c>
      <c r="FF142">
        <v>1.15479</v>
      </c>
      <c r="FG142">
        <v>2.5854499999999998</v>
      </c>
      <c r="FH142">
        <v>2.19604</v>
      </c>
      <c r="FI142">
        <v>2.5793499999999998</v>
      </c>
      <c r="FJ142">
        <v>2.4462899999999999</v>
      </c>
      <c r="FK142">
        <v>2.2631800000000002</v>
      </c>
      <c r="FL142">
        <v>30.6309</v>
      </c>
      <c r="FM142">
        <v>24.14</v>
      </c>
      <c r="FN142">
        <v>19</v>
      </c>
      <c r="FO142">
        <v>308.66399999999999</v>
      </c>
      <c r="FP142">
        <v>287.72699999999998</v>
      </c>
      <c r="FQ142">
        <v>18.066199999999998</v>
      </c>
      <c r="FR142">
        <v>24.9682</v>
      </c>
      <c r="FS142">
        <v>30</v>
      </c>
      <c r="FT142">
        <v>24.970700000000001</v>
      </c>
      <c r="FU142">
        <v>24.9696</v>
      </c>
      <c r="FV142">
        <v>23.188600000000001</v>
      </c>
      <c r="FW142">
        <v>27.470500000000001</v>
      </c>
      <c r="FX142">
        <v>49.432000000000002</v>
      </c>
      <c r="FY142">
        <v>18.0731</v>
      </c>
      <c r="FZ142">
        <v>375</v>
      </c>
      <c r="GA142">
        <v>14.961600000000001</v>
      </c>
      <c r="GB142">
        <v>99.928700000000006</v>
      </c>
      <c r="GC142">
        <v>99.751300000000001</v>
      </c>
    </row>
    <row r="143" spans="1:185" x14ac:dyDescent="0.2">
      <c r="A143">
        <v>128</v>
      </c>
      <c r="B143">
        <v>1771087935.0999999</v>
      </c>
      <c r="C143">
        <v>2615.0999999046298</v>
      </c>
      <c r="D143" t="s">
        <v>553</v>
      </c>
      <c r="E143" t="s">
        <v>554</v>
      </c>
      <c r="F143">
        <v>15</v>
      </c>
      <c r="G143">
        <v>1771087927.03333</v>
      </c>
      <c r="H143">
        <f t="shared" si="13"/>
        <v>5.8312603513247896E-4</v>
      </c>
      <c r="I143">
        <v>0</v>
      </c>
      <c r="J143">
        <f t="shared" si="25"/>
        <v>2.7701941759364578E-3</v>
      </c>
      <c r="K143">
        <f t="shared" si="14"/>
        <v>7.5088703623994682E-2</v>
      </c>
      <c r="L143">
        <f t="shared" si="15"/>
        <v>69.269266126076801</v>
      </c>
      <c r="M143">
        <f t="shared" si="16"/>
        <v>1.5275491914874402</v>
      </c>
      <c r="N143">
        <f t="shared" si="17"/>
        <v>2.2052336871985219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26242.165485595549</v>
      </c>
      <c r="T143">
        <f t="shared" si="21"/>
        <v>799.99866666666696</v>
      </c>
      <c r="U143">
        <f t="shared" si="22"/>
        <v>674.3986518403741</v>
      </c>
      <c r="V143">
        <f t="shared" si="23"/>
        <v>0.84299971980000032</v>
      </c>
      <c r="W143">
        <f t="shared" si="24"/>
        <v>0.15869954634800007</v>
      </c>
      <c r="X143">
        <v>1</v>
      </c>
      <c r="Y143">
        <v>1771087927.03333</v>
      </c>
      <c r="Z143">
        <v>374.59173333333302</v>
      </c>
      <c r="AA143">
        <v>374.95846666666699</v>
      </c>
      <c r="AB143">
        <v>15.27548</v>
      </c>
      <c r="AC143">
        <v>14.55804</v>
      </c>
      <c r="AD143">
        <v>375.4674</v>
      </c>
      <c r="AE143">
        <v>15.175240000000001</v>
      </c>
      <c r="AF143">
        <v>800.37146666666695</v>
      </c>
      <c r="AG143">
        <v>99.933779999999999</v>
      </c>
      <c r="AH143">
        <v>6.6297999999999996E-2</v>
      </c>
      <c r="AI143">
        <v>19.000386666666699</v>
      </c>
      <c r="AJ143">
        <v>999.9</v>
      </c>
      <c r="AK143">
        <v>999.9</v>
      </c>
      <c r="AL143">
        <v>0</v>
      </c>
      <c r="AM143">
        <v>0</v>
      </c>
      <c r="AN143">
        <v>5006.1666666666697</v>
      </c>
      <c r="AO143">
        <v>0</v>
      </c>
      <c r="AP143">
        <v>2.1770153333333302</v>
      </c>
      <c r="AQ143">
        <v>-0.36669927333333302</v>
      </c>
      <c r="AR143">
        <v>380.40260000000001</v>
      </c>
      <c r="AS143">
        <v>380.49779999999998</v>
      </c>
      <c r="AT143">
        <v>0.71743041659999995</v>
      </c>
      <c r="AU143">
        <v>374.95846666666699</v>
      </c>
      <c r="AV143">
        <v>14.55804</v>
      </c>
      <c r="AW143">
        <v>1.52653666666667</v>
      </c>
      <c r="AX143">
        <v>1.45484066666667</v>
      </c>
      <c r="AY143">
        <v>13.233420000000001</v>
      </c>
      <c r="AZ143">
        <v>12.5015533333333</v>
      </c>
      <c r="BA143">
        <v>799.99866666666696</v>
      </c>
      <c r="BB143">
        <v>0.90000566666666704</v>
      </c>
      <c r="BC143">
        <v>0</v>
      </c>
      <c r="BD143">
        <v>9.9994206666666696E-2</v>
      </c>
      <c r="BE143">
        <v>0</v>
      </c>
      <c r="BF143">
        <v>25</v>
      </c>
      <c r="BG143">
        <v>13191.02</v>
      </c>
      <c r="BH143">
        <v>1771087918.0999999</v>
      </c>
      <c r="BI143" t="s">
        <v>550</v>
      </c>
      <c r="BJ143">
        <v>1771087916.0999999</v>
      </c>
      <c r="BK143">
        <v>1771087918.0999999</v>
      </c>
      <c r="BL143">
        <v>5</v>
      </c>
      <c r="BM143">
        <v>-0.34200000000000003</v>
      </c>
      <c r="BN143">
        <v>0</v>
      </c>
      <c r="BO143">
        <v>-0.875</v>
      </c>
      <c r="BP143">
        <v>0.1</v>
      </c>
      <c r="BQ143">
        <v>375</v>
      </c>
      <c r="BR143">
        <v>14</v>
      </c>
      <c r="BS143">
        <v>0.27</v>
      </c>
      <c r="BT143">
        <v>0.04</v>
      </c>
      <c r="BU143">
        <v>-0.206560491904762</v>
      </c>
      <c r="BV143">
        <v>-2.7996936607792202</v>
      </c>
      <c r="BW143">
        <v>0.30433313088999903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0.51475369416666705</v>
      </c>
      <c r="CD143">
        <v>3.7047434205974001</v>
      </c>
      <c r="CE143">
        <v>0.39839539528277401</v>
      </c>
      <c r="CF143">
        <v>0</v>
      </c>
      <c r="CG143">
        <v>0</v>
      </c>
      <c r="CH143">
        <v>2</v>
      </c>
      <c r="CI143" t="s">
        <v>290</v>
      </c>
      <c r="CJ143">
        <v>3.5325099999999998</v>
      </c>
      <c r="CK143">
        <v>2.70242</v>
      </c>
      <c r="CL143">
        <v>9.1367000000000004E-2</v>
      </c>
      <c r="CM143">
        <v>9.0184700000000007E-2</v>
      </c>
      <c r="CN143">
        <v>8.7449899999999997E-2</v>
      </c>
      <c r="CO143">
        <v>8.2630999999999996E-2</v>
      </c>
      <c r="CP143">
        <v>31884.9</v>
      </c>
      <c r="CQ143">
        <v>28025.8</v>
      </c>
      <c r="CR143">
        <v>32476</v>
      </c>
      <c r="CS143">
        <v>30728.5</v>
      </c>
      <c r="CT143">
        <v>40120.300000000003</v>
      </c>
      <c r="CU143">
        <v>39634.300000000003</v>
      </c>
      <c r="CV143">
        <v>47420.9</v>
      </c>
      <c r="CW143">
        <v>46855.5</v>
      </c>
      <c r="CX143">
        <v>2.6283799999999999</v>
      </c>
      <c r="CY143">
        <v>2.1577600000000001</v>
      </c>
      <c r="CZ143">
        <v>0</v>
      </c>
      <c r="DA143">
        <v>0</v>
      </c>
      <c r="DB143">
        <v>999.9</v>
      </c>
      <c r="DC143">
        <v>999.9</v>
      </c>
      <c r="DD143">
        <v>59.779000000000003</v>
      </c>
      <c r="DE143">
        <v>25.337</v>
      </c>
      <c r="DF143">
        <v>19.4056</v>
      </c>
      <c r="DG143">
        <v>30.041899999999998</v>
      </c>
      <c r="DH143">
        <v>15.348599999999999</v>
      </c>
      <c r="DI143">
        <v>2</v>
      </c>
      <c r="DJ143">
        <v>-0.16324</v>
      </c>
      <c r="DK143">
        <v>2.0531700000000002</v>
      </c>
      <c r="DL143">
        <v>20.197500000000002</v>
      </c>
      <c r="DM143">
        <v>5.2520300000000004</v>
      </c>
      <c r="DN143">
        <v>12.033899999999999</v>
      </c>
      <c r="DO143">
        <v>4.9673600000000002</v>
      </c>
      <c r="DP143">
        <v>3.2909999999999999</v>
      </c>
      <c r="DQ143">
        <v>9999</v>
      </c>
      <c r="DR143">
        <v>9999</v>
      </c>
      <c r="DS143">
        <v>9999</v>
      </c>
      <c r="DT143">
        <v>604.6</v>
      </c>
      <c r="DU143">
        <v>1.8710899999999999</v>
      </c>
      <c r="DV143">
        <v>1.8761000000000001</v>
      </c>
      <c r="DW143">
        <v>1.8763300000000001</v>
      </c>
      <c r="DX143">
        <v>1.88279</v>
      </c>
      <c r="DY143">
        <v>1.87561</v>
      </c>
      <c r="DZ143">
        <v>1.8746799999999999</v>
      </c>
      <c r="EA143">
        <v>1.8708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-0.875</v>
      </c>
      <c r="EQ143">
        <v>0.1002</v>
      </c>
      <c r="ER143">
        <v>-0.87549999999998795</v>
      </c>
      <c r="ES143">
        <v>0</v>
      </c>
      <c r="ET143">
        <v>0</v>
      </c>
      <c r="EU143">
        <v>0</v>
      </c>
      <c r="EV143">
        <v>0.100239999999996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0.3</v>
      </c>
      <c r="FE143">
        <v>0.3</v>
      </c>
      <c r="FF143">
        <v>1.15601</v>
      </c>
      <c r="FG143">
        <v>2.5878899999999998</v>
      </c>
      <c r="FH143">
        <v>2.19604</v>
      </c>
      <c r="FI143">
        <v>2.5793499999999998</v>
      </c>
      <c r="FJ143">
        <v>2.4462899999999999</v>
      </c>
      <c r="FK143">
        <v>2.2570800000000002</v>
      </c>
      <c r="FL143">
        <v>30.6309</v>
      </c>
      <c r="FM143">
        <v>24.14</v>
      </c>
      <c r="FN143">
        <v>19</v>
      </c>
      <c r="FO143">
        <v>861.745</v>
      </c>
      <c r="FP143">
        <v>591.58500000000004</v>
      </c>
      <c r="FQ143">
        <v>18.0684</v>
      </c>
      <c r="FR143">
        <v>24.971499999999999</v>
      </c>
      <c r="FS143">
        <v>30.0001</v>
      </c>
      <c r="FT143">
        <v>24.959399999999999</v>
      </c>
      <c r="FU143">
        <v>24.9603</v>
      </c>
      <c r="FV143">
        <v>23.194700000000001</v>
      </c>
      <c r="FW143">
        <v>28.887799999999999</v>
      </c>
      <c r="FX143">
        <v>49.055399999999999</v>
      </c>
      <c r="FY143">
        <v>18.075800000000001</v>
      </c>
      <c r="FZ143">
        <v>375</v>
      </c>
      <c r="GA143">
        <v>14.4893</v>
      </c>
      <c r="GB143">
        <v>99.929100000000005</v>
      </c>
      <c r="GC143">
        <v>99.750799999999998</v>
      </c>
    </row>
    <row r="144" spans="1:185" x14ac:dyDescent="0.2">
      <c r="A144">
        <v>129</v>
      </c>
      <c r="B144">
        <v>1771087950.0999999</v>
      </c>
      <c r="C144">
        <v>2630.0999999046298</v>
      </c>
      <c r="D144" t="s">
        <v>555</v>
      </c>
      <c r="E144" t="s">
        <v>556</v>
      </c>
      <c r="F144">
        <v>15</v>
      </c>
      <c r="G144">
        <v>1771087942.03333</v>
      </c>
      <c r="H144">
        <f t="shared" ref="H144:H207" si="26">AF144*Q144*(AB144-AC144)/(1000*X144*(1000-Q144*AB144))</f>
        <v>7.9690395163675893E-4</v>
      </c>
      <c r="I144">
        <v>0</v>
      </c>
      <c r="J144">
        <f t="shared" si="25"/>
        <v>3.7678340459697522E-3</v>
      </c>
      <c r="K144">
        <f t="shared" ref="K144:K207" si="27">AF144*Q144*(AA144-Z144*(1000-Q144*AC144)/(1000-Q144*AB144))/(1000*X144)</f>
        <v>0.10213066522189854</v>
      </c>
      <c r="L144">
        <f t="shared" ref="L144:L207" si="28">(M144/N144*100)</f>
        <v>70.280390590072912</v>
      </c>
      <c r="M144">
        <f t="shared" ref="M144:M207" si="29">AB144*(AG144+AH144)/1000</f>
        <v>1.5496089470768479</v>
      </c>
      <c r="N144">
        <f t="shared" ref="N144:N207" si="30">0.61365*EXP(17.502*AI144/(240.97+AI144))</f>
        <v>2.2048951835161401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26266.754376394038</v>
      </c>
      <c r="T144">
        <f t="shared" ref="T144:T207" si="34">$B$11*AO144+$C$11*AP144+$D$11*BA144</f>
        <v>800.00099999999998</v>
      </c>
      <c r="U144">
        <f t="shared" ref="U144:U207" si="35">T144*V144</f>
        <v>674.40069803981908</v>
      </c>
      <c r="V144">
        <f t="shared" ref="V144:V207" si="36">($B$11*$D$9+$C$11*$D$9+$D$11*(BB144*$E$9+BC144*$F$9+BD144*$G$9+BE144*$H$9))/($B$11+$C$11+$D$11)</f>
        <v>0.8429998188000003</v>
      </c>
      <c r="W144">
        <f t="shared" ref="W144:W207" si="37">($B$11*$L$9+$C$11*$L$9+$D$11*(BB144*$M$9+BC144*$N$9+BD144*$O$9+BE144*$P$9))/($B$11+$C$11+$D$11)</f>
        <v>0.15869959896800007</v>
      </c>
      <c r="X144">
        <v>1</v>
      </c>
      <c r="Y144">
        <v>1771087942.03333</v>
      </c>
      <c r="Z144">
        <v>374.52293333333301</v>
      </c>
      <c r="AA144">
        <v>375.023666666667</v>
      </c>
      <c r="AB144">
        <v>15.49638</v>
      </c>
      <c r="AC144">
        <v>14.515693333333299</v>
      </c>
      <c r="AD144">
        <v>375.39853333333298</v>
      </c>
      <c r="AE144">
        <v>15.39616</v>
      </c>
      <c r="AF144">
        <v>800.00559999999996</v>
      </c>
      <c r="AG144">
        <v>99.933533333333301</v>
      </c>
      <c r="AH144">
        <v>6.4591846666666702E-2</v>
      </c>
      <c r="AI144">
        <v>18.9979266666667</v>
      </c>
      <c r="AJ144">
        <v>999.9</v>
      </c>
      <c r="AK144">
        <v>999.9</v>
      </c>
      <c r="AL144">
        <v>0</v>
      </c>
      <c r="AM144">
        <v>0</v>
      </c>
      <c r="AN144">
        <v>5010.2</v>
      </c>
      <c r="AO144">
        <v>0</v>
      </c>
      <c r="AP144">
        <v>2.1589459999999998</v>
      </c>
      <c r="AQ144">
        <v>-0.50063266666666695</v>
      </c>
      <c r="AR144">
        <v>380.417933333333</v>
      </c>
      <c r="AS144">
        <v>380.54759999999999</v>
      </c>
      <c r="AT144">
        <v>0.98069406666666703</v>
      </c>
      <c r="AU144">
        <v>375.023666666667</v>
      </c>
      <c r="AV144">
        <v>14.515693333333299</v>
      </c>
      <c r="AW144">
        <v>1.5486073333333299</v>
      </c>
      <c r="AX144">
        <v>1.4506019999999999</v>
      </c>
      <c r="AY144">
        <v>13.4567266666667</v>
      </c>
      <c r="AZ144">
        <v>12.4571733333333</v>
      </c>
      <c r="BA144">
        <v>800.00099999999998</v>
      </c>
      <c r="BB144">
        <v>0.90000526666666703</v>
      </c>
      <c r="BC144">
        <v>0</v>
      </c>
      <c r="BD144">
        <v>9.9994706666666697E-2</v>
      </c>
      <c r="BE144">
        <v>0</v>
      </c>
      <c r="BF144">
        <v>25</v>
      </c>
      <c r="BG144">
        <v>13191.0466666667</v>
      </c>
      <c r="BH144">
        <v>1771087918.0999999</v>
      </c>
      <c r="BI144" t="s">
        <v>550</v>
      </c>
      <c r="BJ144">
        <v>1771087916.0999999</v>
      </c>
      <c r="BK144">
        <v>1771087918.0999999</v>
      </c>
      <c r="BL144">
        <v>5</v>
      </c>
      <c r="BM144">
        <v>-0.34200000000000003</v>
      </c>
      <c r="BN144">
        <v>0</v>
      </c>
      <c r="BO144">
        <v>-0.875</v>
      </c>
      <c r="BP144">
        <v>0.1</v>
      </c>
      <c r="BQ144">
        <v>375</v>
      </c>
      <c r="BR144">
        <v>14</v>
      </c>
      <c r="BS144">
        <v>0.27</v>
      </c>
      <c r="BT144">
        <v>0.04</v>
      </c>
      <c r="BU144">
        <v>-0.49398799999999998</v>
      </c>
      <c r="BV144">
        <v>-5.16327518797004E-2</v>
      </c>
      <c r="BW144">
        <v>2.43195586904861E-2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0.96535115000000005</v>
      </c>
      <c r="CD144">
        <v>0.391460616541354</v>
      </c>
      <c r="CE144">
        <v>3.84924882026026E-2</v>
      </c>
      <c r="CF144">
        <v>0</v>
      </c>
      <c r="CG144">
        <v>1</v>
      </c>
      <c r="CH144">
        <v>2</v>
      </c>
      <c r="CI144" t="s">
        <v>299</v>
      </c>
      <c r="CJ144">
        <v>3.53247</v>
      </c>
      <c r="CK144">
        <v>2.70228</v>
      </c>
      <c r="CL144">
        <v>9.1376799999999994E-2</v>
      </c>
      <c r="CM144">
        <v>9.0189400000000003E-2</v>
      </c>
      <c r="CN144">
        <v>8.7448300000000007E-2</v>
      </c>
      <c r="CO144">
        <v>8.2319799999999999E-2</v>
      </c>
      <c r="CP144">
        <v>31884.2</v>
      </c>
      <c r="CQ144">
        <v>28025.200000000001</v>
      </c>
      <c r="CR144">
        <v>32475.7</v>
      </c>
      <c r="CS144">
        <v>30728.1</v>
      </c>
      <c r="CT144">
        <v>40120</v>
      </c>
      <c r="CU144">
        <v>39647.9</v>
      </c>
      <c r="CV144">
        <v>47420.4</v>
      </c>
      <c r="CW144">
        <v>46855.1</v>
      </c>
      <c r="CX144">
        <v>2.63028</v>
      </c>
      <c r="CY144">
        <v>2.1579799999999998</v>
      </c>
      <c r="CZ144">
        <v>0</v>
      </c>
      <c r="DA144">
        <v>0</v>
      </c>
      <c r="DB144">
        <v>999.9</v>
      </c>
      <c r="DC144">
        <v>999.9</v>
      </c>
      <c r="DD144">
        <v>59.680999999999997</v>
      </c>
      <c r="DE144">
        <v>25.347000000000001</v>
      </c>
      <c r="DF144">
        <v>19.385000000000002</v>
      </c>
      <c r="DG144">
        <v>30.101900000000001</v>
      </c>
      <c r="DH144">
        <v>15.348599999999999</v>
      </c>
      <c r="DI144">
        <v>2</v>
      </c>
      <c r="DJ144">
        <v>-0.16293299999999999</v>
      </c>
      <c r="DK144">
        <v>2.0680100000000001</v>
      </c>
      <c r="DL144">
        <v>20.196899999999999</v>
      </c>
      <c r="DM144">
        <v>5.2507099999999998</v>
      </c>
      <c r="DN144">
        <v>12.033899999999999</v>
      </c>
      <c r="DO144">
        <v>4.9673600000000002</v>
      </c>
      <c r="DP144">
        <v>3.2907199999999999</v>
      </c>
      <c r="DQ144">
        <v>9999</v>
      </c>
      <c r="DR144">
        <v>9999</v>
      </c>
      <c r="DS144">
        <v>9999</v>
      </c>
      <c r="DT144">
        <v>604.6</v>
      </c>
      <c r="DU144">
        <v>1.8710800000000001</v>
      </c>
      <c r="DV144">
        <v>1.87612</v>
      </c>
      <c r="DW144">
        <v>1.8763300000000001</v>
      </c>
      <c r="DX144">
        <v>1.88279</v>
      </c>
      <c r="DY144">
        <v>1.8755999999999999</v>
      </c>
      <c r="DZ144">
        <v>1.87466</v>
      </c>
      <c r="EA144">
        <v>1.87076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-0.876</v>
      </c>
      <c r="EQ144">
        <v>0.1002</v>
      </c>
      <c r="ER144">
        <v>-0.87549999999998795</v>
      </c>
      <c r="ES144">
        <v>0</v>
      </c>
      <c r="ET144">
        <v>0</v>
      </c>
      <c r="EU144">
        <v>0</v>
      </c>
      <c r="EV144">
        <v>0.100239999999996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0.6</v>
      </c>
      <c r="FE144">
        <v>0.5</v>
      </c>
      <c r="FF144">
        <v>1.15479</v>
      </c>
      <c r="FG144">
        <v>2.5878899999999998</v>
      </c>
      <c r="FH144">
        <v>2.19604</v>
      </c>
      <c r="FI144">
        <v>2.5805699999999998</v>
      </c>
      <c r="FJ144">
        <v>2.4462899999999999</v>
      </c>
      <c r="FK144">
        <v>2.2387700000000001</v>
      </c>
      <c r="FL144">
        <v>30.6524</v>
      </c>
      <c r="FM144">
        <v>24.14</v>
      </c>
      <c r="FN144">
        <v>19</v>
      </c>
      <c r="FO144">
        <v>863.56700000000001</v>
      </c>
      <c r="FP144">
        <v>591.81100000000004</v>
      </c>
      <c r="FQ144">
        <v>18.078700000000001</v>
      </c>
      <c r="FR144">
        <v>24.9757</v>
      </c>
      <c r="FS144">
        <v>30.0002</v>
      </c>
      <c r="FT144">
        <v>24.963200000000001</v>
      </c>
      <c r="FU144">
        <v>24.9649</v>
      </c>
      <c r="FV144">
        <v>23.189900000000002</v>
      </c>
      <c r="FW144">
        <v>29.174600000000002</v>
      </c>
      <c r="FX144">
        <v>49.055399999999999</v>
      </c>
      <c r="FY144">
        <v>18.078900000000001</v>
      </c>
      <c r="FZ144">
        <v>375</v>
      </c>
      <c r="GA144">
        <v>14.473699999999999</v>
      </c>
      <c r="GB144">
        <v>99.928100000000001</v>
      </c>
      <c r="GC144">
        <v>99.749899999999997</v>
      </c>
    </row>
    <row r="145" spans="1:185" x14ac:dyDescent="0.2">
      <c r="A145">
        <v>130</v>
      </c>
      <c r="B145">
        <v>1771087965.0999999</v>
      </c>
      <c r="C145">
        <v>2645.0999999046298</v>
      </c>
      <c r="D145" t="s">
        <v>557</v>
      </c>
      <c r="E145" t="s">
        <v>558</v>
      </c>
      <c r="F145">
        <v>15</v>
      </c>
      <c r="G145">
        <v>1771087957.03333</v>
      </c>
      <c r="H145">
        <f t="shared" si="26"/>
        <v>8.2589078883583424E-4</v>
      </c>
      <c r="I145">
        <v>0</v>
      </c>
      <c r="J145">
        <f t="shared" ref="J145:J208" si="38">K145*(0.0002898/0.0078553)</f>
        <v>2.087852329453666E-3</v>
      </c>
      <c r="K145">
        <f t="shared" si="27"/>
        <v>5.659318979833465E-2</v>
      </c>
      <c r="L145">
        <f t="shared" si="28"/>
        <v>70.201351658860958</v>
      </c>
      <c r="M145">
        <f t="shared" si="29"/>
        <v>1.5480117605672365</v>
      </c>
      <c r="N145">
        <f t="shared" si="30"/>
        <v>2.2051025001480058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26192.373174596491</v>
      </c>
      <c r="T145">
        <f t="shared" si="34"/>
        <v>799.999866666667</v>
      </c>
      <c r="U145">
        <f t="shared" si="35"/>
        <v>674.39978264001797</v>
      </c>
      <c r="V145">
        <f t="shared" si="36"/>
        <v>0.84299986880000022</v>
      </c>
      <c r="W145">
        <f t="shared" si="37"/>
        <v>0.15869985388800006</v>
      </c>
      <c r="X145">
        <v>1</v>
      </c>
      <c r="Y145">
        <v>1771087957.03333</v>
      </c>
      <c r="Z145">
        <v>374.54386666666699</v>
      </c>
      <c r="AA145">
        <v>375.00126666666699</v>
      </c>
      <c r="AB145">
        <v>15.4804866666667</v>
      </c>
      <c r="AC145">
        <v>14.464119999999999</v>
      </c>
      <c r="AD145">
        <v>375.41933333333299</v>
      </c>
      <c r="AE145">
        <v>15.380240000000001</v>
      </c>
      <c r="AF145">
        <v>800.01206666666701</v>
      </c>
      <c r="AG145">
        <v>99.933033333333299</v>
      </c>
      <c r="AH145">
        <v>6.4582626666666698E-2</v>
      </c>
      <c r="AI145">
        <v>18.9994333333333</v>
      </c>
      <c r="AJ145">
        <v>999.9</v>
      </c>
      <c r="AK145">
        <v>999.9</v>
      </c>
      <c r="AL145">
        <v>0</v>
      </c>
      <c r="AM145">
        <v>0</v>
      </c>
      <c r="AN145">
        <v>4997.9666666666699</v>
      </c>
      <c r="AO145">
        <v>0</v>
      </c>
      <c r="AP145">
        <v>2.1502126666666701</v>
      </c>
      <c r="AQ145">
        <v>-0.45741166666666699</v>
      </c>
      <c r="AR145">
        <v>380.43313333333299</v>
      </c>
      <c r="AS145">
        <v>380.504866666667</v>
      </c>
      <c r="AT145">
        <v>1.0163773333333299</v>
      </c>
      <c r="AU145">
        <v>375.00126666666699</v>
      </c>
      <c r="AV145">
        <v>14.464119999999999</v>
      </c>
      <c r="AW145">
        <v>1.5470126666666699</v>
      </c>
      <c r="AX145">
        <v>1.4454419999999999</v>
      </c>
      <c r="AY145">
        <v>13.4408933333333</v>
      </c>
      <c r="AZ145">
        <v>12.4029333333333</v>
      </c>
      <c r="BA145">
        <v>799.999866666667</v>
      </c>
      <c r="BB145">
        <v>0.90000166666666703</v>
      </c>
      <c r="BC145">
        <v>0</v>
      </c>
      <c r="BD145">
        <v>9.9998240000000002E-2</v>
      </c>
      <c r="BE145">
        <v>0</v>
      </c>
      <c r="BF145">
        <v>25</v>
      </c>
      <c r="BG145">
        <v>13191.04</v>
      </c>
      <c r="BH145">
        <v>1771087918.0999999</v>
      </c>
      <c r="BI145" t="s">
        <v>550</v>
      </c>
      <c r="BJ145">
        <v>1771087916.0999999</v>
      </c>
      <c r="BK145">
        <v>1771087918.0999999</v>
      </c>
      <c r="BL145">
        <v>5</v>
      </c>
      <c r="BM145">
        <v>-0.34200000000000003</v>
      </c>
      <c r="BN145">
        <v>0</v>
      </c>
      <c r="BO145">
        <v>-0.875</v>
      </c>
      <c r="BP145">
        <v>0.1</v>
      </c>
      <c r="BQ145">
        <v>375</v>
      </c>
      <c r="BR145">
        <v>14</v>
      </c>
      <c r="BS145">
        <v>0.27</v>
      </c>
      <c r="BT145">
        <v>0.04</v>
      </c>
      <c r="BU145">
        <v>-0.46506599999999998</v>
      </c>
      <c r="BV145">
        <v>0.18655714285714201</v>
      </c>
      <c r="BW145">
        <v>2.8055932566758101E-2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1.01542380952381</v>
      </c>
      <c r="CD145">
        <v>5.5358181818182799E-2</v>
      </c>
      <c r="CE145">
        <v>9.0539091668634299E-3</v>
      </c>
      <c r="CF145">
        <v>1</v>
      </c>
      <c r="CG145">
        <v>2</v>
      </c>
      <c r="CH145">
        <v>2</v>
      </c>
      <c r="CI145" t="s">
        <v>310</v>
      </c>
      <c r="CJ145">
        <v>3.5325199999999999</v>
      </c>
      <c r="CK145">
        <v>2.7024699999999999</v>
      </c>
      <c r="CL145">
        <v>9.1368900000000003E-2</v>
      </c>
      <c r="CM145">
        <v>9.0179099999999998E-2</v>
      </c>
      <c r="CN145">
        <v>8.7330599999999994E-2</v>
      </c>
      <c r="CO145">
        <v>8.2154099999999994E-2</v>
      </c>
      <c r="CP145">
        <v>31884.400000000001</v>
      </c>
      <c r="CQ145">
        <v>28025.200000000001</v>
      </c>
      <c r="CR145">
        <v>32475.599999999999</v>
      </c>
      <c r="CS145">
        <v>30727.8</v>
      </c>
      <c r="CT145">
        <v>40125.4</v>
      </c>
      <c r="CU145">
        <v>39654.800000000003</v>
      </c>
      <c r="CV145">
        <v>47420.4</v>
      </c>
      <c r="CW145">
        <v>46854.6</v>
      </c>
      <c r="CX145">
        <v>2.6308600000000002</v>
      </c>
      <c r="CY145">
        <v>2.1581600000000001</v>
      </c>
      <c r="CZ145">
        <v>0</v>
      </c>
      <c r="DA145">
        <v>0</v>
      </c>
      <c r="DB145">
        <v>999.9</v>
      </c>
      <c r="DC145">
        <v>999.9</v>
      </c>
      <c r="DD145">
        <v>59.564999999999998</v>
      </c>
      <c r="DE145">
        <v>25.378</v>
      </c>
      <c r="DF145">
        <v>19.383800000000001</v>
      </c>
      <c r="DG145">
        <v>29.951899999999998</v>
      </c>
      <c r="DH145">
        <v>15.3245</v>
      </c>
      <c r="DI145">
        <v>2</v>
      </c>
      <c r="DJ145">
        <v>-0.16248199999999999</v>
      </c>
      <c r="DK145">
        <v>2.0728599999999999</v>
      </c>
      <c r="DL145">
        <v>20.197399999999998</v>
      </c>
      <c r="DM145">
        <v>5.2527499999999998</v>
      </c>
      <c r="DN145">
        <v>12.033899999999999</v>
      </c>
      <c r="DO145">
        <v>4.9677600000000002</v>
      </c>
      <c r="DP145">
        <v>3.2909999999999999</v>
      </c>
      <c r="DQ145">
        <v>9999</v>
      </c>
      <c r="DR145">
        <v>9999</v>
      </c>
      <c r="DS145">
        <v>9999</v>
      </c>
      <c r="DT145">
        <v>604.6</v>
      </c>
      <c r="DU145">
        <v>1.8710899999999999</v>
      </c>
      <c r="DV145">
        <v>1.8761000000000001</v>
      </c>
      <c r="DW145">
        <v>1.8763099999999999</v>
      </c>
      <c r="DX145">
        <v>1.88279</v>
      </c>
      <c r="DY145">
        <v>1.87561</v>
      </c>
      <c r="DZ145">
        <v>1.8746700000000001</v>
      </c>
      <c r="EA145">
        <v>1.87076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-0.875</v>
      </c>
      <c r="EQ145">
        <v>0.1003</v>
      </c>
      <c r="ER145">
        <v>-0.87549999999998795</v>
      </c>
      <c r="ES145">
        <v>0</v>
      </c>
      <c r="ET145">
        <v>0</v>
      </c>
      <c r="EU145">
        <v>0</v>
      </c>
      <c r="EV145">
        <v>0.100239999999996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0.8</v>
      </c>
      <c r="FE145">
        <v>0.8</v>
      </c>
      <c r="FF145">
        <v>1.15601</v>
      </c>
      <c r="FG145">
        <v>2.5781200000000002</v>
      </c>
      <c r="FH145">
        <v>2.19604</v>
      </c>
      <c r="FI145">
        <v>2.5805699999999998</v>
      </c>
      <c r="FJ145">
        <v>2.4462899999999999</v>
      </c>
      <c r="FK145">
        <v>2.2778299999999998</v>
      </c>
      <c r="FL145">
        <v>30.6524</v>
      </c>
      <c r="FM145">
        <v>24.148800000000001</v>
      </c>
      <c r="FN145">
        <v>19</v>
      </c>
      <c r="FO145">
        <v>864.178</v>
      </c>
      <c r="FP145">
        <v>592.00599999999997</v>
      </c>
      <c r="FQ145">
        <v>18.081700000000001</v>
      </c>
      <c r="FR145">
        <v>24.979900000000001</v>
      </c>
      <c r="FS145">
        <v>30.000299999999999</v>
      </c>
      <c r="FT145">
        <v>24.9678</v>
      </c>
      <c r="FU145">
        <v>24.9696</v>
      </c>
      <c r="FV145">
        <v>23.191800000000001</v>
      </c>
      <c r="FW145">
        <v>29.174600000000002</v>
      </c>
      <c r="FX145">
        <v>48.681899999999999</v>
      </c>
      <c r="FY145">
        <v>18.081399999999999</v>
      </c>
      <c r="FZ145">
        <v>375</v>
      </c>
      <c r="GA145">
        <v>14.4794</v>
      </c>
      <c r="GB145">
        <v>99.927999999999997</v>
      </c>
      <c r="GC145">
        <v>99.748800000000003</v>
      </c>
    </row>
    <row r="146" spans="1:185" x14ac:dyDescent="0.2">
      <c r="A146">
        <v>131</v>
      </c>
      <c r="B146">
        <v>1771087980.0999999</v>
      </c>
      <c r="C146">
        <v>2660.0999999046298</v>
      </c>
      <c r="D146" t="s">
        <v>559</v>
      </c>
      <c r="E146" t="s">
        <v>560</v>
      </c>
      <c r="F146">
        <v>15</v>
      </c>
      <c r="G146">
        <v>1771087972.03333</v>
      </c>
      <c r="H146">
        <f t="shared" si="26"/>
        <v>8.2448958209287268E-4</v>
      </c>
      <c r="I146">
        <v>0</v>
      </c>
      <c r="J146">
        <f t="shared" si="38"/>
        <v>2.4305363388654909E-3</v>
      </c>
      <c r="K146">
        <f t="shared" si="27"/>
        <v>6.58819603267429E-2</v>
      </c>
      <c r="L146">
        <f t="shared" si="28"/>
        <v>70.084449923421758</v>
      </c>
      <c r="M146">
        <f t="shared" si="29"/>
        <v>1.5454069545247688</v>
      </c>
      <c r="N146">
        <f t="shared" si="30"/>
        <v>2.2050639709855298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26169.428202665677</v>
      </c>
      <c r="T146">
        <f t="shared" si="34"/>
        <v>799.99993333333305</v>
      </c>
      <c r="U146">
        <f t="shared" si="35"/>
        <v>674.39996635999785</v>
      </c>
      <c r="V146">
        <f t="shared" si="36"/>
        <v>0.84300002819999997</v>
      </c>
      <c r="W146">
        <f t="shared" si="37"/>
        <v>0.15869995357200001</v>
      </c>
      <c r="X146">
        <v>1</v>
      </c>
      <c r="Y146">
        <v>1771087972.03333</v>
      </c>
      <c r="Z146">
        <v>374.52120000000002</v>
      </c>
      <c r="AA146">
        <v>374.98953333333299</v>
      </c>
      <c r="AB146">
        <v>15.4543933333333</v>
      </c>
      <c r="AC146">
        <v>14.439719999999999</v>
      </c>
      <c r="AD146">
        <v>375.39686666666699</v>
      </c>
      <c r="AE146">
        <v>15.35416</v>
      </c>
      <c r="AF146">
        <v>800.00879999999995</v>
      </c>
      <c r="AG146">
        <v>99.933253333333298</v>
      </c>
      <c r="AH146">
        <v>6.4651546666666698E-2</v>
      </c>
      <c r="AI146">
        <v>18.9991533333333</v>
      </c>
      <c r="AJ146">
        <v>999.9</v>
      </c>
      <c r="AK146">
        <v>999.9</v>
      </c>
      <c r="AL146">
        <v>0</v>
      </c>
      <c r="AM146">
        <v>0</v>
      </c>
      <c r="AN146">
        <v>4994.1666666666697</v>
      </c>
      <c r="AO146">
        <v>0</v>
      </c>
      <c r="AP146">
        <v>2.14547</v>
      </c>
      <c r="AQ146">
        <v>-0.46822506666666702</v>
      </c>
      <c r="AR146">
        <v>380.40013333333297</v>
      </c>
      <c r="AS146">
        <v>380.48346666666703</v>
      </c>
      <c r="AT146">
        <v>1.01468933333333</v>
      </c>
      <c r="AU146">
        <v>374.98953333333299</v>
      </c>
      <c r="AV146">
        <v>14.439719999999999</v>
      </c>
      <c r="AW146">
        <v>1.544408</v>
      </c>
      <c r="AX146">
        <v>1.4430066666666701</v>
      </c>
      <c r="AY146">
        <v>13.4150333333333</v>
      </c>
      <c r="AZ146">
        <v>12.3772866666667</v>
      </c>
      <c r="BA146">
        <v>799.99993333333305</v>
      </c>
      <c r="BB146">
        <v>0.90000080000000005</v>
      </c>
      <c r="BC146">
        <v>0</v>
      </c>
      <c r="BD146">
        <v>9.9999260000000006E-2</v>
      </c>
      <c r="BE146">
        <v>0</v>
      </c>
      <c r="BF146">
        <v>25</v>
      </c>
      <c r="BG146">
        <v>13191.026666666699</v>
      </c>
      <c r="BH146">
        <v>1771087918.0999999</v>
      </c>
      <c r="BI146" t="s">
        <v>550</v>
      </c>
      <c r="BJ146">
        <v>1771087916.0999999</v>
      </c>
      <c r="BK146">
        <v>1771087918.0999999</v>
      </c>
      <c r="BL146">
        <v>5</v>
      </c>
      <c r="BM146">
        <v>-0.34200000000000003</v>
      </c>
      <c r="BN146">
        <v>0</v>
      </c>
      <c r="BO146">
        <v>-0.875</v>
      </c>
      <c r="BP146">
        <v>0.1</v>
      </c>
      <c r="BQ146">
        <v>375</v>
      </c>
      <c r="BR146">
        <v>14</v>
      </c>
      <c r="BS146">
        <v>0.27</v>
      </c>
      <c r="BT146">
        <v>0.04</v>
      </c>
      <c r="BU146">
        <v>-0.4603332</v>
      </c>
      <c r="BV146">
        <v>-0.109138736842105</v>
      </c>
      <c r="BW146">
        <v>1.7787502836542301E-2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1.0182325000000001</v>
      </c>
      <c r="CD146">
        <v>-8.4429022556390704E-2</v>
      </c>
      <c r="CE146">
        <v>8.2262025716608907E-3</v>
      </c>
      <c r="CF146">
        <v>1</v>
      </c>
      <c r="CG146">
        <v>2</v>
      </c>
      <c r="CH146">
        <v>2</v>
      </c>
      <c r="CI146" t="s">
        <v>310</v>
      </c>
      <c r="CJ146">
        <v>3.5325299999999999</v>
      </c>
      <c r="CK146">
        <v>2.7025700000000001</v>
      </c>
      <c r="CL146">
        <v>9.1365000000000002E-2</v>
      </c>
      <c r="CM146">
        <v>9.0180499999999997E-2</v>
      </c>
      <c r="CN146">
        <v>8.7258500000000003E-2</v>
      </c>
      <c r="CO146">
        <v>8.2160399999999995E-2</v>
      </c>
      <c r="CP146">
        <v>31884.3</v>
      </c>
      <c r="CQ146">
        <v>28025.4</v>
      </c>
      <c r="CR146">
        <v>32475.4</v>
      </c>
      <c r="CS146">
        <v>30728</v>
      </c>
      <c r="CT146">
        <v>40128.300000000003</v>
      </c>
      <c r="CU146">
        <v>39655</v>
      </c>
      <c r="CV146">
        <v>47420.1</v>
      </c>
      <c r="CW146">
        <v>46855.199999999997</v>
      </c>
      <c r="CX146">
        <v>2.6308199999999999</v>
      </c>
      <c r="CY146">
        <v>2.1579199999999998</v>
      </c>
      <c r="CZ146">
        <v>0</v>
      </c>
      <c r="DA146">
        <v>0</v>
      </c>
      <c r="DB146">
        <v>999.9</v>
      </c>
      <c r="DC146">
        <v>999.9</v>
      </c>
      <c r="DD146">
        <v>59.468000000000004</v>
      </c>
      <c r="DE146">
        <v>25.378</v>
      </c>
      <c r="DF146">
        <v>19.352</v>
      </c>
      <c r="DG146">
        <v>30.071899999999999</v>
      </c>
      <c r="DH146">
        <v>15.3325</v>
      </c>
      <c r="DI146">
        <v>2</v>
      </c>
      <c r="DJ146">
        <v>-0.16200000000000001</v>
      </c>
      <c r="DK146">
        <v>2.0704099999999999</v>
      </c>
      <c r="DL146">
        <v>20.197299999999998</v>
      </c>
      <c r="DM146">
        <v>5.2527499999999998</v>
      </c>
      <c r="DN146">
        <v>12.033899999999999</v>
      </c>
      <c r="DO146">
        <v>4.9676400000000003</v>
      </c>
      <c r="DP146">
        <v>3.2909999999999999</v>
      </c>
      <c r="DQ146">
        <v>9999</v>
      </c>
      <c r="DR146">
        <v>9999</v>
      </c>
      <c r="DS146">
        <v>9999</v>
      </c>
      <c r="DT146">
        <v>604.6</v>
      </c>
      <c r="DU146">
        <v>1.8711100000000001</v>
      </c>
      <c r="DV146">
        <v>1.8761300000000001</v>
      </c>
      <c r="DW146">
        <v>1.8763700000000001</v>
      </c>
      <c r="DX146">
        <v>1.8828199999999999</v>
      </c>
      <c r="DY146">
        <v>1.87561</v>
      </c>
      <c r="DZ146">
        <v>1.8746799999999999</v>
      </c>
      <c r="EA146">
        <v>1.8708100000000001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-0.876</v>
      </c>
      <c r="EQ146">
        <v>0.1002</v>
      </c>
      <c r="ER146">
        <v>-0.87549999999998795</v>
      </c>
      <c r="ES146">
        <v>0</v>
      </c>
      <c r="ET146">
        <v>0</v>
      </c>
      <c r="EU146">
        <v>0</v>
      </c>
      <c r="EV146">
        <v>0.100239999999996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1.1000000000000001</v>
      </c>
      <c r="FE146">
        <v>1</v>
      </c>
      <c r="FF146">
        <v>1.15601</v>
      </c>
      <c r="FG146">
        <v>2.5781200000000002</v>
      </c>
      <c r="FH146">
        <v>2.19604</v>
      </c>
      <c r="FI146">
        <v>2.5805699999999998</v>
      </c>
      <c r="FJ146">
        <v>2.4462899999999999</v>
      </c>
      <c r="FK146">
        <v>2.31812</v>
      </c>
      <c r="FL146">
        <v>30.6524</v>
      </c>
      <c r="FM146">
        <v>24.148800000000001</v>
      </c>
      <c r="FN146">
        <v>19</v>
      </c>
      <c r="FO146">
        <v>864.22900000000004</v>
      </c>
      <c r="FP146">
        <v>591.88499999999999</v>
      </c>
      <c r="FQ146">
        <v>18.0825</v>
      </c>
      <c r="FR146">
        <v>24.9846</v>
      </c>
      <c r="FS146">
        <v>30.0001</v>
      </c>
      <c r="FT146">
        <v>24.973199999999999</v>
      </c>
      <c r="FU146">
        <v>24.975300000000001</v>
      </c>
      <c r="FV146">
        <v>23.193100000000001</v>
      </c>
      <c r="FW146">
        <v>29.174600000000002</v>
      </c>
      <c r="FX146">
        <v>48.681899999999999</v>
      </c>
      <c r="FY146">
        <v>18.082899999999999</v>
      </c>
      <c r="FZ146">
        <v>375</v>
      </c>
      <c r="GA146">
        <v>14.4794</v>
      </c>
      <c r="GB146">
        <v>99.927300000000002</v>
      </c>
      <c r="GC146">
        <v>99.749799999999993</v>
      </c>
    </row>
    <row r="147" spans="1:185" x14ac:dyDescent="0.2">
      <c r="A147">
        <v>132</v>
      </c>
      <c r="B147">
        <v>1771087995.0999999</v>
      </c>
      <c r="C147">
        <v>2675.0999999046298</v>
      </c>
      <c r="D147" t="s">
        <v>561</v>
      </c>
      <c r="E147" t="s">
        <v>562</v>
      </c>
      <c r="F147">
        <v>15</v>
      </c>
      <c r="G147">
        <v>1771087987.03333</v>
      </c>
      <c r="H147">
        <f t="shared" si="26"/>
        <v>8.3324164375900343E-4</v>
      </c>
      <c r="I147">
        <v>0</v>
      </c>
      <c r="J147">
        <f t="shared" si="38"/>
        <v>2.1700758769475996E-3</v>
      </c>
      <c r="K147">
        <f t="shared" si="27"/>
        <v>5.8821935942672467E-2</v>
      </c>
      <c r="L147">
        <f t="shared" si="28"/>
        <v>70.0272759156897</v>
      </c>
      <c r="M147">
        <f t="shared" si="29"/>
        <v>1.5442984859874267</v>
      </c>
      <c r="N147">
        <f t="shared" si="30"/>
        <v>2.2052813932769655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26225.382369779007</v>
      </c>
      <c r="T147">
        <f t="shared" si="34"/>
        <v>799.99886666666703</v>
      </c>
      <c r="U147">
        <f t="shared" si="35"/>
        <v>674.39918523980054</v>
      </c>
      <c r="V147">
        <f t="shared" si="36"/>
        <v>0.84300017579999942</v>
      </c>
      <c r="W147">
        <f t="shared" si="37"/>
        <v>0.15870042650799987</v>
      </c>
      <c r="X147">
        <v>1</v>
      </c>
      <c r="Y147">
        <v>1771087987.03333</v>
      </c>
      <c r="Z147">
        <v>374.51960000000003</v>
      </c>
      <c r="AA147">
        <v>374.98320000000001</v>
      </c>
      <c r="AB147">
        <v>15.4435933333333</v>
      </c>
      <c r="AC147">
        <v>14.418146666666701</v>
      </c>
      <c r="AD147">
        <v>375.39513333333298</v>
      </c>
      <c r="AE147">
        <v>15.343346666666701</v>
      </c>
      <c r="AF147">
        <v>800.01566666666702</v>
      </c>
      <c r="AG147">
        <v>99.931506666666706</v>
      </c>
      <c r="AH147">
        <v>6.4553360000000004E-2</v>
      </c>
      <c r="AI147">
        <v>19.000733333333301</v>
      </c>
      <c r="AJ147">
        <v>999.9</v>
      </c>
      <c r="AK147">
        <v>999.9</v>
      </c>
      <c r="AL147">
        <v>0</v>
      </c>
      <c r="AM147">
        <v>0</v>
      </c>
      <c r="AN147">
        <v>5003.5</v>
      </c>
      <c r="AO147">
        <v>0</v>
      </c>
      <c r="AP147">
        <v>2.1475026666666701</v>
      </c>
      <c r="AQ147">
        <v>-0.4635456</v>
      </c>
      <c r="AR147">
        <v>380.39426666666702</v>
      </c>
      <c r="AS147">
        <v>380.46879999999999</v>
      </c>
      <c r="AT147">
        <v>1.02544533333333</v>
      </c>
      <c r="AU147">
        <v>374.98320000000001</v>
      </c>
      <c r="AV147">
        <v>14.418146666666701</v>
      </c>
      <c r="AW147">
        <v>1.5433013333333301</v>
      </c>
      <c r="AX147">
        <v>1.440828</v>
      </c>
      <c r="AY147">
        <v>13.404033333333301</v>
      </c>
      <c r="AZ147">
        <v>12.3542466666667</v>
      </c>
      <c r="BA147">
        <v>799.99886666666703</v>
      </c>
      <c r="BB147">
        <v>0.89999433333333301</v>
      </c>
      <c r="BC147">
        <v>0</v>
      </c>
      <c r="BD147">
        <v>0.100005673333333</v>
      </c>
      <c r="BE147">
        <v>0</v>
      </c>
      <c r="BF147">
        <v>25</v>
      </c>
      <c r="BG147">
        <v>13190.9866666667</v>
      </c>
      <c r="BH147">
        <v>1771087918.0999999</v>
      </c>
      <c r="BI147" t="s">
        <v>550</v>
      </c>
      <c r="BJ147">
        <v>1771087916.0999999</v>
      </c>
      <c r="BK147">
        <v>1771087918.0999999</v>
      </c>
      <c r="BL147">
        <v>5</v>
      </c>
      <c r="BM147">
        <v>-0.34200000000000003</v>
      </c>
      <c r="BN147">
        <v>0</v>
      </c>
      <c r="BO147">
        <v>-0.875</v>
      </c>
      <c r="BP147">
        <v>0.1</v>
      </c>
      <c r="BQ147">
        <v>375</v>
      </c>
      <c r="BR147">
        <v>14</v>
      </c>
      <c r="BS147">
        <v>0.27</v>
      </c>
      <c r="BT147">
        <v>0.04</v>
      </c>
      <c r="BU147">
        <v>-0.46398914285714299</v>
      </c>
      <c r="BV147">
        <v>8.6882493506493005E-2</v>
      </c>
      <c r="BW147">
        <v>1.8348350062804299E-2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1.0204657142857101</v>
      </c>
      <c r="CD147">
        <v>0.12908727272727499</v>
      </c>
      <c r="CE147">
        <v>1.5985423291959702E-2</v>
      </c>
      <c r="CF147">
        <v>0</v>
      </c>
      <c r="CG147">
        <v>1</v>
      </c>
      <c r="CH147">
        <v>2</v>
      </c>
      <c r="CI147" t="s">
        <v>299</v>
      </c>
      <c r="CJ147">
        <v>3.53247</v>
      </c>
      <c r="CK147">
        <v>2.7023899999999998</v>
      </c>
      <c r="CL147">
        <v>9.1362499999999999E-2</v>
      </c>
      <c r="CM147">
        <v>9.0171100000000004E-2</v>
      </c>
      <c r="CN147">
        <v>8.7209300000000003E-2</v>
      </c>
      <c r="CO147">
        <v>8.20409E-2</v>
      </c>
      <c r="CP147">
        <v>31883.4</v>
      </c>
      <c r="CQ147">
        <v>28025</v>
      </c>
      <c r="CR147">
        <v>32474.400000000001</v>
      </c>
      <c r="CS147">
        <v>30727.3</v>
      </c>
      <c r="CT147">
        <v>40129.800000000003</v>
      </c>
      <c r="CU147">
        <v>39659.599999999999</v>
      </c>
      <c r="CV147">
        <v>47419.199999999997</v>
      </c>
      <c r="CW147">
        <v>46854.400000000001</v>
      </c>
      <c r="CX147">
        <v>2.6307800000000001</v>
      </c>
      <c r="CY147">
        <v>2.1577999999999999</v>
      </c>
      <c r="CZ147">
        <v>0</v>
      </c>
      <c r="DA147">
        <v>0</v>
      </c>
      <c r="DB147">
        <v>999.9</v>
      </c>
      <c r="DC147">
        <v>999.9</v>
      </c>
      <c r="DD147">
        <v>59.326999999999998</v>
      </c>
      <c r="DE147">
        <v>25.417999999999999</v>
      </c>
      <c r="DF147">
        <v>19.3521</v>
      </c>
      <c r="DG147">
        <v>30.251899999999999</v>
      </c>
      <c r="DH147">
        <v>15.304500000000001</v>
      </c>
      <c r="DI147">
        <v>2</v>
      </c>
      <c r="DJ147">
        <v>-0.161352</v>
      </c>
      <c r="DK147">
        <v>2.08006</v>
      </c>
      <c r="DL147">
        <v>20.197299999999998</v>
      </c>
      <c r="DM147">
        <v>5.2527499999999998</v>
      </c>
      <c r="DN147">
        <v>12.033899999999999</v>
      </c>
      <c r="DO147">
        <v>4.9676799999999997</v>
      </c>
      <c r="DP147">
        <v>3.2909999999999999</v>
      </c>
      <c r="DQ147">
        <v>9999</v>
      </c>
      <c r="DR147">
        <v>9999</v>
      </c>
      <c r="DS147">
        <v>9999</v>
      </c>
      <c r="DT147">
        <v>604.6</v>
      </c>
      <c r="DU147">
        <v>1.8711500000000001</v>
      </c>
      <c r="DV147">
        <v>1.87618</v>
      </c>
      <c r="DW147">
        <v>1.8763700000000001</v>
      </c>
      <c r="DX147">
        <v>1.88287</v>
      </c>
      <c r="DY147">
        <v>1.87561</v>
      </c>
      <c r="DZ147">
        <v>1.8746799999999999</v>
      </c>
      <c r="EA147">
        <v>1.87083</v>
      </c>
      <c r="EB147">
        <v>1.8747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-0.876</v>
      </c>
      <c r="EQ147">
        <v>0.1002</v>
      </c>
      <c r="ER147">
        <v>-0.87549999999998795</v>
      </c>
      <c r="ES147">
        <v>0</v>
      </c>
      <c r="ET147">
        <v>0</v>
      </c>
      <c r="EU147">
        <v>0</v>
      </c>
      <c r="EV147">
        <v>0.100239999999996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1.3</v>
      </c>
      <c r="FE147">
        <v>1.3</v>
      </c>
      <c r="FF147">
        <v>1.15601</v>
      </c>
      <c r="FG147">
        <v>2.5781200000000002</v>
      </c>
      <c r="FH147">
        <v>2.19604</v>
      </c>
      <c r="FI147">
        <v>2.5805699999999998</v>
      </c>
      <c r="FJ147">
        <v>2.4462899999999999</v>
      </c>
      <c r="FK147">
        <v>2.2888199999999999</v>
      </c>
      <c r="FL147">
        <v>30.673999999999999</v>
      </c>
      <c r="FM147">
        <v>24.148800000000001</v>
      </c>
      <c r="FN147">
        <v>19</v>
      </c>
      <c r="FO147">
        <v>864.26800000000003</v>
      </c>
      <c r="FP147">
        <v>591.84500000000003</v>
      </c>
      <c r="FQ147">
        <v>18.0792</v>
      </c>
      <c r="FR147">
        <v>24.988800000000001</v>
      </c>
      <c r="FS147">
        <v>30.0002</v>
      </c>
      <c r="FT147">
        <v>24.977900000000002</v>
      </c>
      <c r="FU147">
        <v>24.98</v>
      </c>
      <c r="FV147">
        <v>23.1951</v>
      </c>
      <c r="FW147">
        <v>28.898</v>
      </c>
      <c r="FX147">
        <v>48.306199999999997</v>
      </c>
      <c r="FY147">
        <v>18.078900000000001</v>
      </c>
      <c r="FZ147">
        <v>375</v>
      </c>
      <c r="GA147">
        <v>14.4794</v>
      </c>
      <c r="GB147">
        <v>99.924999999999997</v>
      </c>
      <c r="GC147">
        <v>99.747799999999998</v>
      </c>
    </row>
    <row r="148" spans="1:185" x14ac:dyDescent="0.2">
      <c r="A148">
        <v>133</v>
      </c>
      <c r="B148">
        <v>1771088010.0999999</v>
      </c>
      <c r="C148">
        <v>2690.0999999046298</v>
      </c>
      <c r="D148" t="s">
        <v>563</v>
      </c>
      <c r="E148" t="s">
        <v>564</v>
      </c>
      <c r="F148">
        <v>15</v>
      </c>
      <c r="G148">
        <v>1771088002.03333</v>
      </c>
      <c r="H148">
        <f t="shared" si="26"/>
        <v>8.2016511674732901E-4</v>
      </c>
      <c r="I148">
        <v>0</v>
      </c>
      <c r="J148">
        <f t="shared" si="38"/>
        <v>2.9451797653828205E-3</v>
      </c>
      <c r="K148">
        <f t="shared" si="27"/>
        <v>7.9831851659805622E-2</v>
      </c>
      <c r="L148">
        <f t="shared" si="28"/>
        <v>69.999872293899074</v>
      </c>
      <c r="M148">
        <f t="shared" si="29"/>
        <v>1.5437603070766928</v>
      </c>
      <c r="N148">
        <f t="shared" si="30"/>
        <v>2.205375890680362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26217.587963314571</v>
      </c>
      <c r="T148">
        <f t="shared" si="34"/>
        <v>800.00046666666697</v>
      </c>
      <c r="U148">
        <f t="shared" si="35"/>
        <v>674.4007550002118</v>
      </c>
      <c r="V148">
        <f t="shared" si="36"/>
        <v>0.84300045200000073</v>
      </c>
      <c r="W148">
        <f t="shared" si="37"/>
        <v>0.15870113000000016</v>
      </c>
      <c r="X148">
        <v>1</v>
      </c>
      <c r="Y148">
        <v>1771088002.03333</v>
      </c>
      <c r="Z148">
        <v>374.50933333333302</v>
      </c>
      <c r="AA148">
        <v>374.993066666667</v>
      </c>
      <c r="AB148">
        <v>15.4383866666667</v>
      </c>
      <c r="AC148">
        <v>14.42902</v>
      </c>
      <c r="AD148">
        <v>375.38466666666699</v>
      </c>
      <c r="AE148">
        <v>15.338139999999999</v>
      </c>
      <c r="AF148">
        <v>800.00966666666704</v>
      </c>
      <c r="AG148">
        <v>99.930513333333394</v>
      </c>
      <c r="AH148">
        <v>6.4411033333333298E-2</v>
      </c>
      <c r="AI148">
        <v>19.00142</v>
      </c>
      <c r="AJ148">
        <v>999.9</v>
      </c>
      <c r="AK148">
        <v>999.9</v>
      </c>
      <c r="AL148">
        <v>0</v>
      </c>
      <c r="AM148">
        <v>0</v>
      </c>
      <c r="AN148">
        <v>5002.2666666666701</v>
      </c>
      <c r="AO148">
        <v>0</v>
      </c>
      <c r="AP148">
        <v>2.1678306666666698</v>
      </c>
      <c r="AQ148">
        <v>-0.48394573333333302</v>
      </c>
      <c r="AR148">
        <v>380.38173333333299</v>
      </c>
      <c r="AS148">
        <v>380.483133333333</v>
      </c>
      <c r="AT148">
        <v>1.0093686666666699</v>
      </c>
      <c r="AU148">
        <v>374.993066666667</v>
      </c>
      <c r="AV148">
        <v>14.42902</v>
      </c>
      <c r="AW148">
        <v>1.54276533333333</v>
      </c>
      <c r="AX148">
        <v>1.4418993333333301</v>
      </c>
      <c r="AY148">
        <v>13.398706666666699</v>
      </c>
      <c r="AZ148">
        <v>12.3655666666667</v>
      </c>
      <c r="BA148">
        <v>800.00046666666697</v>
      </c>
      <c r="BB148">
        <v>0.89998493333333396</v>
      </c>
      <c r="BC148">
        <v>0</v>
      </c>
      <c r="BD148">
        <v>0.100015066666667</v>
      </c>
      <c r="BE148">
        <v>0</v>
      </c>
      <c r="BF148">
        <v>25</v>
      </c>
      <c r="BG148">
        <v>13190.98</v>
      </c>
      <c r="BH148">
        <v>1771087918.0999999</v>
      </c>
      <c r="BI148" t="s">
        <v>550</v>
      </c>
      <c r="BJ148">
        <v>1771087916.0999999</v>
      </c>
      <c r="BK148">
        <v>1771087918.0999999</v>
      </c>
      <c r="BL148">
        <v>5</v>
      </c>
      <c r="BM148">
        <v>-0.34200000000000003</v>
      </c>
      <c r="BN148">
        <v>0</v>
      </c>
      <c r="BO148">
        <v>-0.875</v>
      </c>
      <c r="BP148">
        <v>0.1</v>
      </c>
      <c r="BQ148">
        <v>375</v>
      </c>
      <c r="BR148">
        <v>14</v>
      </c>
      <c r="BS148">
        <v>0.27</v>
      </c>
      <c r="BT148">
        <v>0.04</v>
      </c>
      <c r="BU148">
        <v>-0.47282714999999997</v>
      </c>
      <c r="BV148">
        <v>-0.13287415037594</v>
      </c>
      <c r="BW148">
        <v>2.9578379944268401E-2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1.0165679999999999</v>
      </c>
      <c r="CD148">
        <v>-0.12769714285714301</v>
      </c>
      <c r="CE148">
        <v>1.41372541888444E-2</v>
      </c>
      <c r="CF148">
        <v>0</v>
      </c>
      <c r="CG148">
        <v>1</v>
      </c>
      <c r="CH148">
        <v>2</v>
      </c>
      <c r="CI148" t="s">
        <v>299</v>
      </c>
      <c r="CJ148">
        <v>3.5325099999999998</v>
      </c>
      <c r="CK148">
        <v>2.7024599999999999</v>
      </c>
      <c r="CL148">
        <v>9.1356400000000004E-2</v>
      </c>
      <c r="CM148">
        <v>9.0174299999999999E-2</v>
      </c>
      <c r="CN148">
        <v>8.7211499999999997E-2</v>
      </c>
      <c r="CO148">
        <v>8.21273E-2</v>
      </c>
      <c r="CP148">
        <v>31883.3</v>
      </c>
      <c r="CQ148">
        <v>28024.9</v>
      </c>
      <c r="CR148">
        <v>32474.1</v>
      </c>
      <c r="CS148">
        <v>30727.4</v>
      </c>
      <c r="CT148">
        <v>40129.4</v>
      </c>
      <c r="CU148">
        <v>39656.1</v>
      </c>
      <c r="CV148">
        <v>47418.8</v>
      </c>
      <c r="CW148">
        <v>46854.7</v>
      </c>
      <c r="CX148">
        <v>2.6306600000000002</v>
      </c>
      <c r="CY148">
        <v>2.1578400000000002</v>
      </c>
      <c r="CZ148">
        <v>0</v>
      </c>
      <c r="DA148">
        <v>0</v>
      </c>
      <c r="DB148">
        <v>999.9</v>
      </c>
      <c r="DC148">
        <v>999.9</v>
      </c>
      <c r="DD148">
        <v>59.23</v>
      </c>
      <c r="DE148">
        <v>25.417999999999999</v>
      </c>
      <c r="DF148">
        <v>19.319900000000001</v>
      </c>
      <c r="DG148">
        <v>30.131900000000002</v>
      </c>
      <c r="DH148">
        <v>15.176299999999999</v>
      </c>
      <c r="DI148">
        <v>2</v>
      </c>
      <c r="DJ148">
        <v>-0.16112399999999999</v>
      </c>
      <c r="DK148">
        <v>2.0895000000000001</v>
      </c>
      <c r="DL148">
        <v>20.197199999999999</v>
      </c>
      <c r="DM148">
        <v>5.2526299999999999</v>
      </c>
      <c r="DN148">
        <v>12.033899999999999</v>
      </c>
      <c r="DO148">
        <v>4.9676</v>
      </c>
      <c r="DP148">
        <v>3.2909999999999999</v>
      </c>
      <c r="DQ148">
        <v>9999</v>
      </c>
      <c r="DR148">
        <v>9999</v>
      </c>
      <c r="DS148">
        <v>9999</v>
      </c>
      <c r="DT148">
        <v>604.6</v>
      </c>
      <c r="DU148">
        <v>1.87113</v>
      </c>
      <c r="DV148">
        <v>1.8761399999999999</v>
      </c>
      <c r="DW148">
        <v>1.87636</v>
      </c>
      <c r="DX148">
        <v>1.8828499999999999</v>
      </c>
      <c r="DY148">
        <v>1.8756200000000001</v>
      </c>
      <c r="DZ148">
        <v>1.8746799999999999</v>
      </c>
      <c r="EA148">
        <v>1.8708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-0.876</v>
      </c>
      <c r="EQ148">
        <v>0.1002</v>
      </c>
      <c r="ER148">
        <v>-0.87549999999998795</v>
      </c>
      <c r="ES148">
        <v>0</v>
      </c>
      <c r="ET148">
        <v>0</v>
      </c>
      <c r="EU148">
        <v>0</v>
      </c>
      <c r="EV148">
        <v>0.100239999999996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1.6</v>
      </c>
      <c r="FE148">
        <v>1.5</v>
      </c>
      <c r="FF148">
        <v>1.15601</v>
      </c>
      <c r="FG148">
        <v>2.5878899999999998</v>
      </c>
      <c r="FH148">
        <v>2.19604</v>
      </c>
      <c r="FI148">
        <v>2.5805699999999998</v>
      </c>
      <c r="FJ148">
        <v>2.4462899999999999</v>
      </c>
      <c r="FK148">
        <v>2.32422</v>
      </c>
      <c r="FL148">
        <v>30.673999999999999</v>
      </c>
      <c r="FM148">
        <v>24.148800000000001</v>
      </c>
      <c r="FN148">
        <v>19</v>
      </c>
      <c r="FO148">
        <v>864.22500000000002</v>
      </c>
      <c r="FP148">
        <v>591.92600000000004</v>
      </c>
      <c r="FQ148">
        <v>18.076799999999999</v>
      </c>
      <c r="FR148">
        <v>24.993400000000001</v>
      </c>
      <c r="FS148">
        <v>30.000299999999999</v>
      </c>
      <c r="FT148">
        <v>24.982099999999999</v>
      </c>
      <c r="FU148">
        <v>24.984200000000001</v>
      </c>
      <c r="FV148">
        <v>23.196100000000001</v>
      </c>
      <c r="FW148">
        <v>28.898</v>
      </c>
      <c r="FX148">
        <v>48.306199999999997</v>
      </c>
      <c r="FY148">
        <v>18.075800000000001</v>
      </c>
      <c r="FZ148">
        <v>375</v>
      </c>
      <c r="GA148">
        <v>14.4794</v>
      </c>
      <c r="GB148">
        <v>99.924099999999996</v>
      </c>
      <c r="GC148">
        <v>99.748400000000004</v>
      </c>
    </row>
    <row r="149" spans="1:185" x14ac:dyDescent="0.2">
      <c r="A149">
        <v>134</v>
      </c>
      <c r="B149">
        <v>1771088025.0999999</v>
      </c>
      <c r="C149">
        <v>2705.0999999046298</v>
      </c>
      <c r="D149" t="s">
        <v>565</v>
      </c>
      <c r="E149" t="s">
        <v>566</v>
      </c>
      <c r="F149">
        <v>15</v>
      </c>
      <c r="G149">
        <v>1771088017.03333</v>
      </c>
      <c r="H149">
        <f t="shared" si="26"/>
        <v>8.2285160907223664E-4</v>
      </c>
      <c r="I149">
        <v>0</v>
      </c>
      <c r="J149">
        <f t="shared" si="38"/>
        <v>2.9398160073234349E-3</v>
      </c>
      <c r="K149">
        <f t="shared" si="27"/>
        <v>7.9686461981807385E-2</v>
      </c>
      <c r="L149">
        <f t="shared" si="28"/>
        <v>69.960025436321757</v>
      </c>
      <c r="M149">
        <f t="shared" si="29"/>
        <v>1.5430760286169201</v>
      </c>
      <c r="N149">
        <f t="shared" si="30"/>
        <v>2.2056538987702936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26201.42996961495</v>
      </c>
      <c r="T149">
        <f t="shared" si="34"/>
        <v>800.00059999999996</v>
      </c>
      <c r="U149">
        <f t="shared" si="35"/>
        <v>674.40066900012232</v>
      </c>
      <c r="V149">
        <f t="shared" si="36"/>
        <v>0.84300020399999998</v>
      </c>
      <c r="W149">
        <f t="shared" si="37"/>
        <v>0.15870051000000002</v>
      </c>
      <c r="X149">
        <v>1</v>
      </c>
      <c r="Y149">
        <v>1771088017.03333</v>
      </c>
      <c r="Z149">
        <v>374.50040000000001</v>
      </c>
      <c r="AA149">
        <v>374.98520000000002</v>
      </c>
      <c r="AB149">
        <v>15.4314</v>
      </c>
      <c r="AC149">
        <v>14.41872</v>
      </c>
      <c r="AD149">
        <v>375.37613333333297</v>
      </c>
      <c r="AE149">
        <v>15.331160000000001</v>
      </c>
      <c r="AF149">
        <v>800.00973333333297</v>
      </c>
      <c r="AG149">
        <v>99.931200000000004</v>
      </c>
      <c r="AH149">
        <v>6.4654466666666702E-2</v>
      </c>
      <c r="AI149">
        <v>19.003440000000001</v>
      </c>
      <c r="AJ149">
        <v>999.9</v>
      </c>
      <c r="AK149">
        <v>999.9</v>
      </c>
      <c r="AL149">
        <v>0</v>
      </c>
      <c r="AM149">
        <v>0</v>
      </c>
      <c r="AN149">
        <v>4999.6000000000004</v>
      </c>
      <c r="AO149">
        <v>0</v>
      </c>
      <c r="AP149">
        <v>2.1688826666666698</v>
      </c>
      <c r="AQ149">
        <v>-0.484588666666667</v>
      </c>
      <c r="AR149">
        <v>380.37020000000001</v>
      </c>
      <c r="AS149">
        <v>380.47120000000001</v>
      </c>
      <c r="AT149">
        <v>1.0126722666666701</v>
      </c>
      <c r="AU149">
        <v>374.98520000000002</v>
      </c>
      <c r="AV149">
        <v>14.41872</v>
      </c>
      <c r="AW149">
        <v>1.54207933333333</v>
      </c>
      <c r="AX149">
        <v>1.44088066666667</v>
      </c>
      <c r="AY149">
        <v>13.39188</v>
      </c>
      <c r="AZ149">
        <v>12.354813333333301</v>
      </c>
      <c r="BA149">
        <v>800.00059999999996</v>
      </c>
      <c r="BB149">
        <v>0.89999320000000005</v>
      </c>
      <c r="BC149">
        <v>0</v>
      </c>
      <c r="BD149">
        <v>0.10000680000000001</v>
      </c>
      <c r="BE149">
        <v>0</v>
      </c>
      <c r="BF149">
        <v>25</v>
      </c>
      <c r="BG149">
        <v>13191</v>
      </c>
      <c r="BH149">
        <v>1771087918.0999999</v>
      </c>
      <c r="BI149" t="s">
        <v>550</v>
      </c>
      <c r="BJ149">
        <v>1771087916.0999999</v>
      </c>
      <c r="BK149">
        <v>1771087918.0999999</v>
      </c>
      <c r="BL149">
        <v>5</v>
      </c>
      <c r="BM149">
        <v>-0.34200000000000003</v>
      </c>
      <c r="BN149">
        <v>0</v>
      </c>
      <c r="BO149">
        <v>-0.875</v>
      </c>
      <c r="BP149">
        <v>0.1</v>
      </c>
      <c r="BQ149">
        <v>375</v>
      </c>
      <c r="BR149">
        <v>14</v>
      </c>
      <c r="BS149">
        <v>0.27</v>
      </c>
      <c r="BT149">
        <v>0.04</v>
      </c>
      <c r="BU149">
        <v>-0.48152814285714302</v>
      </c>
      <c r="BV149">
        <v>-4.3335038961039303E-2</v>
      </c>
      <c r="BW149">
        <v>9.5670495142527196E-3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1.01069542857143</v>
      </c>
      <c r="CD149">
        <v>1.19721038961032E-2</v>
      </c>
      <c r="CE149">
        <v>1.58160190059724E-2</v>
      </c>
      <c r="CF149">
        <v>1</v>
      </c>
      <c r="CG149">
        <v>2</v>
      </c>
      <c r="CH149">
        <v>2</v>
      </c>
      <c r="CI149" t="s">
        <v>310</v>
      </c>
      <c r="CJ149">
        <v>3.5324900000000001</v>
      </c>
      <c r="CK149">
        <v>2.7025899999999998</v>
      </c>
      <c r="CL149">
        <v>9.13553E-2</v>
      </c>
      <c r="CM149">
        <v>9.0176599999999996E-2</v>
      </c>
      <c r="CN149">
        <v>8.7172799999999995E-2</v>
      </c>
      <c r="CO149">
        <v>8.2232200000000005E-2</v>
      </c>
      <c r="CP149">
        <v>31883.599999999999</v>
      </c>
      <c r="CQ149">
        <v>28025.3</v>
      </c>
      <c r="CR149">
        <v>32474.400000000001</v>
      </c>
      <c r="CS149">
        <v>30727.9</v>
      </c>
      <c r="CT149">
        <v>40131.4</v>
      </c>
      <c r="CU149">
        <v>39651.9</v>
      </c>
      <c r="CV149">
        <v>47419</v>
      </c>
      <c r="CW149">
        <v>46855.3</v>
      </c>
      <c r="CX149">
        <v>2.6307200000000002</v>
      </c>
      <c r="CY149">
        <v>2.1577000000000002</v>
      </c>
      <c r="CZ149">
        <v>0</v>
      </c>
      <c r="DA149">
        <v>0</v>
      </c>
      <c r="DB149">
        <v>999.9</v>
      </c>
      <c r="DC149">
        <v>999.9</v>
      </c>
      <c r="DD149">
        <v>59.082999999999998</v>
      </c>
      <c r="DE149">
        <v>25.437999999999999</v>
      </c>
      <c r="DF149">
        <v>19.2958</v>
      </c>
      <c r="DG149">
        <v>29.921900000000001</v>
      </c>
      <c r="DH149">
        <v>15.2204</v>
      </c>
      <c r="DI149">
        <v>2</v>
      </c>
      <c r="DJ149">
        <v>-0.16084999999999999</v>
      </c>
      <c r="DK149">
        <v>2.1130499999999999</v>
      </c>
      <c r="DL149">
        <v>20.1968</v>
      </c>
      <c r="DM149">
        <v>5.25251</v>
      </c>
      <c r="DN149">
        <v>12.033899999999999</v>
      </c>
      <c r="DO149">
        <v>4.9677199999999999</v>
      </c>
      <c r="DP149">
        <v>3.2909999999999999</v>
      </c>
      <c r="DQ149">
        <v>9999</v>
      </c>
      <c r="DR149">
        <v>9999</v>
      </c>
      <c r="DS149">
        <v>9999</v>
      </c>
      <c r="DT149">
        <v>604.6</v>
      </c>
      <c r="DU149">
        <v>1.87113</v>
      </c>
      <c r="DV149">
        <v>1.87616</v>
      </c>
      <c r="DW149">
        <v>1.87636</v>
      </c>
      <c r="DX149">
        <v>1.88283</v>
      </c>
      <c r="DY149">
        <v>1.87561</v>
      </c>
      <c r="DZ149">
        <v>1.8746799999999999</v>
      </c>
      <c r="EA149">
        <v>1.8708199999999999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-0.876</v>
      </c>
      <c r="EQ149">
        <v>0.1003</v>
      </c>
      <c r="ER149">
        <v>-0.87549999999998795</v>
      </c>
      <c r="ES149">
        <v>0</v>
      </c>
      <c r="ET149">
        <v>0</v>
      </c>
      <c r="EU149">
        <v>0</v>
      </c>
      <c r="EV149">
        <v>0.100239999999996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1.8</v>
      </c>
      <c r="FE149">
        <v>1.8</v>
      </c>
      <c r="FF149">
        <v>1.15601</v>
      </c>
      <c r="FG149">
        <v>2.5854499999999998</v>
      </c>
      <c r="FH149">
        <v>2.19604</v>
      </c>
      <c r="FI149">
        <v>2.5805699999999998</v>
      </c>
      <c r="FJ149">
        <v>2.4462899999999999</v>
      </c>
      <c r="FK149">
        <v>2.2961399999999998</v>
      </c>
      <c r="FL149">
        <v>30.695599999999999</v>
      </c>
      <c r="FM149">
        <v>24.148800000000001</v>
      </c>
      <c r="FN149">
        <v>19</v>
      </c>
      <c r="FO149">
        <v>864.35400000000004</v>
      </c>
      <c r="FP149">
        <v>591.87199999999996</v>
      </c>
      <c r="FQ149">
        <v>18.069900000000001</v>
      </c>
      <c r="FR149">
        <v>24.997699999999998</v>
      </c>
      <c r="FS149">
        <v>30.0002</v>
      </c>
      <c r="FT149">
        <v>24.986699999999999</v>
      </c>
      <c r="FU149">
        <v>24.989100000000001</v>
      </c>
      <c r="FV149">
        <v>23.197500000000002</v>
      </c>
      <c r="FW149">
        <v>28.626200000000001</v>
      </c>
      <c r="FX149">
        <v>47.933300000000003</v>
      </c>
      <c r="FY149">
        <v>18.067399999999999</v>
      </c>
      <c r="FZ149">
        <v>375</v>
      </c>
      <c r="GA149">
        <v>14.4794</v>
      </c>
      <c r="GB149">
        <v>99.924599999999998</v>
      </c>
      <c r="GC149">
        <v>99.749799999999993</v>
      </c>
    </row>
    <row r="150" spans="1:185" x14ac:dyDescent="0.2">
      <c r="A150">
        <v>135</v>
      </c>
      <c r="B150">
        <v>1771088040.0999999</v>
      </c>
      <c r="C150">
        <v>2720.0999999046298</v>
      </c>
      <c r="D150" t="s">
        <v>567</v>
      </c>
      <c r="E150" t="s">
        <v>568</v>
      </c>
      <c r="F150">
        <v>15</v>
      </c>
      <c r="G150">
        <v>1771088032.03333</v>
      </c>
      <c r="H150">
        <f t="shared" si="26"/>
        <v>7.9390057443341549E-4</v>
      </c>
      <c r="I150">
        <v>0</v>
      </c>
      <c r="J150">
        <f t="shared" si="38"/>
        <v>3.6194782327477605E-3</v>
      </c>
      <c r="K150">
        <f t="shared" si="27"/>
        <v>9.8109342172889871E-2</v>
      </c>
      <c r="L150">
        <f t="shared" si="28"/>
        <v>70.006521963223264</v>
      </c>
      <c r="M150">
        <f t="shared" si="29"/>
        <v>1.5441214942935402</v>
      </c>
      <c r="N150">
        <f t="shared" si="30"/>
        <v>2.2056823435746717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26190.880842800929</v>
      </c>
      <c r="T150">
        <f t="shared" si="34"/>
        <v>799.999866666667</v>
      </c>
      <c r="U150">
        <f t="shared" si="35"/>
        <v>674.40028599993389</v>
      </c>
      <c r="V150">
        <f t="shared" si="36"/>
        <v>0.84300049799999999</v>
      </c>
      <c r="W150">
        <f t="shared" si="37"/>
        <v>0.15870124499999999</v>
      </c>
      <c r="X150">
        <v>1</v>
      </c>
      <c r="Y150">
        <v>1771088032.03333</v>
      </c>
      <c r="Z150">
        <v>374.49446666666699</v>
      </c>
      <c r="AA150">
        <v>374.98873333333302</v>
      </c>
      <c r="AB150">
        <v>15.441879999999999</v>
      </c>
      <c r="AC150">
        <v>14.4648466666667</v>
      </c>
      <c r="AD150">
        <v>375.36993333333299</v>
      </c>
      <c r="AE150">
        <v>15.3416466666667</v>
      </c>
      <c r="AF150">
        <v>800.01493333333303</v>
      </c>
      <c r="AG150">
        <v>99.931093333333294</v>
      </c>
      <c r="AH150">
        <v>6.4599826666666693E-2</v>
      </c>
      <c r="AI150">
        <v>19.0036466666667</v>
      </c>
      <c r="AJ150">
        <v>999.9</v>
      </c>
      <c r="AK150">
        <v>999.9</v>
      </c>
      <c r="AL150">
        <v>0</v>
      </c>
      <c r="AM150">
        <v>0</v>
      </c>
      <c r="AN150">
        <v>4997.8666666666704</v>
      </c>
      <c r="AO150">
        <v>0</v>
      </c>
      <c r="AP150">
        <v>2.1981666666666699</v>
      </c>
      <c r="AQ150">
        <v>-0.494250666666667</v>
      </c>
      <c r="AR150">
        <v>380.368066666667</v>
      </c>
      <c r="AS150">
        <v>380.49253333333297</v>
      </c>
      <c r="AT150">
        <v>0.97703846666666605</v>
      </c>
      <c r="AU150">
        <v>374.98873333333302</v>
      </c>
      <c r="AV150">
        <v>14.4648466666667</v>
      </c>
      <c r="AW150">
        <v>1.5431220000000001</v>
      </c>
      <c r="AX150">
        <v>1.44548866666667</v>
      </c>
      <c r="AY150">
        <v>13.402279999999999</v>
      </c>
      <c r="AZ150">
        <v>12.403406666666701</v>
      </c>
      <c r="BA150">
        <v>799.999866666667</v>
      </c>
      <c r="BB150">
        <v>0.89998339999999999</v>
      </c>
      <c r="BC150">
        <v>0</v>
      </c>
      <c r="BD150">
        <v>0.1000166</v>
      </c>
      <c r="BE150">
        <v>0</v>
      </c>
      <c r="BF150">
        <v>25</v>
      </c>
      <c r="BG150">
        <v>13190.9666666667</v>
      </c>
      <c r="BH150">
        <v>1771087918.0999999</v>
      </c>
      <c r="BI150" t="s">
        <v>550</v>
      </c>
      <c r="BJ150">
        <v>1771087916.0999999</v>
      </c>
      <c r="BK150">
        <v>1771087918.0999999</v>
      </c>
      <c r="BL150">
        <v>5</v>
      </c>
      <c r="BM150">
        <v>-0.34200000000000003</v>
      </c>
      <c r="BN150">
        <v>0</v>
      </c>
      <c r="BO150">
        <v>-0.875</v>
      </c>
      <c r="BP150">
        <v>0.1</v>
      </c>
      <c r="BQ150">
        <v>375</v>
      </c>
      <c r="BR150">
        <v>14</v>
      </c>
      <c r="BS150">
        <v>0.27</v>
      </c>
      <c r="BT150">
        <v>0.04</v>
      </c>
      <c r="BU150">
        <v>-0.49190994999999998</v>
      </c>
      <c r="BV150">
        <v>2.1856736842105099E-2</v>
      </c>
      <c r="BW150">
        <v>1.47985601038581E-2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0.98285599999999995</v>
      </c>
      <c r="CD150">
        <v>-6.7347969924811901E-2</v>
      </c>
      <c r="CE150">
        <v>1.52142030123171E-2</v>
      </c>
      <c r="CF150">
        <v>1</v>
      </c>
      <c r="CG150">
        <v>2</v>
      </c>
      <c r="CH150">
        <v>2</v>
      </c>
      <c r="CI150" t="s">
        <v>310</v>
      </c>
      <c r="CJ150">
        <v>3.5324800000000001</v>
      </c>
      <c r="CK150">
        <v>2.7021700000000002</v>
      </c>
      <c r="CL150">
        <v>9.1351600000000005E-2</v>
      </c>
      <c r="CM150">
        <v>9.0170600000000004E-2</v>
      </c>
      <c r="CN150">
        <v>8.7277400000000005E-2</v>
      </c>
      <c r="CO150">
        <v>8.2274799999999995E-2</v>
      </c>
      <c r="CP150">
        <v>31883.599999999999</v>
      </c>
      <c r="CQ150">
        <v>28025.1</v>
      </c>
      <c r="CR150">
        <v>32474.2</v>
      </c>
      <c r="CS150">
        <v>30727.5</v>
      </c>
      <c r="CT150">
        <v>40126.5</v>
      </c>
      <c r="CU150">
        <v>39649.800000000003</v>
      </c>
      <c r="CV150">
        <v>47418.9</v>
      </c>
      <c r="CW150">
        <v>46855.1</v>
      </c>
      <c r="CX150">
        <v>2.63062</v>
      </c>
      <c r="CY150">
        <v>2.1576599999999999</v>
      </c>
      <c r="CZ150">
        <v>0</v>
      </c>
      <c r="DA150">
        <v>0</v>
      </c>
      <c r="DB150">
        <v>999.9</v>
      </c>
      <c r="DC150">
        <v>999.9</v>
      </c>
      <c r="DD150">
        <v>58.991999999999997</v>
      </c>
      <c r="DE150">
        <v>25.468</v>
      </c>
      <c r="DF150">
        <v>19.301100000000002</v>
      </c>
      <c r="DG150">
        <v>30.251899999999999</v>
      </c>
      <c r="DH150">
        <v>15.224399999999999</v>
      </c>
      <c r="DI150">
        <v>2</v>
      </c>
      <c r="DJ150">
        <v>-0.16054499999999999</v>
      </c>
      <c r="DK150">
        <v>2.13164</v>
      </c>
      <c r="DL150">
        <v>20.1968</v>
      </c>
      <c r="DM150">
        <v>5.25251</v>
      </c>
      <c r="DN150">
        <v>12.033899999999999</v>
      </c>
      <c r="DO150">
        <v>4.9676</v>
      </c>
      <c r="DP150">
        <v>3.2909999999999999</v>
      </c>
      <c r="DQ150">
        <v>9999</v>
      </c>
      <c r="DR150">
        <v>9999</v>
      </c>
      <c r="DS150">
        <v>9999</v>
      </c>
      <c r="DT150">
        <v>604.6</v>
      </c>
      <c r="DU150">
        <v>1.87104</v>
      </c>
      <c r="DV150">
        <v>1.87609</v>
      </c>
      <c r="DW150">
        <v>1.87629</v>
      </c>
      <c r="DX150">
        <v>1.8828100000000001</v>
      </c>
      <c r="DY150">
        <v>1.87561</v>
      </c>
      <c r="DZ150">
        <v>1.8746100000000001</v>
      </c>
      <c r="EA150">
        <v>1.8707400000000001</v>
      </c>
      <c r="EB150">
        <v>1.87466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-0.876</v>
      </c>
      <c r="EQ150">
        <v>0.1003</v>
      </c>
      <c r="ER150">
        <v>-0.87549999999998795</v>
      </c>
      <c r="ES150">
        <v>0</v>
      </c>
      <c r="ET150">
        <v>0</v>
      </c>
      <c r="EU150">
        <v>0</v>
      </c>
      <c r="EV150">
        <v>0.100239999999996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2.1</v>
      </c>
      <c r="FE150">
        <v>2</v>
      </c>
      <c r="FF150">
        <v>1.15601</v>
      </c>
      <c r="FG150">
        <v>2.5878899999999998</v>
      </c>
      <c r="FH150">
        <v>2.19604</v>
      </c>
      <c r="FI150">
        <v>2.5805699999999998</v>
      </c>
      <c r="FJ150">
        <v>2.4462899999999999</v>
      </c>
      <c r="FK150">
        <v>2.2668499999999998</v>
      </c>
      <c r="FL150">
        <v>30.695599999999999</v>
      </c>
      <c r="FM150">
        <v>24.122499999999999</v>
      </c>
      <c r="FN150">
        <v>19</v>
      </c>
      <c r="FO150">
        <v>864.32899999999995</v>
      </c>
      <c r="FP150">
        <v>591.88499999999999</v>
      </c>
      <c r="FQ150">
        <v>18.0562</v>
      </c>
      <c r="FR150">
        <v>25.001799999999999</v>
      </c>
      <c r="FS150">
        <v>30.0002</v>
      </c>
      <c r="FT150">
        <v>24.9909</v>
      </c>
      <c r="FU150">
        <v>24.992899999999999</v>
      </c>
      <c r="FV150">
        <v>23.198899999999998</v>
      </c>
      <c r="FW150">
        <v>28.626200000000001</v>
      </c>
      <c r="FX150">
        <v>47.559699999999999</v>
      </c>
      <c r="FY150">
        <v>18.0548</v>
      </c>
      <c r="FZ150">
        <v>375</v>
      </c>
      <c r="GA150">
        <v>14.4794</v>
      </c>
      <c r="GB150">
        <v>99.924300000000002</v>
      </c>
      <c r="GC150">
        <v>99.748999999999995</v>
      </c>
    </row>
    <row r="151" spans="1:185" x14ac:dyDescent="0.2">
      <c r="A151">
        <v>136</v>
      </c>
      <c r="B151">
        <v>1771088055.0999999</v>
      </c>
      <c r="C151">
        <v>2735.0999999046298</v>
      </c>
      <c r="D151" t="s">
        <v>569</v>
      </c>
      <c r="E151" t="s">
        <v>570</v>
      </c>
      <c r="F151">
        <v>15</v>
      </c>
      <c r="G151">
        <v>1771088047.03333</v>
      </c>
      <c r="H151">
        <f t="shared" si="26"/>
        <v>8.1273178523204738E-4</v>
      </c>
      <c r="I151">
        <v>0</v>
      </c>
      <c r="J151">
        <f t="shared" si="38"/>
        <v>3.5381546954100806E-3</v>
      </c>
      <c r="K151">
        <f t="shared" si="27"/>
        <v>9.5904991645461721E-2</v>
      </c>
      <c r="L151">
        <f t="shared" si="28"/>
        <v>70.057916482739245</v>
      </c>
      <c r="M151">
        <f t="shared" si="29"/>
        <v>1.5450275444943848</v>
      </c>
      <c r="N151">
        <f t="shared" si="30"/>
        <v>2.2053575413922655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26185.505764851248</v>
      </c>
      <c r="T151">
        <f t="shared" si="34"/>
        <v>799.99966666666705</v>
      </c>
      <c r="U151">
        <f t="shared" si="35"/>
        <v>674.40006459985636</v>
      </c>
      <c r="V151">
        <f t="shared" si="36"/>
        <v>0.84300043200000008</v>
      </c>
      <c r="W151">
        <f t="shared" si="37"/>
        <v>0.15870108000000002</v>
      </c>
      <c r="X151">
        <v>1</v>
      </c>
      <c r="Y151">
        <v>1771088047.03333</v>
      </c>
      <c r="Z151">
        <v>374.49773333333297</v>
      </c>
      <c r="AA151">
        <v>374.998066666667</v>
      </c>
      <c r="AB151">
        <v>15.4508333333333</v>
      </c>
      <c r="AC151">
        <v>14.4506266666667</v>
      </c>
      <c r="AD151">
        <v>375.37333333333299</v>
      </c>
      <c r="AE151">
        <v>15.3505933333333</v>
      </c>
      <c r="AF151">
        <v>800.00906666666697</v>
      </c>
      <c r="AG151">
        <v>99.932126666666605</v>
      </c>
      <c r="AH151">
        <v>6.4262600000000003E-2</v>
      </c>
      <c r="AI151">
        <v>19.001286666666701</v>
      </c>
      <c r="AJ151">
        <v>999.9</v>
      </c>
      <c r="AK151">
        <v>999.9</v>
      </c>
      <c r="AL151">
        <v>0</v>
      </c>
      <c r="AM151">
        <v>0</v>
      </c>
      <c r="AN151">
        <v>4996.8999999999996</v>
      </c>
      <c r="AO151">
        <v>0</v>
      </c>
      <c r="AP151">
        <v>2.2019299999999999</v>
      </c>
      <c r="AQ151">
        <v>-0.50023200000000001</v>
      </c>
      <c r="AR151">
        <v>380.37479999999999</v>
      </c>
      <c r="AS151">
        <v>380.496466666667</v>
      </c>
      <c r="AT151">
        <v>1.0002116666666701</v>
      </c>
      <c r="AU151">
        <v>374.998066666667</v>
      </c>
      <c r="AV151">
        <v>14.4506266666667</v>
      </c>
      <c r="AW151">
        <v>1.5440353333333301</v>
      </c>
      <c r="AX151">
        <v>1.44408133333333</v>
      </c>
      <c r="AY151">
        <v>13.411339999999999</v>
      </c>
      <c r="AZ151">
        <v>12.3886</v>
      </c>
      <c r="BA151">
        <v>799.99966666666705</v>
      </c>
      <c r="BB151">
        <v>0.89998560000000005</v>
      </c>
      <c r="BC151">
        <v>0</v>
      </c>
      <c r="BD151">
        <v>0.1000144</v>
      </c>
      <c r="BE151">
        <v>0</v>
      </c>
      <c r="BF151">
        <v>25</v>
      </c>
      <c r="BG151">
        <v>13190.9533333333</v>
      </c>
      <c r="BH151">
        <v>1771087918.0999999</v>
      </c>
      <c r="BI151" t="s">
        <v>550</v>
      </c>
      <c r="BJ151">
        <v>1771087916.0999999</v>
      </c>
      <c r="BK151">
        <v>1771087918.0999999</v>
      </c>
      <c r="BL151">
        <v>5</v>
      </c>
      <c r="BM151">
        <v>-0.34200000000000003</v>
      </c>
      <c r="BN151">
        <v>0</v>
      </c>
      <c r="BO151">
        <v>-0.875</v>
      </c>
      <c r="BP151">
        <v>0.1</v>
      </c>
      <c r="BQ151">
        <v>375</v>
      </c>
      <c r="BR151">
        <v>14</v>
      </c>
      <c r="BS151">
        <v>0.27</v>
      </c>
      <c r="BT151">
        <v>0.04</v>
      </c>
      <c r="BU151">
        <v>-0.49581480952381002</v>
      </c>
      <c r="BV151">
        <v>-3.8698675324675198E-2</v>
      </c>
      <c r="BW151">
        <v>1.6996012878708999E-2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0.99488490476190505</v>
      </c>
      <c r="CD151">
        <v>0.108779376623375</v>
      </c>
      <c r="CE151">
        <v>1.17989166891943E-2</v>
      </c>
      <c r="CF151">
        <v>0</v>
      </c>
      <c r="CG151">
        <v>1</v>
      </c>
      <c r="CH151">
        <v>2</v>
      </c>
      <c r="CI151" t="s">
        <v>299</v>
      </c>
      <c r="CJ151">
        <v>3.5325199999999999</v>
      </c>
      <c r="CK151">
        <v>2.7020499999999998</v>
      </c>
      <c r="CL151">
        <v>9.1352699999999995E-2</v>
      </c>
      <c r="CM151">
        <v>9.0170799999999995E-2</v>
      </c>
      <c r="CN151">
        <v>8.72666E-2</v>
      </c>
      <c r="CO151">
        <v>8.2155599999999995E-2</v>
      </c>
      <c r="CP151">
        <v>31882.5</v>
      </c>
      <c r="CQ151">
        <v>28025.4</v>
      </c>
      <c r="CR151">
        <v>32473.200000000001</v>
      </c>
      <c r="CS151">
        <v>30727.8</v>
      </c>
      <c r="CT151">
        <v>40126</v>
      </c>
      <c r="CU151">
        <v>39655.4</v>
      </c>
      <c r="CV151">
        <v>47417.599999999999</v>
      </c>
      <c r="CW151">
        <v>46855.4</v>
      </c>
      <c r="CX151">
        <v>2.6305800000000001</v>
      </c>
      <c r="CY151">
        <v>2.1575799999999998</v>
      </c>
      <c r="CZ151">
        <v>0</v>
      </c>
      <c r="DA151">
        <v>0</v>
      </c>
      <c r="DB151">
        <v>999.9</v>
      </c>
      <c r="DC151">
        <v>999.9</v>
      </c>
      <c r="DD151">
        <v>58.875999999999998</v>
      </c>
      <c r="DE151">
        <v>25.478000000000002</v>
      </c>
      <c r="DF151">
        <v>19.273299999999999</v>
      </c>
      <c r="DG151">
        <v>30.161899999999999</v>
      </c>
      <c r="DH151">
        <v>15.276400000000001</v>
      </c>
      <c r="DI151">
        <v>2</v>
      </c>
      <c r="DJ151">
        <v>-0.16017500000000001</v>
      </c>
      <c r="DK151">
        <v>2.1267100000000001</v>
      </c>
      <c r="DL151">
        <v>20.1968</v>
      </c>
      <c r="DM151">
        <v>5.2528699999999997</v>
      </c>
      <c r="DN151">
        <v>12.033899999999999</v>
      </c>
      <c r="DO151">
        <v>4.9676799999999997</v>
      </c>
      <c r="DP151">
        <v>3.2909999999999999</v>
      </c>
      <c r="DQ151">
        <v>9999</v>
      </c>
      <c r="DR151">
        <v>9999</v>
      </c>
      <c r="DS151">
        <v>9999</v>
      </c>
      <c r="DT151">
        <v>604.6</v>
      </c>
      <c r="DU151">
        <v>1.87104</v>
      </c>
      <c r="DV151">
        <v>1.87609</v>
      </c>
      <c r="DW151">
        <v>1.87629</v>
      </c>
      <c r="DX151">
        <v>1.88279</v>
      </c>
      <c r="DY151">
        <v>1.8755900000000001</v>
      </c>
      <c r="DZ151">
        <v>1.87462</v>
      </c>
      <c r="EA151">
        <v>1.8707400000000001</v>
      </c>
      <c r="EB151">
        <v>1.8746499999999999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-0.875</v>
      </c>
      <c r="EQ151">
        <v>0.1003</v>
      </c>
      <c r="ER151">
        <v>-0.87549999999998795</v>
      </c>
      <c r="ES151">
        <v>0</v>
      </c>
      <c r="ET151">
        <v>0</v>
      </c>
      <c r="EU151">
        <v>0</v>
      </c>
      <c r="EV151">
        <v>0.100239999999996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2.2999999999999998</v>
      </c>
      <c r="FE151">
        <v>2.2999999999999998</v>
      </c>
      <c r="FF151">
        <v>1.15601</v>
      </c>
      <c r="FG151">
        <v>2.5854499999999998</v>
      </c>
      <c r="FH151">
        <v>2.19604</v>
      </c>
      <c r="FI151">
        <v>2.5805699999999998</v>
      </c>
      <c r="FJ151">
        <v>2.4462899999999999</v>
      </c>
      <c r="FK151">
        <v>2.2570800000000002</v>
      </c>
      <c r="FL151">
        <v>30.738800000000001</v>
      </c>
      <c r="FM151">
        <v>24.14</v>
      </c>
      <c r="FN151">
        <v>19</v>
      </c>
      <c r="FO151">
        <v>864.35500000000002</v>
      </c>
      <c r="FP151">
        <v>591.86800000000005</v>
      </c>
      <c r="FQ151">
        <v>18.049499999999998</v>
      </c>
      <c r="FR151">
        <v>25.006</v>
      </c>
      <c r="FS151">
        <v>30.0002</v>
      </c>
      <c r="FT151">
        <v>24.994700000000002</v>
      </c>
      <c r="FU151">
        <v>24.9968</v>
      </c>
      <c r="FV151">
        <v>23.198799999999999</v>
      </c>
      <c r="FW151">
        <v>28.626200000000001</v>
      </c>
      <c r="FX151">
        <v>47.559699999999999</v>
      </c>
      <c r="FY151">
        <v>18.049600000000002</v>
      </c>
      <c r="FZ151">
        <v>375</v>
      </c>
      <c r="GA151">
        <v>14.4794</v>
      </c>
      <c r="GB151">
        <v>99.921499999999995</v>
      </c>
      <c r="GC151">
        <v>99.749799999999993</v>
      </c>
    </row>
    <row r="152" spans="1:185" x14ac:dyDescent="0.2">
      <c r="A152">
        <v>137</v>
      </c>
      <c r="B152">
        <v>1771088070.0999999</v>
      </c>
      <c r="C152">
        <v>2750.0999999046298</v>
      </c>
      <c r="D152" t="s">
        <v>571</v>
      </c>
      <c r="E152" t="s">
        <v>572</v>
      </c>
      <c r="F152">
        <v>15</v>
      </c>
      <c r="G152">
        <v>1771088062.03333</v>
      </c>
      <c r="H152">
        <f t="shared" si="26"/>
        <v>8.1618000674200919E-4</v>
      </c>
      <c r="I152">
        <v>0</v>
      </c>
      <c r="J152">
        <f t="shared" si="38"/>
        <v>2.9848039847861466E-3</v>
      </c>
      <c r="K152">
        <f t="shared" si="27"/>
        <v>8.0905903180436917E-2</v>
      </c>
      <c r="L152">
        <f t="shared" si="28"/>
        <v>70.04653196839844</v>
      </c>
      <c r="M152">
        <f t="shared" si="29"/>
        <v>1.5447263492888268</v>
      </c>
      <c r="N152">
        <f t="shared" si="30"/>
        <v>2.2052859804475853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26256.789268760367</v>
      </c>
      <c r="T152">
        <f t="shared" si="34"/>
        <v>800.00026666666702</v>
      </c>
      <c r="U152">
        <f t="shared" si="35"/>
        <v>674.40051920009842</v>
      </c>
      <c r="V152">
        <f t="shared" si="36"/>
        <v>0.843000368</v>
      </c>
      <c r="W152">
        <f t="shared" si="37"/>
        <v>0.15870092000000002</v>
      </c>
      <c r="X152">
        <v>1</v>
      </c>
      <c r="Y152">
        <v>1771088062.03333</v>
      </c>
      <c r="Z152">
        <v>374.501933333333</v>
      </c>
      <c r="AA152">
        <v>374.98513333333301</v>
      </c>
      <c r="AB152">
        <v>15.447993333333301</v>
      </c>
      <c r="AC152">
        <v>14.4435466666667</v>
      </c>
      <c r="AD152">
        <v>375.37766666666698</v>
      </c>
      <c r="AE152">
        <v>15.347759999999999</v>
      </c>
      <c r="AF152">
        <v>800.01426666666703</v>
      </c>
      <c r="AG152">
        <v>99.931160000000006</v>
      </c>
      <c r="AH152">
        <v>6.4115500000000006E-2</v>
      </c>
      <c r="AI152">
        <v>19.000766666666699</v>
      </c>
      <c r="AJ152">
        <v>999.9</v>
      </c>
      <c r="AK152">
        <v>999.9</v>
      </c>
      <c r="AL152">
        <v>0</v>
      </c>
      <c r="AM152">
        <v>0</v>
      </c>
      <c r="AN152">
        <v>5008.7</v>
      </c>
      <c r="AO152">
        <v>0</v>
      </c>
      <c r="AP152">
        <v>2.2019299999999999</v>
      </c>
      <c r="AQ152">
        <v>-0.48308713333333297</v>
      </c>
      <c r="AR152">
        <v>380.378066666667</v>
      </c>
      <c r="AS152">
        <v>380.48053333333303</v>
      </c>
      <c r="AT152">
        <v>1.00445733333333</v>
      </c>
      <c r="AU152">
        <v>374.98513333333301</v>
      </c>
      <c r="AV152">
        <v>14.4435466666667</v>
      </c>
      <c r="AW152">
        <v>1.5437366666666701</v>
      </c>
      <c r="AX152">
        <v>1.4433593333333301</v>
      </c>
      <c r="AY152">
        <v>13.4083733333333</v>
      </c>
      <c r="AZ152">
        <v>12.381</v>
      </c>
      <c r="BA152">
        <v>800.00026666666702</v>
      </c>
      <c r="BB152">
        <v>0.89998773333333304</v>
      </c>
      <c r="BC152">
        <v>0</v>
      </c>
      <c r="BD152">
        <v>0.100012266666667</v>
      </c>
      <c r="BE152">
        <v>0</v>
      </c>
      <c r="BF152">
        <v>25</v>
      </c>
      <c r="BG152">
        <v>13190.9866666667</v>
      </c>
      <c r="BH152">
        <v>1771087918.0999999</v>
      </c>
      <c r="BI152" t="s">
        <v>550</v>
      </c>
      <c r="BJ152">
        <v>1771087916.0999999</v>
      </c>
      <c r="BK152">
        <v>1771087918.0999999</v>
      </c>
      <c r="BL152">
        <v>5</v>
      </c>
      <c r="BM152">
        <v>-0.34200000000000003</v>
      </c>
      <c r="BN152">
        <v>0</v>
      </c>
      <c r="BO152">
        <v>-0.875</v>
      </c>
      <c r="BP152">
        <v>0.1</v>
      </c>
      <c r="BQ152">
        <v>375</v>
      </c>
      <c r="BR152">
        <v>14</v>
      </c>
      <c r="BS152">
        <v>0.27</v>
      </c>
      <c r="BT152">
        <v>0.04</v>
      </c>
      <c r="BU152">
        <v>-0.48638609999999999</v>
      </c>
      <c r="BV152">
        <v>2.5428000000000402E-2</v>
      </c>
      <c r="BW152">
        <v>1.37379234708161E-2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1.0050924999999999</v>
      </c>
      <c r="CD152">
        <v>-1.63890225563889E-2</v>
      </c>
      <c r="CE152">
        <v>1.8124565512033599E-3</v>
      </c>
      <c r="CF152">
        <v>1</v>
      </c>
      <c r="CG152">
        <v>2</v>
      </c>
      <c r="CH152">
        <v>2</v>
      </c>
      <c r="CI152" t="s">
        <v>310</v>
      </c>
      <c r="CJ152">
        <v>3.5325700000000002</v>
      </c>
      <c r="CK152">
        <v>2.7019899999999999</v>
      </c>
      <c r="CL152">
        <v>9.1352299999999997E-2</v>
      </c>
      <c r="CM152">
        <v>9.0173699999999996E-2</v>
      </c>
      <c r="CN152">
        <v>8.7256E-2</v>
      </c>
      <c r="CO152">
        <v>8.2171400000000006E-2</v>
      </c>
      <c r="CP152">
        <v>31883.5</v>
      </c>
      <c r="CQ152">
        <v>28025.1</v>
      </c>
      <c r="CR152">
        <v>32474.2</v>
      </c>
      <c r="CS152">
        <v>30727.599999999999</v>
      </c>
      <c r="CT152">
        <v>40127.9</v>
      </c>
      <c r="CU152">
        <v>39654.5</v>
      </c>
      <c r="CV152">
        <v>47419.3</v>
      </c>
      <c r="CW152">
        <v>46855.199999999997</v>
      </c>
      <c r="CX152">
        <v>2.6304799999999999</v>
      </c>
      <c r="CY152">
        <v>2.1574399999999998</v>
      </c>
      <c r="CZ152">
        <v>0</v>
      </c>
      <c r="DA152">
        <v>0</v>
      </c>
      <c r="DB152">
        <v>999.9</v>
      </c>
      <c r="DC152">
        <v>999.9</v>
      </c>
      <c r="DD152">
        <v>58.777999999999999</v>
      </c>
      <c r="DE152">
        <v>25.478000000000002</v>
      </c>
      <c r="DF152">
        <v>19.2409</v>
      </c>
      <c r="DG152">
        <v>29.831900000000001</v>
      </c>
      <c r="DH152">
        <v>15.3165</v>
      </c>
      <c r="DI152">
        <v>2</v>
      </c>
      <c r="DJ152">
        <v>-0.16009799999999999</v>
      </c>
      <c r="DK152">
        <v>2.1149399999999998</v>
      </c>
      <c r="DL152">
        <v>20.196899999999999</v>
      </c>
      <c r="DM152">
        <v>5.2528699999999997</v>
      </c>
      <c r="DN152">
        <v>12.033899999999999</v>
      </c>
      <c r="DO152">
        <v>4.9678000000000004</v>
      </c>
      <c r="DP152">
        <v>3.2909999999999999</v>
      </c>
      <c r="DQ152">
        <v>9999</v>
      </c>
      <c r="DR152">
        <v>9999</v>
      </c>
      <c r="DS152">
        <v>9999</v>
      </c>
      <c r="DT152">
        <v>604.6</v>
      </c>
      <c r="DU152">
        <v>1.87104</v>
      </c>
      <c r="DV152">
        <v>1.87609</v>
      </c>
      <c r="DW152">
        <v>1.87632</v>
      </c>
      <c r="DX152">
        <v>1.8827799999999999</v>
      </c>
      <c r="DY152">
        <v>1.87558</v>
      </c>
      <c r="DZ152">
        <v>1.87463</v>
      </c>
      <c r="EA152">
        <v>1.8707499999999999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-0.875</v>
      </c>
      <c r="EQ152">
        <v>0.1003</v>
      </c>
      <c r="ER152">
        <v>-0.87549999999998795</v>
      </c>
      <c r="ES152">
        <v>0</v>
      </c>
      <c r="ET152">
        <v>0</v>
      </c>
      <c r="EU152">
        <v>0</v>
      </c>
      <c r="EV152">
        <v>0.100239999999996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2.6</v>
      </c>
      <c r="FE152">
        <v>2.5</v>
      </c>
      <c r="FF152">
        <v>1.15601</v>
      </c>
      <c r="FG152">
        <v>2.5842299999999998</v>
      </c>
      <c r="FH152">
        <v>2.19604</v>
      </c>
      <c r="FI152">
        <v>2.5805699999999998</v>
      </c>
      <c r="FJ152">
        <v>2.4462899999999999</v>
      </c>
      <c r="FK152">
        <v>2.2973599999999998</v>
      </c>
      <c r="FL152">
        <v>30.738800000000001</v>
      </c>
      <c r="FM152">
        <v>24.1313</v>
      </c>
      <c r="FN152">
        <v>19</v>
      </c>
      <c r="FO152">
        <v>864.33</v>
      </c>
      <c r="FP152">
        <v>591.80700000000002</v>
      </c>
      <c r="FQ152">
        <v>18.061699999999998</v>
      </c>
      <c r="FR152">
        <v>25.010200000000001</v>
      </c>
      <c r="FS152">
        <v>30.0002</v>
      </c>
      <c r="FT152">
        <v>24.998899999999999</v>
      </c>
      <c r="FU152">
        <v>25.001000000000001</v>
      </c>
      <c r="FV152">
        <v>23.1997</v>
      </c>
      <c r="FW152">
        <v>28.626200000000001</v>
      </c>
      <c r="FX152">
        <v>47.189500000000002</v>
      </c>
      <c r="FY152">
        <v>18.0594</v>
      </c>
      <c r="FZ152">
        <v>375</v>
      </c>
      <c r="GA152">
        <v>14.4794</v>
      </c>
      <c r="GB152">
        <v>99.924800000000005</v>
      </c>
      <c r="GC152">
        <v>99.749200000000002</v>
      </c>
    </row>
    <row r="153" spans="1:185" x14ac:dyDescent="0.2">
      <c r="A153">
        <v>138</v>
      </c>
      <c r="B153">
        <v>1771088085.0999999</v>
      </c>
      <c r="C153">
        <v>2765.0999999046298</v>
      </c>
      <c r="D153" t="s">
        <v>573</v>
      </c>
      <c r="E153" t="s">
        <v>574</v>
      </c>
      <c r="F153">
        <v>15</v>
      </c>
      <c r="G153">
        <v>1771088077.03333</v>
      </c>
      <c r="H153">
        <f t="shared" si="26"/>
        <v>8.2027254097457409E-4</v>
      </c>
      <c r="I153">
        <v>0</v>
      </c>
      <c r="J153">
        <f t="shared" si="38"/>
        <v>3.5832119392338302E-3</v>
      </c>
      <c r="K153">
        <f t="shared" si="27"/>
        <v>9.7126310373580077E-2</v>
      </c>
      <c r="L153">
        <f t="shared" si="28"/>
        <v>70.010712509806353</v>
      </c>
      <c r="M153">
        <f t="shared" si="29"/>
        <v>1.543877979209817</v>
      </c>
      <c r="N153">
        <f t="shared" si="30"/>
        <v>2.2052024952518048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26176.577605286817</v>
      </c>
      <c r="T153">
        <f t="shared" si="34"/>
        <v>799.999866666667</v>
      </c>
      <c r="U153">
        <f t="shared" si="35"/>
        <v>674.40011159996232</v>
      </c>
      <c r="V153">
        <f t="shared" si="36"/>
        <v>0.84300027999999916</v>
      </c>
      <c r="W153">
        <f t="shared" si="37"/>
        <v>0.15870069999999983</v>
      </c>
      <c r="X153">
        <v>1</v>
      </c>
      <c r="Y153">
        <v>1771088077.03333</v>
      </c>
      <c r="Z153">
        <v>374.50686666666701</v>
      </c>
      <c r="AA153">
        <v>375.01226666666702</v>
      </c>
      <c r="AB153">
        <v>15.43942</v>
      </c>
      <c r="AC153">
        <v>14.429919999999999</v>
      </c>
      <c r="AD153">
        <v>375.38226666666702</v>
      </c>
      <c r="AE153">
        <v>15.339173333333299</v>
      </c>
      <c r="AF153">
        <v>800.00793333333297</v>
      </c>
      <c r="AG153">
        <v>99.931586666666703</v>
      </c>
      <c r="AH153">
        <v>6.4266753333333301E-2</v>
      </c>
      <c r="AI153">
        <v>19.000160000000001</v>
      </c>
      <c r="AJ153">
        <v>999.9</v>
      </c>
      <c r="AK153">
        <v>999.9</v>
      </c>
      <c r="AL153">
        <v>0</v>
      </c>
      <c r="AM153">
        <v>0</v>
      </c>
      <c r="AN153">
        <v>4995.4333333333298</v>
      </c>
      <c r="AO153">
        <v>0</v>
      </c>
      <c r="AP153">
        <v>2.2019299999999999</v>
      </c>
      <c r="AQ153">
        <v>-0.50550326666666701</v>
      </c>
      <c r="AR153">
        <v>380.37959999999998</v>
      </c>
      <c r="AS153">
        <v>380.50299999999999</v>
      </c>
      <c r="AT153">
        <v>1.0094860000000001</v>
      </c>
      <c r="AU153">
        <v>375.01226666666702</v>
      </c>
      <c r="AV153">
        <v>14.429919999999999</v>
      </c>
      <c r="AW153">
        <v>1.54288466666667</v>
      </c>
      <c r="AX153">
        <v>1.4420046666666699</v>
      </c>
      <c r="AY153">
        <v>13.399900000000001</v>
      </c>
      <c r="AZ153">
        <v>12.3667</v>
      </c>
      <c r="BA153">
        <v>799.999866666667</v>
      </c>
      <c r="BB153">
        <v>0.89999066666666605</v>
      </c>
      <c r="BC153">
        <v>0</v>
      </c>
      <c r="BD153">
        <v>0.10000933333333301</v>
      </c>
      <c r="BE153">
        <v>0</v>
      </c>
      <c r="BF153">
        <v>25</v>
      </c>
      <c r="BG153">
        <v>13190.98</v>
      </c>
      <c r="BH153">
        <v>1771087918.0999999</v>
      </c>
      <c r="BI153" t="s">
        <v>550</v>
      </c>
      <c r="BJ153">
        <v>1771087916.0999999</v>
      </c>
      <c r="BK153">
        <v>1771087918.0999999</v>
      </c>
      <c r="BL153">
        <v>5</v>
      </c>
      <c r="BM153">
        <v>-0.34200000000000003</v>
      </c>
      <c r="BN153">
        <v>0</v>
      </c>
      <c r="BO153">
        <v>-0.875</v>
      </c>
      <c r="BP153">
        <v>0.1</v>
      </c>
      <c r="BQ153">
        <v>375</v>
      </c>
      <c r="BR153">
        <v>14</v>
      </c>
      <c r="BS153">
        <v>0.27</v>
      </c>
      <c r="BT153">
        <v>0.04</v>
      </c>
      <c r="BU153">
        <v>-0.50186157142857102</v>
      </c>
      <c r="BV153">
        <v>-6.1037610389611197E-2</v>
      </c>
      <c r="BW153">
        <v>1.24062639883915E-2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1.00757619047619</v>
      </c>
      <c r="CD153">
        <v>4.8407532467534299E-2</v>
      </c>
      <c r="CE153">
        <v>5.86789203343927E-3</v>
      </c>
      <c r="CF153">
        <v>1</v>
      </c>
      <c r="CG153">
        <v>2</v>
      </c>
      <c r="CH153">
        <v>2</v>
      </c>
      <c r="CI153" t="s">
        <v>310</v>
      </c>
      <c r="CJ153">
        <v>3.5324800000000001</v>
      </c>
      <c r="CK153">
        <v>2.7021700000000002</v>
      </c>
      <c r="CL153">
        <v>9.1353900000000002E-2</v>
      </c>
      <c r="CM153">
        <v>9.0177400000000005E-2</v>
      </c>
      <c r="CN153">
        <v>8.7192699999999998E-2</v>
      </c>
      <c r="CO153">
        <v>8.2071000000000005E-2</v>
      </c>
      <c r="CP153">
        <v>31883.3</v>
      </c>
      <c r="CQ153">
        <v>28025.200000000001</v>
      </c>
      <c r="CR153">
        <v>32474.1</v>
      </c>
      <c r="CS153">
        <v>30727.9</v>
      </c>
      <c r="CT153">
        <v>40130.400000000001</v>
      </c>
      <c r="CU153">
        <v>39659.300000000003</v>
      </c>
      <c r="CV153">
        <v>47418.9</v>
      </c>
      <c r="CW153">
        <v>46855.5</v>
      </c>
      <c r="CX153">
        <v>2.6303200000000002</v>
      </c>
      <c r="CY153">
        <v>2.1573000000000002</v>
      </c>
      <c r="CZ153">
        <v>0</v>
      </c>
      <c r="DA153">
        <v>0</v>
      </c>
      <c r="DB153">
        <v>999.9</v>
      </c>
      <c r="DC153">
        <v>999.9</v>
      </c>
      <c r="DD153">
        <v>58.68</v>
      </c>
      <c r="DE153">
        <v>25.488</v>
      </c>
      <c r="DF153">
        <v>19.222300000000001</v>
      </c>
      <c r="DG153">
        <v>30.2819</v>
      </c>
      <c r="DH153">
        <v>15.3125</v>
      </c>
      <c r="DI153">
        <v>2</v>
      </c>
      <c r="DJ153">
        <v>-0.15959100000000001</v>
      </c>
      <c r="DK153">
        <v>2.1162399999999999</v>
      </c>
      <c r="DL153">
        <v>20.1968</v>
      </c>
      <c r="DM153">
        <v>5.25251</v>
      </c>
      <c r="DN153">
        <v>12.033899999999999</v>
      </c>
      <c r="DO153">
        <v>4.9676799999999997</v>
      </c>
      <c r="DP153">
        <v>3.2909999999999999</v>
      </c>
      <c r="DQ153">
        <v>9999</v>
      </c>
      <c r="DR153">
        <v>9999</v>
      </c>
      <c r="DS153">
        <v>9999</v>
      </c>
      <c r="DT153">
        <v>604.6</v>
      </c>
      <c r="DU153">
        <v>1.87107</v>
      </c>
      <c r="DV153">
        <v>1.8761000000000001</v>
      </c>
      <c r="DW153">
        <v>1.8763300000000001</v>
      </c>
      <c r="DX153">
        <v>1.88279</v>
      </c>
      <c r="DY153">
        <v>1.87561</v>
      </c>
      <c r="DZ153">
        <v>1.8746700000000001</v>
      </c>
      <c r="EA153">
        <v>1.8707499999999999</v>
      </c>
      <c r="EB153">
        <v>1.8746799999999999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-0.875</v>
      </c>
      <c r="EQ153">
        <v>0.1002</v>
      </c>
      <c r="ER153">
        <v>-0.87549999999998795</v>
      </c>
      <c r="ES153">
        <v>0</v>
      </c>
      <c r="ET153">
        <v>0</v>
      </c>
      <c r="EU153">
        <v>0</v>
      </c>
      <c r="EV153">
        <v>0.100239999999996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2.8</v>
      </c>
      <c r="FE153">
        <v>2.8</v>
      </c>
      <c r="FF153">
        <v>1.15601</v>
      </c>
      <c r="FG153">
        <v>2.5817899999999998</v>
      </c>
      <c r="FH153">
        <v>2.19604</v>
      </c>
      <c r="FI153">
        <v>2.5805699999999998</v>
      </c>
      <c r="FJ153">
        <v>2.4462899999999999</v>
      </c>
      <c r="FK153">
        <v>2.2961399999999998</v>
      </c>
      <c r="FL153">
        <v>30.760400000000001</v>
      </c>
      <c r="FM153">
        <v>24.148800000000001</v>
      </c>
      <c r="FN153">
        <v>19</v>
      </c>
      <c r="FO153">
        <v>864.24900000000002</v>
      </c>
      <c r="FP153">
        <v>591.74599999999998</v>
      </c>
      <c r="FQ153">
        <v>18.059899999999999</v>
      </c>
      <c r="FR153">
        <v>25.013999999999999</v>
      </c>
      <c r="FS153">
        <v>30.0001</v>
      </c>
      <c r="FT153">
        <v>25.0031</v>
      </c>
      <c r="FU153">
        <v>25.005199999999999</v>
      </c>
      <c r="FV153">
        <v>23.1983</v>
      </c>
      <c r="FW153">
        <v>28.626200000000001</v>
      </c>
      <c r="FX153">
        <v>47.189500000000002</v>
      </c>
      <c r="FY153">
        <v>18.0595</v>
      </c>
      <c r="FZ153">
        <v>375</v>
      </c>
      <c r="GA153">
        <v>14.4794</v>
      </c>
      <c r="GB153">
        <v>99.924199999999999</v>
      </c>
      <c r="GC153">
        <v>99.750100000000003</v>
      </c>
    </row>
    <row r="154" spans="1:185" x14ac:dyDescent="0.2">
      <c r="A154">
        <v>139</v>
      </c>
      <c r="B154">
        <v>1771088100.0999999</v>
      </c>
      <c r="C154">
        <v>2780.0999999046298</v>
      </c>
      <c r="D154" t="s">
        <v>575</v>
      </c>
      <c r="E154" t="s">
        <v>576</v>
      </c>
      <c r="F154">
        <v>15</v>
      </c>
      <c r="G154">
        <v>1771088092.03333</v>
      </c>
      <c r="H154">
        <f t="shared" si="26"/>
        <v>8.207968249505027E-4</v>
      </c>
      <c r="I154">
        <v>0</v>
      </c>
      <c r="J154">
        <f t="shared" si="38"/>
        <v>3.0250665128590559E-3</v>
      </c>
      <c r="K154">
        <f t="shared" si="27"/>
        <v>8.1997256654457354E-2</v>
      </c>
      <c r="L154">
        <f t="shared" si="28"/>
        <v>69.986016544065009</v>
      </c>
      <c r="M154">
        <f t="shared" si="29"/>
        <v>1.5432948602862859</v>
      </c>
      <c r="N154">
        <f t="shared" si="30"/>
        <v>2.2051474515835423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26182.913729019401</v>
      </c>
      <c r="T154">
        <f t="shared" si="34"/>
        <v>800.00113333333297</v>
      </c>
      <c r="U154">
        <f t="shared" si="35"/>
        <v>674.40109204019313</v>
      </c>
      <c r="V154">
        <f t="shared" si="36"/>
        <v>0.84300017079999989</v>
      </c>
      <c r="W154">
        <f t="shared" si="37"/>
        <v>0.15870034904799998</v>
      </c>
      <c r="X154">
        <v>1</v>
      </c>
      <c r="Y154">
        <v>1771088092.03333</v>
      </c>
      <c r="Z154">
        <v>374.50493333333299</v>
      </c>
      <c r="AA154">
        <v>374.99166666666702</v>
      </c>
      <c r="AB154">
        <v>15.4335733333333</v>
      </c>
      <c r="AC154">
        <v>14.42342</v>
      </c>
      <c r="AD154">
        <v>375.38040000000001</v>
      </c>
      <c r="AE154">
        <v>15.333346666666699</v>
      </c>
      <c r="AF154">
        <v>800.00626666666699</v>
      </c>
      <c r="AG154">
        <v>99.931733333333298</v>
      </c>
      <c r="AH154">
        <v>6.4218800000000006E-2</v>
      </c>
      <c r="AI154">
        <v>18.999759999999998</v>
      </c>
      <c r="AJ154">
        <v>999.9</v>
      </c>
      <c r="AK154">
        <v>999.9</v>
      </c>
      <c r="AL154">
        <v>0</v>
      </c>
      <c r="AM154">
        <v>0</v>
      </c>
      <c r="AN154">
        <v>4996.4666666666699</v>
      </c>
      <c r="AO154">
        <v>0</v>
      </c>
      <c r="AP154">
        <v>2.2019299999999999</v>
      </c>
      <c r="AQ154">
        <v>-0.48678373333333302</v>
      </c>
      <c r="AR154">
        <v>380.37546666666702</v>
      </c>
      <c r="AS154">
        <v>380.47946666666701</v>
      </c>
      <c r="AT154">
        <v>1.0101693333333299</v>
      </c>
      <c r="AU154">
        <v>374.99166666666702</v>
      </c>
      <c r="AV154">
        <v>14.42342</v>
      </c>
      <c r="AW154">
        <v>1.5423053333333301</v>
      </c>
      <c r="AX154">
        <v>1.4413560000000001</v>
      </c>
      <c r="AY154">
        <v>13.39414</v>
      </c>
      <c r="AZ154">
        <v>12.3598533333333</v>
      </c>
      <c r="BA154">
        <v>800.00113333333297</v>
      </c>
      <c r="BB154">
        <v>0.89999546666666697</v>
      </c>
      <c r="BC154">
        <v>0</v>
      </c>
      <c r="BD154">
        <v>0.100004573333333</v>
      </c>
      <c r="BE154">
        <v>0</v>
      </c>
      <c r="BF154">
        <v>25</v>
      </c>
      <c r="BG154">
        <v>13191.026666666699</v>
      </c>
      <c r="BH154">
        <v>1771087918.0999999</v>
      </c>
      <c r="BI154" t="s">
        <v>550</v>
      </c>
      <c r="BJ154">
        <v>1771087916.0999999</v>
      </c>
      <c r="BK154">
        <v>1771087918.0999999</v>
      </c>
      <c r="BL154">
        <v>5</v>
      </c>
      <c r="BM154">
        <v>-0.34200000000000003</v>
      </c>
      <c r="BN154">
        <v>0</v>
      </c>
      <c r="BO154">
        <v>-0.875</v>
      </c>
      <c r="BP154">
        <v>0.1</v>
      </c>
      <c r="BQ154">
        <v>375</v>
      </c>
      <c r="BR154">
        <v>14</v>
      </c>
      <c r="BS154">
        <v>0.27</v>
      </c>
      <c r="BT154">
        <v>0.04</v>
      </c>
      <c r="BU154">
        <v>-0.49123984999999998</v>
      </c>
      <c r="BV154">
        <v>4.5238691729324002E-2</v>
      </c>
      <c r="BW154">
        <v>1.5176182178911099E-2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1.0110710000000001</v>
      </c>
      <c r="CD154">
        <v>-2.0875488721807198E-2</v>
      </c>
      <c r="CE154">
        <v>2.1953038514064801E-3</v>
      </c>
      <c r="CF154">
        <v>1</v>
      </c>
      <c r="CG154">
        <v>2</v>
      </c>
      <c r="CH154">
        <v>2</v>
      </c>
      <c r="CI154" t="s">
        <v>310</v>
      </c>
      <c r="CJ154">
        <v>3.5325099999999998</v>
      </c>
      <c r="CK154">
        <v>2.7021099999999998</v>
      </c>
      <c r="CL154">
        <v>9.1354299999999999E-2</v>
      </c>
      <c r="CM154">
        <v>9.0171000000000001E-2</v>
      </c>
      <c r="CN154">
        <v>8.7202399999999999E-2</v>
      </c>
      <c r="CO154">
        <v>8.2088700000000001E-2</v>
      </c>
      <c r="CP154">
        <v>31883</v>
      </c>
      <c r="CQ154">
        <v>28025.3</v>
      </c>
      <c r="CR154">
        <v>32473.8</v>
      </c>
      <c r="CS154">
        <v>30727.8</v>
      </c>
      <c r="CT154">
        <v>40129.800000000003</v>
      </c>
      <c r="CU154">
        <v>39658.6</v>
      </c>
      <c r="CV154">
        <v>47418.6</v>
      </c>
      <c r="CW154">
        <v>46855.6</v>
      </c>
      <c r="CX154">
        <v>2.6303999999999998</v>
      </c>
      <c r="CY154">
        <v>2.157</v>
      </c>
      <c r="CZ154">
        <v>0</v>
      </c>
      <c r="DA154">
        <v>0</v>
      </c>
      <c r="DB154">
        <v>999.9</v>
      </c>
      <c r="DC154">
        <v>999.9</v>
      </c>
      <c r="DD154">
        <v>58.594999999999999</v>
      </c>
      <c r="DE154">
        <v>25.518999999999998</v>
      </c>
      <c r="DF154">
        <v>19.2286</v>
      </c>
      <c r="DG154">
        <v>29.741900000000001</v>
      </c>
      <c r="DH154">
        <v>15.2925</v>
      </c>
      <c r="DI154">
        <v>2</v>
      </c>
      <c r="DJ154">
        <v>-0.15958700000000001</v>
      </c>
      <c r="DK154">
        <v>2.12269</v>
      </c>
      <c r="DL154">
        <v>20.1966</v>
      </c>
      <c r="DM154">
        <v>5.2527499999999998</v>
      </c>
      <c r="DN154">
        <v>12.033899999999999</v>
      </c>
      <c r="DO154">
        <v>4.9674800000000001</v>
      </c>
      <c r="DP154">
        <v>3.2909999999999999</v>
      </c>
      <c r="DQ154">
        <v>9999</v>
      </c>
      <c r="DR154">
        <v>9999</v>
      </c>
      <c r="DS154">
        <v>9999</v>
      </c>
      <c r="DT154">
        <v>604.6</v>
      </c>
      <c r="DU154">
        <v>1.87103</v>
      </c>
      <c r="DV154">
        <v>1.87608</v>
      </c>
      <c r="DW154">
        <v>1.8763099999999999</v>
      </c>
      <c r="DX154">
        <v>1.88279</v>
      </c>
      <c r="DY154">
        <v>1.87561</v>
      </c>
      <c r="DZ154">
        <v>1.8746400000000001</v>
      </c>
      <c r="EA154">
        <v>1.8707400000000001</v>
      </c>
      <c r="EB154">
        <v>1.8746499999999999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-0.875</v>
      </c>
      <c r="EQ154">
        <v>0.1003</v>
      </c>
      <c r="ER154">
        <v>-0.87549999999998795</v>
      </c>
      <c r="ES154">
        <v>0</v>
      </c>
      <c r="ET154">
        <v>0</v>
      </c>
      <c r="EU154">
        <v>0</v>
      </c>
      <c r="EV154">
        <v>0.100239999999996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3.1</v>
      </c>
      <c r="FE154">
        <v>3</v>
      </c>
      <c r="FF154">
        <v>1.15601</v>
      </c>
      <c r="FG154">
        <v>2.5891099999999998</v>
      </c>
      <c r="FH154">
        <v>2.19604</v>
      </c>
      <c r="FI154">
        <v>2.5805699999999998</v>
      </c>
      <c r="FJ154">
        <v>2.4462899999999999</v>
      </c>
      <c r="FK154">
        <v>2.32666</v>
      </c>
      <c r="FL154">
        <v>30.760400000000001</v>
      </c>
      <c r="FM154">
        <v>24.148800000000001</v>
      </c>
      <c r="FN154">
        <v>19</v>
      </c>
      <c r="FO154">
        <v>864.39200000000005</v>
      </c>
      <c r="FP154">
        <v>591.55999999999995</v>
      </c>
      <c r="FQ154">
        <v>18.061499999999999</v>
      </c>
      <c r="FR154">
        <v>25.0169</v>
      </c>
      <c r="FS154">
        <v>30.0001</v>
      </c>
      <c r="FT154">
        <v>25.007300000000001</v>
      </c>
      <c r="FU154">
        <v>25.009399999999999</v>
      </c>
      <c r="FV154">
        <v>23.200299999999999</v>
      </c>
      <c r="FW154">
        <v>28.626200000000001</v>
      </c>
      <c r="FX154">
        <v>47.189500000000002</v>
      </c>
      <c r="FY154">
        <v>18.060300000000002</v>
      </c>
      <c r="FZ154">
        <v>375</v>
      </c>
      <c r="GA154">
        <v>14.4794</v>
      </c>
      <c r="GB154">
        <v>99.923500000000004</v>
      </c>
      <c r="GC154">
        <v>99.75</v>
      </c>
    </row>
    <row r="155" spans="1:185" x14ac:dyDescent="0.2">
      <c r="A155">
        <v>140</v>
      </c>
      <c r="B155">
        <v>1771088115.0999999</v>
      </c>
      <c r="C155">
        <v>2795.0999999046298</v>
      </c>
      <c r="D155" t="s">
        <v>577</v>
      </c>
      <c r="E155" t="s">
        <v>578</v>
      </c>
      <c r="F155">
        <v>15</v>
      </c>
      <c r="G155">
        <v>1771088107.03333</v>
      </c>
      <c r="H155">
        <f t="shared" si="26"/>
        <v>8.1798754058117883E-4</v>
      </c>
      <c r="I155">
        <v>0</v>
      </c>
      <c r="J155">
        <f t="shared" si="38"/>
        <v>3.3592834677712061E-3</v>
      </c>
      <c r="K155">
        <f t="shared" si="27"/>
        <v>9.1056519752874931E-2</v>
      </c>
      <c r="L155">
        <f t="shared" si="28"/>
        <v>69.971306066698858</v>
      </c>
      <c r="M155">
        <f t="shared" si="29"/>
        <v>1.5431065618751783</v>
      </c>
      <c r="N155">
        <f t="shared" si="30"/>
        <v>2.2053419446026066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26240.150836930388</v>
      </c>
      <c r="T155">
        <f t="shared" si="34"/>
        <v>799.99913333333302</v>
      </c>
      <c r="U155">
        <f t="shared" si="35"/>
        <v>674.39928091998752</v>
      </c>
      <c r="V155">
        <f t="shared" si="36"/>
        <v>0.84300001440000039</v>
      </c>
      <c r="W155">
        <f t="shared" si="37"/>
        <v>0.15869993206400007</v>
      </c>
      <c r="X155">
        <v>1</v>
      </c>
      <c r="Y155">
        <v>1771088107.03333</v>
      </c>
      <c r="Z155">
        <v>374.50166666666701</v>
      </c>
      <c r="AA155">
        <v>374.9984</v>
      </c>
      <c r="AB155">
        <v>15.431660000000001</v>
      </c>
      <c r="AC155">
        <v>14.4249733333333</v>
      </c>
      <c r="AD155">
        <v>375.37713333333301</v>
      </c>
      <c r="AE155">
        <v>15.3314133333333</v>
      </c>
      <c r="AF155">
        <v>800.01520000000005</v>
      </c>
      <c r="AG155">
        <v>99.931759999999997</v>
      </c>
      <c r="AH155">
        <v>6.4388299999999996E-2</v>
      </c>
      <c r="AI155">
        <v>19.001173333333298</v>
      </c>
      <c r="AJ155">
        <v>999.9</v>
      </c>
      <c r="AK155">
        <v>999.9</v>
      </c>
      <c r="AL155">
        <v>0</v>
      </c>
      <c r="AM155">
        <v>0</v>
      </c>
      <c r="AN155">
        <v>5005.9333333333298</v>
      </c>
      <c r="AO155">
        <v>0</v>
      </c>
      <c r="AP155">
        <v>2.2019299999999999</v>
      </c>
      <c r="AQ155">
        <v>-0.49673266666666699</v>
      </c>
      <c r="AR155">
        <v>380.37139999999999</v>
      </c>
      <c r="AS155">
        <v>380.48680000000002</v>
      </c>
      <c r="AT155">
        <v>1.0067094000000001</v>
      </c>
      <c r="AU155">
        <v>374.9984</v>
      </c>
      <c r="AV155">
        <v>14.4249733333333</v>
      </c>
      <c r="AW155">
        <v>1.54211266666667</v>
      </c>
      <c r="AX155">
        <v>1.4415106666666699</v>
      </c>
      <c r="AY155">
        <v>13.3922333333333</v>
      </c>
      <c r="AZ155">
        <v>12.3614933333333</v>
      </c>
      <c r="BA155">
        <v>799.99913333333302</v>
      </c>
      <c r="BB155">
        <v>0.90000106666666702</v>
      </c>
      <c r="BC155">
        <v>0</v>
      </c>
      <c r="BD155">
        <v>9.9998986666666706E-2</v>
      </c>
      <c r="BE155">
        <v>0</v>
      </c>
      <c r="BF155">
        <v>25</v>
      </c>
      <c r="BG155">
        <v>13191.006666666701</v>
      </c>
      <c r="BH155">
        <v>1771087918.0999999</v>
      </c>
      <c r="BI155" t="s">
        <v>550</v>
      </c>
      <c r="BJ155">
        <v>1771087916.0999999</v>
      </c>
      <c r="BK155">
        <v>1771087918.0999999</v>
      </c>
      <c r="BL155">
        <v>5</v>
      </c>
      <c r="BM155">
        <v>-0.34200000000000003</v>
      </c>
      <c r="BN155">
        <v>0</v>
      </c>
      <c r="BO155">
        <v>-0.875</v>
      </c>
      <c r="BP155">
        <v>0.1</v>
      </c>
      <c r="BQ155">
        <v>375</v>
      </c>
      <c r="BR155">
        <v>14</v>
      </c>
      <c r="BS155">
        <v>0.27</v>
      </c>
      <c r="BT155">
        <v>0.04</v>
      </c>
      <c r="BU155">
        <v>-0.492783380952381</v>
      </c>
      <c r="BV155">
        <v>-8.66643896103899E-2</v>
      </c>
      <c r="BW155">
        <v>2.3539952948280402E-2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1.00723623809524</v>
      </c>
      <c r="CD155">
        <v>-4.4688857142855698E-2</v>
      </c>
      <c r="CE155">
        <v>9.9420521830242397E-3</v>
      </c>
      <c r="CF155">
        <v>1</v>
      </c>
      <c r="CG155">
        <v>2</v>
      </c>
      <c r="CH155">
        <v>2</v>
      </c>
      <c r="CI155" t="s">
        <v>310</v>
      </c>
      <c r="CJ155">
        <v>3.5325099999999998</v>
      </c>
      <c r="CK155">
        <v>2.7023199999999998</v>
      </c>
      <c r="CL155">
        <v>9.1348399999999996E-2</v>
      </c>
      <c r="CM155">
        <v>9.0168399999999996E-2</v>
      </c>
      <c r="CN155">
        <v>8.7177000000000004E-2</v>
      </c>
      <c r="CO155">
        <v>8.2164600000000004E-2</v>
      </c>
      <c r="CP155">
        <v>31882.2</v>
      </c>
      <c r="CQ155">
        <v>28025.599999999999</v>
      </c>
      <c r="CR155">
        <v>32472.799999999999</v>
      </c>
      <c r="CS155">
        <v>30728</v>
      </c>
      <c r="CT155">
        <v>40129.800000000003</v>
      </c>
      <c r="CU155">
        <v>39655.4</v>
      </c>
      <c r="CV155">
        <v>47417.3</v>
      </c>
      <c r="CW155">
        <v>46855.9</v>
      </c>
      <c r="CX155">
        <v>2.63008</v>
      </c>
      <c r="CY155">
        <v>2.1572200000000001</v>
      </c>
      <c r="CZ155">
        <v>0</v>
      </c>
      <c r="DA155">
        <v>0</v>
      </c>
      <c r="DB155">
        <v>999.9</v>
      </c>
      <c r="DC155">
        <v>999.9</v>
      </c>
      <c r="DD155">
        <v>58.478999999999999</v>
      </c>
      <c r="DE155">
        <v>25.518999999999998</v>
      </c>
      <c r="DF155">
        <v>19.191400000000002</v>
      </c>
      <c r="DG155">
        <v>30.4619</v>
      </c>
      <c r="DH155">
        <v>15.2644</v>
      </c>
      <c r="DI155">
        <v>2</v>
      </c>
      <c r="DJ155">
        <v>-0.159354</v>
      </c>
      <c r="DK155">
        <v>2.14222</v>
      </c>
      <c r="DL155">
        <v>20.1965</v>
      </c>
      <c r="DM155">
        <v>5.2510700000000003</v>
      </c>
      <c r="DN155">
        <v>12.033899999999999</v>
      </c>
      <c r="DO155">
        <v>4.9672000000000001</v>
      </c>
      <c r="DP155">
        <v>3.2910200000000001</v>
      </c>
      <c r="DQ155">
        <v>9999</v>
      </c>
      <c r="DR155">
        <v>9999</v>
      </c>
      <c r="DS155">
        <v>9999</v>
      </c>
      <c r="DT155">
        <v>604.6</v>
      </c>
      <c r="DU155">
        <v>1.87104</v>
      </c>
      <c r="DV155">
        <v>1.87609</v>
      </c>
      <c r="DW155">
        <v>1.87629</v>
      </c>
      <c r="DX155">
        <v>1.8827799999999999</v>
      </c>
      <c r="DY155">
        <v>1.8755999999999999</v>
      </c>
      <c r="DZ155">
        <v>1.87462</v>
      </c>
      <c r="EA155">
        <v>1.87073</v>
      </c>
      <c r="EB155">
        <v>1.87462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-0.876</v>
      </c>
      <c r="EQ155">
        <v>0.1002</v>
      </c>
      <c r="ER155">
        <v>-0.87549999999998795</v>
      </c>
      <c r="ES155">
        <v>0</v>
      </c>
      <c r="ET155">
        <v>0</v>
      </c>
      <c r="EU155">
        <v>0</v>
      </c>
      <c r="EV155">
        <v>0.100239999999996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3.3</v>
      </c>
      <c r="FE155">
        <v>3.3</v>
      </c>
      <c r="FF155">
        <v>1.15601</v>
      </c>
      <c r="FG155">
        <v>2.5891099999999998</v>
      </c>
      <c r="FH155">
        <v>2.19604</v>
      </c>
      <c r="FI155">
        <v>2.5805699999999998</v>
      </c>
      <c r="FJ155">
        <v>2.4462899999999999</v>
      </c>
      <c r="FK155">
        <v>2.3095699999999999</v>
      </c>
      <c r="FL155">
        <v>30.760400000000001</v>
      </c>
      <c r="FM155">
        <v>24.148800000000001</v>
      </c>
      <c r="FN155">
        <v>19</v>
      </c>
      <c r="FO155">
        <v>864.15499999999997</v>
      </c>
      <c r="FP155">
        <v>591.77800000000002</v>
      </c>
      <c r="FQ155">
        <v>18.055499999999999</v>
      </c>
      <c r="FR155">
        <v>25.020700000000001</v>
      </c>
      <c r="FS155">
        <v>30.0002</v>
      </c>
      <c r="FT155">
        <v>25.010999999999999</v>
      </c>
      <c r="FU155">
        <v>25.013400000000001</v>
      </c>
      <c r="FV155">
        <v>23.2</v>
      </c>
      <c r="FW155">
        <v>28.335599999999999</v>
      </c>
      <c r="FX155">
        <v>46.817599999999999</v>
      </c>
      <c r="FY155">
        <v>18.055</v>
      </c>
      <c r="FZ155">
        <v>375</v>
      </c>
      <c r="GA155">
        <v>14.4794</v>
      </c>
      <c r="GB155">
        <v>99.920500000000004</v>
      </c>
      <c r="GC155">
        <v>99.750699999999995</v>
      </c>
    </row>
    <row r="156" spans="1:185" x14ac:dyDescent="0.2">
      <c r="A156">
        <v>141</v>
      </c>
      <c r="B156">
        <v>1771088313.0999999</v>
      </c>
      <c r="C156">
        <v>2993.0999999046298</v>
      </c>
      <c r="D156" t="s">
        <v>579</v>
      </c>
      <c r="E156" t="s">
        <v>580</v>
      </c>
      <c r="F156">
        <v>15</v>
      </c>
      <c r="G156">
        <v>1771088305.0999999</v>
      </c>
      <c r="H156">
        <f t="shared" si="26"/>
        <v>7.9433401542353154E-4</v>
      </c>
      <c r="I156">
        <v>0</v>
      </c>
      <c r="J156">
        <f t="shared" si="38"/>
        <v>-2.2418810946497818E-3</v>
      </c>
      <c r="K156">
        <f t="shared" si="27"/>
        <v>-6.0768283515536335E-2</v>
      </c>
      <c r="L156">
        <f t="shared" si="28"/>
        <v>72.925018787550641</v>
      </c>
      <c r="M156">
        <f t="shared" si="29"/>
        <v>1.5944500962575874</v>
      </c>
      <c r="N156">
        <f t="shared" si="30"/>
        <v>2.1864239773494347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26213.605755936504</v>
      </c>
      <c r="T156">
        <f t="shared" si="34"/>
        <v>799.999866666667</v>
      </c>
      <c r="U156">
        <f t="shared" si="35"/>
        <v>674.39979416001631</v>
      </c>
      <c r="V156">
        <f t="shared" si="36"/>
        <v>0.84299988320000063</v>
      </c>
      <c r="W156">
        <f t="shared" si="37"/>
        <v>0.15869978595200013</v>
      </c>
      <c r="X156">
        <v>1</v>
      </c>
      <c r="Y156">
        <v>1771088305.0999999</v>
      </c>
      <c r="Z156">
        <v>499.63493333333298</v>
      </c>
      <c r="AA156">
        <v>500.05506666666702</v>
      </c>
      <c r="AB156">
        <v>15.944419999999999</v>
      </c>
      <c r="AC156">
        <v>14.96734</v>
      </c>
      <c r="AD156">
        <v>500.51046666666701</v>
      </c>
      <c r="AE156">
        <v>15.8441666666667</v>
      </c>
      <c r="AF156">
        <v>800.00493333333304</v>
      </c>
      <c r="AG156">
        <v>99.935779999999994</v>
      </c>
      <c r="AH156">
        <v>6.4727779999999999E-2</v>
      </c>
      <c r="AI156">
        <v>18.863186666666699</v>
      </c>
      <c r="AJ156">
        <v>999.9</v>
      </c>
      <c r="AK156">
        <v>999.9</v>
      </c>
      <c r="AL156">
        <v>0</v>
      </c>
      <c r="AM156">
        <v>0</v>
      </c>
      <c r="AN156">
        <v>4999.3333333333303</v>
      </c>
      <c r="AO156">
        <v>0</v>
      </c>
      <c r="AP156">
        <v>2.14547</v>
      </c>
      <c r="AQ156">
        <v>-0.42011706666666698</v>
      </c>
      <c r="AR156">
        <v>507.73039999999997</v>
      </c>
      <c r="AS156">
        <v>507.65333333333302</v>
      </c>
      <c r="AT156">
        <v>0.97707486666666699</v>
      </c>
      <c r="AU156">
        <v>500.05506666666702</v>
      </c>
      <c r="AV156">
        <v>14.96734</v>
      </c>
      <c r="AW156">
        <v>1.5934173333333299</v>
      </c>
      <c r="AX156">
        <v>1.4957733333333301</v>
      </c>
      <c r="AY156">
        <v>13.8952666666667</v>
      </c>
      <c r="AZ156">
        <v>12.9246466666667</v>
      </c>
      <c r="BA156">
        <v>799.999866666667</v>
      </c>
      <c r="BB156">
        <v>0.90000273333333403</v>
      </c>
      <c r="BC156">
        <v>0</v>
      </c>
      <c r="BD156">
        <v>9.9997226666666703E-2</v>
      </c>
      <c r="BE156">
        <v>0</v>
      </c>
      <c r="BF156">
        <v>25</v>
      </c>
      <c r="BG156">
        <v>13191.04</v>
      </c>
      <c r="BH156">
        <v>1771087918.0999999</v>
      </c>
      <c r="BI156" t="s">
        <v>550</v>
      </c>
      <c r="BJ156">
        <v>1771087916.0999999</v>
      </c>
      <c r="BK156">
        <v>1771087918.0999999</v>
      </c>
      <c r="BL156">
        <v>5</v>
      </c>
      <c r="BM156">
        <v>-0.34200000000000003</v>
      </c>
      <c r="BN156">
        <v>0</v>
      </c>
      <c r="BO156">
        <v>-0.875</v>
      </c>
      <c r="BP156">
        <v>0.1</v>
      </c>
      <c r="BQ156">
        <v>375</v>
      </c>
      <c r="BR156">
        <v>14</v>
      </c>
      <c r="BS156">
        <v>0.27</v>
      </c>
      <c r="BT156">
        <v>0.04</v>
      </c>
      <c r="BU156">
        <v>-0.39484071428571399</v>
      </c>
      <c r="BV156">
        <v>-0.56316319480519506</v>
      </c>
      <c r="BW156">
        <v>6.14189057818696E-2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0.90434014285714304</v>
      </c>
      <c r="CD156">
        <v>1.3192559220779201</v>
      </c>
      <c r="CE156">
        <v>0.13552169118325699</v>
      </c>
      <c r="CF156">
        <v>0</v>
      </c>
      <c r="CG156">
        <v>0</v>
      </c>
      <c r="CH156">
        <v>2</v>
      </c>
      <c r="CI156" t="s">
        <v>290</v>
      </c>
      <c r="CJ156">
        <v>3.5324800000000001</v>
      </c>
      <c r="CK156">
        <v>2.7021799999999998</v>
      </c>
      <c r="CL156">
        <v>0.11340699999999999</v>
      </c>
      <c r="CM156">
        <v>0.111886</v>
      </c>
      <c r="CN156">
        <v>8.9047600000000005E-2</v>
      </c>
      <c r="CO156">
        <v>8.3549100000000001E-2</v>
      </c>
      <c r="CP156">
        <v>31106.3</v>
      </c>
      <c r="CQ156">
        <v>27355.3</v>
      </c>
      <c r="CR156">
        <v>32470.9</v>
      </c>
      <c r="CS156">
        <v>30726.6</v>
      </c>
      <c r="CT156">
        <v>40045.199999999997</v>
      </c>
      <c r="CU156">
        <v>39594.800000000003</v>
      </c>
      <c r="CV156">
        <v>47415</v>
      </c>
      <c r="CW156">
        <v>46854.9</v>
      </c>
      <c r="CX156">
        <v>2.629</v>
      </c>
      <c r="CY156">
        <v>2.1562199999999998</v>
      </c>
      <c r="CZ156">
        <v>0</v>
      </c>
      <c r="DA156">
        <v>0</v>
      </c>
      <c r="DB156">
        <v>999.9</v>
      </c>
      <c r="DC156">
        <v>999.9</v>
      </c>
      <c r="DD156">
        <v>57.868000000000002</v>
      </c>
      <c r="DE156">
        <v>25.72</v>
      </c>
      <c r="DF156">
        <v>19.218800000000002</v>
      </c>
      <c r="DG156">
        <v>30.1919</v>
      </c>
      <c r="DH156">
        <v>15.352600000000001</v>
      </c>
      <c r="DI156">
        <v>2</v>
      </c>
      <c r="DJ156">
        <v>-0.155138</v>
      </c>
      <c r="DK156">
        <v>1.6473599999999999</v>
      </c>
      <c r="DL156">
        <v>20.2029</v>
      </c>
      <c r="DM156">
        <v>5.25</v>
      </c>
      <c r="DN156">
        <v>12.033899999999999</v>
      </c>
      <c r="DO156">
        <v>4.9672400000000003</v>
      </c>
      <c r="DP156">
        <v>3.2906</v>
      </c>
      <c r="DQ156">
        <v>9999</v>
      </c>
      <c r="DR156">
        <v>9999</v>
      </c>
      <c r="DS156">
        <v>9999</v>
      </c>
      <c r="DT156">
        <v>604.70000000000005</v>
      </c>
      <c r="DU156">
        <v>1.87104</v>
      </c>
      <c r="DV156">
        <v>1.8761399999999999</v>
      </c>
      <c r="DW156">
        <v>1.8763000000000001</v>
      </c>
      <c r="DX156">
        <v>1.88279</v>
      </c>
      <c r="DY156">
        <v>1.87561</v>
      </c>
      <c r="DZ156">
        <v>1.8746400000000001</v>
      </c>
      <c r="EA156">
        <v>1.87077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-0.875</v>
      </c>
      <c r="EQ156">
        <v>0.1002</v>
      </c>
      <c r="ER156">
        <v>-0.87549999999998795</v>
      </c>
      <c r="ES156">
        <v>0</v>
      </c>
      <c r="ET156">
        <v>0</v>
      </c>
      <c r="EU156">
        <v>0</v>
      </c>
      <c r="EV156">
        <v>0.100239999999996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6.6</v>
      </c>
      <c r="FE156">
        <v>6.6</v>
      </c>
      <c r="FF156">
        <v>1.4599599999999999</v>
      </c>
      <c r="FG156">
        <v>2.5817899999999998</v>
      </c>
      <c r="FH156">
        <v>2.19604</v>
      </c>
      <c r="FI156">
        <v>2.5805699999999998</v>
      </c>
      <c r="FJ156">
        <v>2.4462899999999999</v>
      </c>
      <c r="FK156">
        <v>2.2997999999999998</v>
      </c>
      <c r="FL156">
        <v>30.911899999999999</v>
      </c>
      <c r="FM156">
        <v>24.148800000000001</v>
      </c>
      <c r="FN156">
        <v>19</v>
      </c>
      <c r="FO156">
        <v>864.20799999999997</v>
      </c>
      <c r="FP156">
        <v>591.71400000000006</v>
      </c>
      <c r="FQ156">
        <v>18.065999999999999</v>
      </c>
      <c r="FR156">
        <v>25.097799999999999</v>
      </c>
      <c r="FS156">
        <v>30</v>
      </c>
      <c r="FT156">
        <v>25.0763</v>
      </c>
      <c r="FU156">
        <v>25.075600000000001</v>
      </c>
      <c r="FV156">
        <v>29.296199999999999</v>
      </c>
      <c r="FW156">
        <v>27.956700000000001</v>
      </c>
      <c r="FX156">
        <v>47.083399999999997</v>
      </c>
      <c r="FY156">
        <v>18.14</v>
      </c>
      <c r="FZ156">
        <v>500</v>
      </c>
      <c r="GA156">
        <v>14.584</v>
      </c>
      <c r="GB156">
        <v>99.915300000000002</v>
      </c>
      <c r="GC156">
        <v>99.747600000000006</v>
      </c>
    </row>
    <row r="157" spans="1:185" x14ac:dyDescent="0.2">
      <c r="A157">
        <v>142</v>
      </c>
      <c r="B157">
        <v>1771088328.0999999</v>
      </c>
      <c r="C157">
        <v>3008.0999999046298</v>
      </c>
      <c r="D157" t="s">
        <v>581</v>
      </c>
      <c r="E157" t="s">
        <v>582</v>
      </c>
      <c r="F157">
        <v>15</v>
      </c>
      <c r="G157">
        <v>1771088320.03333</v>
      </c>
      <c r="H157">
        <f t="shared" si="26"/>
        <v>9.4276637404899484E-4</v>
      </c>
      <c r="I157">
        <v>0</v>
      </c>
      <c r="J157">
        <f t="shared" si="38"/>
        <v>5.6145844109238021E-4</v>
      </c>
      <c r="K157">
        <f t="shared" si="27"/>
        <v>1.5218856081135178E-2</v>
      </c>
      <c r="L157">
        <f t="shared" si="28"/>
        <v>72.139185955547518</v>
      </c>
      <c r="M157">
        <f t="shared" si="29"/>
        <v>1.5800201958034426</v>
      </c>
      <c r="N157">
        <f t="shared" si="30"/>
        <v>2.1902384603799909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26214.247706944818</v>
      </c>
      <c r="T157">
        <f t="shared" si="34"/>
        <v>799.99913333333302</v>
      </c>
      <c r="U157">
        <f t="shared" si="35"/>
        <v>674.39923372003818</v>
      </c>
      <c r="V157">
        <f t="shared" si="36"/>
        <v>0.84299995539999972</v>
      </c>
      <c r="W157">
        <f t="shared" si="37"/>
        <v>0.15869958968399997</v>
      </c>
      <c r="X157">
        <v>1</v>
      </c>
      <c r="Y157">
        <v>1771088320.03333</v>
      </c>
      <c r="Z157">
        <v>499.501933333333</v>
      </c>
      <c r="AA157">
        <v>500.1096</v>
      </c>
      <c r="AB157">
        <v>15.8003066666667</v>
      </c>
      <c r="AC157">
        <v>14.6404666666667</v>
      </c>
      <c r="AD157">
        <v>500.37753333333302</v>
      </c>
      <c r="AE157">
        <v>15.70008</v>
      </c>
      <c r="AF157">
        <v>799.99860000000001</v>
      </c>
      <c r="AG157">
        <v>99.934686666666707</v>
      </c>
      <c r="AH157">
        <v>6.4650633333333304E-2</v>
      </c>
      <c r="AI157">
        <v>18.891093333333298</v>
      </c>
      <c r="AJ157">
        <v>999.9</v>
      </c>
      <c r="AK157">
        <v>999.9</v>
      </c>
      <c r="AL157">
        <v>0</v>
      </c>
      <c r="AM157">
        <v>0</v>
      </c>
      <c r="AN157">
        <v>4999.8999999999996</v>
      </c>
      <c r="AO157">
        <v>0</v>
      </c>
      <c r="AP157">
        <v>2.14547</v>
      </c>
      <c r="AQ157">
        <v>-0.60764573333333305</v>
      </c>
      <c r="AR157">
        <v>507.52093333333301</v>
      </c>
      <c r="AS157">
        <v>507.54033333333302</v>
      </c>
      <c r="AT157">
        <v>1.15985</v>
      </c>
      <c r="AU157">
        <v>500.1096</v>
      </c>
      <c r="AV157">
        <v>14.6404666666667</v>
      </c>
      <c r="AW157">
        <v>1.579</v>
      </c>
      <c r="AX157">
        <v>1.46309133333333</v>
      </c>
      <c r="AY157">
        <v>13.755326666666701</v>
      </c>
      <c r="AZ157">
        <v>12.5876133333333</v>
      </c>
      <c r="BA157">
        <v>799.99913333333302</v>
      </c>
      <c r="BB157">
        <v>0.90000593333333301</v>
      </c>
      <c r="BC157">
        <v>0</v>
      </c>
      <c r="BD157">
        <v>9.9994219999999995E-2</v>
      </c>
      <c r="BE157">
        <v>0</v>
      </c>
      <c r="BF157">
        <v>25</v>
      </c>
      <c r="BG157">
        <v>13191.026666666699</v>
      </c>
      <c r="BH157">
        <v>1771087918.0999999</v>
      </c>
      <c r="BI157" t="s">
        <v>550</v>
      </c>
      <c r="BJ157">
        <v>1771087916.0999999</v>
      </c>
      <c r="BK157">
        <v>1771087918.0999999</v>
      </c>
      <c r="BL157">
        <v>5</v>
      </c>
      <c r="BM157">
        <v>-0.34200000000000003</v>
      </c>
      <c r="BN157">
        <v>0</v>
      </c>
      <c r="BO157">
        <v>-0.875</v>
      </c>
      <c r="BP157">
        <v>0.1</v>
      </c>
      <c r="BQ157">
        <v>375</v>
      </c>
      <c r="BR157">
        <v>14</v>
      </c>
      <c r="BS157">
        <v>0.27</v>
      </c>
      <c r="BT157">
        <v>0.04</v>
      </c>
      <c r="BU157">
        <v>-0.57618564999999999</v>
      </c>
      <c r="BV157">
        <v>-0.55937607518796995</v>
      </c>
      <c r="BW157">
        <v>7.6033986159660893E-2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1.135251</v>
      </c>
      <c r="CD157">
        <v>0.54167999999999905</v>
      </c>
      <c r="CE157">
        <v>5.3386669862429098E-2</v>
      </c>
      <c r="CF157">
        <v>0</v>
      </c>
      <c r="CG157">
        <v>0</v>
      </c>
      <c r="CH157">
        <v>2</v>
      </c>
      <c r="CI157" t="s">
        <v>290</v>
      </c>
      <c r="CJ157">
        <v>3.53254</v>
      </c>
      <c r="CK157">
        <v>2.70261</v>
      </c>
      <c r="CL157">
        <v>0.113383</v>
      </c>
      <c r="CM157">
        <v>0.11187900000000001</v>
      </c>
      <c r="CN157">
        <v>8.8405600000000001E-2</v>
      </c>
      <c r="CO157">
        <v>8.2393800000000003E-2</v>
      </c>
      <c r="CP157">
        <v>31106.5</v>
      </c>
      <c r="CQ157">
        <v>27355.1</v>
      </c>
      <c r="CR157">
        <v>32470.3</v>
      </c>
      <c r="CS157">
        <v>30726.1</v>
      </c>
      <c r="CT157">
        <v>40074.1</v>
      </c>
      <c r="CU157">
        <v>39645.4</v>
      </c>
      <c r="CV157">
        <v>47414.6</v>
      </c>
      <c r="CW157">
        <v>46854</v>
      </c>
      <c r="CX157">
        <v>2.6292800000000001</v>
      </c>
      <c r="CY157">
        <v>2.1550400000000001</v>
      </c>
      <c r="CZ157">
        <v>0</v>
      </c>
      <c r="DA157">
        <v>0</v>
      </c>
      <c r="DB157">
        <v>999.9</v>
      </c>
      <c r="DC157">
        <v>999.9</v>
      </c>
      <c r="DD157">
        <v>57.795000000000002</v>
      </c>
      <c r="DE157">
        <v>25.73</v>
      </c>
      <c r="DF157">
        <v>19.204599999999999</v>
      </c>
      <c r="DG157">
        <v>29.831900000000001</v>
      </c>
      <c r="DH157">
        <v>15.304500000000001</v>
      </c>
      <c r="DI157">
        <v>2</v>
      </c>
      <c r="DJ157">
        <v>-0.15479100000000001</v>
      </c>
      <c r="DK157">
        <v>1.5086599999999999</v>
      </c>
      <c r="DL157">
        <v>20.204899999999999</v>
      </c>
      <c r="DM157">
        <v>5.25251</v>
      </c>
      <c r="DN157">
        <v>12.033899999999999</v>
      </c>
      <c r="DO157">
        <v>4.9676400000000003</v>
      </c>
      <c r="DP157">
        <v>3.2909999999999999</v>
      </c>
      <c r="DQ157">
        <v>9999</v>
      </c>
      <c r="DR157">
        <v>9999</v>
      </c>
      <c r="DS157">
        <v>9999</v>
      </c>
      <c r="DT157">
        <v>604.70000000000005</v>
      </c>
      <c r="DU157">
        <v>1.8710500000000001</v>
      </c>
      <c r="DV157">
        <v>1.87609</v>
      </c>
      <c r="DW157">
        <v>1.8762799999999999</v>
      </c>
      <c r="DX157">
        <v>1.88279</v>
      </c>
      <c r="DY157">
        <v>1.8755999999999999</v>
      </c>
      <c r="DZ157">
        <v>1.87462</v>
      </c>
      <c r="EA157">
        <v>1.8707499999999999</v>
      </c>
      <c r="EB157">
        <v>1.8746400000000001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-0.876</v>
      </c>
      <c r="EQ157">
        <v>0.1003</v>
      </c>
      <c r="ER157">
        <v>-0.87549999999998795</v>
      </c>
      <c r="ES157">
        <v>0</v>
      </c>
      <c r="ET157">
        <v>0</v>
      </c>
      <c r="EU157">
        <v>0</v>
      </c>
      <c r="EV157">
        <v>0.100239999999996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6.9</v>
      </c>
      <c r="FE157">
        <v>6.8</v>
      </c>
      <c r="FF157">
        <v>1.4599599999999999</v>
      </c>
      <c r="FG157">
        <v>2.5830099999999998</v>
      </c>
      <c r="FH157">
        <v>2.19604</v>
      </c>
      <c r="FI157">
        <v>2.5805699999999998</v>
      </c>
      <c r="FJ157">
        <v>2.4462899999999999</v>
      </c>
      <c r="FK157">
        <v>2.2766099999999998</v>
      </c>
      <c r="FL157">
        <v>30.933499999999999</v>
      </c>
      <c r="FM157">
        <v>24.148800000000001</v>
      </c>
      <c r="FN157">
        <v>19</v>
      </c>
      <c r="FO157">
        <v>864.54399999999998</v>
      </c>
      <c r="FP157">
        <v>590.85500000000002</v>
      </c>
      <c r="FQ157">
        <v>18.325900000000001</v>
      </c>
      <c r="FR157">
        <v>25.104199999999999</v>
      </c>
      <c r="FS157">
        <v>30.0002</v>
      </c>
      <c r="FT157">
        <v>25.0809</v>
      </c>
      <c r="FU157">
        <v>25.081099999999999</v>
      </c>
      <c r="FV157">
        <v>29.283999999999999</v>
      </c>
      <c r="FW157">
        <v>28.8474</v>
      </c>
      <c r="FX157">
        <v>46.704500000000003</v>
      </c>
      <c r="FY157">
        <v>18.374300000000002</v>
      </c>
      <c r="FZ157">
        <v>500</v>
      </c>
      <c r="GA157">
        <v>14.3857</v>
      </c>
      <c r="GB157">
        <v>99.914000000000001</v>
      </c>
      <c r="GC157">
        <v>99.745800000000003</v>
      </c>
    </row>
    <row r="158" spans="1:185" x14ac:dyDescent="0.2">
      <c r="A158">
        <v>143</v>
      </c>
      <c r="B158">
        <v>1771088343.0999999</v>
      </c>
      <c r="C158">
        <v>3023.0999999046298</v>
      </c>
      <c r="D158" t="s">
        <v>583</v>
      </c>
      <c r="E158" t="s">
        <v>584</v>
      </c>
      <c r="F158">
        <v>15</v>
      </c>
      <c r="G158">
        <v>1771088335.03333</v>
      </c>
      <c r="H158">
        <f t="shared" si="26"/>
        <v>9.9119905061865977E-4</v>
      </c>
      <c r="I158">
        <v>0</v>
      </c>
      <c r="J158">
        <f t="shared" si="38"/>
        <v>-7.099760660723599E-4</v>
      </c>
      <c r="K158">
        <f t="shared" si="27"/>
        <v>-1.924456518915876E-2</v>
      </c>
      <c r="L158">
        <f t="shared" si="28"/>
        <v>71.284416051513887</v>
      </c>
      <c r="M158">
        <f t="shared" si="29"/>
        <v>1.5658270093594178</v>
      </c>
      <c r="N158">
        <f t="shared" si="30"/>
        <v>2.1965909185927375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26225.954420512142</v>
      </c>
      <c r="T158">
        <f t="shared" si="34"/>
        <v>800.00066666666703</v>
      </c>
      <c r="U158">
        <f t="shared" si="35"/>
        <v>674.40044151990014</v>
      </c>
      <c r="V158">
        <f t="shared" si="36"/>
        <v>0.84299984940000028</v>
      </c>
      <c r="W158">
        <f t="shared" si="37"/>
        <v>0.15869971444400005</v>
      </c>
      <c r="X158">
        <v>1</v>
      </c>
      <c r="Y158">
        <v>1771088335.03333</v>
      </c>
      <c r="Z158">
        <v>499.37733333333301</v>
      </c>
      <c r="AA158">
        <v>499.97199999999998</v>
      </c>
      <c r="AB158">
        <v>15.65842</v>
      </c>
      <c r="AC158">
        <v>14.438833333333299</v>
      </c>
      <c r="AD158">
        <v>500.25293333333298</v>
      </c>
      <c r="AE158">
        <v>15.558146666666699</v>
      </c>
      <c r="AF158">
        <v>800.00746666666703</v>
      </c>
      <c r="AG158">
        <v>99.934353333333306</v>
      </c>
      <c r="AH158">
        <v>6.4689313333333304E-2</v>
      </c>
      <c r="AI158">
        <v>18.937473333333301</v>
      </c>
      <c r="AJ158">
        <v>999.9</v>
      </c>
      <c r="AK158">
        <v>999.9</v>
      </c>
      <c r="AL158">
        <v>0</v>
      </c>
      <c r="AM158">
        <v>0</v>
      </c>
      <c r="AN158">
        <v>5002.5333333333301</v>
      </c>
      <c r="AO158">
        <v>0</v>
      </c>
      <c r="AP158">
        <v>2.14547</v>
      </c>
      <c r="AQ158">
        <v>-0.59452733333333296</v>
      </c>
      <c r="AR158">
        <v>507.32119999999998</v>
      </c>
      <c r="AS158">
        <v>507.29666666666702</v>
      </c>
      <c r="AT158">
        <v>1.21957733333333</v>
      </c>
      <c r="AU158">
        <v>499.97199999999998</v>
      </c>
      <c r="AV158">
        <v>14.438833333333299</v>
      </c>
      <c r="AW158">
        <v>1.56481133333333</v>
      </c>
      <c r="AX158">
        <v>1.44293466666667</v>
      </c>
      <c r="AY158">
        <v>13.6165533333333</v>
      </c>
      <c r="AZ158">
        <v>12.3764466666667</v>
      </c>
      <c r="BA158">
        <v>800.00066666666703</v>
      </c>
      <c r="BB158">
        <v>0.90000366666666698</v>
      </c>
      <c r="BC158">
        <v>0</v>
      </c>
      <c r="BD158">
        <v>9.9996286666666698E-2</v>
      </c>
      <c r="BE158">
        <v>0</v>
      </c>
      <c r="BF158">
        <v>25</v>
      </c>
      <c r="BG158">
        <v>13191.0466666667</v>
      </c>
      <c r="BH158">
        <v>1771087918.0999999</v>
      </c>
      <c r="BI158" t="s">
        <v>550</v>
      </c>
      <c r="BJ158">
        <v>1771087916.0999999</v>
      </c>
      <c r="BK158">
        <v>1771087918.0999999</v>
      </c>
      <c r="BL158">
        <v>5</v>
      </c>
      <c r="BM158">
        <v>-0.34200000000000003</v>
      </c>
      <c r="BN158">
        <v>0</v>
      </c>
      <c r="BO158">
        <v>-0.875</v>
      </c>
      <c r="BP158">
        <v>0.1</v>
      </c>
      <c r="BQ158">
        <v>375</v>
      </c>
      <c r="BR158">
        <v>14</v>
      </c>
      <c r="BS158">
        <v>0.27</v>
      </c>
      <c r="BT158">
        <v>0.04</v>
      </c>
      <c r="BU158">
        <v>-0.59484110000000001</v>
      </c>
      <c r="BV158">
        <v>-8.5111218045112597E-2</v>
      </c>
      <c r="BW158">
        <v>3.4529345218089501E-2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1.209722</v>
      </c>
      <c r="CD158">
        <v>0.124827969924812</v>
      </c>
      <c r="CE158">
        <v>1.6148644091687699E-2</v>
      </c>
      <c r="CF158">
        <v>0</v>
      </c>
      <c r="CG158">
        <v>1</v>
      </c>
      <c r="CH158">
        <v>2</v>
      </c>
      <c r="CI158" t="s">
        <v>299</v>
      </c>
      <c r="CJ158">
        <v>3.5325500000000001</v>
      </c>
      <c r="CK158">
        <v>2.7025700000000001</v>
      </c>
      <c r="CL158">
        <v>0.113356</v>
      </c>
      <c r="CM158">
        <v>0.11186</v>
      </c>
      <c r="CN158">
        <v>8.7866899999999998E-2</v>
      </c>
      <c r="CO158">
        <v>8.1745600000000002E-2</v>
      </c>
      <c r="CP158">
        <v>31107</v>
      </c>
      <c r="CQ158">
        <v>27355.599999999999</v>
      </c>
      <c r="CR158">
        <v>32469.9</v>
      </c>
      <c r="CS158">
        <v>30726.1</v>
      </c>
      <c r="CT158">
        <v>40098</v>
      </c>
      <c r="CU158">
        <v>39674.6</v>
      </c>
      <c r="CV158">
        <v>47413.9</v>
      </c>
      <c r="CW158">
        <v>46854.3</v>
      </c>
      <c r="CX158">
        <v>2.6294</v>
      </c>
      <c r="CY158">
        <v>2.1545399999999999</v>
      </c>
      <c r="CZ158">
        <v>0</v>
      </c>
      <c r="DA158">
        <v>0</v>
      </c>
      <c r="DB158">
        <v>999.9</v>
      </c>
      <c r="DC158">
        <v>999.9</v>
      </c>
      <c r="DD158">
        <v>57.746000000000002</v>
      </c>
      <c r="DE158">
        <v>25.74</v>
      </c>
      <c r="DF158">
        <v>19.200600000000001</v>
      </c>
      <c r="DG158">
        <v>30.2819</v>
      </c>
      <c r="DH158">
        <v>15.3405</v>
      </c>
      <c r="DI158">
        <v>2</v>
      </c>
      <c r="DJ158">
        <v>-0.15401599999999999</v>
      </c>
      <c r="DK158">
        <v>1.5252300000000001</v>
      </c>
      <c r="DL158">
        <v>20.204999999999998</v>
      </c>
      <c r="DM158">
        <v>5.2527499999999998</v>
      </c>
      <c r="DN158">
        <v>12.033899999999999</v>
      </c>
      <c r="DO158">
        <v>4.9676799999999997</v>
      </c>
      <c r="DP158">
        <v>3.2909999999999999</v>
      </c>
      <c r="DQ158">
        <v>9999</v>
      </c>
      <c r="DR158">
        <v>9999</v>
      </c>
      <c r="DS158">
        <v>9999</v>
      </c>
      <c r="DT158">
        <v>604.70000000000005</v>
      </c>
      <c r="DU158">
        <v>1.8710500000000001</v>
      </c>
      <c r="DV158">
        <v>1.8761300000000001</v>
      </c>
      <c r="DW158">
        <v>1.8763300000000001</v>
      </c>
      <c r="DX158">
        <v>1.88279</v>
      </c>
      <c r="DY158">
        <v>1.87561</v>
      </c>
      <c r="DZ158">
        <v>1.8746499999999999</v>
      </c>
      <c r="EA158">
        <v>1.87076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-0.876</v>
      </c>
      <c r="EQ158">
        <v>0.1002</v>
      </c>
      <c r="ER158">
        <v>-0.87549999999998795</v>
      </c>
      <c r="ES158">
        <v>0</v>
      </c>
      <c r="ET158">
        <v>0</v>
      </c>
      <c r="EU158">
        <v>0</v>
      </c>
      <c r="EV158">
        <v>0.100239999999996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7.1</v>
      </c>
      <c r="FE158">
        <v>7.1</v>
      </c>
      <c r="FF158">
        <v>1.4599599999999999</v>
      </c>
      <c r="FG158">
        <v>2.5793499999999998</v>
      </c>
      <c r="FH158">
        <v>2.19604</v>
      </c>
      <c r="FI158">
        <v>2.5805699999999998</v>
      </c>
      <c r="FJ158">
        <v>2.4462899999999999</v>
      </c>
      <c r="FK158">
        <v>2.2839399999999999</v>
      </c>
      <c r="FL158">
        <v>30.933499999999999</v>
      </c>
      <c r="FM158">
        <v>24.148800000000001</v>
      </c>
      <c r="FN158">
        <v>19</v>
      </c>
      <c r="FO158">
        <v>864.75</v>
      </c>
      <c r="FP158">
        <v>590.53700000000003</v>
      </c>
      <c r="FQ158">
        <v>18.494599999999998</v>
      </c>
      <c r="FR158">
        <v>25.109300000000001</v>
      </c>
      <c r="FS158">
        <v>30.000299999999999</v>
      </c>
      <c r="FT158">
        <v>25.0868</v>
      </c>
      <c r="FU158">
        <v>25.087399999999999</v>
      </c>
      <c r="FV158">
        <v>29.2883</v>
      </c>
      <c r="FW158">
        <v>29.4618</v>
      </c>
      <c r="FX158">
        <v>46.704500000000003</v>
      </c>
      <c r="FY158">
        <v>18.512</v>
      </c>
      <c r="FZ158">
        <v>500</v>
      </c>
      <c r="GA158">
        <v>14.268800000000001</v>
      </c>
      <c r="GB158">
        <v>99.912599999999998</v>
      </c>
      <c r="GC158">
        <v>99.746300000000005</v>
      </c>
    </row>
    <row r="159" spans="1:185" x14ac:dyDescent="0.2">
      <c r="A159">
        <v>144</v>
      </c>
      <c r="B159">
        <v>1771088358.0999999</v>
      </c>
      <c r="C159">
        <v>3038.0999999046298</v>
      </c>
      <c r="D159" t="s">
        <v>585</v>
      </c>
      <c r="E159" t="s">
        <v>586</v>
      </c>
      <c r="F159">
        <v>15</v>
      </c>
      <c r="G159">
        <v>1771088350.03333</v>
      </c>
      <c r="H159">
        <f t="shared" si="26"/>
        <v>9.8494050172221077E-4</v>
      </c>
      <c r="I159">
        <v>0</v>
      </c>
      <c r="J159">
        <f t="shared" si="38"/>
        <v>3.1925748260897995E-3</v>
      </c>
      <c r="K159">
        <f t="shared" si="27"/>
        <v>8.6537726126236031E-2</v>
      </c>
      <c r="L159">
        <f t="shared" si="28"/>
        <v>70.551812837912237</v>
      </c>
      <c r="M159">
        <f t="shared" si="29"/>
        <v>1.554616570894584</v>
      </c>
      <c r="N159">
        <f t="shared" si="30"/>
        <v>2.2035104533262735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26199.432352989621</v>
      </c>
      <c r="T159">
        <f t="shared" si="34"/>
        <v>799.99933333333297</v>
      </c>
      <c r="U159">
        <f t="shared" si="35"/>
        <v>674.39938744004166</v>
      </c>
      <c r="V159">
        <f t="shared" si="36"/>
        <v>0.84299993679999974</v>
      </c>
      <c r="W159">
        <f t="shared" si="37"/>
        <v>0.15869950420799997</v>
      </c>
      <c r="X159">
        <v>1</v>
      </c>
      <c r="Y159">
        <v>1771088350.03333</v>
      </c>
      <c r="Z159">
        <v>499.28186666666699</v>
      </c>
      <c r="AA159">
        <v>500.00473333333298</v>
      </c>
      <c r="AB159">
        <v>15.546340000000001</v>
      </c>
      <c r="AC159">
        <v>14.33432</v>
      </c>
      <c r="AD159">
        <v>500.157266666667</v>
      </c>
      <c r="AE159">
        <v>15.4460866666667</v>
      </c>
      <c r="AF159">
        <v>800.01013333333299</v>
      </c>
      <c r="AG159">
        <v>99.934426666666695</v>
      </c>
      <c r="AH159">
        <v>6.4452226666666695E-2</v>
      </c>
      <c r="AI159">
        <v>18.987860000000001</v>
      </c>
      <c r="AJ159">
        <v>999.9</v>
      </c>
      <c r="AK159">
        <v>999.9</v>
      </c>
      <c r="AL159">
        <v>0</v>
      </c>
      <c r="AM159">
        <v>0</v>
      </c>
      <c r="AN159">
        <v>4998.8999999999996</v>
      </c>
      <c r="AO159">
        <v>0</v>
      </c>
      <c r="AP159">
        <v>2.1492339999999999</v>
      </c>
      <c r="AQ159">
        <v>-0.72288413333333301</v>
      </c>
      <c r="AR159">
        <v>507.16646666666702</v>
      </c>
      <c r="AS159">
        <v>507.27620000000002</v>
      </c>
      <c r="AT159">
        <v>1.21202066666667</v>
      </c>
      <c r="AU159">
        <v>500.00473333333298</v>
      </c>
      <c r="AV159">
        <v>14.33432</v>
      </c>
      <c r="AW159">
        <v>1.5536140000000001</v>
      </c>
      <c r="AX159">
        <v>1.4324906666666699</v>
      </c>
      <c r="AY159">
        <v>13.50624</v>
      </c>
      <c r="AZ159">
        <v>12.2660133333333</v>
      </c>
      <c r="BA159">
        <v>799.99933333333297</v>
      </c>
      <c r="BB159">
        <v>0.90000713333333304</v>
      </c>
      <c r="BC159">
        <v>0</v>
      </c>
      <c r="BD159">
        <v>9.9993040000000005E-2</v>
      </c>
      <c r="BE159">
        <v>0</v>
      </c>
      <c r="BF159">
        <v>25</v>
      </c>
      <c r="BG159">
        <v>13191.026666666699</v>
      </c>
      <c r="BH159">
        <v>1771087918.0999999</v>
      </c>
      <c r="BI159" t="s">
        <v>550</v>
      </c>
      <c r="BJ159">
        <v>1771087916.0999999</v>
      </c>
      <c r="BK159">
        <v>1771087918.0999999</v>
      </c>
      <c r="BL159">
        <v>5</v>
      </c>
      <c r="BM159">
        <v>-0.34200000000000003</v>
      </c>
      <c r="BN159">
        <v>0</v>
      </c>
      <c r="BO159">
        <v>-0.875</v>
      </c>
      <c r="BP159">
        <v>0.1</v>
      </c>
      <c r="BQ159">
        <v>375</v>
      </c>
      <c r="BR159">
        <v>14</v>
      </c>
      <c r="BS159">
        <v>0.27</v>
      </c>
      <c r="BT159">
        <v>0.04</v>
      </c>
      <c r="BU159">
        <v>-0.70066835000000005</v>
      </c>
      <c r="BV159">
        <v>-0.54249514285714395</v>
      </c>
      <c r="BW159">
        <v>5.5538970881062397E-2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1.21597</v>
      </c>
      <c r="CD159">
        <v>-0.14965714285714299</v>
      </c>
      <c r="CE159">
        <v>1.80536248437814E-2</v>
      </c>
      <c r="CF159">
        <v>0</v>
      </c>
      <c r="CG159">
        <v>0</v>
      </c>
      <c r="CH159">
        <v>2</v>
      </c>
      <c r="CI159" t="s">
        <v>290</v>
      </c>
      <c r="CJ159">
        <v>3.5325000000000002</v>
      </c>
      <c r="CK159">
        <v>2.7022499999999998</v>
      </c>
      <c r="CL159">
        <v>0.113344</v>
      </c>
      <c r="CM159">
        <v>0.11186699999999999</v>
      </c>
      <c r="CN159">
        <v>8.7480299999999997E-2</v>
      </c>
      <c r="CO159">
        <v>8.16307E-2</v>
      </c>
      <c r="CP159">
        <v>31106.400000000001</v>
      </c>
      <c r="CQ159">
        <v>27354.400000000001</v>
      </c>
      <c r="CR159">
        <v>32468.9</v>
      </c>
      <c r="CS159">
        <v>30725.1</v>
      </c>
      <c r="CT159">
        <v>40114.6</v>
      </c>
      <c r="CU159">
        <v>39678.1</v>
      </c>
      <c r="CV159">
        <v>47412.800000000003</v>
      </c>
      <c r="CW159">
        <v>46852.5</v>
      </c>
      <c r="CX159">
        <v>2.6289799999999999</v>
      </c>
      <c r="CY159">
        <v>2.15408</v>
      </c>
      <c r="CZ159">
        <v>0</v>
      </c>
      <c r="DA159">
        <v>0</v>
      </c>
      <c r="DB159">
        <v>999.9</v>
      </c>
      <c r="DC159">
        <v>999.9</v>
      </c>
      <c r="DD159">
        <v>57.679000000000002</v>
      </c>
      <c r="DE159">
        <v>25.76</v>
      </c>
      <c r="DF159">
        <v>19.1997</v>
      </c>
      <c r="DG159">
        <v>30.251899999999999</v>
      </c>
      <c r="DH159">
        <v>15.3245</v>
      </c>
      <c r="DI159">
        <v>2</v>
      </c>
      <c r="DJ159">
        <v>-0.152587</v>
      </c>
      <c r="DK159">
        <v>2.8261599999999998</v>
      </c>
      <c r="DL159">
        <v>20.1754</v>
      </c>
      <c r="DM159">
        <v>5.2527499999999998</v>
      </c>
      <c r="DN159">
        <v>12.033899999999999</v>
      </c>
      <c r="DO159">
        <v>4.9676799999999997</v>
      </c>
      <c r="DP159">
        <v>3.2909999999999999</v>
      </c>
      <c r="DQ159">
        <v>9999</v>
      </c>
      <c r="DR159">
        <v>9999</v>
      </c>
      <c r="DS159">
        <v>9999</v>
      </c>
      <c r="DT159">
        <v>604.70000000000005</v>
      </c>
      <c r="DU159">
        <v>1.8710599999999999</v>
      </c>
      <c r="DV159">
        <v>1.8761000000000001</v>
      </c>
      <c r="DW159">
        <v>1.8763099999999999</v>
      </c>
      <c r="DX159">
        <v>1.8827799999999999</v>
      </c>
      <c r="DY159">
        <v>1.8755900000000001</v>
      </c>
      <c r="DZ159">
        <v>1.8746400000000001</v>
      </c>
      <c r="EA159">
        <v>1.8707499999999999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-0.876</v>
      </c>
      <c r="EQ159">
        <v>0.1002</v>
      </c>
      <c r="ER159">
        <v>-0.87549999999998795</v>
      </c>
      <c r="ES159">
        <v>0</v>
      </c>
      <c r="ET159">
        <v>0</v>
      </c>
      <c r="EU159">
        <v>0</v>
      </c>
      <c r="EV159">
        <v>0.100239999999996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7.4</v>
      </c>
      <c r="FE159">
        <v>7.3</v>
      </c>
      <c r="FF159">
        <v>1.4599599999999999</v>
      </c>
      <c r="FG159">
        <v>2.5817899999999998</v>
      </c>
      <c r="FH159">
        <v>2.19604</v>
      </c>
      <c r="FI159">
        <v>2.5805699999999998</v>
      </c>
      <c r="FJ159">
        <v>2.4462899999999999</v>
      </c>
      <c r="FK159">
        <v>2.2363300000000002</v>
      </c>
      <c r="FL159">
        <v>30.955200000000001</v>
      </c>
      <c r="FM159">
        <v>24.122499999999999</v>
      </c>
      <c r="FN159">
        <v>19</v>
      </c>
      <c r="FO159">
        <v>864.44899999999996</v>
      </c>
      <c r="FP159">
        <v>590.25</v>
      </c>
      <c r="FQ159">
        <v>18.521999999999998</v>
      </c>
      <c r="FR159">
        <v>25.115100000000002</v>
      </c>
      <c r="FS159">
        <v>30.000900000000001</v>
      </c>
      <c r="FT159">
        <v>25.092300000000002</v>
      </c>
      <c r="FU159">
        <v>25.093599999999999</v>
      </c>
      <c r="FV159">
        <v>29.287800000000001</v>
      </c>
      <c r="FW159">
        <v>29.4618</v>
      </c>
      <c r="FX159">
        <v>46.328400000000002</v>
      </c>
      <c r="FY159">
        <v>17.957799999999999</v>
      </c>
      <c r="FZ159">
        <v>500</v>
      </c>
      <c r="GA159">
        <v>14.3134</v>
      </c>
      <c r="GB159">
        <v>99.9101</v>
      </c>
      <c r="GC159">
        <v>99.742599999999996</v>
      </c>
    </row>
    <row r="160" spans="1:185" x14ac:dyDescent="0.2">
      <c r="A160">
        <v>145</v>
      </c>
      <c r="B160">
        <v>1771088373.0999999</v>
      </c>
      <c r="C160">
        <v>3053.0999999046298</v>
      </c>
      <c r="D160" t="s">
        <v>587</v>
      </c>
      <c r="E160" t="s">
        <v>588</v>
      </c>
      <c r="F160">
        <v>15</v>
      </c>
      <c r="G160">
        <v>1771088365.03333</v>
      </c>
      <c r="H160">
        <f t="shared" si="26"/>
        <v>9.325677150914724E-4</v>
      </c>
      <c r="I160">
        <v>0</v>
      </c>
      <c r="J160">
        <f t="shared" si="38"/>
        <v>5.0908816208850381E-3</v>
      </c>
      <c r="K160">
        <f t="shared" si="27"/>
        <v>0.13799310695837902</v>
      </c>
      <c r="L160">
        <f t="shared" si="28"/>
        <v>70.092039465963154</v>
      </c>
      <c r="M160">
        <f t="shared" si="29"/>
        <v>1.5468176507847913</v>
      </c>
      <c r="N160">
        <f t="shared" si="30"/>
        <v>2.2068378414583432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26206.306041176573</v>
      </c>
      <c r="T160">
        <f t="shared" si="34"/>
        <v>799.99860000000001</v>
      </c>
      <c r="U160">
        <f t="shared" si="35"/>
        <v>674.39868140024248</v>
      </c>
      <c r="V160">
        <f t="shared" si="36"/>
        <v>0.84299982700000031</v>
      </c>
      <c r="W160">
        <f t="shared" si="37"/>
        <v>0.15869937262000006</v>
      </c>
      <c r="X160">
        <v>1</v>
      </c>
      <c r="Y160">
        <v>1771088365.03333</v>
      </c>
      <c r="Z160">
        <v>499.24813333333299</v>
      </c>
      <c r="AA160">
        <v>500.00259999999997</v>
      </c>
      <c r="AB160">
        <v>15.4683666666667</v>
      </c>
      <c r="AC160">
        <v>14.320693333333301</v>
      </c>
      <c r="AD160">
        <v>500.12380000000002</v>
      </c>
      <c r="AE160">
        <v>15.368119999999999</v>
      </c>
      <c r="AF160">
        <v>800.00326666666695</v>
      </c>
      <c r="AG160">
        <v>99.934253333333302</v>
      </c>
      <c r="AH160">
        <v>6.4517326666666694E-2</v>
      </c>
      <c r="AI160">
        <v>19.012039999999999</v>
      </c>
      <c r="AJ160">
        <v>999.9</v>
      </c>
      <c r="AK160">
        <v>999.9</v>
      </c>
      <c r="AL160">
        <v>0</v>
      </c>
      <c r="AM160">
        <v>0</v>
      </c>
      <c r="AN160">
        <v>5000.3999999999996</v>
      </c>
      <c r="AO160">
        <v>0</v>
      </c>
      <c r="AP160">
        <v>2.14547</v>
      </c>
      <c r="AQ160">
        <v>-0.75430713333333299</v>
      </c>
      <c r="AR160">
        <v>507.09206666666699</v>
      </c>
      <c r="AS160">
        <v>507.26693333333299</v>
      </c>
      <c r="AT160">
        <v>1.1476793333333299</v>
      </c>
      <c r="AU160">
        <v>500.00259999999997</v>
      </c>
      <c r="AV160">
        <v>14.320693333333301</v>
      </c>
      <c r="AW160">
        <v>1.5458193333333301</v>
      </c>
      <c r="AX160">
        <v>1.431128</v>
      </c>
      <c r="AY160">
        <v>13.4290466666667</v>
      </c>
      <c r="AZ160">
        <v>12.251526666666701</v>
      </c>
      <c r="BA160">
        <v>799.99860000000001</v>
      </c>
      <c r="BB160">
        <v>0.90000866666666701</v>
      </c>
      <c r="BC160">
        <v>0</v>
      </c>
      <c r="BD160">
        <v>9.9991433333333393E-2</v>
      </c>
      <c r="BE160">
        <v>0</v>
      </c>
      <c r="BF160">
        <v>25</v>
      </c>
      <c r="BG160">
        <v>13191.0333333333</v>
      </c>
      <c r="BH160">
        <v>1771087918.0999999</v>
      </c>
      <c r="BI160" t="s">
        <v>550</v>
      </c>
      <c r="BJ160">
        <v>1771087916.0999999</v>
      </c>
      <c r="BK160">
        <v>1771087918.0999999</v>
      </c>
      <c r="BL160">
        <v>5</v>
      </c>
      <c r="BM160">
        <v>-0.34200000000000003</v>
      </c>
      <c r="BN160">
        <v>0</v>
      </c>
      <c r="BO160">
        <v>-0.875</v>
      </c>
      <c r="BP160">
        <v>0.1</v>
      </c>
      <c r="BQ160">
        <v>375</v>
      </c>
      <c r="BR160">
        <v>14</v>
      </c>
      <c r="BS160">
        <v>0.27</v>
      </c>
      <c r="BT160">
        <v>0.04</v>
      </c>
      <c r="BU160">
        <v>-0.7593628</v>
      </c>
      <c r="BV160">
        <v>7.9075488721803894E-2</v>
      </c>
      <c r="BW160">
        <v>1.5506992514991399E-2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1.163246</v>
      </c>
      <c r="CD160">
        <v>-0.28255037593985</v>
      </c>
      <c r="CE160">
        <v>2.7305772173663201E-2</v>
      </c>
      <c r="CF160">
        <v>0</v>
      </c>
      <c r="CG160">
        <v>1</v>
      </c>
      <c r="CH160">
        <v>2</v>
      </c>
      <c r="CI160" t="s">
        <v>299</v>
      </c>
      <c r="CJ160">
        <v>3.5325600000000001</v>
      </c>
      <c r="CK160">
        <v>2.7022400000000002</v>
      </c>
      <c r="CL160">
        <v>0.113343</v>
      </c>
      <c r="CM160">
        <v>0.11186400000000001</v>
      </c>
      <c r="CN160">
        <v>8.7169399999999994E-2</v>
      </c>
      <c r="CO160">
        <v>8.1630300000000003E-2</v>
      </c>
      <c r="CP160">
        <v>31105.599999999999</v>
      </c>
      <c r="CQ160">
        <v>27354.2</v>
      </c>
      <c r="CR160">
        <v>32468</v>
      </c>
      <c r="CS160">
        <v>30724.799999999999</v>
      </c>
      <c r="CT160">
        <v>40127.599999999999</v>
      </c>
      <c r="CU160">
        <v>39678.1</v>
      </c>
      <c r="CV160">
        <v>47411.4</v>
      </c>
      <c r="CW160">
        <v>46852.4</v>
      </c>
      <c r="CX160">
        <v>2.6287400000000001</v>
      </c>
      <c r="CY160">
        <v>2.1537600000000001</v>
      </c>
      <c r="CZ160">
        <v>0</v>
      </c>
      <c r="DA160">
        <v>0</v>
      </c>
      <c r="DB160">
        <v>999.9</v>
      </c>
      <c r="DC160">
        <v>999.9</v>
      </c>
      <c r="DD160">
        <v>57.606000000000002</v>
      </c>
      <c r="DE160">
        <v>25.791</v>
      </c>
      <c r="DF160">
        <v>19.2121</v>
      </c>
      <c r="DG160">
        <v>30.161899999999999</v>
      </c>
      <c r="DH160">
        <v>15.3405</v>
      </c>
      <c r="DI160">
        <v>2</v>
      </c>
      <c r="DJ160">
        <v>-0.14907699999999999</v>
      </c>
      <c r="DK160">
        <v>2.54081</v>
      </c>
      <c r="DL160">
        <v>20.189800000000002</v>
      </c>
      <c r="DM160">
        <v>5.2529899999999996</v>
      </c>
      <c r="DN160">
        <v>12.033899999999999</v>
      </c>
      <c r="DO160">
        <v>4.9677199999999999</v>
      </c>
      <c r="DP160">
        <v>3.2910200000000001</v>
      </c>
      <c r="DQ160">
        <v>9999</v>
      </c>
      <c r="DR160">
        <v>9999</v>
      </c>
      <c r="DS160">
        <v>9999</v>
      </c>
      <c r="DT160">
        <v>604.70000000000005</v>
      </c>
      <c r="DU160">
        <v>1.8710500000000001</v>
      </c>
      <c r="DV160">
        <v>1.8761300000000001</v>
      </c>
      <c r="DW160">
        <v>1.87632</v>
      </c>
      <c r="DX160">
        <v>1.88279</v>
      </c>
      <c r="DY160">
        <v>1.87561</v>
      </c>
      <c r="DZ160">
        <v>1.8746700000000001</v>
      </c>
      <c r="EA160">
        <v>1.87076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-0.876</v>
      </c>
      <c r="EQ160">
        <v>0.1003</v>
      </c>
      <c r="ER160">
        <v>-0.87549999999998795</v>
      </c>
      <c r="ES160">
        <v>0</v>
      </c>
      <c r="ET160">
        <v>0</v>
      </c>
      <c r="EU160">
        <v>0</v>
      </c>
      <c r="EV160">
        <v>0.100239999999996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7.6</v>
      </c>
      <c r="FE160">
        <v>7.6</v>
      </c>
      <c r="FF160">
        <v>1.4599599999999999</v>
      </c>
      <c r="FG160">
        <v>2.5805699999999998</v>
      </c>
      <c r="FH160">
        <v>2.19604</v>
      </c>
      <c r="FI160">
        <v>2.5805699999999998</v>
      </c>
      <c r="FJ160">
        <v>2.4462899999999999</v>
      </c>
      <c r="FK160">
        <v>2.2717299999999998</v>
      </c>
      <c r="FL160">
        <v>30.955200000000001</v>
      </c>
      <c r="FM160">
        <v>24.14</v>
      </c>
      <c r="FN160">
        <v>19</v>
      </c>
      <c r="FO160">
        <v>864.31600000000003</v>
      </c>
      <c r="FP160">
        <v>590.06399999999996</v>
      </c>
      <c r="FQ160">
        <v>17.862500000000001</v>
      </c>
      <c r="FR160">
        <v>25.119800000000001</v>
      </c>
      <c r="FS160">
        <v>29.998999999999999</v>
      </c>
      <c r="FT160">
        <v>25.097799999999999</v>
      </c>
      <c r="FU160">
        <v>25.0992</v>
      </c>
      <c r="FV160">
        <v>29.287099999999999</v>
      </c>
      <c r="FW160">
        <v>29.4618</v>
      </c>
      <c r="FX160">
        <v>46.328400000000002</v>
      </c>
      <c r="FY160">
        <v>17.918700000000001</v>
      </c>
      <c r="FZ160">
        <v>500</v>
      </c>
      <c r="GA160">
        <v>14.34</v>
      </c>
      <c r="GB160">
        <v>99.9071</v>
      </c>
      <c r="GC160">
        <v>99.742099999999994</v>
      </c>
    </row>
    <row r="161" spans="1:185" x14ac:dyDescent="0.2">
      <c r="A161">
        <v>146</v>
      </c>
      <c r="B161">
        <v>1771088388.0999999</v>
      </c>
      <c r="C161">
        <v>3068.0999999046298</v>
      </c>
      <c r="D161" t="s">
        <v>589</v>
      </c>
      <c r="E161" t="s">
        <v>590</v>
      </c>
      <c r="F161">
        <v>15</v>
      </c>
      <c r="G161">
        <v>1771088380.03333</v>
      </c>
      <c r="H161">
        <f t="shared" si="26"/>
        <v>9.0609858188068397E-4</v>
      </c>
      <c r="I161">
        <v>0</v>
      </c>
      <c r="J161">
        <f t="shared" si="38"/>
        <v>5.2228027981570616E-3</v>
      </c>
      <c r="K161">
        <f t="shared" si="27"/>
        <v>0.14156895383148091</v>
      </c>
      <c r="L161">
        <f t="shared" si="28"/>
        <v>70.007501988932091</v>
      </c>
      <c r="M161">
        <f t="shared" si="29"/>
        <v>1.5422394996675179</v>
      </c>
      <c r="N161">
        <f t="shared" si="30"/>
        <v>2.202963190875372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26236.353951312336</v>
      </c>
      <c r="T161">
        <f t="shared" si="34"/>
        <v>800.00006666666695</v>
      </c>
      <c r="U161">
        <f t="shared" si="35"/>
        <v>674.39997971999389</v>
      </c>
      <c r="V161">
        <f t="shared" si="36"/>
        <v>0.84299990440000006</v>
      </c>
      <c r="W161">
        <f t="shared" si="37"/>
        <v>0.15869939722400003</v>
      </c>
      <c r="X161">
        <v>1</v>
      </c>
      <c r="Y161">
        <v>1771088380.03333</v>
      </c>
      <c r="Z161">
        <v>499.24206666666697</v>
      </c>
      <c r="AA161">
        <v>499.984466666667</v>
      </c>
      <c r="AB161">
        <v>15.4229</v>
      </c>
      <c r="AC161">
        <v>14.3077666666667</v>
      </c>
      <c r="AD161">
        <v>500.11739999999998</v>
      </c>
      <c r="AE161">
        <v>15.322660000000001</v>
      </c>
      <c r="AF161">
        <v>800.01546666666695</v>
      </c>
      <c r="AG161">
        <v>99.932146666666696</v>
      </c>
      <c r="AH161">
        <v>6.4578960000000005E-2</v>
      </c>
      <c r="AI161">
        <v>18.983879999999999</v>
      </c>
      <c r="AJ161">
        <v>999.9</v>
      </c>
      <c r="AK161">
        <v>999.9</v>
      </c>
      <c r="AL161">
        <v>0</v>
      </c>
      <c r="AM161">
        <v>0</v>
      </c>
      <c r="AN161">
        <v>5005.0333333333301</v>
      </c>
      <c r="AO161">
        <v>0</v>
      </c>
      <c r="AP161">
        <v>2.14547</v>
      </c>
      <c r="AQ161">
        <v>-0.74253746666666698</v>
      </c>
      <c r="AR161">
        <v>507.06240000000003</v>
      </c>
      <c r="AS161">
        <v>507.24206666666697</v>
      </c>
      <c r="AT161">
        <v>1.1151386666666701</v>
      </c>
      <c r="AU161">
        <v>499.984466666667</v>
      </c>
      <c r="AV161">
        <v>14.3077666666667</v>
      </c>
      <c r="AW161">
        <v>1.54124333333333</v>
      </c>
      <c r="AX161">
        <v>1.4298046666666699</v>
      </c>
      <c r="AY161">
        <v>13.383566666666701</v>
      </c>
      <c r="AZ161">
        <v>12.23746</v>
      </c>
      <c r="BA161">
        <v>800.00006666666695</v>
      </c>
      <c r="BB161">
        <v>0.90000860000000005</v>
      </c>
      <c r="BC161">
        <v>0</v>
      </c>
      <c r="BD161">
        <v>9.9991586666666701E-2</v>
      </c>
      <c r="BE161">
        <v>0</v>
      </c>
      <c r="BF161">
        <v>25</v>
      </c>
      <c r="BG161">
        <v>13191.0666666667</v>
      </c>
      <c r="BH161">
        <v>1771087918.0999999</v>
      </c>
      <c r="BI161" t="s">
        <v>550</v>
      </c>
      <c r="BJ161">
        <v>1771087916.0999999</v>
      </c>
      <c r="BK161">
        <v>1771087918.0999999</v>
      </c>
      <c r="BL161">
        <v>5</v>
      </c>
      <c r="BM161">
        <v>-0.34200000000000003</v>
      </c>
      <c r="BN161">
        <v>0</v>
      </c>
      <c r="BO161">
        <v>-0.875</v>
      </c>
      <c r="BP161">
        <v>0.1</v>
      </c>
      <c r="BQ161">
        <v>375</v>
      </c>
      <c r="BR161">
        <v>14</v>
      </c>
      <c r="BS161">
        <v>0.27</v>
      </c>
      <c r="BT161">
        <v>0.04</v>
      </c>
      <c r="BU161">
        <v>-0.74258884999999997</v>
      </c>
      <c r="BV161">
        <v>-3.8613428571429499E-2</v>
      </c>
      <c r="BW161">
        <v>2.2411809860595801E-2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1.116576</v>
      </c>
      <c r="CD161">
        <v>5.5849624060383104E-4</v>
      </c>
      <c r="CE161">
        <v>6.0821989444607696E-3</v>
      </c>
      <c r="CF161">
        <v>1</v>
      </c>
      <c r="CG161">
        <v>2</v>
      </c>
      <c r="CH161">
        <v>2</v>
      </c>
      <c r="CI161" t="s">
        <v>310</v>
      </c>
      <c r="CJ161">
        <v>3.5325199999999999</v>
      </c>
      <c r="CK161">
        <v>2.7023999999999999</v>
      </c>
      <c r="CL161">
        <v>0.11333500000000001</v>
      </c>
      <c r="CM161">
        <v>0.11186400000000001</v>
      </c>
      <c r="CN161">
        <v>8.7079199999999995E-2</v>
      </c>
      <c r="CO161">
        <v>8.1509899999999996E-2</v>
      </c>
      <c r="CP161">
        <v>31107.4</v>
      </c>
      <c r="CQ161">
        <v>27355.3</v>
      </c>
      <c r="CR161">
        <v>32469.599999999999</v>
      </c>
      <c r="CS161">
        <v>30726</v>
      </c>
      <c r="CT161">
        <v>40133.599999999999</v>
      </c>
      <c r="CU161">
        <v>39684.800000000003</v>
      </c>
      <c r="CV161">
        <v>47413.7</v>
      </c>
      <c r="CW161">
        <v>46854.1</v>
      </c>
      <c r="CX161">
        <v>2.6286</v>
      </c>
      <c r="CY161">
        <v>2.1535199999999999</v>
      </c>
      <c r="CZ161">
        <v>0</v>
      </c>
      <c r="DA161">
        <v>0</v>
      </c>
      <c r="DB161">
        <v>999.9</v>
      </c>
      <c r="DC161">
        <v>999.9</v>
      </c>
      <c r="DD161">
        <v>57.52</v>
      </c>
      <c r="DE161">
        <v>25.800999999999998</v>
      </c>
      <c r="DF161">
        <v>19.194800000000001</v>
      </c>
      <c r="DG161">
        <v>30.1919</v>
      </c>
      <c r="DH161">
        <v>15.2804</v>
      </c>
      <c r="DI161">
        <v>2</v>
      </c>
      <c r="DJ161">
        <v>-0.15079699999999999</v>
      </c>
      <c r="DK161">
        <v>2.2345199999999998</v>
      </c>
      <c r="DL161">
        <v>20.195799999999998</v>
      </c>
      <c r="DM161">
        <v>5.2529899999999996</v>
      </c>
      <c r="DN161">
        <v>12.033899999999999</v>
      </c>
      <c r="DO161">
        <v>4.9676</v>
      </c>
      <c r="DP161">
        <v>3.2909999999999999</v>
      </c>
      <c r="DQ161">
        <v>9999</v>
      </c>
      <c r="DR161">
        <v>9999</v>
      </c>
      <c r="DS161">
        <v>9999</v>
      </c>
      <c r="DT161">
        <v>604.70000000000005</v>
      </c>
      <c r="DU161">
        <v>1.87103</v>
      </c>
      <c r="DV161">
        <v>1.87609</v>
      </c>
      <c r="DW161">
        <v>1.87629</v>
      </c>
      <c r="DX161">
        <v>1.8827799999999999</v>
      </c>
      <c r="DY161">
        <v>1.87557</v>
      </c>
      <c r="DZ161">
        <v>1.87462</v>
      </c>
      <c r="EA161">
        <v>1.8707400000000001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-0.875</v>
      </c>
      <c r="EQ161">
        <v>0.1003</v>
      </c>
      <c r="ER161">
        <v>-0.87549999999998795</v>
      </c>
      <c r="ES161">
        <v>0</v>
      </c>
      <c r="ET161">
        <v>0</v>
      </c>
      <c r="EU161">
        <v>0</v>
      </c>
      <c r="EV161">
        <v>0.100239999999996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7.9</v>
      </c>
      <c r="FE161">
        <v>7.8</v>
      </c>
      <c r="FF161">
        <v>1.4599599999999999</v>
      </c>
      <c r="FG161">
        <v>2.5878899999999998</v>
      </c>
      <c r="FH161">
        <v>2.19604</v>
      </c>
      <c r="FI161">
        <v>2.5805699999999998</v>
      </c>
      <c r="FJ161">
        <v>2.4462899999999999</v>
      </c>
      <c r="FK161">
        <v>2.2460900000000001</v>
      </c>
      <c r="FL161">
        <v>30.976900000000001</v>
      </c>
      <c r="FM161">
        <v>24.14</v>
      </c>
      <c r="FN161">
        <v>19</v>
      </c>
      <c r="FO161">
        <v>864.26599999999996</v>
      </c>
      <c r="FP161">
        <v>589.93200000000002</v>
      </c>
      <c r="FQ161">
        <v>17.911799999999999</v>
      </c>
      <c r="FR161">
        <v>25.124500000000001</v>
      </c>
      <c r="FS161">
        <v>29.999700000000001</v>
      </c>
      <c r="FT161">
        <v>25.102799999999998</v>
      </c>
      <c r="FU161">
        <v>25.103899999999999</v>
      </c>
      <c r="FV161">
        <v>29.2882</v>
      </c>
      <c r="FW161">
        <v>29.4618</v>
      </c>
      <c r="FX161">
        <v>45.955300000000001</v>
      </c>
      <c r="FY161">
        <v>17.938199999999998</v>
      </c>
      <c r="FZ161">
        <v>500</v>
      </c>
      <c r="GA161">
        <v>14.34</v>
      </c>
      <c r="GB161">
        <v>99.912099999999995</v>
      </c>
      <c r="GC161">
        <v>99.745800000000003</v>
      </c>
    </row>
    <row r="162" spans="1:185" x14ac:dyDescent="0.2">
      <c r="A162">
        <v>147</v>
      </c>
      <c r="B162">
        <v>1771088403.0999999</v>
      </c>
      <c r="C162">
        <v>3083.0999999046298</v>
      </c>
      <c r="D162" t="s">
        <v>591</v>
      </c>
      <c r="E162" t="s">
        <v>592</v>
      </c>
      <c r="F162">
        <v>15</v>
      </c>
      <c r="G162">
        <v>1771088395.03333</v>
      </c>
      <c r="H162">
        <f t="shared" si="26"/>
        <v>9.0446968619899842E-4</v>
      </c>
      <c r="I162">
        <v>0</v>
      </c>
      <c r="J162">
        <f t="shared" si="38"/>
        <v>5.3508465879126372E-3</v>
      </c>
      <c r="K162">
        <f t="shared" si="27"/>
        <v>0.1450397004900971</v>
      </c>
      <c r="L162">
        <f t="shared" si="28"/>
        <v>70.00576994477629</v>
      </c>
      <c r="M162">
        <f t="shared" si="29"/>
        <v>1.5406992073825239</v>
      </c>
      <c r="N162">
        <f t="shared" si="30"/>
        <v>2.2008174591864309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26177.877924925469</v>
      </c>
      <c r="T162">
        <f t="shared" si="34"/>
        <v>799.99993333333305</v>
      </c>
      <c r="U162">
        <f t="shared" si="35"/>
        <v>674.39973308001731</v>
      </c>
      <c r="V162">
        <f t="shared" si="36"/>
        <v>0.84299973660000005</v>
      </c>
      <c r="W162">
        <f t="shared" si="37"/>
        <v>0.15869938047600002</v>
      </c>
      <c r="X162">
        <v>1</v>
      </c>
      <c r="Y162">
        <v>1771088395.03333</v>
      </c>
      <c r="Z162">
        <v>499.24386666666697</v>
      </c>
      <c r="AA162">
        <v>499.9896</v>
      </c>
      <c r="AB162">
        <v>15.4076466666667</v>
      </c>
      <c r="AC162">
        <v>14.2944866666667</v>
      </c>
      <c r="AD162">
        <v>500.11933333333297</v>
      </c>
      <c r="AE162">
        <v>15.30742</v>
      </c>
      <c r="AF162">
        <v>800.00533333333306</v>
      </c>
      <c r="AG162">
        <v>99.931033333333303</v>
      </c>
      <c r="AH162">
        <v>6.4718173333333295E-2</v>
      </c>
      <c r="AI162">
        <v>18.9682666666667</v>
      </c>
      <c r="AJ162">
        <v>999.9</v>
      </c>
      <c r="AK162">
        <v>999.9</v>
      </c>
      <c r="AL162">
        <v>0</v>
      </c>
      <c r="AM162">
        <v>0</v>
      </c>
      <c r="AN162">
        <v>4995.2</v>
      </c>
      <c r="AO162">
        <v>0</v>
      </c>
      <c r="AP162">
        <v>2.14547</v>
      </c>
      <c r="AQ162">
        <v>-0.74586786666666705</v>
      </c>
      <c r="AR162">
        <v>507.056266666667</v>
      </c>
      <c r="AS162">
        <v>507.24053333333302</v>
      </c>
      <c r="AT162">
        <v>1.113184</v>
      </c>
      <c r="AU162">
        <v>499.9896</v>
      </c>
      <c r="AV162">
        <v>14.2944866666667</v>
      </c>
      <c r="AW162">
        <v>1.5397046666666701</v>
      </c>
      <c r="AX162">
        <v>1.4284633333333301</v>
      </c>
      <c r="AY162">
        <v>13.3682466666667</v>
      </c>
      <c r="AZ162">
        <v>12.223179999999999</v>
      </c>
      <c r="BA162">
        <v>799.99993333333305</v>
      </c>
      <c r="BB162">
        <v>0.90000820000000004</v>
      </c>
      <c r="BC162">
        <v>0</v>
      </c>
      <c r="BD162">
        <v>9.9991780000000002E-2</v>
      </c>
      <c r="BE162">
        <v>0</v>
      </c>
      <c r="BF162">
        <v>25</v>
      </c>
      <c r="BG162">
        <v>13191.06</v>
      </c>
      <c r="BH162">
        <v>1771087918.0999999</v>
      </c>
      <c r="BI162" t="s">
        <v>550</v>
      </c>
      <c r="BJ162">
        <v>1771087916.0999999</v>
      </c>
      <c r="BK162">
        <v>1771087918.0999999</v>
      </c>
      <c r="BL162">
        <v>5</v>
      </c>
      <c r="BM162">
        <v>-0.34200000000000003</v>
      </c>
      <c r="BN162">
        <v>0</v>
      </c>
      <c r="BO162">
        <v>-0.875</v>
      </c>
      <c r="BP162">
        <v>0.1</v>
      </c>
      <c r="BQ162">
        <v>375</v>
      </c>
      <c r="BR162">
        <v>14</v>
      </c>
      <c r="BS162">
        <v>0.27</v>
      </c>
      <c r="BT162">
        <v>0.04</v>
      </c>
      <c r="BU162">
        <v>-0.75245447619047601</v>
      </c>
      <c r="BV162">
        <v>0.10622088311688201</v>
      </c>
      <c r="BW162">
        <v>2.1730286344877899E-2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1.11531047619048</v>
      </c>
      <c r="CD162">
        <v>-3.9642077922076899E-2</v>
      </c>
      <c r="CE162">
        <v>4.1617538383880498E-3</v>
      </c>
      <c r="CF162">
        <v>1</v>
      </c>
      <c r="CG162">
        <v>2</v>
      </c>
      <c r="CH162">
        <v>2</v>
      </c>
      <c r="CI162" t="s">
        <v>310</v>
      </c>
      <c r="CJ162">
        <v>3.53254</v>
      </c>
      <c r="CK162">
        <v>2.70268</v>
      </c>
      <c r="CL162">
        <v>0.11333600000000001</v>
      </c>
      <c r="CM162">
        <v>0.111858</v>
      </c>
      <c r="CN162">
        <v>8.7047700000000006E-2</v>
      </c>
      <c r="CO162">
        <v>8.1515599999999994E-2</v>
      </c>
      <c r="CP162">
        <v>31107.1</v>
      </c>
      <c r="CQ162">
        <v>27355.4</v>
      </c>
      <c r="CR162">
        <v>32469.3</v>
      </c>
      <c r="CS162">
        <v>30725.9</v>
      </c>
      <c r="CT162">
        <v>40134.800000000003</v>
      </c>
      <c r="CU162">
        <v>39684.6</v>
      </c>
      <c r="CV162">
        <v>47413.4</v>
      </c>
      <c r="CW162">
        <v>46854.1</v>
      </c>
      <c r="CX162">
        <v>2.6286999999999998</v>
      </c>
      <c r="CY162">
        <v>2.1533600000000002</v>
      </c>
      <c r="CZ162">
        <v>0</v>
      </c>
      <c r="DA162">
        <v>0</v>
      </c>
      <c r="DB162">
        <v>999.9</v>
      </c>
      <c r="DC162">
        <v>999.9</v>
      </c>
      <c r="DD162">
        <v>57.447000000000003</v>
      </c>
      <c r="DE162">
        <v>25.811</v>
      </c>
      <c r="DF162">
        <v>19.181699999999999</v>
      </c>
      <c r="DG162">
        <v>30.401900000000001</v>
      </c>
      <c r="DH162">
        <v>15.2804</v>
      </c>
      <c r="DI162">
        <v>2</v>
      </c>
      <c r="DJ162">
        <v>-0.15093100000000001</v>
      </c>
      <c r="DK162">
        <v>2.1406800000000001</v>
      </c>
      <c r="DL162">
        <v>20.1965</v>
      </c>
      <c r="DM162">
        <v>5.2528699999999997</v>
      </c>
      <c r="DN162">
        <v>12.033899999999999</v>
      </c>
      <c r="DO162">
        <v>4.9675599999999998</v>
      </c>
      <c r="DP162">
        <v>3.2909999999999999</v>
      </c>
      <c r="DQ162">
        <v>9999</v>
      </c>
      <c r="DR162">
        <v>9999</v>
      </c>
      <c r="DS162">
        <v>9999</v>
      </c>
      <c r="DT162">
        <v>604.70000000000005</v>
      </c>
      <c r="DU162">
        <v>1.8710800000000001</v>
      </c>
      <c r="DV162">
        <v>1.87615</v>
      </c>
      <c r="DW162">
        <v>1.87632</v>
      </c>
      <c r="DX162">
        <v>1.88279</v>
      </c>
      <c r="DY162">
        <v>1.8755999999999999</v>
      </c>
      <c r="DZ162">
        <v>1.8746799999999999</v>
      </c>
      <c r="EA162">
        <v>1.8707499999999999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-0.876</v>
      </c>
      <c r="EQ162">
        <v>0.1002</v>
      </c>
      <c r="ER162">
        <v>-0.87549999999998795</v>
      </c>
      <c r="ES162">
        <v>0</v>
      </c>
      <c r="ET162">
        <v>0</v>
      </c>
      <c r="EU162">
        <v>0</v>
      </c>
      <c r="EV162">
        <v>0.100239999999996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8.1</v>
      </c>
      <c r="FE162">
        <v>8.1</v>
      </c>
      <c r="FF162">
        <v>1.4599599999999999</v>
      </c>
      <c r="FG162">
        <v>2.5891099999999998</v>
      </c>
      <c r="FH162">
        <v>2.19604</v>
      </c>
      <c r="FI162">
        <v>2.5793499999999998</v>
      </c>
      <c r="FJ162">
        <v>2.4462899999999999</v>
      </c>
      <c r="FK162">
        <v>2.2436500000000001</v>
      </c>
      <c r="FL162">
        <v>30.976900000000001</v>
      </c>
      <c r="FM162">
        <v>24.14</v>
      </c>
      <c r="FN162">
        <v>19</v>
      </c>
      <c r="FO162">
        <v>864.44100000000003</v>
      </c>
      <c r="FP162">
        <v>589.86800000000005</v>
      </c>
      <c r="FQ162">
        <v>17.981100000000001</v>
      </c>
      <c r="FR162">
        <v>25.129899999999999</v>
      </c>
      <c r="FS162">
        <v>30.0001</v>
      </c>
      <c r="FT162">
        <v>25.107900000000001</v>
      </c>
      <c r="FU162">
        <v>25.109200000000001</v>
      </c>
      <c r="FV162">
        <v>29.288499999999999</v>
      </c>
      <c r="FW162">
        <v>29.4618</v>
      </c>
      <c r="FX162">
        <v>45.955300000000001</v>
      </c>
      <c r="FY162">
        <v>18.003499999999999</v>
      </c>
      <c r="FZ162">
        <v>500</v>
      </c>
      <c r="GA162">
        <v>14.34</v>
      </c>
      <c r="GB162">
        <v>99.9114</v>
      </c>
      <c r="GC162">
        <v>99.745800000000003</v>
      </c>
    </row>
    <row r="163" spans="1:185" x14ac:dyDescent="0.2">
      <c r="A163">
        <v>148</v>
      </c>
      <c r="B163">
        <v>1771088418.0999999</v>
      </c>
      <c r="C163">
        <v>3098.0999999046298</v>
      </c>
      <c r="D163" t="s">
        <v>593</v>
      </c>
      <c r="E163" t="s">
        <v>594</v>
      </c>
      <c r="F163">
        <v>15</v>
      </c>
      <c r="G163">
        <v>1771088410.03333</v>
      </c>
      <c r="H163">
        <f t="shared" si="26"/>
        <v>9.1582296989659029E-4</v>
      </c>
      <c r="I163">
        <v>0</v>
      </c>
      <c r="J163">
        <f t="shared" si="38"/>
        <v>5.109835158332591E-3</v>
      </c>
      <c r="K163">
        <f t="shared" si="27"/>
        <v>0.13850686031487233</v>
      </c>
      <c r="L163">
        <f t="shared" si="28"/>
        <v>69.988179528738385</v>
      </c>
      <c r="M163">
        <f t="shared" si="29"/>
        <v>1.5397775991081675</v>
      </c>
      <c r="N163">
        <f t="shared" si="30"/>
        <v>2.200053794049476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26237.537213100062</v>
      </c>
      <c r="T163">
        <f t="shared" si="34"/>
        <v>800.00160000000005</v>
      </c>
      <c r="U163">
        <f t="shared" si="35"/>
        <v>674.40112927956102</v>
      </c>
      <c r="V163">
        <f t="shared" si="36"/>
        <v>0.84299972560000003</v>
      </c>
      <c r="W163">
        <f t="shared" si="37"/>
        <v>0.15869941793600001</v>
      </c>
      <c r="X163">
        <v>1</v>
      </c>
      <c r="Y163">
        <v>1771088410.03333</v>
      </c>
      <c r="Z163">
        <v>499.262</v>
      </c>
      <c r="AA163">
        <v>500.006666666667</v>
      </c>
      <c r="AB163">
        <v>15.3986933333333</v>
      </c>
      <c r="AC163">
        <v>14.271559999999999</v>
      </c>
      <c r="AD163">
        <v>500.13746666666702</v>
      </c>
      <c r="AE163">
        <v>15.298446666666701</v>
      </c>
      <c r="AF163">
        <v>800.01226666666696</v>
      </c>
      <c r="AG163">
        <v>99.929406666666694</v>
      </c>
      <c r="AH163">
        <v>6.4636059999999995E-2</v>
      </c>
      <c r="AI163">
        <v>18.962706666666701</v>
      </c>
      <c r="AJ163">
        <v>999.9</v>
      </c>
      <c r="AK163">
        <v>999.9</v>
      </c>
      <c r="AL163">
        <v>0</v>
      </c>
      <c r="AM163">
        <v>0</v>
      </c>
      <c r="AN163">
        <v>5005.0333333333301</v>
      </c>
      <c r="AO163">
        <v>0</v>
      </c>
      <c r="AP163">
        <v>2.14547</v>
      </c>
      <c r="AQ163">
        <v>-0.74459033333333302</v>
      </c>
      <c r="AR163">
        <v>507.07026666666701</v>
      </c>
      <c r="AS163">
        <v>507.24579999999997</v>
      </c>
      <c r="AT163">
        <v>1.1271373333333301</v>
      </c>
      <c r="AU163">
        <v>500.006666666667</v>
      </c>
      <c r="AV163">
        <v>14.271559999999999</v>
      </c>
      <c r="AW163">
        <v>1.53878266666667</v>
      </c>
      <c r="AX163">
        <v>1.4261486666666701</v>
      </c>
      <c r="AY163">
        <v>13.359059999999999</v>
      </c>
      <c r="AZ163">
        <v>12.1985333333333</v>
      </c>
      <c r="BA163">
        <v>800.00160000000005</v>
      </c>
      <c r="BB163">
        <v>0.90000760000000002</v>
      </c>
      <c r="BC163">
        <v>0</v>
      </c>
      <c r="BD163">
        <v>9.9992346666666704E-2</v>
      </c>
      <c r="BE163">
        <v>0</v>
      </c>
      <c r="BF163">
        <v>25</v>
      </c>
      <c r="BG163">
        <v>13191.08</v>
      </c>
      <c r="BH163">
        <v>1771087918.0999999</v>
      </c>
      <c r="BI163" t="s">
        <v>550</v>
      </c>
      <c r="BJ163">
        <v>1771087916.0999999</v>
      </c>
      <c r="BK163">
        <v>1771087918.0999999</v>
      </c>
      <c r="BL163">
        <v>5</v>
      </c>
      <c r="BM163">
        <v>-0.34200000000000003</v>
      </c>
      <c r="BN163">
        <v>0</v>
      </c>
      <c r="BO163">
        <v>-0.875</v>
      </c>
      <c r="BP163">
        <v>0.1</v>
      </c>
      <c r="BQ163">
        <v>375</v>
      </c>
      <c r="BR163">
        <v>14</v>
      </c>
      <c r="BS163">
        <v>0.27</v>
      </c>
      <c r="BT163">
        <v>0.04</v>
      </c>
      <c r="BU163">
        <v>-0.74496757142857095</v>
      </c>
      <c r="BV163">
        <v>6.3469870129870404E-3</v>
      </c>
      <c r="BW163">
        <v>2.0047956289551201E-2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1.1214038095238099</v>
      </c>
      <c r="CD163">
        <v>0.110752987012985</v>
      </c>
      <c r="CE163">
        <v>1.2812976114708901E-2</v>
      </c>
      <c r="CF163">
        <v>0</v>
      </c>
      <c r="CG163">
        <v>1</v>
      </c>
      <c r="CH163">
        <v>2</v>
      </c>
      <c r="CI163" t="s">
        <v>299</v>
      </c>
      <c r="CJ163">
        <v>3.5325000000000002</v>
      </c>
      <c r="CK163">
        <v>2.7024300000000001</v>
      </c>
      <c r="CL163">
        <v>0.113334</v>
      </c>
      <c r="CM163">
        <v>0.111854</v>
      </c>
      <c r="CN163">
        <v>8.6970500000000006E-2</v>
      </c>
      <c r="CO163">
        <v>8.1345299999999995E-2</v>
      </c>
      <c r="CP163">
        <v>31107.5</v>
      </c>
      <c r="CQ163">
        <v>27355.3</v>
      </c>
      <c r="CR163">
        <v>32469.7</v>
      </c>
      <c r="CS163">
        <v>30725.7</v>
      </c>
      <c r="CT163">
        <v>40138.9</v>
      </c>
      <c r="CU163">
        <v>39691.699999999997</v>
      </c>
      <c r="CV163">
        <v>47414.1</v>
      </c>
      <c r="CW163">
        <v>46853.599999999999</v>
      </c>
      <c r="CX163">
        <v>2.6286200000000002</v>
      </c>
      <c r="CY163">
        <v>2.15326</v>
      </c>
      <c r="CZ163">
        <v>0</v>
      </c>
      <c r="DA163">
        <v>0</v>
      </c>
      <c r="DB163">
        <v>999.9</v>
      </c>
      <c r="DC163">
        <v>999.9</v>
      </c>
      <c r="DD163">
        <v>57.331000000000003</v>
      </c>
      <c r="DE163">
        <v>25.811</v>
      </c>
      <c r="DF163">
        <v>19.141999999999999</v>
      </c>
      <c r="DG163">
        <v>29.921900000000001</v>
      </c>
      <c r="DH163">
        <v>15.3085</v>
      </c>
      <c r="DI163">
        <v>2</v>
      </c>
      <c r="DJ163">
        <v>-0.150565</v>
      </c>
      <c r="DK163">
        <v>2.0436100000000001</v>
      </c>
      <c r="DL163">
        <v>20.198899999999998</v>
      </c>
      <c r="DM163">
        <v>5.2528699999999997</v>
      </c>
      <c r="DN163">
        <v>12.033899999999999</v>
      </c>
      <c r="DO163">
        <v>4.9677600000000002</v>
      </c>
      <c r="DP163">
        <v>3.2909999999999999</v>
      </c>
      <c r="DQ163">
        <v>9999</v>
      </c>
      <c r="DR163">
        <v>9999</v>
      </c>
      <c r="DS163">
        <v>9999</v>
      </c>
      <c r="DT163">
        <v>604.70000000000005</v>
      </c>
      <c r="DU163">
        <v>1.87107</v>
      </c>
      <c r="DV163">
        <v>1.87612</v>
      </c>
      <c r="DW163">
        <v>1.8763000000000001</v>
      </c>
      <c r="DX163">
        <v>1.88279</v>
      </c>
      <c r="DY163">
        <v>1.8755999999999999</v>
      </c>
      <c r="DZ163">
        <v>1.8746799999999999</v>
      </c>
      <c r="EA163">
        <v>1.8707400000000001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-0.876</v>
      </c>
      <c r="EQ163">
        <v>0.1002</v>
      </c>
      <c r="ER163">
        <v>-0.87549999999998795</v>
      </c>
      <c r="ES163">
        <v>0</v>
      </c>
      <c r="ET163">
        <v>0</v>
      </c>
      <c r="EU163">
        <v>0</v>
      </c>
      <c r="EV163">
        <v>0.100239999999996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8.4</v>
      </c>
      <c r="FE163">
        <v>8.3000000000000007</v>
      </c>
      <c r="FF163">
        <v>1.4599599999999999</v>
      </c>
      <c r="FG163">
        <v>2.5878899999999998</v>
      </c>
      <c r="FH163">
        <v>2.19604</v>
      </c>
      <c r="FI163">
        <v>2.5793499999999998</v>
      </c>
      <c r="FJ163">
        <v>2.4462899999999999</v>
      </c>
      <c r="FK163">
        <v>2.2814899999999998</v>
      </c>
      <c r="FL163">
        <v>30.9985</v>
      </c>
      <c r="FM163">
        <v>24.14</v>
      </c>
      <c r="FN163">
        <v>19</v>
      </c>
      <c r="FO163">
        <v>864.44299999999998</v>
      </c>
      <c r="FP163">
        <v>589.84299999999996</v>
      </c>
      <c r="FQ163">
        <v>18.059999999999999</v>
      </c>
      <c r="FR163">
        <v>25.134599999999999</v>
      </c>
      <c r="FS163">
        <v>30.0001</v>
      </c>
      <c r="FT163">
        <v>25.1126</v>
      </c>
      <c r="FU163">
        <v>25.113900000000001</v>
      </c>
      <c r="FV163">
        <v>29.288900000000002</v>
      </c>
      <c r="FW163">
        <v>29.191500000000001</v>
      </c>
      <c r="FX163">
        <v>45.5839</v>
      </c>
      <c r="FY163">
        <v>18.082000000000001</v>
      </c>
      <c r="FZ163">
        <v>500</v>
      </c>
      <c r="GA163">
        <v>14.34</v>
      </c>
      <c r="GB163">
        <v>99.912599999999998</v>
      </c>
      <c r="GC163">
        <v>99.744799999999998</v>
      </c>
    </row>
    <row r="164" spans="1:185" x14ac:dyDescent="0.2">
      <c r="A164">
        <v>149</v>
      </c>
      <c r="B164">
        <v>1771088433.0999999</v>
      </c>
      <c r="C164">
        <v>3113.0999999046298</v>
      </c>
      <c r="D164" t="s">
        <v>595</v>
      </c>
      <c r="E164" t="s">
        <v>596</v>
      </c>
      <c r="F164">
        <v>15</v>
      </c>
      <c r="G164">
        <v>1771088425.03333</v>
      </c>
      <c r="H164">
        <f t="shared" si="26"/>
        <v>9.0198283981877611E-4</v>
      </c>
      <c r="I164">
        <v>0</v>
      </c>
      <c r="J164">
        <f t="shared" si="38"/>
        <v>5.2216325550200789E-3</v>
      </c>
      <c r="K164">
        <f t="shared" si="27"/>
        <v>0.14153723329692625</v>
      </c>
      <c r="L164">
        <f t="shared" si="28"/>
        <v>69.901126135370944</v>
      </c>
      <c r="M164">
        <f t="shared" si="29"/>
        <v>1.5385600762482103</v>
      </c>
      <c r="N164">
        <f t="shared" si="30"/>
        <v>2.2010519162003561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26217.558686315533</v>
      </c>
      <c r="T164">
        <f t="shared" si="34"/>
        <v>799.99966666666705</v>
      </c>
      <c r="U164">
        <f t="shared" si="35"/>
        <v>674.39957596005991</v>
      </c>
      <c r="V164">
        <f t="shared" si="36"/>
        <v>0.84299982119999994</v>
      </c>
      <c r="W164">
        <f t="shared" si="37"/>
        <v>0.15869963095200001</v>
      </c>
      <c r="X164">
        <v>1</v>
      </c>
      <c r="Y164">
        <v>1771088425.03333</v>
      </c>
      <c r="Z164">
        <v>499.24279999999999</v>
      </c>
      <c r="AA164">
        <v>499.98259999999999</v>
      </c>
      <c r="AB164">
        <v>15.386466666666699</v>
      </c>
      <c r="AC164">
        <v>14.276346666666701</v>
      </c>
      <c r="AD164">
        <v>500.118066666667</v>
      </c>
      <c r="AE164">
        <v>15.286253333333301</v>
      </c>
      <c r="AF164">
        <v>800.00766666666698</v>
      </c>
      <c r="AG164">
        <v>99.929646666666699</v>
      </c>
      <c r="AH164">
        <v>6.4725633333333296E-2</v>
      </c>
      <c r="AI164">
        <v>18.9699733333333</v>
      </c>
      <c r="AJ164">
        <v>999.9</v>
      </c>
      <c r="AK164">
        <v>999.9</v>
      </c>
      <c r="AL164">
        <v>0</v>
      </c>
      <c r="AM164">
        <v>0</v>
      </c>
      <c r="AN164">
        <v>5001.8333333333303</v>
      </c>
      <c r="AO164">
        <v>0</v>
      </c>
      <c r="AP164">
        <v>2.1497613333333301</v>
      </c>
      <c r="AQ164">
        <v>-0.73987013333333296</v>
      </c>
      <c r="AR164">
        <v>507.0444</v>
      </c>
      <c r="AS164">
        <v>507.22379999999998</v>
      </c>
      <c r="AT164">
        <v>1.1101226666666699</v>
      </c>
      <c r="AU164">
        <v>499.98259999999999</v>
      </c>
      <c r="AV164">
        <v>14.276346666666701</v>
      </c>
      <c r="AW164">
        <v>1.537566</v>
      </c>
      <c r="AX164">
        <v>1.42663133333333</v>
      </c>
      <c r="AY164">
        <v>13.3469266666667</v>
      </c>
      <c r="AZ164">
        <v>12.2036866666667</v>
      </c>
      <c r="BA164">
        <v>799.99966666666705</v>
      </c>
      <c r="BB164">
        <v>0.90000480000000005</v>
      </c>
      <c r="BC164">
        <v>0</v>
      </c>
      <c r="BD164">
        <v>9.999516E-2</v>
      </c>
      <c r="BE164">
        <v>0</v>
      </c>
      <c r="BF164">
        <v>25</v>
      </c>
      <c r="BG164">
        <v>13191.0333333333</v>
      </c>
      <c r="BH164">
        <v>1771087918.0999999</v>
      </c>
      <c r="BI164" t="s">
        <v>550</v>
      </c>
      <c r="BJ164">
        <v>1771087916.0999999</v>
      </c>
      <c r="BK164">
        <v>1771087918.0999999</v>
      </c>
      <c r="BL164">
        <v>5</v>
      </c>
      <c r="BM164">
        <v>-0.34200000000000003</v>
      </c>
      <c r="BN164">
        <v>0</v>
      </c>
      <c r="BO164">
        <v>-0.875</v>
      </c>
      <c r="BP164">
        <v>0.1</v>
      </c>
      <c r="BQ164">
        <v>375</v>
      </c>
      <c r="BR164">
        <v>14</v>
      </c>
      <c r="BS164">
        <v>0.27</v>
      </c>
      <c r="BT164">
        <v>0.04</v>
      </c>
      <c r="BU164">
        <v>-0.74351566666666702</v>
      </c>
      <c r="BV164">
        <v>3.1575584415584897E-2</v>
      </c>
      <c r="BW164">
        <v>2.5360626498820898E-2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1.1180057142857101</v>
      </c>
      <c r="CD164">
        <v>-0.13984129870129799</v>
      </c>
      <c r="CE164">
        <v>1.49865751262123E-2</v>
      </c>
      <c r="CF164">
        <v>0</v>
      </c>
      <c r="CG164">
        <v>1</v>
      </c>
      <c r="CH164">
        <v>2</v>
      </c>
      <c r="CI164" t="s">
        <v>299</v>
      </c>
      <c r="CJ164">
        <v>3.5324800000000001</v>
      </c>
      <c r="CK164">
        <v>2.7024400000000002</v>
      </c>
      <c r="CL164">
        <v>0.113331</v>
      </c>
      <c r="CM164">
        <v>0.11185299999999999</v>
      </c>
      <c r="CN164">
        <v>8.69751E-2</v>
      </c>
      <c r="CO164">
        <v>8.1469899999999998E-2</v>
      </c>
      <c r="CP164">
        <v>31107</v>
      </c>
      <c r="CQ164">
        <v>27355.1</v>
      </c>
      <c r="CR164">
        <v>32469.1</v>
      </c>
      <c r="CS164">
        <v>30725.5</v>
      </c>
      <c r="CT164">
        <v>40138.300000000003</v>
      </c>
      <c r="CU164">
        <v>39686.199999999997</v>
      </c>
      <c r="CV164">
        <v>47413.5</v>
      </c>
      <c r="CW164">
        <v>46853.7</v>
      </c>
      <c r="CX164">
        <v>2.6283599999999998</v>
      </c>
      <c r="CY164">
        <v>2.1527599999999998</v>
      </c>
      <c r="CZ164">
        <v>0</v>
      </c>
      <c r="DA164">
        <v>0</v>
      </c>
      <c r="DB164">
        <v>999.9</v>
      </c>
      <c r="DC164">
        <v>999.9</v>
      </c>
      <c r="DD164">
        <v>57.258000000000003</v>
      </c>
      <c r="DE164">
        <v>25.831</v>
      </c>
      <c r="DF164">
        <v>19.1416</v>
      </c>
      <c r="DG164">
        <v>29.9819</v>
      </c>
      <c r="DH164">
        <v>15.352600000000001</v>
      </c>
      <c r="DI164">
        <v>2</v>
      </c>
      <c r="DJ164">
        <v>-0.15051800000000001</v>
      </c>
      <c r="DK164">
        <v>2.0005999999999999</v>
      </c>
      <c r="DL164">
        <v>20.199400000000001</v>
      </c>
      <c r="DM164">
        <v>5.2526299999999999</v>
      </c>
      <c r="DN164">
        <v>12.033899999999999</v>
      </c>
      <c r="DO164">
        <v>4.9674399999999999</v>
      </c>
      <c r="DP164">
        <v>3.2909999999999999</v>
      </c>
      <c r="DQ164">
        <v>9999</v>
      </c>
      <c r="DR164">
        <v>9999</v>
      </c>
      <c r="DS164">
        <v>9999</v>
      </c>
      <c r="DT164">
        <v>604.70000000000005</v>
      </c>
      <c r="DU164">
        <v>1.8710599999999999</v>
      </c>
      <c r="DV164">
        <v>1.8761099999999999</v>
      </c>
      <c r="DW164">
        <v>1.87632</v>
      </c>
      <c r="DX164">
        <v>1.88279</v>
      </c>
      <c r="DY164">
        <v>1.87561</v>
      </c>
      <c r="DZ164">
        <v>1.8746799999999999</v>
      </c>
      <c r="EA164">
        <v>1.87073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-0.875</v>
      </c>
      <c r="EQ164">
        <v>0.1003</v>
      </c>
      <c r="ER164">
        <v>-0.87549999999998795</v>
      </c>
      <c r="ES164">
        <v>0</v>
      </c>
      <c r="ET164">
        <v>0</v>
      </c>
      <c r="EU164">
        <v>0</v>
      </c>
      <c r="EV164">
        <v>0.100239999999996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8.6</v>
      </c>
      <c r="FE164">
        <v>8.6</v>
      </c>
      <c r="FF164">
        <v>1.4599599999999999</v>
      </c>
      <c r="FG164">
        <v>2.5854499999999998</v>
      </c>
      <c r="FH164">
        <v>2.19604</v>
      </c>
      <c r="FI164">
        <v>2.5793499999999998</v>
      </c>
      <c r="FJ164">
        <v>2.4462899999999999</v>
      </c>
      <c r="FK164">
        <v>2.2973599999999998</v>
      </c>
      <c r="FL164">
        <v>30.9985</v>
      </c>
      <c r="FM164">
        <v>24.148800000000001</v>
      </c>
      <c r="FN164">
        <v>19</v>
      </c>
      <c r="FO164">
        <v>864.27</v>
      </c>
      <c r="FP164">
        <v>589.50800000000004</v>
      </c>
      <c r="FQ164">
        <v>18.1325</v>
      </c>
      <c r="FR164">
        <v>25.1389</v>
      </c>
      <c r="FS164">
        <v>30.0001</v>
      </c>
      <c r="FT164">
        <v>25.116800000000001</v>
      </c>
      <c r="FU164">
        <v>25.118600000000001</v>
      </c>
      <c r="FV164">
        <v>29.2912</v>
      </c>
      <c r="FW164">
        <v>29.191500000000001</v>
      </c>
      <c r="FX164">
        <v>45.5839</v>
      </c>
      <c r="FY164">
        <v>18.146599999999999</v>
      </c>
      <c r="FZ164">
        <v>500</v>
      </c>
      <c r="GA164">
        <v>14.34</v>
      </c>
      <c r="GB164">
        <v>99.911199999999994</v>
      </c>
      <c r="GC164">
        <v>99.744600000000005</v>
      </c>
    </row>
    <row r="165" spans="1:185" x14ac:dyDescent="0.2">
      <c r="A165">
        <v>150</v>
      </c>
      <c r="B165">
        <v>1771088448.0999999</v>
      </c>
      <c r="C165">
        <v>3128.0999999046298</v>
      </c>
      <c r="D165" t="s">
        <v>597</v>
      </c>
      <c r="E165" t="s">
        <v>598</v>
      </c>
      <c r="F165">
        <v>15</v>
      </c>
      <c r="G165">
        <v>1771088440.03333</v>
      </c>
      <c r="H165">
        <f t="shared" si="26"/>
        <v>8.9875633050981972E-4</v>
      </c>
      <c r="I165">
        <v>0</v>
      </c>
      <c r="J165">
        <f t="shared" si="38"/>
        <v>5.2803556514882345E-3</v>
      </c>
      <c r="K165">
        <f t="shared" si="27"/>
        <v>0.14312897774028824</v>
      </c>
      <c r="L165">
        <f t="shared" si="28"/>
        <v>69.841583360558531</v>
      </c>
      <c r="M165">
        <f t="shared" si="29"/>
        <v>1.5383859351727329</v>
      </c>
      <c r="N165">
        <f t="shared" si="30"/>
        <v>2.2026790647497005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26183.312660425803</v>
      </c>
      <c r="T165">
        <f t="shared" si="34"/>
        <v>799.99913333333302</v>
      </c>
      <c r="U165">
        <f t="shared" si="35"/>
        <v>674.39920284007223</v>
      </c>
      <c r="V165">
        <f t="shared" si="36"/>
        <v>0.84299991680000053</v>
      </c>
      <c r="W165">
        <f t="shared" si="37"/>
        <v>0.1586997140480001</v>
      </c>
      <c r="X165">
        <v>1</v>
      </c>
      <c r="Y165">
        <v>1771088440.03333</v>
      </c>
      <c r="Z165">
        <v>499.26253333333301</v>
      </c>
      <c r="AA165">
        <v>500.00233333333301</v>
      </c>
      <c r="AB165">
        <v>15.384786666666701</v>
      </c>
      <c r="AC165">
        <v>14.2786333333333</v>
      </c>
      <c r="AD165">
        <v>500.13786666666698</v>
      </c>
      <c r="AE165">
        <v>15.2845733333333</v>
      </c>
      <c r="AF165">
        <v>800.00586666666698</v>
      </c>
      <c r="AG165">
        <v>99.9294266666667</v>
      </c>
      <c r="AH165">
        <v>6.4545853333333306E-2</v>
      </c>
      <c r="AI165">
        <v>18.981813333333299</v>
      </c>
      <c r="AJ165">
        <v>999.9</v>
      </c>
      <c r="AK165">
        <v>999.9</v>
      </c>
      <c r="AL165">
        <v>0</v>
      </c>
      <c r="AM165">
        <v>0</v>
      </c>
      <c r="AN165">
        <v>4996.3666666666704</v>
      </c>
      <c r="AO165">
        <v>0</v>
      </c>
      <c r="AP165">
        <v>2.15254733333333</v>
      </c>
      <c r="AQ165">
        <v>-0.73986819999999998</v>
      </c>
      <c r="AR165">
        <v>507.06346666666701</v>
      </c>
      <c r="AS165">
        <v>507.245</v>
      </c>
      <c r="AT165">
        <v>1.1061653333333299</v>
      </c>
      <c r="AU165">
        <v>500.00233333333301</v>
      </c>
      <c r="AV165">
        <v>14.2786333333333</v>
      </c>
      <c r="AW165">
        <v>1.5373933333333301</v>
      </c>
      <c r="AX165">
        <v>1.4268546666666699</v>
      </c>
      <c r="AY165">
        <v>13.3452</v>
      </c>
      <c r="AZ165">
        <v>12.2060666666667</v>
      </c>
      <c r="BA165">
        <v>799.99913333333302</v>
      </c>
      <c r="BB165">
        <v>0.90000393333333395</v>
      </c>
      <c r="BC165">
        <v>0</v>
      </c>
      <c r="BD165">
        <v>9.9996106666666695E-2</v>
      </c>
      <c r="BE165">
        <v>0</v>
      </c>
      <c r="BF165">
        <v>25</v>
      </c>
      <c r="BG165">
        <v>13191.02</v>
      </c>
      <c r="BH165">
        <v>1771087918.0999999</v>
      </c>
      <c r="BI165" t="s">
        <v>550</v>
      </c>
      <c r="BJ165">
        <v>1771087916.0999999</v>
      </c>
      <c r="BK165">
        <v>1771087918.0999999</v>
      </c>
      <c r="BL165">
        <v>5</v>
      </c>
      <c r="BM165">
        <v>-0.34200000000000003</v>
      </c>
      <c r="BN165">
        <v>0</v>
      </c>
      <c r="BO165">
        <v>-0.875</v>
      </c>
      <c r="BP165">
        <v>0.1</v>
      </c>
      <c r="BQ165">
        <v>375</v>
      </c>
      <c r="BR165">
        <v>14</v>
      </c>
      <c r="BS165">
        <v>0.27</v>
      </c>
      <c r="BT165">
        <v>0.04</v>
      </c>
      <c r="BU165">
        <v>-0.73970538095238103</v>
      </c>
      <c r="BV165">
        <v>-2.9580389610388599E-2</v>
      </c>
      <c r="BW165">
        <v>2.1873296231829199E-2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1.1061490476190501</v>
      </c>
      <c r="CD165">
        <v>1.52259740259834E-3</v>
      </c>
      <c r="CE165">
        <v>8.4507040590101196E-3</v>
      </c>
      <c r="CF165">
        <v>1</v>
      </c>
      <c r="CG165">
        <v>2</v>
      </c>
      <c r="CH165">
        <v>2</v>
      </c>
      <c r="CI165" t="s">
        <v>310</v>
      </c>
      <c r="CJ165">
        <v>3.5325199999999999</v>
      </c>
      <c r="CK165">
        <v>2.7022900000000001</v>
      </c>
      <c r="CL165">
        <v>0.113333</v>
      </c>
      <c r="CM165">
        <v>0.111856</v>
      </c>
      <c r="CN165">
        <v>8.6933099999999999E-2</v>
      </c>
      <c r="CO165">
        <v>8.1501199999999996E-2</v>
      </c>
      <c r="CP165">
        <v>31106.2</v>
      </c>
      <c r="CQ165">
        <v>27355.3</v>
      </c>
      <c r="CR165">
        <v>32468.400000000001</v>
      </c>
      <c r="CS165">
        <v>30725.8</v>
      </c>
      <c r="CT165">
        <v>40139.5</v>
      </c>
      <c r="CU165">
        <v>39685.5</v>
      </c>
      <c r="CV165">
        <v>47412.7</v>
      </c>
      <c r="CW165">
        <v>46854.400000000001</v>
      </c>
      <c r="CX165">
        <v>2.6284200000000002</v>
      </c>
      <c r="CY165">
        <v>2.1525400000000001</v>
      </c>
      <c r="CZ165">
        <v>0</v>
      </c>
      <c r="DA165">
        <v>0</v>
      </c>
      <c r="DB165">
        <v>999.9</v>
      </c>
      <c r="DC165">
        <v>999.9</v>
      </c>
      <c r="DD165">
        <v>57.148000000000003</v>
      </c>
      <c r="DE165">
        <v>25.841000000000001</v>
      </c>
      <c r="DF165">
        <v>19.116299999999999</v>
      </c>
      <c r="DG165">
        <v>30.3719</v>
      </c>
      <c r="DH165">
        <v>15.400600000000001</v>
      </c>
      <c r="DI165">
        <v>2</v>
      </c>
      <c r="DJ165">
        <v>-0.15024399999999999</v>
      </c>
      <c r="DK165">
        <v>1.99763</v>
      </c>
      <c r="DL165">
        <v>20.199200000000001</v>
      </c>
      <c r="DM165">
        <v>5.2528699999999997</v>
      </c>
      <c r="DN165">
        <v>12.033899999999999</v>
      </c>
      <c r="DO165">
        <v>4.9677199999999999</v>
      </c>
      <c r="DP165">
        <v>3.2909999999999999</v>
      </c>
      <c r="DQ165">
        <v>9999</v>
      </c>
      <c r="DR165">
        <v>9999</v>
      </c>
      <c r="DS165">
        <v>9999</v>
      </c>
      <c r="DT165">
        <v>604.70000000000005</v>
      </c>
      <c r="DU165">
        <v>1.8711</v>
      </c>
      <c r="DV165">
        <v>1.8761099999999999</v>
      </c>
      <c r="DW165">
        <v>1.87635</v>
      </c>
      <c r="DX165">
        <v>1.8828199999999999</v>
      </c>
      <c r="DY165">
        <v>1.87561</v>
      </c>
      <c r="DZ165">
        <v>1.8746799999999999</v>
      </c>
      <c r="EA165">
        <v>1.87076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-0.876</v>
      </c>
      <c r="EQ165">
        <v>0.1003</v>
      </c>
      <c r="ER165">
        <v>-0.87549999999998795</v>
      </c>
      <c r="ES165">
        <v>0</v>
      </c>
      <c r="ET165">
        <v>0</v>
      </c>
      <c r="EU165">
        <v>0</v>
      </c>
      <c r="EV165">
        <v>0.100239999999996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8.9</v>
      </c>
      <c r="FE165">
        <v>8.8000000000000007</v>
      </c>
      <c r="FF165">
        <v>1.4599599999999999</v>
      </c>
      <c r="FG165">
        <v>2.5854499999999998</v>
      </c>
      <c r="FH165">
        <v>2.19604</v>
      </c>
      <c r="FI165">
        <v>2.5793499999999998</v>
      </c>
      <c r="FJ165">
        <v>2.4462899999999999</v>
      </c>
      <c r="FK165">
        <v>2.3168899999999999</v>
      </c>
      <c r="FL165">
        <v>30.9985</v>
      </c>
      <c r="FM165">
        <v>24.148800000000001</v>
      </c>
      <c r="FN165">
        <v>19</v>
      </c>
      <c r="FO165">
        <v>864.399</v>
      </c>
      <c r="FP165">
        <v>589.38499999999999</v>
      </c>
      <c r="FQ165">
        <v>18.179200000000002</v>
      </c>
      <c r="FR165">
        <v>25.1431</v>
      </c>
      <c r="FS165">
        <v>30.000299999999999</v>
      </c>
      <c r="FT165">
        <v>25.121400000000001</v>
      </c>
      <c r="FU165">
        <v>25.122800000000002</v>
      </c>
      <c r="FV165">
        <v>29.290199999999999</v>
      </c>
      <c r="FW165">
        <v>28.911000000000001</v>
      </c>
      <c r="FX165">
        <v>45.208199999999998</v>
      </c>
      <c r="FY165">
        <v>18.186199999999999</v>
      </c>
      <c r="FZ165">
        <v>500</v>
      </c>
      <c r="GA165">
        <v>14.340400000000001</v>
      </c>
      <c r="GB165">
        <v>99.909199999999998</v>
      </c>
      <c r="GC165">
        <v>99.745999999999995</v>
      </c>
    </row>
    <row r="166" spans="1:185" x14ac:dyDescent="0.2">
      <c r="A166">
        <v>151</v>
      </c>
      <c r="B166">
        <v>1771088463.0999999</v>
      </c>
      <c r="C166">
        <v>3143.0999999046298</v>
      </c>
      <c r="D166" t="s">
        <v>599</v>
      </c>
      <c r="E166" t="s">
        <v>600</v>
      </c>
      <c r="F166">
        <v>15</v>
      </c>
      <c r="G166">
        <v>1771088455.03333</v>
      </c>
      <c r="H166">
        <f t="shared" si="26"/>
        <v>8.8546128782104254E-4</v>
      </c>
      <c r="I166">
        <v>0</v>
      </c>
      <c r="J166">
        <f t="shared" si="38"/>
        <v>5.2891691925902665E-3</v>
      </c>
      <c r="K166">
        <f t="shared" si="27"/>
        <v>0.14336787701364501</v>
      </c>
      <c r="L166">
        <f t="shared" si="28"/>
        <v>69.777147421458693</v>
      </c>
      <c r="M166">
        <f t="shared" si="29"/>
        <v>1.5382902357772548</v>
      </c>
      <c r="N166">
        <f t="shared" si="30"/>
        <v>2.2045759860114051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26217.982908151338</v>
      </c>
      <c r="T166">
        <f t="shared" si="34"/>
        <v>799.99993333333305</v>
      </c>
      <c r="U166">
        <f t="shared" si="35"/>
        <v>674.39974892001635</v>
      </c>
      <c r="V166">
        <f t="shared" si="36"/>
        <v>0.84299975640000047</v>
      </c>
      <c r="W166">
        <f t="shared" si="37"/>
        <v>0.15869941698400009</v>
      </c>
      <c r="X166">
        <v>1</v>
      </c>
      <c r="Y166">
        <v>1771088455.03333</v>
      </c>
      <c r="Z166">
        <v>499.26786666666698</v>
      </c>
      <c r="AA166">
        <v>499.999666666667</v>
      </c>
      <c r="AB166">
        <v>15.3841066666667</v>
      </c>
      <c r="AC166">
        <v>14.2943266666667</v>
      </c>
      <c r="AD166">
        <v>500.14359999999999</v>
      </c>
      <c r="AE166">
        <v>15.28388</v>
      </c>
      <c r="AF166">
        <v>800.01400000000001</v>
      </c>
      <c r="AG166">
        <v>99.927719999999994</v>
      </c>
      <c r="AH166">
        <v>6.4451733333333303E-2</v>
      </c>
      <c r="AI166">
        <v>18.995606666666699</v>
      </c>
      <c r="AJ166">
        <v>999.9</v>
      </c>
      <c r="AK166">
        <v>999.9</v>
      </c>
      <c r="AL166">
        <v>0</v>
      </c>
      <c r="AM166">
        <v>0</v>
      </c>
      <c r="AN166">
        <v>5002.3666666666704</v>
      </c>
      <c r="AO166">
        <v>0</v>
      </c>
      <c r="AP166">
        <v>2.18491866666667</v>
      </c>
      <c r="AQ166">
        <v>-0.73177693333333305</v>
      </c>
      <c r="AR166">
        <v>507.068733333333</v>
      </c>
      <c r="AS166">
        <v>507.25060000000002</v>
      </c>
      <c r="AT166">
        <v>1.08979466666667</v>
      </c>
      <c r="AU166">
        <v>499.999666666667</v>
      </c>
      <c r="AV166">
        <v>14.2943266666667</v>
      </c>
      <c r="AW166">
        <v>1.53730066666667</v>
      </c>
      <c r="AX166">
        <v>1.42839933333333</v>
      </c>
      <c r="AY166">
        <v>13.344286666666701</v>
      </c>
      <c r="AZ166">
        <v>12.2225066666667</v>
      </c>
      <c r="BA166">
        <v>799.99993333333305</v>
      </c>
      <c r="BB166">
        <v>0.90000773333333395</v>
      </c>
      <c r="BC166">
        <v>0</v>
      </c>
      <c r="BD166">
        <v>9.9992253333333295E-2</v>
      </c>
      <c r="BE166">
        <v>0</v>
      </c>
      <c r="BF166">
        <v>25</v>
      </c>
      <c r="BG166">
        <v>13191.06</v>
      </c>
      <c r="BH166">
        <v>1771087918.0999999</v>
      </c>
      <c r="BI166" t="s">
        <v>550</v>
      </c>
      <c r="BJ166">
        <v>1771087916.0999999</v>
      </c>
      <c r="BK166">
        <v>1771087918.0999999</v>
      </c>
      <c r="BL166">
        <v>5</v>
      </c>
      <c r="BM166">
        <v>-0.34200000000000003</v>
      </c>
      <c r="BN166">
        <v>0</v>
      </c>
      <c r="BO166">
        <v>-0.875</v>
      </c>
      <c r="BP166">
        <v>0.1</v>
      </c>
      <c r="BQ166">
        <v>375</v>
      </c>
      <c r="BR166">
        <v>14</v>
      </c>
      <c r="BS166">
        <v>0.27</v>
      </c>
      <c r="BT166">
        <v>0.04</v>
      </c>
      <c r="BU166">
        <v>-0.73885090476190496</v>
      </c>
      <c r="BV166">
        <v>2.58938181818173E-2</v>
      </c>
      <c r="BW166">
        <v>2.88149925376237E-2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1.0919085714285699</v>
      </c>
      <c r="CD166">
        <v>-2.8618441558439799E-2</v>
      </c>
      <c r="CE166">
        <v>6.0659410495261801E-3</v>
      </c>
      <c r="CF166">
        <v>1</v>
      </c>
      <c r="CG166">
        <v>2</v>
      </c>
      <c r="CH166">
        <v>2</v>
      </c>
      <c r="CI166" t="s">
        <v>310</v>
      </c>
      <c r="CJ166">
        <v>3.5325299999999999</v>
      </c>
      <c r="CK166">
        <v>2.7024699999999999</v>
      </c>
      <c r="CL166">
        <v>0.11333699999999999</v>
      </c>
      <c r="CM166">
        <v>0.111847</v>
      </c>
      <c r="CN166">
        <v>8.6959900000000007E-2</v>
      </c>
      <c r="CO166">
        <v>8.1520899999999993E-2</v>
      </c>
      <c r="CP166">
        <v>31106.3</v>
      </c>
      <c r="CQ166">
        <v>27355.5</v>
      </c>
      <c r="CR166">
        <v>32468.6</v>
      </c>
      <c r="CS166">
        <v>30725.7</v>
      </c>
      <c r="CT166">
        <v>40138.300000000003</v>
      </c>
      <c r="CU166">
        <v>39684.199999999997</v>
      </c>
      <c r="CV166">
        <v>47412.800000000003</v>
      </c>
      <c r="CW166">
        <v>46853.9</v>
      </c>
      <c r="CX166">
        <v>2.6282000000000001</v>
      </c>
      <c r="CY166">
        <v>2.1523599999999998</v>
      </c>
      <c r="CZ166">
        <v>0</v>
      </c>
      <c r="DA166">
        <v>0</v>
      </c>
      <c r="DB166">
        <v>999.9</v>
      </c>
      <c r="DC166">
        <v>999.9</v>
      </c>
      <c r="DD166">
        <v>57.063000000000002</v>
      </c>
      <c r="DE166">
        <v>25.870999999999999</v>
      </c>
      <c r="DF166">
        <v>19.123000000000001</v>
      </c>
      <c r="DG166">
        <v>30.011900000000001</v>
      </c>
      <c r="DH166">
        <v>15.428699999999999</v>
      </c>
      <c r="DI166">
        <v>2</v>
      </c>
      <c r="DJ166">
        <v>-0.14981700000000001</v>
      </c>
      <c r="DK166">
        <v>2.03477</v>
      </c>
      <c r="DL166">
        <v>20.198699999999999</v>
      </c>
      <c r="DM166">
        <v>5.2528699999999997</v>
      </c>
      <c r="DN166">
        <v>12.033899999999999</v>
      </c>
      <c r="DO166">
        <v>4.9677600000000002</v>
      </c>
      <c r="DP166">
        <v>3.2909999999999999</v>
      </c>
      <c r="DQ166">
        <v>9999</v>
      </c>
      <c r="DR166">
        <v>9999</v>
      </c>
      <c r="DS166">
        <v>9999</v>
      </c>
      <c r="DT166">
        <v>604.70000000000005</v>
      </c>
      <c r="DU166">
        <v>1.8710599999999999</v>
      </c>
      <c r="DV166">
        <v>1.8761300000000001</v>
      </c>
      <c r="DW166">
        <v>1.87632</v>
      </c>
      <c r="DX166">
        <v>1.88279</v>
      </c>
      <c r="DY166">
        <v>1.87561</v>
      </c>
      <c r="DZ166">
        <v>1.8746400000000001</v>
      </c>
      <c r="EA166">
        <v>1.8707400000000001</v>
      </c>
      <c r="EB166">
        <v>1.8746700000000001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-0.875</v>
      </c>
      <c r="EQ166">
        <v>0.1002</v>
      </c>
      <c r="ER166">
        <v>-0.87549999999998795</v>
      </c>
      <c r="ES166">
        <v>0</v>
      </c>
      <c r="ET166">
        <v>0</v>
      </c>
      <c r="EU166">
        <v>0</v>
      </c>
      <c r="EV166">
        <v>0.100239999999996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9.1</v>
      </c>
      <c r="FE166">
        <v>9.1</v>
      </c>
      <c r="FF166">
        <v>1.4599599999999999</v>
      </c>
      <c r="FG166">
        <v>2.5805699999999998</v>
      </c>
      <c r="FH166">
        <v>2.19604</v>
      </c>
      <c r="FI166">
        <v>2.5793499999999998</v>
      </c>
      <c r="FJ166">
        <v>2.4462899999999999</v>
      </c>
      <c r="FK166">
        <v>2.323</v>
      </c>
      <c r="FL166">
        <v>31.020199999999999</v>
      </c>
      <c r="FM166">
        <v>24.148800000000001</v>
      </c>
      <c r="FN166">
        <v>19</v>
      </c>
      <c r="FO166">
        <v>864.26400000000001</v>
      </c>
      <c r="FP166">
        <v>589.29300000000001</v>
      </c>
      <c r="FQ166">
        <v>18.200099999999999</v>
      </c>
      <c r="FR166">
        <v>25.147300000000001</v>
      </c>
      <c r="FS166">
        <v>30.0001</v>
      </c>
      <c r="FT166">
        <v>25.125699999999998</v>
      </c>
      <c r="FU166">
        <v>25.126999999999999</v>
      </c>
      <c r="FV166">
        <v>29.292400000000001</v>
      </c>
      <c r="FW166">
        <v>28.911000000000001</v>
      </c>
      <c r="FX166">
        <v>45.208199999999998</v>
      </c>
      <c r="FY166">
        <v>18.197299999999998</v>
      </c>
      <c r="FZ166">
        <v>500</v>
      </c>
      <c r="GA166">
        <v>14.340400000000001</v>
      </c>
      <c r="GB166">
        <v>99.909599999999998</v>
      </c>
      <c r="GC166">
        <v>99.7453</v>
      </c>
    </row>
    <row r="167" spans="1:185" x14ac:dyDescent="0.2">
      <c r="A167">
        <v>152</v>
      </c>
      <c r="B167">
        <v>1771088478.0999999</v>
      </c>
      <c r="C167">
        <v>3158.0999999046298</v>
      </c>
      <c r="D167" t="s">
        <v>601</v>
      </c>
      <c r="E167" t="s">
        <v>602</v>
      </c>
      <c r="F167">
        <v>15</v>
      </c>
      <c r="G167">
        <v>1771088470.03333</v>
      </c>
      <c r="H167">
        <f t="shared" si="26"/>
        <v>8.9599961286328017E-4</v>
      </c>
      <c r="I167">
        <v>0</v>
      </c>
      <c r="J167">
        <f t="shared" si="38"/>
        <v>4.752259667655823E-3</v>
      </c>
      <c r="K167">
        <f t="shared" si="27"/>
        <v>0.12881444226134156</v>
      </c>
      <c r="L167">
        <f t="shared" si="28"/>
        <v>69.724239565838502</v>
      </c>
      <c r="M167">
        <f t="shared" si="29"/>
        <v>1.5382042800056086</v>
      </c>
      <c r="N167">
        <f t="shared" si="30"/>
        <v>2.2061255735218572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26206.185675276058</v>
      </c>
      <c r="T167">
        <f t="shared" si="34"/>
        <v>800.000133333333</v>
      </c>
      <c r="U167">
        <f t="shared" si="35"/>
        <v>674.40005319998977</v>
      </c>
      <c r="V167">
        <f t="shared" si="36"/>
        <v>0.84299992599999996</v>
      </c>
      <c r="W167">
        <f t="shared" si="37"/>
        <v>0.15869968507999999</v>
      </c>
      <c r="X167">
        <v>1</v>
      </c>
      <c r="Y167">
        <v>1771088470.03333</v>
      </c>
      <c r="Z167">
        <v>499.27586666666701</v>
      </c>
      <c r="AA167">
        <v>499.99606666666699</v>
      </c>
      <c r="AB167">
        <v>15.38316</v>
      </c>
      <c r="AC167">
        <v>14.2804</v>
      </c>
      <c r="AD167">
        <v>500.15133333333301</v>
      </c>
      <c r="AE167">
        <v>15.2829333333333</v>
      </c>
      <c r="AF167">
        <v>800.00753333333296</v>
      </c>
      <c r="AG167">
        <v>99.928173333333305</v>
      </c>
      <c r="AH167">
        <v>6.4564179999999999E-2</v>
      </c>
      <c r="AI167">
        <v>19.006866666666699</v>
      </c>
      <c r="AJ167">
        <v>999.9</v>
      </c>
      <c r="AK167">
        <v>999.9</v>
      </c>
      <c r="AL167">
        <v>0</v>
      </c>
      <c r="AM167">
        <v>0</v>
      </c>
      <c r="AN167">
        <v>5000.5666666666702</v>
      </c>
      <c r="AO167">
        <v>0</v>
      </c>
      <c r="AP167">
        <v>2.1981666666666699</v>
      </c>
      <c r="AQ167">
        <v>-0.72006833333333298</v>
      </c>
      <c r="AR167">
        <v>507.07639999999998</v>
      </c>
      <c r="AS167">
        <v>507.239466666667</v>
      </c>
      <c r="AT167">
        <v>1.10275866666667</v>
      </c>
      <c r="AU167">
        <v>499.99606666666699</v>
      </c>
      <c r="AV167">
        <v>14.2804</v>
      </c>
      <c r="AW167">
        <v>1.5372106666666701</v>
      </c>
      <c r="AX167">
        <v>1.4270146666666701</v>
      </c>
      <c r="AY167">
        <v>13.343400000000001</v>
      </c>
      <c r="AZ167">
        <v>12.2077666666667</v>
      </c>
      <c r="BA167">
        <v>800.000133333333</v>
      </c>
      <c r="BB167">
        <v>0.90000440000000004</v>
      </c>
      <c r="BC167">
        <v>0</v>
      </c>
      <c r="BD167">
        <v>9.9995666666666594E-2</v>
      </c>
      <c r="BE167">
        <v>0</v>
      </c>
      <c r="BF167">
        <v>25</v>
      </c>
      <c r="BG167">
        <v>13191.04</v>
      </c>
      <c r="BH167">
        <v>1771087918.0999999</v>
      </c>
      <c r="BI167" t="s">
        <v>550</v>
      </c>
      <c r="BJ167">
        <v>1771087916.0999999</v>
      </c>
      <c r="BK167">
        <v>1771087918.0999999</v>
      </c>
      <c r="BL167">
        <v>5</v>
      </c>
      <c r="BM167">
        <v>-0.34200000000000003</v>
      </c>
      <c r="BN167">
        <v>0</v>
      </c>
      <c r="BO167">
        <v>-0.875</v>
      </c>
      <c r="BP167">
        <v>0.1</v>
      </c>
      <c r="BQ167">
        <v>375</v>
      </c>
      <c r="BR167">
        <v>14</v>
      </c>
      <c r="BS167">
        <v>0.27</v>
      </c>
      <c r="BT167">
        <v>0.04</v>
      </c>
      <c r="BU167">
        <v>-0.72914776190476205</v>
      </c>
      <c r="BV167">
        <v>9.0542259740260297E-2</v>
      </c>
      <c r="BW167">
        <v>3.0452248436660199E-2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1.0984152380952401</v>
      </c>
      <c r="CD167">
        <v>8.4082597402598699E-2</v>
      </c>
      <c r="CE167">
        <v>1.01946987246396E-2</v>
      </c>
      <c r="CF167">
        <v>1</v>
      </c>
      <c r="CG167">
        <v>2</v>
      </c>
      <c r="CH167">
        <v>2</v>
      </c>
      <c r="CI167" t="s">
        <v>310</v>
      </c>
      <c r="CJ167">
        <v>3.53254</v>
      </c>
      <c r="CK167">
        <v>2.70261</v>
      </c>
      <c r="CL167">
        <v>0.11333</v>
      </c>
      <c r="CM167">
        <v>0.11185100000000001</v>
      </c>
      <c r="CN167">
        <v>8.6916400000000005E-2</v>
      </c>
      <c r="CO167">
        <v>8.1422400000000006E-2</v>
      </c>
      <c r="CP167">
        <v>31105.8</v>
      </c>
      <c r="CQ167">
        <v>27355.3</v>
      </c>
      <c r="CR167">
        <v>32467.8</v>
      </c>
      <c r="CS167">
        <v>30725.599999999999</v>
      </c>
      <c r="CT167">
        <v>40139.4</v>
      </c>
      <c r="CU167">
        <v>39688.800000000003</v>
      </c>
      <c r="CV167">
        <v>47411.7</v>
      </c>
      <c r="CW167">
        <v>46854.2</v>
      </c>
      <c r="CX167">
        <v>2.6280999999999999</v>
      </c>
      <c r="CY167">
        <v>2.1523599999999998</v>
      </c>
      <c r="CZ167">
        <v>0</v>
      </c>
      <c r="DA167">
        <v>0</v>
      </c>
      <c r="DB167">
        <v>999.9</v>
      </c>
      <c r="DC167">
        <v>999.9</v>
      </c>
      <c r="DD167">
        <v>56.970999999999997</v>
      </c>
      <c r="DE167">
        <v>25.881</v>
      </c>
      <c r="DF167">
        <v>19.103300000000001</v>
      </c>
      <c r="DG167">
        <v>29.921900000000001</v>
      </c>
      <c r="DH167">
        <v>15.2965</v>
      </c>
      <c r="DI167">
        <v>2</v>
      </c>
      <c r="DJ167">
        <v>-0.148392</v>
      </c>
      <c r="DK167">
        <v>2.3569200000000001</v>
      </c>
      <c r="DL167">
        <v>20.1934</v>
      </c>
      <c r="DM167">
        <v>5.2527499999999998</v>
      </c>
      <c r="DN167">
        <v>12.033899999999999</v>
      </c>
      <c r="DO167">
        <v>4.9677199999999999</v>
      </c>
      <c r="DP167">
        <v>3.2909999999999999</v>
      </c>
      <c r="DQ167">
        <v>9999</v>
      </c>
      <c r="DR167">
        <v>9999</v>
      </c>
      <c r="DS167">
        <v>9999</v>
      </c>
      <c r="DT167">
        <v>604.70000000000005</v>
      </c>
      <c r="DU167">
        <v>1.8710800000000001</v>
      </c>
      <c r="DV167">
        <v>1.8761000000000001</v>
      </c>
      <c r="DW167">
        <v>1.87629</v>
      </c>
      <c r="DX167">
        <v>1.8828</v>
      </c>
      <c r="DY167">
        <v>1.87561</v>
      </c>
      <c r="DZ167">
        <v>1.8746700000000001</v>
      </c>
      <c r="EA167">
        <v>1.8707400000000001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-0.875</v>
      </c>
      <c r="EQ167">
        <v>0.1002</v>
      </c>
      <c r="ER167">
        <v>-0.87549999999998795</v>
      </c>
      <c r="ES167">
        <v>0</v>
      </c>
      <c r="ET167">
        <v>0</v>
      </c>
      <c r="EU167">
        <v>0</v>
      </c>
      <c r="EV167">
        <v>0.100239999999996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9.4</v>
      </c>
      <c r="FE167">
        <v>9.3000000000000007</v>
      </c>
      <c r="FF167">
        <v>1.4599599999999999</v>
      </c>
      <c r="FG167">
        <v>2.5793499999999998</v>
      </c>
      <c r="FH167">
        <v>2.19604</v>
      </c>
      <c r="FI167">
        <v>2.5793499999999998</v>
      </c>
      <c r="FJ167">
        <v>2.4462899999999999</v>
      </c>
      <c r="FK167">
        <v>2.2827099999999998</v>
      </c>
      <c r="FL167">
        <v>31.041899999999998</v>
      </c>
      <c r="FM167">
        <v>24.14</v>
      </c>
      <c r="FN167">
        <v>19</v>
      </c>
      <c r="FO167">
        <v>864.23299999999995</v>
      </c>
      <c r="FP167">
        <v>589.34100000000001</v>
      </c>
      <c r="FQ167">
        <v>18.038699999999999</v>
      </c>
      <c r="FR167">
        <v>25.1494</v>
      </c>
      <c r="FS167">
        <v>30.0002</v>
      </c>
      <c r="FT167">
        <v>25.1295</v>
      </c>
      <c r="FU167">
        <v>25.1312</v>
      </c>
      <c r="FV167">
        <v>29.291499999999999</v>
      </c>
      <c r="FW167">
        <v>28.6266</v>
      </c>
      <c r="FX167">
        <v>44.834800000000001</v>
      </c>
      <c r="FY167">
        <v>18.039899999999999</v>
      </c>
      <c r="FZ167">
        <v>500</v>
      </c>
      <c r="GA167">
        <v>14.348100000000001</v>
      </c>
      <c r="GB167">
        <v>99.907300000000006</v>
      </c>
      <c r="GC167">
        <v>99.745599999999996</v>
      </c>
    </row>
    <row r="168" spans="1:185" x14ac:dyDescent="0.2">
      <c r="A168">
        <v>153</v>
      </c>
      <c r="B168">
        <v>1771088493.0999999</v>
      </c>
      <c r="C168">
        <v>3173.0999999046298</v>
      </c>
      <c r="D168" t="s">
        <v>603</v>
      </c>
      <c r="E168" t="s">
        <v>604</v>
      </c>
      <c r="F168">
        <v>15</v>
      </c>
      <c r="G168">
        <v>1771088485.03333</v>
      </c>
      <c r="H168">
        <f t="shared" si="26"/>
        <v>8.5517268131203117E-4</v>
      </c>
      <c r="I168">
        <v>0</v>
      </c>
      <c r="J168">
        <f t="shared" si="38"/>
        <v>5.1282976872175003E-3</v>
      </c>
      <c r="K168">
        <f t="shared" si="27"/>
        <v>0.13900730442511949</v>
      </c>
      <c r="L168">
        <f t="shared" si="28"/>
        <v>69.730887038876631</v>
      </c>
      <c r="M168">
        <f t="shared" si="29"/>
        <v>1.5382031096020203</v>
      </c>
      <c r="N168">
        <f t="shared" si="30"/>
        <v>2.2059135842405611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26208.312822284413</v>
      </c>
      <c r="T168">
        <f t="shared" si="34"/>
        <v>800.00093333333302</v>
      </c>
      <c r="U168">
        <f t="shared" si="35"/>
        <v>674.40069831989661</v>
      </c>
      <c r="V168">
        <f t="shared" si="36"/>
        <v>0.84299988940000015</v>
      </c>
      <c r="W168">
        <f t="shared" si="37"/>
        <v>0.15869968452400002</v>
      </c>
      <c r="X168">
        <v>1</v>
      </c>
      <c r="Y168">
        <v>1771088485.03333</v>
      </c>
      <c r="Z168">
        <v>499.284066666667</v>
      </c>
      <c r="AA168">
        <v>499.991533333333</v>
      </c>
      <c r="AB168">
        <v>15.3832666666667</v>
      </c>
      <c r="AC168">
        <v>14.33076</v>
      </c>
      <c r="AD168">
        <v>500.15940000000001</v>
      </c>
      <c r="AE168">
        <v>15.2830266666667</v>
      </c>
      <c r="AF168">
        <v>800.01139999999998</v>
      </c>
      <c r="AG168">
        <v>99.927286666666703</v>
      </c>
      <c r="AH168">
        <v>6.4681420000000003E-2</v>
      </c>
      <c r="AI168">
        <v>19.005326666666701</v>
      </c>
      <c r="AJ168">
        <v>999.9</v>
      </c>
      <c r="AK168">
        <v>999.9</v>
      </c>
      <c r="AL168">
        <v>0</v>
      </c>
      <c r="AM168">
        <v>0</v>
      </c>
      <c r="AN168">
        <v>5000.9333333333298</v>
      </c>
      <c r="AO168">
        <v>0</v>
      </c>
      <c r="AP168">
        <v>2.2019299999999999</v>
      </c>
      <c r="AQ168">
        <v>-0.70755813333333295</v>
      </c>
      <c r="AR168">
        <v>507.08460000000002</v>
      </c>
      <c r="AS168">
        <v>507.26106666666698</v>
      </c>
      <c r="AT168">
        <v>1.0525006666666701</v>
      </c>
      <c r="AU168">
        <v>499.991533333333</v>
      </c>
      <c r="AV168">
        <v>14.33076</v>
      </c>
      <c r="AW168">
        <v>1.53720733333333</v>
      </c>
      <c r="AX168">
        <v>1.432034</v>
      </c>
      <c r="AY168">
        <v>13.343346666666701</v>
      </c>
      <c r="AZ168">
        <v>12.2611266666667</v>
      </c>
      <c r="BA168">
        <v>800.00093333333302</v>
      </c>
      <c r="BB168">
        <v>0.900004266666667</v>
      </c>
      <c r="BC168">
        <v>0</v>
      </c>
      <c r="BD168">
        <v>9.9995753333333298E-2</v>
      </c>
      <c r="BE168">
        <v>0</v>
      </c>
      <c r="BF168">
        <v>25</v>
      </c>
      <c r="BG168">
        <v>13191.06</v>
      </c>
      <c r="BH168">
        <v>1771087918.0999999</v>
      </c>
      <c r="BI168" t="s">
        <v>550</v>
      </c>
      <c r="BJ168">
        <v>1771087916.0999999</v>
      </c>
      <c r="BK168">
        <v>1771087918.0999999</v>
      </c>
      <c r="BL168">
        <v>5</v>
      </c>
      <c r="BM168">
        <v>-0.34200000000000003</v>
      </c>
      <c r="BN168">
        <v>0</v>
      </c>
      <c r="BO168">
        <v>-0.875</v>
      </c>
      <c r="BP168">
        <v>0.1</v>
      </c>
      <c r="BQ168">
        <v>375</v>
      </c>
      <c r="BR168">
        <v>14</v>
      </c>
      <c r="BS168">
        <v>0.27</v>
      </c>
      <c r="BT168">
        <v>0.04</v>
      </c>
      <c r="BU168">
        <v>-0.71223952380952404</v>
      </c>
      <c r="BV168">
        <v>0.137971168831168</v>
      </c>
      <c r="BW168">
        <v>2.3567203605291E-2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1.0685642857142901</v>
      </c>
      <c r="CD168">
        <v>-0.27731610389610301</v>
      </c>
      <c r="CE168">
        <v>3.06986890632822E-2</v>
      </c>
      <c r="CF168">
        <v>0</v>
      </c>
      <c r="CG168">
        <v>1</v>
      </c>
      <c r="CH168">
        <v>2</v>
      </c>
      <c r="CI168" t="s">
        <v>299</v>
      </c>
      <c r="CJ168">
        <v>3.5324900000000001</v>
      </c>
      <c r="CK168">
        <v>2.70241</v>
      </c>
      <c r="CL168">
        <v>0.113332</v>
      </c>
      <c r="CM168">
        <v>0.111849</v>
      </c>
      <c r="CN168">
        <v>8.6995699999999995E-2</v>
      </c>
      <c r="CO168">
        <v>8.1737799999999999E-2</v>
      </c>
      <c r="CP168">
        <v>31106.2</v>
      </c>
      <c r="CQ168">
        <v>27355.7</v>
      </c>
      <c r="CR168">
        <v>32468.3</v>
      </c>
      <c r="CS168">
        <v>30726.1</v>
      </c>
      <c r="CT168">
        <v>40136.300000000003</v>
      </c>
      <c r="CU168">
        <v>39675.1</v>
      </c>
      <c r="CV168">
        <v>47412.2</v>
      </c>
      <c r="CW168">
        <v>46854.6</v>
      </c>
      <c r="CX168">
        <v>2.62784</v>
      </c>
      <c r="CY168">
        <v>2.15218</v>
      </c>
      <c r="CZ168">
        <v>0</v>
      </c>
      <c r="DA168">
        <v>0</v>
      </c>
      <c r="DB168">
        <v>999.9</v>
      </c>
      <c r="DC168">
        <v>999.9</v>
      </c>
      <c r="DD168">
        <v>56.898000000000003</v>
      </c>
      <c r="DE168">
        <v>25.881</v>
      </c>
      <c r="DF168">
        <v>19.0776</v>
      </c>
      <c r="DG168">
        <v>30.041899999999998</v>
      </c>
      <c r="DH168">
        <v>15.2965</v>
      </c>
      <c r="DI168">
        <v>2</v>
      </c>
      <c r="DJ168">
        <v>-0.14863000000000001</v>
      </c>
      <c r="DK168">
        <v>2.2451699999999999</v>
      </c>
      <c r="DL168">
        <v>20.1953</v>
      </c>
      <c r="DM168">
        <v>5.2526299999999999</v>
      </c>
      <c r="DN168">
        <v>12.033899999999999</v>
      </c>
      <c r="DO168">
        <v>4.9675200000000004</v>
      </c>
      <c r="DP168">
        <v>3.2909999999999999</v>
      </c>
      <c r="DQ168">
        <v>9999</v>
      </c>
      <c r="DR168">
        <v>9999</v>
      </c>
      <c r="DS168">
        <v>9999</v>
      </c>
      <c r="DT168">
        <v>604.70000000000005</v>
      </c>
      <c r="DU168">
        <v>1.8710599999999999</v>
      </c>
      <c r="DV168">
        <v>1.87608</v>
      </c>
      <c r="DW168">
        <v>1.8762700000000001</v>
      </c>
      <c r="DX168">
        <v>1.88279</v>
      </c>
      <c r="DY168">
        <v>1.8755999999999999</v>
      </c>
      <c r="DZ168">
        <v>1.8746400000000001</v>
      </c>
      <c r="EA168">
        <v>1.8707400000000001</v>
      </c>
      <c r="EB168">
        <v>1.8746499999999999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-0.875</v>
      </c>
      <c r="EQ168">
        <v>0.1002</v>
      </c>
      <c r="ER168">
        <v>-0.87549999999998795</v>
      </c>
      <c r="ES168">
        <v>0</v>
      </c>
      <c r="ET168">
        <v>0</v>
      </c>
      <c r="EU168">
        <v>0</v>
      </c>
      <c r="EV168">
        <v>0.100239999999996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9.6</v>
      </c>
      <c r="FE168">
        <v>9.6</v>
      </c>
      <c r="FF168">
        <v>1.4599599999999999</v>
      </c>
      <c r="FG168">
        <v>2.5878899999999998</v>
      </c>
      <c r="FH168">
        <v>2.19604</v>
      </c>
      <c r="FI168">
        <v>2.5793499999999998</v>
      </c>
      <c r="FJ168">
        <v>2.4462899999999999</v>
      </c>
      <c r="FK168">
        <v>2.2705099999999998</v>
      </c>
      <c r="FL168">
        <v>31.063600000000001</v>
      </c>
      <c r="FM168">
        <v>24.14</v>
      </c>
      <c r="FN168">
        <v>19</v>
      </c>
      <c r="FO168">
        <v>864.06</v>
      </c>
      <c r="FP168">
        <v>589.25</v>
      </c>
      <c r="FQ168">
        <v>18.020199999999999</v>
      </c>
      <c r="FR168">
        <v>25.153600000000001</v>
      </c>
      <c r="FS168">
        <v>30</v>
      </c>
      <c r="FT168">
        <v>25.133700000000001</v>
      </c>
      <c r="FU168">
        <v>25.1355</v>
      </c>
      <c r="FV168">
        <v>29.293399999999998</v>
      </c>
      <c r="FW168">
        <v>28.6266</v>
      </c>
      <c r="FX168">
        <v>44.834800000000001</v>
      </c>
      <c r="FY168">
        <v>18.022600000000001</v>
      </c>
      <c r="FZ168">
        <v>500</v>
      </c>
      <c r="GA168">
        <v>14.3422</v>
      </c>
      <c r="GB168">
        <v>99.908600000000007</v>
      </c>
      <c r="GC168">
        <v>99.746600000000001</v>
      </c>
    </row>
    <row r="169" spans="1:185" x14ac:dyDescent="0.2">
      <c r="A169">
        <v>154</v>
      </c>
      <c r="B169">
        <v>1771088508.0999999</v>
      </c>
      <c r="C169">
        <v>3188.0999999046298</v>
      </c>
      <c r="D169" t="s">
        <v>605</v>
      </c>
      <c r="E169" t="s">
        <v>606</v>
      </c>
      <c r="F169">
        <v>15</v>
      </c>
      <c r="G169">
        <v>1771088500.03333</v>
      </c>
      <c r="H169">
        <f t="shared" si="26"/>
        <v>8.6692116310891525E-4</v>
      </c>
      <c r="I169">
        <v>0</v>
      </c>
      <c r="J169">
        <f t="shared" si="38"/>
        <v>5.2696259634645165E-3</v>
      </c>
      <c r="K169">
        <f t="shared" si="27"/>
        <v>0.14283813951277716</v>
      </c>
      <c r="L169">
        <f t="shared" si="28"/>
        <v>69.840807680339509</v>
      </c>
      <c r="M169">
        <f t="shared" si="29"/>
        <v>1.5401350780113807</v>
      </c>
      <c r="N169">
        <f t="shared" si="30"/>
        <v>2.2052079996848826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26200.685085756391</v>
      </c>
      <c r="T169">
        <f t="shared" si="34"/>
        <v>799.99900000000002</v>
      </c>
      <c r="U169">
        <f t="shared" si="35"/>
        <v>674.39897236023057</v>
      </c>
      <c r="V169">
        <f t="shared" si="36"/>
        <v>0.84299976919999975</v>
      </c>
      <c r="W169">
        <f t="shared" si="37"/>
        <v>0.15869950095199994</v>
      </c>
      <c r="X169">
        <v>1</v>
      </c>
      <c r="Y169">
        <v>1771088500.03333</v>
      </c>
      <c r="Z169">
        <v>499.28646666666702</v>
      </c>
      <c r="AA169">
        <v>500.00606666666698</v>
      </c>
      <c r="AB169">
        <v>15.4027266666667</v>
      </c>
      <c r="AC169">
        <v>14.3357666666667</v>
      </c>
      <c r="AD169">
        <v>500.16206666666699</v>
      </c>
      <c r="AE169">
        <v>15.302493333333301</v>
      </c>
      <c r="AF169">
        <v>800.00019999999995</v>
      </c>
      <c r="AG169">
        <v>99.926479999999998</v>
      </c>
      <c r="AH169">
        <v>6.4587253333333303E-2</v>
      </c>
      <c r="AI169">
        <v>19.0002</v>
      </c>
      <c r="AJ169">
        <v>999.9</v>
      </c>
      <c r="AK169">
        <v>999.9</v>
      </c>
      <c r="AL169">
        <v>0</v>
      </c>
      <c r="AM169">
        <v>0</v>
      </c>
      <c r="AN169">
        <v>4999.6333333333296</v>
      </c>
      <c r="AO169">
        <v>0</v>
      </c>
      <c r="AP169">
        <v>2.2019299999999999</v>
      </c>
      <c r="AQ169">
        <v>-0.7195028</v>
      </c>
      <c r="AR169">
        <v>507.09719999999999</v>
      </c>
      <c r="AS169">
        <v>507.27833333333302</v>
      </c>
      <c r="AT169">
        <v>1.06697</v>
      </c>
      <c r="AU169">
        <v>500.00606666666698</v>
      </c>
      <c r="AV169">
        <v>14.3357666666667</v>
      </c>
      <c r="AW169">
        <v>1.539142</v>
      </c>
      <c r="AX169">
        <v>1.4325226666666699</v>
      </c>
      <c r="AY169">
        <v>13.362626666666699</v>
      </c>
      <c r="AZ169">
        <v>12.2663266666667</v>
      </c>
      <c r="BA169">
        <v>799.99900000000002</v>
      </c>
      <c r="BB169">
        <v>0.90000653333333303</v>
      </c>
      <c r="BC169">
        <v>0</v>
      </c>
      <c r="BD169">
        <v>9.9993426666666704E-2</v>
      </c>
      <c r="BE169">
        <v>0</v>
      </c>
      <c r="BF169">
        <v>25</v>
      </c>
      <c r="BG169">
        <v>13191.04</v>
      </c>
      <c r="BH169">
        <v>1771087918.0999999</v>
      </c>
      <c r="BI169" t="s">
        <v>550</v>
      </c>
      <c r="BJ169">
        <v>1771087916.0999999</v>
      </c>
      <c r="BK169">
        <v>1771087918.0999999</v>
      </c>
      <c r="BL169">
        <v>5</v>
      </c>
      <c r="BM169">
        <v>-0.34200000000000003</v>
      </c>
      <c r="BN169">
        <v>0</v>
      </c>
      <c r="BO169">
        <v>-0.875</v>
      </c>
      <c r="BP169">
        <v>0.1</v>
      </c>
      <c r="BQ169">
        <v>375</v>
      </c>
      <c r="BR169">
        <v>14</v>
      </c>
      <c r="BS169">
        <v>0.27</v>
      </c>
      <c r="BT169">
        <v>0.04</v>
      </c>
      <c r="BU169">
        <v>-0.71094049999999998</v>
      </c>
      <c r="BV169">
        <v>-0.204761503759397</v>
      </c>
      <c r="BW169">
        <v>2.65414849499797E-2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1.0607</v>
      </c>
      <c r="CD169">
        <v>0.158441503759398</v>
      </c>
      <c r="CE169">
        <v>1.59383537418392E-2</v>
      </c>
      <c r="CF169">
        <v>0</v>
      </c>
      <c r="CG169">
        <v>1</v>
      </c>
      <c r="CH169">
        <v>2</v>
      </c>
      <c r="CI169" t="s">
        <v>299</v>
      </c>
      <c r="CJ169">
        <v>3.53247</v>
      </c>
      <c r="CK169">
        <v>2.7024599999999999</v>
      </c>
      <c r="CL169">
        <v>0.11333</v>
      </c>
      <c r="CM169">
        <v>0.111854</v>
      </c>
      <c r="CN169">
        <v>8.7037199999999995E-2</v>
      </c>
      <c r="CO169">
        <v>8.1639299999999998E-2</v>
      </c>
      <c r="CP169">
        <v>31106.2</v>
      </c>
      <c r="CQ169">
        <v>27355.4</v>
      </c>
      <c r="CR169">
        <v>32468.2</v>
      </c>
      <c r="CS169">
        <v>30725.9</v>
      </c>
      <c r="CT169">
        <v>40134.6</v>
      </c>
      <c r="CU169">
        <v>39679.300000000003</v>
      </c>
      <c r="CV169">
        <v>47412.5</v>
      </c>
      <c r="CW169">
        <v>46854.400000000001</v>
      </c>
      <c r="CX169">
        <v>2.6278800000000002</v>
      </c>
      <c r="CY169">
        <v>2.15178</v>
      </c>
      <c r="CZ169">
        <v>0</v>
      </c>
      <c r="DA169">
        <v>0</v>
      </c>
      <c r="DB169">
        <v>999.9</v>
      </c>
      <c r="DC169">
        <v>999.9</v>
      </c>
      <c r="DD169">
        <v>56.805999999999997</v>
      </c>
      <c r="DE169">
        <v>25.901</v>
      </c>
      <c r="DF169">
        <v>19.069400000000002</v>
      </c>
      <c r="DG169">
        <v>30.2819</v>
      </c>
      <c r="DH169">
        <v>15.476800000000001</v>
      </c>
      <c r="DI169">
        <v>2</v>
      </c>
      <c r="DJ169">
        <v>-0.14863999999999999</v>
      </c>
      <c r="DK169">
        <v>2.1987299999999999</v>
      </c>
      <c r="DL169">
        <v>20.196100000000001</v>
      </c>
      <c r="DM169">
        <v>5.2523900000000001</v>
      </c>
      <c r="DN169">
        <v>12.033899999999999</v>
      </c>
      <c r="DO169">
        <v>4.9672799999999997</v>
      </c>
      <c r="DP169">
        <v>3.2909999999999999</v>
      </c>
      <c r="DQ169">
        <v>9999</v>
      </c>
      <c r="DR169">
        <v>9999</v>
      </c>
      <c r="DS169">
        <v>9999</v>
      </c>
      <c r="DT169">
        <v>604.70000000000005</v>
      </c>
      <c r="DU169">
        <v>1.87107</v>
      </c>
      <c r="DV169">
        <v>1.8761099999999999</v>
      </c>
      <c r="DW169">
        <v>1.87632</v>
      </c>
      <c r="DX169">
        <v>1.88279</v>
      </c>
      <c r="DY169">
        <v>1.8755999999999999</v>
      </c>
      <c r="DZ169">
        <v>1.8746499999999999</v>
      </c>
      <c r="EA169">
        <v>1.8707400000000001</v>
      </c>
      <c r="EB169">
        <v>1.87466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-0.876</v>
      </c>
      <c r="EQ169">
        <v>0.1002</v>
      </c>
      <c r="ER169">
        <v>-0.87549999999998795</v>
      </c>
      <c r="ES169">
        <v>0</v>
      </c>
      <c r="ET169">
        <v>0</v>
      </c>
      <c r="EU169">
        <v>0</v>
      </c>
      <c r="EV169">
        <v>0.100239999999996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9.9</v>
      </c>
      <c r="FE169">
        <v>9.8000000000000007</v>
      </c>
      <c r="FF169">
        <v>1.4599599999999999</v>
      </c>
      <c r="FG169">
        <v>2.5817899999999998</v>
      </c>
      <c r="FH169">
        <v>2.19604</v>
      </c>
      <c r="FI169">
        <v>2.5793499999999998</v>
      </c>
      <c r="FJ169">
        <v>2.4462899999999999</v>
      </c>
      <c r="FK169">
        <v>2.3303199999999999</v>
      </c>
      <c r="FL169">
        <v>31.063600000000001</v>
      </c>
      <c r="FM169">
        <v>24.148800000000001</v>
      </c>
      <c r="FN169">
        <v>19</v>
      </c>
      <c r="FO169">
        <v>864.16499999999996</v>
      </c>
      <c r="FP169">
        <v>588.98699999999997</v>
      </c>
      <c r="FQ169">
        <v>18.021000000000001</v>
      </c>
      <c r="FR169">
        <v>25.156600000000001</v>
      </c>
      <c r="FS169">
        <v>30.0001</v>
      </c>
      <c r="FT169">
        <v>25.137899999999998</v>
      </c>
      <c r="FU169">
        <v>25.139700000000001</v>
      </c>
      <c r="FV169">
        <v>29.290400000000002</v>
      </c>
      <c r="FW169">
        <v>28.6266</v>
      </c>
      <c r="FX169">
        <v>44.463500000000003</v>
      </c>
      <c r="FY169">
        <v>18.0381</v>
      </c>
      <c r="FZ169">
        <v>500</v>
      </c>
      <c r="GA169">
        <v>14.3422</v>
      </c>
      <c r="GB169">
        <v>99.908799999999999</v>
      </c>
      <c r="GC169">
        <v>99.746099999999998</v>
      </c>
    </row>
    <row r="170" spans="1:185" x14ac:dyDescent="0.2">
      <c r="A170">
        <v>155</v>
      </c>
      <c r="B170">
        <v>1771088523.0999999</v>
      </c>
      <c r="C170">
        <v>3203.0999999046298</v>
      </c>
      <c r="D170" t="s">
        <v>607</v>
      </c>
      <c r="E170" t="s">
        <v>608</v>
      </c>
      <c r="F170">
        <v>15</v>
      </c>
      <c r="G170">
        <v>1771088515.03333</v>
      </c>
      <c r="H170">
        <f t="shared" si="26"/>
        <v>8.7376882405802356E-4</v>
      </c>
      <c r="I170">
        <v>0</v>
      </c>
      <c r="J170">
        <f t="shared" si="38"/>
        <v>4.9607579479049209E-3</v>
      </c>
      <c r="K170">
        <f t="shared" si="27"/>
        <v>0.13446598312000527</v>
      </c>
      <c r="L170">
        <f t="shared" si="28"/>
        <v>69.854129887743895</v>
      </c>
      <c r="M170">
        <f t="shared" si="29"/>
        <v>1.5401597255466974</v>
      </c>
      <c r="N170">
        <f t="shared" si="30"/>
        <v>2.2048227184588018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26132.717957285393</v>
      </c>
      <c r="T170">
        <f t="shared" si="34"/>
        <v>800.00099999999998</v>
      </c>
      <c r="U170">
        <f t="shared" si="35"/>
        <v>674.40062235972437</v>
      </c>
      <c r="V170">
        <f t="shared" si="36"/>
        <v>0.84299972420000024</v>
      </c>
      <c r="W170">
        <f t="shared" si="37"/>
        <v>0.15869945341200004</v>
      </c>
      <c r="X170">
        <v>1</v>
      </c>
      <c r="Y170">
        <v>1771088515.03333</v>
      </c>
      <c r="Z170">
        <v>499.28713333333297</v>
      </c>
      <c r="AA170">
        <v>500.00053333333301</v>
      </c>
      <c r="AB170">
        <v>15.4031933333333</v>
      </c>
      <c r="AC170">
        <v>14.327819999999999</v>
      </c>
      <c r="AD170">
        <v>500.168133333333</v>
      </c>
      <c r="AE170">
        <v>15.3081933333333</v>
      </c>
      <c r="AF170">
        <v>800.010533333333</v>
      </c>
      <c r="AG170">
        <v>99.925153333333299</v>
      </c>
      <c r="AH170">
        <v>6.4484673333333298E-2</v>
      </c>
      <c r="AI170">
        <v>18.997399999999999</v>
      </c>
      <c r="AJ170">
        <v>999.9</v>
      </c>
      <c r="AK170">
        <v>999.9</v>
      </c>
      <c r="AL170">
        <v>0</v>
      </c>
      <c r="AM170">
        <v>0</v>
      </c>
      <c r="AN170">
        <v>4988.4333333333298</v>
      </c>
      <c r="AO170">
        <v>0</v>
      </c>
      <c r="AP170">
        <v>2.2019299999999999</v>
      </c>
      <c r="AQ170">
        <v>-0.70781039999999995</v>
      </c>
      <c r="AR170">
        <v>507.10626666666701</v>
      </c>
      <c r="AS170">
        <v>507.268466666667</v>
      </c>
      <c r="AT170">
        <v>1.080614</v>
      </c>
      <c r="AU170">
        <v>500.00053333333301</v>
      </c>
      <c r="AV170">
        <v>14.327819999999999</v>
      </c>
      <c r="AW170">
        <v>1.5396893333333299</v>
      </c>
      <c r="AX170">
        <v>1.4317106666666699</v>
      </c>
      <c r="AY170">
        <v>13.3681</v>
      </c>
      <c r="AZ170">
        <v>12.2576933333333</v>
      </c>
      <c r="BA170">
        <v>800.00099999999998</v>
      </c>
      <c r="BB170">
        <v>0.90000706666666697</v>
      </c>
      <c r="BC170">
        <v>0</v>
      </c>
      <c r="BD170">
        <v>9.9992860000000003E-2</v>
      </c>
      <c r="BE170">
        <v>0</v>
      </c>
      <c r="BF170">
        <v>25</v>
      </c>
      <c r="BG170">
        <v>13191.073333333299</v>
      </c>
      <c r="BH170">
        <v>1771088545.0999999</v>
      </c>
      <c r="BI170" t="s">
        <v>609</v>
      </c>
      <c r="BJ170">
        <v>1771088541.0999999</v>
      </c>
      <c r="BK170">
        <v>1771088545.0999999</v>
      </c>
      <c r="BL170">
        <v>6</v>
      </c>
      <c r="BM170">
        <v>-5.0000000000000001E-3</v>
      </c>
      <c r="BN170">
        <v>-5.0000000000000001E-3</v>
      </c>
      <c r="BO170">
        <v>-0.88100000000000001</v>
      </c>
      <c r="BP170">
        <v>9.5000000000000001E-2</v>
      </c>
      <c r="BQ170">
        <v>500</v>
      </c>
      <c r="BR170">
        <v>14</v>
      </c>
      <c r="BS170">
        <v>0.15</v>
      </c>
      <c r="BT170">
        <v>0.03</v>
      </c>
      <c r="BU170">
        <v>-0.71384095238095202</v>
      </c>
      <c r="BV170">
        <v>0.18470111688311699</v>
      </c>
      <c r="BW170">
        <v>2.7363610262843199E-2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1.08018619047619</v>
      </c>
      <c r="CD170">
        <v>6.2524675324678496E-3</v>
      </c>
      <c r="CE170">
        <v>1.6121723770250701E-3</v>
      </c>
      <c r="CF170">
        <v>1</v>
      </c>
      <c r="CG170">
        <v>2</v>
      </c>
      <c r="CH170">
        <v>2</v>
      </c>
      <c r="CI170" t="s">
        <v>310</v>
      </c>
      <c r="CJ170">
        <v>3.5325299999999999</v>
      </c>
      <c r="CK170">
        <v>2.7020900000000001</v>
      </c>
      <c r="CL170">
        <v>0.113329</v>
      </c>
      <c r="CM170">
        <v>0.111845</v>
      </c>
      <c r="CN170">
        <v>8.7068400000000004E-2</v>
      </c>
      <c r="CO170">
        <v>8.1652000000000002E-2</v>
      </c>
      <c r="CP170">
        <v>31106.1</v>
      </c>
      <c r="CQ170">
        <v>27355.8</v>
      </c>
      <c r="CR170">
        <v>32468.1</v>
      </c>
      <c r="CS170">
        <v>30726</v>
      </c>
      <c r="CT170">
        <v>40133</v>
      </c>
      <c r="CU170">
        <v>39679.199999999997</v>
      </c>
      <c r="CV170">
        <v>47412.2</v>
      </c>
      <c r="CW170">
        <v>46854.9</v>
      </c>
      <c r="CX170">
        <v>2.6280600000000001</v>
      </c>
      <c r="CY170">
        <v>2.1516000000000002</v>
      </c>
      <c r="CZ170">
        <v>0</v>
      </c>
      <c r="DA170">
        <v>0</v>
      </c>
      <c r="DB170">
        <v>999.9</v>
      </c>
      <c r="DC170">
        <v>999.9</v>
      </c>
      <c r="DD170">
        <v>56.732999999999997</v>
      </c>
      <c r="DE170">
        <v>25.920999999999999</v>
      </c>
      <c r="DF170">
        <v>19.069299999999998</v>
      </c>
      <c r="DG170">
        <v>30.2819</v>
      </c>
      <c r="DH170">
        <v>15.336499999999999</v>
      </c>
      <c r="DI170">
        <v>2</v>
      </c>
      <c r="DJ170">
        <v>-0.14840400000000001</v>
      </c>
      <c r="DK170">
        <v>2.19882</v>
      </c>
      <c r="DL170">
        <v>20.1966</v>
      </c>
      <c r="DM170">
        <v>5.2519099999999996</v>
      </c>
      <c r="DN170">
        <v>12.033899999999999</v>
      </c>
      <c r="DO170">
        <v>4.9674800000000001</v>
      </c>
      <c r="DP170">
        <v>3.2909999999999999</v>
      </c>
      <c r="DQ170">
        <v>9999</v>
      </c>
      <c r="DR170">
        <v>9999</v>
      </c>
      <c r="DS170">
        <v>9999</v>
      </c>
      <c r="DT170">
        <v>604.70000000000005</v>
      </c>
      <c r="DU170">
        <v>1.8711</v>
      </c>
      <c r="DV170">
        <v>1.87618</v>
      </c>
      <c r="DW170">
        <v>1.8763399999999999</v>
      </c>
      <c r="DX170">
        <v>1.8828</v>
      </c>
      <c r="DY170">
        <v>1.87561</v>
      </c>
      <c r="DZ170">
        <v>1.8746700000000001</v>
      </c>
      <c r="EA170">
        <v>1.8707499999999999</v>
      </c>
      <c r="EB170">
        <v>1.8746799999999999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-0.88100000000000001</v>
      </c>
      <c r="EQ170">
        <v>9.5000000000000001E-2</v>
      </c>
      <c r="ER170">
        <v>-0.87549999999998795</v>
      </c>
      <c r="ES170">
        <v>0</v>
      </c>
      <c r="ET170">
        <v>0</v>
      </c>
      <c r="EU170">
        <v>0</v>
      </c>
      <c r="EV170">
        <v>0.100239999999996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10.1</v>
      </c>
      <c r="FE170">
        <v>10.1</v>
      </c>
      <c r="FF170">
        <v>1.4599599999999999</v>
      </c>
      <c r="FG170">
        <v>2.5793499999999998</v>
      </c>
      <c r="FH170">
        <v>2.19604</v>
      </c>
      <c r="FI170">
        <v>2.5793499999999998</v>
      </c>
      <c r="FJ170">
        <v>2.4462899999999999</v>
      </c>
      <c r="FK170">
        <v>2.31934</v>
      </c>
      <c r="FL170">
        <v>31.063600000000001</v>
      </c>
      <c r="FM170">
        <v>24.148800000000001</v>
      </c>
      <c r="FN170">
        <v>19</v>
      </c>
      <c r="FO170">
        <v>864.399</v>
      </c>
      <c r="FP170">
        <v>588.88800000000003</v>
      </c>
      <c r="FQ170">
        <v>18.043399999999998</v>
      </c>
      <c r="FR170">
        <v>25.16</v>
      </c>
      <c r="FS170">
        <v>30.0002</v>
      </c>
      <c r="FT170">
        <v>25.142099999999999</v>
      </c>
      <c r="FU170">
        <v>25.1434</v>
      </c>
      <c r="FV170">
        <v>29.292100000000001</v>
      </c>
      <c r="FW170">
        <v>28.6266</v>
      </c>
      <c r="FX170">
        <v>44.463500000000003</v>
      </c>
      <c r="FY170">
        <v>18.043500000000002</v>
      </c>
      <c r="FZ170">
        <v>500</v>
      </c>
      <c r="GA170">
        <v>14.3422</v>
      </c>
      <c r="GB170">
        <v>99.9084</v>
      </c>
      <c r="GC170">
        <v>99.746899999999997</v>
      </c>
    </row>
    <row r="171" spans="1:185" x14ac:dyDescent="0.2">
      <c r="A171">
        <v>156</v>
      </c>
      <c r="B171">
        <v>1771088547.0999999</v>
      </c>
      <c r="C171">
        <v>3227.0999999046298</v>
      </c>
      <c r="D171" t="s">
        <v>610</v>
      </c>
      <c r="E171" t="s">
        <v>611</v>
      </c>
      <c r="F171">
        <v>15</v>
      </c>
      <c r="G171">
        <v>1771088546.0999999</v>
      </c>
      <c r="H171">
        <f t="shared" si="26"/>
        <v>-7.3047572339953058E-7</v>
      </c>
      <c r="I171">
        <v>0</v>
      </c>
      <c r="J171">
        <f t="shared" si="38"/>
        <v>-3.1117952526833189E-4</v>
      </c>
      <c r="K171">
        <f t="shared" si="27"/>
        <v>-8.4348120249838777E-3</v>
      </c>
      <c r="L171">
        <f t="shared" si="28"/>
        <v>65.005063135374726</v>
      </c>
      <c r="M171">
        <f t="shared" si="29"/>
        <v>1.4334879070756801</v>
      </c>
      <c r="N171">
        <f t="shared" si="30"/>
        <v>2.2051942386247734</v>
      </c>
      <c r="O171">
        <v>461</v>
      </c>
      <c r="P171">
        <v>58</v>
      </c>
      <c r="Q171">
        <f t="shared" si="31"/>
        <v>1</v>
      </c>
      <c r="R171">
        <f t="shared" si="32"/>
        <v>0</v>
      </c>
      <c r="S171">
        <f t="shared" si="33"/>
        <v>26223.679192981555</v>
      </c>
      <c r="T171">
        <f t="shared" si="34"/>
        <v>800.00400000000002</v>
      </c>
      <c r="U171">
        <f t="shared" si="35"/>
        <v>674.40353280080399</v>
      </c>
      <c r="V171">
        <f t="shared" si="36"/>
        <v>0.84300020099999995</v>
      </c>
      <c r="W171">
        <f t="shared" si="37"/>
        <v>0.15869991785999998</v>
      </c>
      <c r="X171">
        <v>1</v>
      </c>
      <c r="Y171">
        <v>1771088546.0999999</v>
      </c>
      <c r="Z171">
        <v>500.00700000000001</v>
      </c>
      <c r="AA171">
        <v>499.99599999999998</v>
      </c>
      <c r="AB171">
        <v>14.3348</v>
      </c>
      <c r="AC171">
        <v>14.335699999999999</v>
      </c>
      <c r="AD171">
        <v>500.887</v>
      </c>
      <c r="AE171">
        <v>14.239699999999999</v>
      </c>
      <c r="AF171">
        <v>800.005</v>
      </c>
      <c r="AG171">
        <v>99.924800000000005</v>
      </c>
      <c r="AH171">
        <v>7.5751600000000002E-2</v>
      </c>
      <c r="AI171">
        <v>19.0001</v>
      </c>
      <c r="AJ171">
        <v>999.9</v>
      </c>
      <c r="AK171">
        <v>999.9</v>
      </c>
      <c r="AL171">
        <v>0</v>
      </c>
      <c r="AM171">
        <v>0</v>
      </c>
      <c r="AN171">
        <v>5003.5</v>
      </c>
      <c r="AO171">
        <v>0</v>
      </c>
      <c r="AP171">
        <v>2.2019299999999999</v>
      </c>
      <c r="AQ171">
        <v>1.0803200000000001E-2</v>
      </c>
      <c r="AR171">
        <v>507.27800000000002</v>
      </c>
      <c r="AS171">
        <v>507.26799999999997</v>
      </c>
      <c r="AT171">
        <v>-9.4413799999999997E-4</v>
      </c>
      <c r="AU171">
        <v>499.99599999999998</v>
      </c>
      <c r="AV171">
        <v>14.335699999999999</v>
      </c>
      <c r="AW171">
        <v>1.4323999999999999</v>
      </c>
      <c r="AX171">
        <v>1.43249</v>
      </c>
      <c r="AY171">
        <v>12.265000000000001</v>
      </c>
      <c r="AZ171">
        <v>12.266</v>
      </c>
      <c r="BA171">
        <v>800.00400000000002</v>
      </c>
      <c r="BB171">
        <v>0.90000199999999997</v>
      </c>
      <c r="BC171">
        <v>0</v>
      </c>
      <c r="BD171">
        <v>9.9998299999999998E-2</v>
      </c>
      <c r="BE171">
        <v>0</v>
      </c>
      <c r="BF171">
        <v>25</v>
      </c>
      <c r="BG171">
        <v>13191.1</v>
      </c>
      <c r="BH171">
        <v>1771088545.0999999</v>
      </c>
      <c r="BI171" t="s">
        <v>609</v>
      </c>
      <c r="BJ171">
        <v>1771088541.0999999</v>
      </c>
      <c r="BK171">
        <v>1771088545.0999999</v>
      </c>
      <c r="BL171">
        <v>6</v>
      </c>
      <c r="BM171">
        <v>-5.0000000000000001E-3</v>
      </c>
      <c r="BN171">
        <v>-5.0000000000000001E-3</v>
      </c>
      <c r="BO171">
        <v>-0.88100000000000001</v>
      </c>
      <c r="BP171">
        <v>9.5000000000000001E-2</v>
      </c>
      <c r="BQ171">
        <v>500</v>
      </c>
      <c r="BR171">
        <v>14</v>
      </c>
      <c r="BS171">
        <v>0.15</v>
      </c>
      <c r="BT171">
        <v>0.03</v>
      </c>
      <c r="BU171">
        <v>-6.2797910476190502E-2</v>
      </c>
      <c r="BV171">
        <v>0.92868012935064903</v>
      </c>
      <c r="BW171">
        <v>0.14824270118977401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0.112074159619048</v>
      </c>
      <c r="CD171">
        <v>-1.56422222181818</v>
      </c>
      <c r="CE171">
        <v>0.237908112879466</v>
      </c>
      <c r="CF171">
        <v>0</v>
      </c>
      <c r="CG171">
        <v>0</v>
      </c>
      <c r="CH171">
        <v>2</v>
      </c>
      <c r="CI171" t="s">
        <v>290</v>
      </c>
      <c r="CJ171">
        <v>3.5340199999999999</v>
      </c>
      <c r="CK171">
        <v>2.7126100000000002</v>
      </c>
      <c r="CL171">
        <v>0.11342099999999999</v>
      </c>
      <c r="CM171">
        <v>0.111836</v>
      </c>
      <c r="CN171">
        <v>8.2639900000000002E-2</v>
      </c>
      <c r="CO171">
        <v>8.16722E-2</v>
      </c>
      <c r="CP171">
        <v>31102.9</v>
      </c>
      <c r="CQ171">
        <v>27355.599999999999</v>
      </c>
      <c r="CR171">
        <v>32468.3</v>
      </c>
      <c r="CS171">
        <v>30725.599999999999</v>
      </c>
      <c r="CT171">
        <v>40334.5</v>
      </c>
      <c r="CU171">
        <v>39677.5</v>
      </c>
      <c r="CV171">
        <v>47413</v>
      </c>
      <c r="CW171">
        <v>46854</v>
      </c>
      <c r="CX171">
        <v>1.7219599999999999</v>
      </c>
      <c r="CY171">
        <v>1.6228199999999999</v>
      </c>
      <c r="CZ171">
        <v>0</v>
      </c>
      <c r="DA171">
        <v>0</v>
      </c>
      <c r="DB171">
        <v>999.9</v>
      </c>
      <c r="DC171">
        <v>999.9</v>
      </c>
      <c r="DD171">
        <v>56.66</v>
      </c>
      <c r="DE171">
        <v>25.942</v>
      </c>
      <c r="DF171">
        <v>19.068300000000001</v>
      </c>
      <c r="DG171">
        <v>30.011900000000001</v>
      </c>
      <c r="DH171">
        <v>15.584899999999999</v>
      </c>
      <c r="DI171">
        <v>2</v>
      </c>
      <c r="DJ171">
        <v>-0.14804700000000001</v>
      </c>
      <c r="DK171">
        <v>2.20105</v>
      </c>
      <c r="DL171">
        <v>20.194800000000001</v>
      </c>
      <c r="DM171">
        <v>5.2449599999999998</v>
      </c>
      <c r="DN171">
        <v>12.033899999999999</v>
      </c>
      <c r="DO171">
        <v>4.9660399999999996</v>
      </c>
      <c r="DP171">
        <v>3.2899400000000001</v>
      </c>
      <c r="DQ171">
        <v>9999</v>
      </c>
      <c r="DR171">
        <v>9999</v>
      </c>
      <c r="DS171">
        <v>9999</v>
      </c>
      <c r="DT171">
        <v>604.70000000000005</v>
      </c>
      <c r="DU171">
        <v>1.8710599999999999</v>
      </c>
      <c r="DV171">
        <v>1.8761399999999999</v>
      </c>
      <c r="DW171">
        <v>1.87629</v>
      </c>
      <c r="DX171">
        <v>1.88279</v>
      </c>
      <c r="DY171">
        <v>1.87561</v>
      </c>
      <c r="DZ171">
        <v>1.87466</v>
      </c>
      <c r="EA171">
        <v>1.8707499999999999</v>
      </c>
      <c r="EB171">
        <v>1.87466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-0.88</v>
      </c>
      <c r="EQ171">
        <v>9.5000000000000001E-2</v>
      </c>
      <c r="ER171">
        <v>-0.88049999999999995</v>
      </c>
      <c r="ES171">
        <v>0</v>
      </c>
      <c r="ET171">
        <v>0</v>
      </c>
      <c r="EU171">
        <v>0</v>
      </c>
      <c r="EV171">
        <v>9.5040000000000902E-2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0.1</v>
      </c>
      <c r="FE171">
        <v>0</v>
      </c>
      <c r="FF171">
        <v>1.4599599999999999</v>
      </c>
      <c r="FG171">
        <v>2.5842299999999998</v>
      </c>
      <c r="FH171">
        <v>2.19604</v>
      </c>
      <c r="FI171">
        <v>2.5793499999999998</v>
      </c>
      <c r="FJ171">
        <v>2.4462899999999999</v>
      </c>
      <c r="FK171">
        <v>2.2827099999999998</v>
      </c>
      <c r="FL171">
        <v>31.0853</v>
      </c>
      <c r="FM171">
        <v>24.14</v>
      </c>
      <c r="FN171">
        <v>19</v>
      </c>
      <c r="FO171">
        <v>312.721</v>
      </c>
      <c r="FP171">
        <v>285.97399999999999</v>
      </c>
      <c r="FQ171">
        <v>18.0486</v>
      </c>
      <c r="FR171">
        <v>25.165500000000002</v>
      </c>
      <c r="FS171">
        <v>30.0001</v>
      </c>
      <c r="FT171">
        <v>25.165299999999998</v>
      </c>
      <c r="FU171">
        <v>25.1645</v>
      </c>
      <c r="FV171">
        <v>29.292899999999999</v>
      </c>
      <c r="FW171">
        <v>26.3855</v>
      </c>
      <c r="FX171">
        <v>44.463500000000003</v>
      </c>
      <c r="FY171">
        <v>18.0487</v>
      </c>
      <c r="FZ171">
        <v>500</v>
      </c>
      <c r="GA171">
        <v>14.907</v>
      </c>
      <c r="GB171">
        <v>99.909499999999994</v>
      </c>
      <c r="GC171">
        <v>99.745099999999994</v>
      </c>
    </row>
    <row r="172" spans="1:185" x14ac:dyDescent="0.2">
      <c r="A172">
        <v>157</v>
      </c>
      <c r="B172">
        <v>1771088562.0999999</v>
      </c>
      <c r="C172">
        <v>3242.0999999046298</v>
      </c>
      <c r="D172" t="s">
        <v>612</v>
      </c>
      <c r="E172" t="s">
        <v>613</v>
      </c>
      <c r="F172">
        <v>15</v>
      </c>
      <c r="G172">
        <v>1771088554.03333</v>
      </c>
      <c r="H172">
        <f t="shared" si="26"/>
        <v>6.3578789269238829E-4</v>
      </c>
      <c r="I172">
        <v>0</v>
      </c>
      <c r="J172">
        <f t="shared" si="38"/>
        <v>5.2753940854140492E-3</v>
      </c>
      <c r="K172">
        <f t="shared" si="27"/>
        <v>0.14299448985214969</v>
      </c>
      <c r="L172">
        <f t="shared" si="28"/>
        <v>69.075669824674463</v>
      </c>
      <c r="M172">
        <f t="shared" si="29"/>
        <v>1.5233794361337885</v>
      </c>
      <c r="N172">
        <f t="shared" si="30"/>
        <v>2.205377725616529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26175.852220825971</v>
      </c>
      <c r="T172">
        <f t="shared" si="34"/>
        <v>799.99680000000001</v>
      </c>
      <c r="U172">
        <f t="shared" si="35"/>
        <v>674.39719424043267</v>
      </c>
      <c r="V172">
        <f t="shared" si="36"/>
        <v>0.8429998648</v>
      </c>
      <c r="W172">
        <f t="shared" si="37"/>
        <v>0.15869945412800002</v>
      </c>
      <c r="X172">
        <v>1</v>
      </c>
      <c r="Y172">
        <v>1771088554.03333</v>
      </c>
      <c r="Z172">
        <v>499.37400000000002</v>
      </c>
      <c r="AA172">
        <v>499.94933333333302</v>
      </c>
      <c r="AB172">
        <v>15.235139999999999</v>
      </c>
      <c r="AC172">
        <v>14.4528933333333</v>
      </c>
      <c r="AD172">
        <v>500.25446666666699</v>
      </c>
      <c r="AE172">
        <v>15.1401</v>
      </c>
      <c r="AF172">
        <v>800.38893333333294</v>
      </c>
      <c r="AG172">
        <v>99.924626666666697</v>
      </c>
      <c r="AH172">
        <v>6.6540866666666698E-2</v>
      </c>
      <c r="AI172">
        <v>19.001433333333299</v>
      </c>
      <c r="AJ172">
        <v>999.9</v>
      </c>
      <c r="AK172">
        <v>999.9</v>
      </c>
      <c r="AL172">
        <v>0</v>
      </c>
      <c r="AM172">
        <v>0</v>
      </c>
      <c r="AN172">
        <v>4995.6333333333296</v>
      </c>
      <c r="AO172">
        <v>0</v>
      </c>
      <c r="AP172">
        <v>2.2019299999999999</v>
      </c>
      <c r="AQ172">
        <v>-0.57537832</v>
      </c>
      <c r="AR172">
        <v>507.09966666666702</v>
      </c>
      <c r="AS172">
        <v>507.28100000000001</v>
      </c>
      <c r="AT172">
        <v>0.78224019079999996</v>
      </c>
      <c r="AU172">
        <v>499.94933333333302</v>
      </c>
      <c r="AV172">
        <v>14.4528933333333</v>
      </c>
      <c r="AW172">
        <v>1.5223660000000001</v>
      </c>
      <c r="AX172">
        <v>1.44420066666667</v>
      </c>
      <c r="AY172">
        <v>13.1909333333333</v>
      </c>
      <c r="AZ172">
        <v>12.3897666666667</v>
      </c>
      <c r="BA172">
        <v>799.99680000000001</v>
      </c>
      <c r="BB172">
        <v>0.90000760000000002</v>
      </c>
      <c r="BC172">
        <v>0</v>
      </c>
      <c r="BD172">
        <v>9.9992506666666703E-2</v>
      </c>
      <c r="BE172">
        <v>0</v>
      </c>
      <c r="BF172">
        <v>25</v>
      </c>
      <c r="BG172">
        <v>13191</v>
      </c>
      <c r="BH172">
        <v>1771088545.0999999</v>
      </c>
      <c r="BI172" t="s">
        <v>609</v>
      </c>
      <c r="BJ172">
        <v>1771088541.0999999</v>
      </c>
      <c r="BK172">
        <v>1771088545.0999999</v>
      </c>
      <c r="BL172">
        <v>6</v>
      </c>
      <c r="BM172">
        <v>-5.0000000000000001E-3</v>
      </c>
      <c r="BN172">
        <v>-5.0000000000000001E-3</v>
      </c>
      <c r="BO172">
        <v>-0.88100000000000001</v>
      </c>
      <c r="BP172">
        <v>9.5000000000000001E-2</v>
      </c>
      <c r="BQ172">
        <v>500</v>
      </c>
      <c r="BR172">
        <v>14</v>
      </c>
      <c r="BS172">
        <v>0.15</v>
      </c>
      <c r="BT172">
        <v>0.03</v>
      </c>
      <c r="BU172">
        <v>-0.43404838550000002</v>
      </c>
      <c r="BV172">
        <v>-3.2309984593985002</v>
      </c>
      <c r="BW172">
        <v>0.33745631018692401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0.59034244160000005</v>
      </c>
      <c r="CD172">
        <v>4.1141072403608998</v>
      </c>
      <c r="CE172">
        <v>0.42471387439009201</v>
      </c>
      <c r="CF172">
        <v>0</v>
      </c>
      <c r="CG172">
        <v>0</v>
      </c>
      <c r="CH172">
        <v>2</v>
      </c>
      <c r="CI172" t="s">
        <v>290</v>
      </c>
      <c r="CJ172">
        <v>3.5325199999999999</v>
      </c>
      <c r="CK172">
        <v>2.70228</v>
      </c>
      <c r="CL172">
        <v>0.113312</v>
      </c>
      <c r="CM172">
        <v>0.11183899999999999</v>
      </c>
      <c r="CN172">
        <v>8.7341000000000002E-2</v>
      </c>
      <c r="CO172">
        <v>8.2222699999999996E-2</v>
      </c>
      <c r="CP172">
        <v>31106.400000000001</v>
      </c>
      <c r="CQ172">
        <v>27355.9</v>
      </c>
      <c r="CR172">
        <v>32467.9</v>
      </c>
      <c r="CS172">
        <v>30726.1</v>
      </c>
      <c r="CT172">
        <v>40120.6</v>
      </c>
      <c r="CU172">
        <v>39653.9</v>
      </c>
      <c r="CV172">
        <v>47412.2</v>
      </c>
      <c r="CW172">
        <v>46855</v>
      </c>
      <c r="CX172">
        <v>2.6251799999999998</v>
      </c>
      <c r="CY172">
        <v>2.1503800000000002</v>
      </c>
      <c r="CZ172">
        <v>0</v>
      </c>
      <c r="DA172">
        <v>0</v>
      </c>
      <c r="DB172">
        <v>999.9</v>
      </c>
      <c r="DC172">
        <v>999.9</v>
      </c>
      <c r="DD172">
        <v>56.561999999999998</v>
      </c>
      <c r="DE172">
        <v>25.942</v>
      </c>
      <c r="DF172">
        <v>19.035299999999999</v>
      </c>
      <c r="DG172">
        <v>30.3719</v>
      </c>
      <c r="DH172">
        <v>15.384600000000001</v>
      </c>
      <c r="DI172">
        <v>2</v>
      </c>
      <c r="DJ172">
        <v>-0.14736399999999999</v>
      </c>
      <c r="DK172">
        <v>2.2361900000000001</v>
      </c>
      <c r="DL172">
        <v>20.195399999999999</v>
      </c>
      <c r="DM172">
        <v>5.2519099999999996</v>
      </c>
      <c r="DN172">
        <v>12.033899999999999</v>
      </c>
      <c r="DO172">
        <v>4.9674399999999999</v>
      </c>
      <c r="DP172">
        <v>3.2909999999999999</v>
      </c>
      <c r="DQ172">
        <v>9999</v>
      </c>
      <c r="DR172">
        <v>9999</v>
      </c>
      <c r="DS172">
        <v>9999</v>
      </c>
      <c r="DT172">
        <v>604.70000000000005</v>
      </c>
      <c r="DU172">
        <v>1.8710599999999999</v>
      </c>
      <c r="DV172">
        <v>1.8761399999999999</v>
      </c>
      <c r="DW172">
        <v>1.8763099999999999</v>
      </c>
      <c r="DX172">
        <v>1.8828199999999999</v>
      </c>
      <c r="DY172">
        <v>1.87561</v>
      </c>
      <c r="DZ172">
        <v>1.8746700000000001</v>
      </c>
      <c r="EA172">
        <v>1.8707400000000001</v>
      </c>
      <c r="EB172">
        <v>1.8746499999999999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-0.88</v>
      </c>
      <c r="EQ172">
        <v>9.5000000000000001E-2</v>
      </c>
      <c r="ER172">
        <v>-0.88049999999999995</v>
      </c>
      <c r="ES172">
        <v>0</v>
      </c>
      <c r="ET172">
        <v>0</v>
      </c>
      <c r="EU172">
        <v>0</v>
      </c>
      <c r="EV172">
        <v>9.5040000000000902E-2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0.3</v>
      </c>
      <c r="FE172">
        <v>0.3</v>
      </c>
      <c r="FF172">
        <v>1.4599599999999999</v>
      </c>
      <c r="FG172">
        <v>2.5830099999999998</v>
      </c>
      <c r="FH172">
        <v>2.19604</v>
      </c>
      <c r="FI172">
        <v>2.5793499999999998</v>
      </c>
      <c r="FJ172">
        <v>2.4462899999999999</v>
      </c>
      <c r="FK172">
        <v>2.3010299999999999</v>
      </c>
      <c r="FL172">
        <v>31.106999999999999</v>
      </c>
      <c r="FM172">
        <v>24.14</v>
      </c>
      <c r="FN172">
        <v>19</v>
      </c>
      <c r="FO172">
        <v>861.93499999999995</v>
      </c>
      <c r="FP172">
        <v>588.07299999999998</v>
      </c>
      <c r="FQ172">
        <v>18.0442</v>
      </c>
      <c r="FR172">
        <v>25.170100000000001</v>
      </c>
      <c r="FS172">
        <v>30.0002</v>
      </c>
      <c r="FT172">
        <v>25.154800000000002</v>
      </c>
      <c r="FU172">
        <v>25.155200000000001</v>
      </c>
      <c r="FV172">
        <v>29.297999999999998</v>
      </c>
      <c r="FW172">
        <v>28.029299999999999</v>
      </c>
      <c r="FX172">
        <v>44.084600000000002</v>
      </c>
      <c r="FY172">
        <v>18.040099999999999</v>
      </c>
      <c r="FZ172">
        <v>500</v>
      </c>
      <c r="GA172">
        <v>14.395300000000001</v>
      </c>
      <c r="GB172">
        <v>99.908100000000005</v>
      </c>
      <c r="GC172">
        <v>99.747100000000003</v>
      </c>
    </row>
    <row r="173" spans="1:185" x14ac:dyDescent="0.2">
      <c r="A173">
        <v>158</v>
      </c>
      <c r="B173">
        <v>1771088577.0999999</v>
      </c>
      <c r="C173">
        <v>3257.0999999046298</v>
      </c>
      <c r="D173" t="s">
        <v>614</v>
      </c>
      <c r="E173" t="s">
        <v>615</v>
      </c>
      <c r="F173">
        <v>15</v>
      </c>
      <c r="G173">
        <v>1771088569.03333</v>
      </c>
      <c r="H173">
        <f t="shared" si="26"/>
        <v>8.4416834821861091E-4</v>
      </c>
      <c r="I173">
        <v>0</v>
      </c>
      <c r="J173">
        <f t="shared" si="38"/>
        <v>6.3938467213163182E-3</v>
      </c>
      <c r="K173">
        <f t="shared" si="27"/>
        <v>0.17331119444429288</v>
      </c>
      <c r="L173">
        <f t="shared" si="28"/>
        <v>70.163427621905399</v>
      </c>
      <c r="M173">
        <f t="shared" si="29"/>
        <v>1.547721402113533</v>
      </c>
      <c r="N173">
        <f t="shared" si="30"/>
        <v>2.2058805485585005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26183.312659412091</v>
      </c>
      <c r="T173">
        <f t="shared" si="34"/>
        <v>799.998066666667</v>
      </c>
      <c r="U173">
        <f t="shared" si="35"/>
        <v>674.39812684058836</v>
      </c>
      <c r="V173">
        <f t="shared" si="36"/>
        <v>0.84299969579999989</v>
      </c>
      <c r="W173">
        <f t="shared" si="37"/>
        <v>0.15869896666799999</v>
      </c>
      <c r="X173">
        <v>1</v>
      </c>
      <c r="Y173">
        <v>1771088569.03333</v>
      </c>
      <c r="Z173">
        <v>499.27006666666699</v>
      </c>
      <c r="AA173">
        <v>500.01353333333299</v>
      </c>
      <c r="AB173">
        <v>15.478953333333299</v>
      </c>
      <c r="AC173">
        <v>14.4400866666667</v>
      </c>
      <c r="AD173">
        <v>500.150466666667</v>
      </c>
      <c r="AE173">
        <v>15.3839066666667</v>
      </c>
      <c r="AF173">
        <v>800.00786666666704</v>
      </c>
      <c r="AG173">
        <v>99.924286666666703</v>
      </c>
      <c r="AH173">
        <v>6.4476706666666703E-2</v>
      </c>
      <c r="AI173">
        <v>19.005086666666699</v>
      </c>
      <c r="AJ173">
        <v>999.9</v>
      </c>
      <c r="AK173">
        <v>999.9</v>
      </c>
      <c r="AL173">
        <v>0</v>
      </c>
      <c r="AM173">
        <v>0</v>
      </c>
      <c r="AN173">
        <v>4996.9333333333298</v>
      </c>
      <c r="AO173">
        <v>0</v>
      </c>
      <c r="AP173">
        <v>2.2019299999999999</v>
      </c>
      <c r="AQ173">
        <v>-0.74335739999999995</v>
      </c>
      <c r="AR173">
        <v>507.11973333333299</v>
      </c>
      <c r="AS173">
        <v>507.33946666666702</v>
      </c>
      <c r="AT173">
        <v>1.03886533333333</v>
      </c>
      <c r="AU173">
        <v>500.01353333333299</v>
      </c>
      <c r="AV173">
        <v>14.4400866666667</v>
      </c>
      <c r="AW173">
        <v>1.5467233333333299</v>
      </c>
      <c r="AX173">
        <v>1.44291533333333</v>
      </c>
      <c r="AY173">
        <v>13.4380333333333</v>
      </c>
      <c r="AZ173">
        <v>12.37628</v>
      </c>
      <c r="BA173">
        <v>799.998066666667</v>
      </c>
      <c r="BB173">
        <v>0.90001419999999999</v>
      </c>
      <c r="BC173">
        <v>0</v>
      </c>
      <c r="BD173">
        <v>9.9985939999999995E-2</v>
      </c>
      <c r="BE173">
        <v>0</v>
      </c>
      <c r="BF173">
        <v>25</v>
      </c>
      <c r="BG173">
        <v>13191.0666666667</v>
      </c>
      <c r="BH173">
        <v>1771088545.0999999</v>
      </c>
      <c r="BI173" t="s">
        <v>609</v>
      </c>
      <c r="BJ173">
        <v>1771088541.0999999</v>
      </c>
      <c r="BK173">
        <v>1771088545.0999999</v>
      </c>
      <c r="BL173">
        <v>6</v>
      </c>
      <c r="BM173">
        <v>-5.0000000000000001E-3</v>
      </c>
      <c r="BN173">
        <v>-5.0000000000000001E-3</v>
      </c>
      <c r="BO173">
        <v>-0.88100000000000001</v>
      </c>
      <c r="BP173">
        <v>9.5000000000000001E-2</v>
      </c>
      <c r="BQ173">
        <v>500</v>
      </c>
      <c r="BR173">
        <v>14</v>
      </c>
      <c r="BS173">
        <v>0.15</v>
      </c>
      <c r="BT173">
        <v>0.03</v>
      </c>
      <c r="BU173">
        <v>-0.74685961904761899</v>
      </c>
      <c r="BV173">
        <v>7.8784363636364901E-2</v>
      </c>
      <c r="BW173">
        <v>2.07310090110631E-2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1.0257899047618999</v>
      </c>
      <c r="CD173">
        <v>0.29897088311688302</v>
      </c>
      <c r="CE173">
        <v>3.12107553728408E-2</v>
      </c>
      <c r="CF173">
        <v>0</v>
      </c>
      <c r="CG173">
        <v>1</v>
      </c>
      <c r="CH173">
        <v>2</v>
      </c>
      <c r="CI173" t="s">
        <v>299</v>
      </c>
      <c r="CJ173">
        <v>3.5325199999999999</v>
      </c>
      <c r="CK173">
        <v>2.70234</v>
      </c>
      <c r="CL173">
        <v>0.11332399999999999</v>
      </c>
      <c r="CM173">
        <v>0.111843</v>
      </c>
      <c r="CN173">
        <v>8.7341100000000005E-2</v>
      </c>
      <c r="CO173">
        <v>8.1954799999999994E-2</v>
      </c>
      <c r="CP173">
        <v>31105.200000000001</v>
      </c>
      <c r="CQ173">
        <v>27355.5</v>
      </c>
      <c r="CR173">
        <v>32467.1</v>
      </c>
      <c r="CS173">
        <v>30725.7</v>
      </c>
      <c r="CT173">
        <v>40119.199999999997</v>
      </c>
      <c r="CU173">
        <v>39665.4</v>
      </c>
      <c r="CV173">
        <v>47410.5</v>
      </c>
      <c r="CW173">
        <v>46854.6</v>
      </c>
      <c r="CX173">
        <v>2.6269800000000001</v>
      </c>
      <c r="CY173">
        <v>2.1509200000000002</v>
      </c>
      <c r="CZ173">
        <v>0</v>
      </c>
      <c r="DA173">
        <v>0</v>
      </c>
      <c r="DB173">
        <v>999.9</v>
      </c>
      <c r="DC173">
        <v>999.9</v>
      </c>
      <c r="DD173">
        <v>56.488999999999997</v>
      </c>
      <c r="DE173">
        <v>25.972000000000001</v>
      </c>
      <c r="DF173">
        <v>19.043700000000001</v>
      </c>
      <c r="DG173">
        <v>30.161899999999999</v>
      </c>
      <c r="DH173">
        <v>15.428699999999999</v>
      </c>
      <c r="DI173">
        <v>2</v>
      </c>
      <c r="DJ173">
        <v>-0.14674999999999999</v>
      </c>
      <c r="DK173">
        <v>2.2795800000000002</v>
      </c>
      <c r="DL173">
        <v>20.194500000000001</v>
      </c>
      <c r="DM173">
        <v>5.2497600000000002</v>
      </c>
      <c r="DN173">
        <v>12.033899999999999</v>
      </c>
      <c r="DO173">
        <v>4.9672400000000003</v>
      </c>
      <c r="DP173">
        <v>3.2907199999999999</v>
      </c>
      <c r="DQ173">
        <v>9999</v>
      </c>
      <c r="DR173">
        <v>9999</v>
      </c>
      <c r="DS173">
        <v>9999</v>
      </c>
      <c r="DT173">
        <v>604.70000000000005</v>
      </c>
      <c r="DU173">
        <v>1.8711100000000001</v>
      </c>
      <c r="DV173">
        <v>1.8761699999999999</v>
      </c>
      <c r="DW173">
        <v>1.87636</v>
      </c>
      <c r="DX173">
        <v>1.88286</v>
      </c>
      <c r="DY173">
        <v>1.87561</v>
      </c>
      <c r="DZ173">
        <v>1.87469</v>
      </c>
      <c r="EA173">
        <v>1.87079</v>
      </c>
      <c r="EB173">
        <v>1.8746799999999999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-0.88</v>
      </c>
      <c r="EQ173">
        <v>9.5100000000000004E-2</v>
      </c>
      <c r="ER173">
        <v>-0.88049999999999995</v>
      </c>
      <c r="ES173">
        <v>0</v>
      </c>
      <c r="ET173">
        <v>0</v>
      </c>
      <c r="EU173">
        <v>0</v>
      </c>
      <c r="EV173">
        <v>9.5040000000000902E-2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0.6</v>
      </c>
      <c r="FE173">
        <v>0.5</v>
      </c>
      <c r="FF173">
        <v>1.4599599999999999</v>
      </c>
      <c r="FG173">
        <v>2.5805699999999998</v>
      </c>
      <c r="FH173">
        <v>2.19604</v>
      </c>
      <c r="FI173">
        <v>2.5793499999999998</v>
      </c>
      <c r="FJ173">
        <v>2.4462899999999999</v>
      </c>
      <c r="FK173">
        <v>2.3156699999999999</v>
      </c>
      <c r="FL173">
        <v>31.106999999999999</v>
      </c>
      <c r="FM173">
        <v>24.148800000000001</v>
      </c>
      <c r="FN173">
        <v>19</v>
      </c>
      <c r="FO173">
        <v>863.65700000000004</v>
      </c>
      <c r="FP173">
        <v>588.54200000000003</v>
      </c>
      <c r="FQ173">
        <v>18.030899999999999</v>
      </c>
      <c r="FR173">
        <v>25.174800000000001</v>
      </c>
      <c r="FS173">
        <v>30.000399999999999</v>
      </c>
      <c r="FT173">
        <v>25.158200000000001</v>
      </c>
      <c r="FU173">
        <v>25.159400000000002</v>
      </c>
      <c r="FV173">
        <v>29.295200000000001</v>
      </c>
      <c r="FW173">
        <v>28.306999999999999</v>
      </c>
      <c r="FX173">
        <v>44.084600000000002</v>
      </c>
      <c r="FY173">
        <v>18.024699999999999</v>
      </c>
      <c r="FZ173">
        <v>500</v>
      </c>
      <c r="GA173">
        <v>14.392799999999999</v>
      </c>
      <c r="GB173">
        <v>99.904899999999998</v>
      </c>
      <c r="GC173">
        <v>99.746099999999998</v>
      </c>
    </row>
    <row r="174" spans="1:185" x14ac:dyDescent="0.2">
      <c r="A174">
        <v>159</v>
      </c>
      <c r="B174">
        <v>1771088592.0999999</v>
      </c>
      <c r="C174">
        <v>3272.0999999046298</v>
      </c>
      <c r="D174" t="s">
        <v>616</v>
      </c>
      <c r="E174" t="s">
        <v>617</v>
      </c>
      <c r="F174">
        <v>15</v>
      </c>
      <c r="G174">
        <v>1771088584.03333</v>
      </c>
      <c r="H174">
        <f t="shared" si="26"/>
        <v>8.7512234696075948E-4</v>
      </c>
      <c r="I174">
        <v>0</v>
      </c>
      <c r="J174">
        <f t="shared" si="38"/>
        <v>5.0601306239010544E-3</v>
      </c>
      <c r="K174">
        <f t="shared" si="27"/>
        <v>0.13715957242901985</v>
      </c>
      <c r="L174">
        <f t="shared" si="28"/>
        <v>70.106048844105757</v>
      </c>
      <c r="M174">
        <f t="shared" si="29"/>
        <v>1.5466223250064357</v>
      </c>
      <c r="N174">
        <f t="shared" si="30"/>
        <v>2.2061182316031629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26230.692992662531</v>
      </c>
      <c r="T174">
        <f t="shared" si="34"/>
        <v>800.00073333333398</v>
      </c>
      <c r="U174">
        <f t="shared" si="35"/>
        <v>674.40013867956077</v>
      </c>
      <c r="V174">
        <f t="shared" si="36"/>
        <v>0.84299940059999967</v>
      </c>
      <c r="W174">
        <f t="shared" si="37"/>
        <v>0.15869880031599992</v>
      </c>
      <c r="X174">
        <v>1</v>
      </c>
      <c r="Y174">
        <v>1771088584.03333</v>
      </c>
      <c r="Z174">
        <v>499.27733333333299</v>
      </c>
      <c r="AA174">
        <v>499.99493333333299</v>
      </c>
      <c r="AB174">
        <v>15.4681466666667</v>
      </c>
      <c r="AC174">
        <v>14.39118</v>
      </c>
      <c r="AD174">
        <v>500.15800000000002</v>
      </c>
      <c r="AE174">
        <v>15.373139999999999</v>
      </c>
      <c r="AF174">
        <v>800.01160000000004</v>
      </c>
      <c r="AG174">
        <v>99.923046666666707</v>
      </c>
      <c r="AH174">
        <v>6.4518640000000002E-2</v>
      </c>
      <c r="AI174">
        <v>19.006813333333302</v>
      </c>
      <c r="AJ174">
        <v>999.9</v>
      </c>
      <c r="AK174">
        <v>999.9</v>
      </c>
      <c r="AL174">
        <v>0</v>
      </c>
      <c r="AM174">
        <v>0</v>
      </c>
      <c r="AN174">
        <v>5004.8333333333303</v>
      </c>
      <c r="AO174">
        <v>0</v>
      </c>
      <c r="AP174">
        <v>2.2019299999999999</v>
      </c>
      <c r="AQ174">
        <v>-0.71736659999999997</v>
      </c>
      <c r="AR174">
        <v>507.12180000000001</v>
      </c>
      <c r="AS174">
        <v>507.29539999999997</v>
      </c>
      <c r="AT174">
        <v>1.07698933333333</v>
      </c>
      <c r="AU174">
        <v>499.99493333333299</v>
      </c>
      <c r="AV174">
        <v>14.39118</v>
      </c>
      <c r="AW174">
        <v>1.54562666666667</v>
      </c>
      <c r="AX174">
        <v>1.43801</v>
      </c>
      <c r="AY174">
        <v>13.42714</v>
      </c>
      <c r="AZ174">
        <v>12.324486666666701</v>
      </c>
      <c r="BA174">
        <v>800.00073333333398</v>
      </c>
      <c r="BB174">
        <v>0.90001553333333295</v>
      </c>
      <c r="BC174">
        <v>0</v>
      </c>
      <c r="BD174">
        <v>9.9984313333333297E-2</v>
      </c>
      <c r="BE174">
        <v>0</v>
      </c>
      <c r="BF174">
        <v>25</v>
      </c>
      <c r="BG174">
        <v>13191.086666666701</v>
      </c>
      <c r="BH174">
        <v>1771088545.0999999</v>
      </c>
      <c r="BI174" t="s">
        <v>609</v>
      </c>
      <c r="BJ174">
        <v>1771088541.0999999</v>
      </c>
      <c r="BK174">
        <v>1771088545.0999999</v>
      </c>
      <c r="BL174">
        <v>6</v>
      </c>
      <c r="BM174">
        <v>-5.0000000000000001E-3</v>
      </c>
      <c r="BN174">
        <v>-5.0000000000000001E-3</v>
      </c>
      <c r="BO174">
        <v>-0.88100000000000001</v>
      </c>
      <c r="BP174">
        <v>9.5000000000000001E-2</v>
      </c>
      <c r="BQ174">
        <v>500</v>
      </c>
      <c r="BR174">
        <v>14</v>
      </c>
      <c r="BS174">
        <v>0.15</v>
      </c>
      <c r="BT174">
        <v>0.03</v>
      </c>
      <c r="BU174">
        <v>-0.71877599999999997</v>
      </c>
      <c r="BV174">
        <v>-6.8902556390990103E-3</v>
      </c>
      <c r="BW174">
        <v>1.6122026091654799E-2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1.0756254999999999</v>
      </c>
      <c r="CD174">
        <v>6.8537593984962397E-2</v>
      </c>
      <c r="CE174">
        <v>8.5471968943040197E-3</v>
      </c>
      <c r="CF174">
        <v>1</v>
      </c>
      <c r="CG174">
        <v>2</v>
      </c>
      <c r="CH174">
        <v>2</v>
      </c>
      <c r="CI174" t="s">
        <v>310</v>
      </c>
      <c r="CJ174">
        <v>3.5324800000000001</v>
      </c>
      <c r="CK174">
        <v>2.70228</v>
      </c>
      <c r="CL174">
        <v>0.113315</v>
      </c>
      <c r="CM174">
        <v>0.111836</v>
      </c>
      <c r="CN174">
        <v>8.7294800000000006E-2</v>
      </c>
      <c r="CO174">
        <v>8.1833299999999998E-2</v>
      </c>
      <c r="CP174">
        <v>31105.1</v>
      </c>
      <c r="CQ174">
        <v>27355.599999999999</v>
      </c>
      <c r="CR174">
        <v>32466.7</v>
      </c>
      <c r="CS174">
        <v>30725.599999999999</v>
      </c>
      <c r="CT174">
        <v>40121</v>
      </c>
      <c r="CU174">
        <v>39670.800000000003</v>
      </c>
      <c r="CV174">
        <v>47410.2</v>
      </c>
      <c r="CW174">
        <v>46854.6</v>
      </c>
      <c r="CX174">
        <v>2.62724</v>
      </c>
      <c r="CY174">
        <v>2.1509399999999999</v>
      </c>
      <c r="CZ174">
        <v>0</v>
      </c>
      <c r="DA174">
        <v>0</v>
      </c>
      <c r="DB174">
        <v>999.9</v>
      </c>
      <c r="DC174">
        <v>999.9</v>
      </c>
      <c r="DD174">
        <v>56.390999999999998</v>
      </c>
      <c r="DE174">
        <v>25.972000000000001</v>
      </c>
      <c r="DF174">
        <v>19.0122</v>
      </c>
      <c r="DG174">
        <v>30.131900000000002</v>
      </c>
      <c r="DH174">
        <v>15.2925</v>
      </c>
      <c r="DI174">
        <v>2</v>
      </c>
      <c r="DJ174">
        <v>-0.14618700000000001</v>
      </c>
      <c r="DK174">
        <v>2.3039700000000001</v>
      </c>
      <c r="DL174">
        <v>20.194700000000001</v>
      </c>
      <c r="DM174">
        <v>5.25143</v>
      </c>
      <c r="DN174">
        <v>12.033899999999999</v>
      </c>
      <c r="DO174">
        <v>4.9676799999999997</v>
      </c>
      <c r="DP174">
        <v>3.2909999999999999</v>
      </c>
      <c r="DQ174">
        <v>9999</v>
      </c>
      <c r="DR174">
        <v>9999</v>
      </c>
      <c r="DS174">
        <v>9999</v>
      </c>
      <c r="DT174">
        <v>604.70000000000005</v>
      </c>
      <c r="DU174">
        <v>1.8710800000000001</v>
      </c>
      <c r="DV174">
        <v>1.87615</v>
      </c>
      <c r="DW174">
        <v>1.87636</v>
      </c>
      <c r="DX174">
        <v>1.8828199999999999</v>
      </c>
      <c r="DY174">
        <v>1.8755999999999999</v>
      </c>
      <c r="DZ174">
        <v>1.8746799999999999</v>
      </c>
      <c r="EA174">
        <v>1.87076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-0.88</v>
      </c>
      <c r="EQ174">
        <v>9.5100000000000004E-2</v>
      </c>
      <c r="ER174">
        <v>-0.88049999999999995</v>
      </c>
      <c r="ES174">
        <v>0</v>
      </c>
      <c r="ET174">
        <v>0</v>
      </c>
      <c r="EU174">
        <v>0</v>
      </c>
      <c r="EV174">
        <v>9.5040000000000902E-2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0.8</v>
      </c>
      <c r="FE174">
        <v>0.8</v>
      </c>
      <c r="FF174">
        <v>1.4599599999999999</v>
      </c>
      <c r="FG174">
        <v>2.5891099999999998</v>
      </c>
      <c r="FH174">
        <v>2.19604</v>
      </c>
      <c r="FI174">
        <v>2.5793499999999998</v>
      </c>
      <c r="FJ174">
        <v>2.4462899999999999</v>
      </c>
      <c r="FK174">
        <v>2.2607400000000002</v>
      </c>
      <c r="FL174">
        <v>31.106999999999999</v>
      </c>
      <c r="FM174">
        <v>24.14</v>
      </c>
      <c r="FN174">
        <v>19</v>
      </c>
      <c r="FO174">
        <v>863.97299999999996</v>
      </c>
      <c r="FP174">
        <v>588.61500000000001</v>
      </c>
      <c r="FQ174">
        <v>18.011700000000001</v>
      </c>
      <c r="FR174">
        <v>25.180299999999999</v>
      </c>
      <c r="FS174">
        <v>30.000299999999999</v>
      </c>
      <c r="FT174">
        <v>25.162800000000001</v>
      </c>
      <c r="FU174">
        <v>25.1645</v>
      </c>
      <c r="FV174">
        <v>29.297699999999999</v>
      </c>
      <c r="FW174">
        <v>28.306999999999999</v>
      </c>
      <c r="FX174">
        <v>43.714500000000001</v>
      </c>
      <c r="FY174">
        <v>18.004200000000001</v>
      </c>
      <c r="FZ174">
        <v>500</v>
      </c>
      <c r="GA174">
        <v>14.393800000000001</v>
      </c>
      <c r="GB174">
        <v>99.9041</v>
      </c>
      <c r="GC174">
        <v>99.745900000000006</v>
      </c>
    </row>
    <row r="175" spans="1:185" x14ac:dyDescent="0.2">
      <c r="A175">
        <v>160</v>
      </c>
      <c r="B175">
        <v>1771088607.0999999</v>
      </c>
      <c r="C175">
        <v>3287.0999999046298</v>
      </c>
      <c r="D175" t="s">
        <v>618</v>
      </c>
      <c r="E175" t="s">
        <v>619</v>
      </c>
      <c r="F175">
        <v>15</v>
      </c>
      <c r="G175">
        <v>1771088599.03333</v>
      </c>
      <c r="H175">
        <f t="shared" si="26"/>
        <v>8.7646674346777758E-4</v>
      </c>
      <c r="I175">
        <v>0</v>
      </c>
      <c r="J175">
        <f t="shared" si="38"/>
        <v>5.3996577298283917E-3</v>
      </c>
      <c r="K175">
        <f t="shared" si="27"/>
        <v>0.14636277213637325</v>
      </c>
      <c r="L175">
        <f t="shared" si="28"/>
        <v>70.044016075072435</v>
      </c>
      <c r="M175">
        <f t="shared" si="29"/>
        <v>1.5452145971404949</v>
      </c>
      <c r="N175">
        <f t="shared" si="30"/>
        <v>2.2060622501775886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26158.44731769315</v>
      </c>
      <c r="T175">
        <f t="shared" si="34"/>
        <v>800.00006666666695</v>
      </c>
      <c r="U175">
        <f t="shared" si="35"/>
        <v>674.39961827996422</v>
      </c>
      <c r="V175">
        <f t="shared" si="36"/>
        <v>0.84299945260000053</v>
      </c>
      <c r="W175">
        <f t="shared" si="37"/>
        <v>0.15869880039600009</v>
      </c>
      <c r="X175">
        <v>1</v>
      </c>
      <c r="Y175">
        <v>1771088599.03333</v>
      </c>
      <c r="Z175">
        <v>499.26653333333297</v>
      </c>
      <c r="AA175">
        <v>499.996466666667</v>
      </c>
      <c r="AB175">
        <v>15.454053333333301</v>
      </c>
      <c r="AC175">
        <v>14.375413333333301</v>
      </c>
      <c r="AD175">
        <v>500.1474</v>
      </c>
      <c r="AE175">
        <v>15.359026666666701</v>
      </c>
      <c r="AF175">
        <v>800.00906666666697</v>
      </c>
      <c r="AG175">
        <v>99.923113333333305</v>
      </c>
      <c r="AH175">
        <v>6.4544519999999994E-2</v>
      </c>
      <c r="AI175">
        <v>19.006406666666699</v>
      </c>
      <c r="AJ175">
        <v>999.9</v>
      </c>
      <c r="AK175">
        <v>999.9</v>
      </c>
      <c r="AL175">
        <v>0</v>
      </c>
      <c r="AM175">
        <v>0</v>
      </c>
      <c r="AN175">
        <v>4992.8999999999996</v>
      </c>
      <c r="AO175">
        <v>0</v>
      </c>
      <c r="AP175">
        <v>2.2019299999999999</v>
      </c>
      <c r="AQ175">
        <v>-0.72962026666666702</v>
      </c>
      <c r="AR175">
        <v>507.10353333333302</v>
      </c>
      <c r="AS175">
        <v>507.28886666666699</v>
      </c>
      <c r="AT175">
        <v>1.07864</v>
      </c>
      <c r="AU175">
        <v>499.996466666667</v>
      </c>
      <c r="AV175">
        <v>14.375413333333301</v>
      </c>
      <c r="AW175">
        <v>1.5442180000000001</v>
      </c>
      <c r="AX175">
        <v>1.436436</v>
      </c>
      <c r="AY175">
        <v>13.41316</v>
      </c>
      <c r="AZ175">
        <v>12.307833333333299</v>
      </c>
      <c r="BA175">
        <v>800.00006666666695</v>
      </c>
      <c r="BB175">
        <v>0.90001573333333396</v>
      </c>
      <c r="BC175">
        <v>0</v>
      </c>
      <c r="BD175">
        <v>9.9984180000000006E-2</v>
      </c>
      <c r="BE175">
        <v>0</v>
      </c>
      <c r="BF175">
        <v>25</v>
      </c>
      <c r="BG175">
        <v>13191.086666666701</v>
      </c>
      <c r="BH175">
        <v>1771088545.0999999</v>
      </c>
      <c r="BI175" t="s">
        <v>609</v>
      </c>
      <c r="BJ175">
        <v>1771088541.0999999</v>
      </c>
      <c r="BK175">
        <v>1771088545.0999999</v>
      </c>
      <c r="BL175">
        <v>6</v>
      </c>
      <c r="BM175">
        <v>-5.0000000000000001E-3</v>
      </c>
      <c r="BN175">
        <v>-5.0000000000000001E-3</v>
      </c>
      <c r="BO175">
        <v>-0.88100000000000001</v>
      </c>
      <c r="BP175">
        <v>9.5000000000000001E-2</v>
      </c>
      <c r="BQ175">
        <v>500</v>
      </c>
      <c r="BR175">
        <v>14</v>
      </c>
      <c r="BS175">
        <v>0.15</v>
      </c>
      <c r="BT175">
        <v>0.03</v>
      </c>
      <c r="BU175">
        <v>-0.72924942857142905</v>
      </c>
      <c r="BV175">
        <v>-3.53610389610904E-4</v>
      </c>
      <c r="BW175">
        <v>1.6115557105366399E-2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1.0811933333333299</v>
      </c>
      <c r="CD175">
        <v>-5.6240259740259702E-2</v>
      </c>
      <c r="CE175">
        <v>6.1630707662529097E-3</v>
      </c>
      <c r="CF175">
        <v>1</v>
      </c>
      <c r="CG175">
        <v>2</v>
      </c>
      <c r="CH175">
        <v>2</v>
      </c>
      <c r="CI175" t="s">
        <v>310</v>
      </c>
      <c r="CJ175">
        <v>3.5325099999999998</v>
      </c>
      <c r="CK175">
        <v>2.7024599999999999</v>
      </c>
      <c r="CL175">
        <v>0.113316</v>
      </c>
      <c r="CM175">
        <v>0.11183999999999999</v>
      </c>
      <c r="CN175">
        <v>8.7243899999999999E-2</v>
      </c>
      <c r="CO175">
        <v>8.1844100000000003E-2</v>
      </c>
      <c r="CP175">
        <v>31105.5</v>
      </c>
      <c r="CQ175">
        <v>27355.200000000001</v>
      </c>
      <c r="CR175">
        <v>32467.200000000001</v>
      </c>
      <c r="CS175">
        <v>30725.3</v>
      </c>
      <c r="CT175">
        <v>40124.1</v>
      </c>
      <c r="CU175">
        <v>39670</v>
      </c>
      <c r="CV175">
        <v>47411</v>
      </c>
      <c r="CW175">
        <v>46854.2</v>
      </c>
      <c r="CX175">
        <v>2.6272799999999998</v>
      </c>
      <c r="CY175">
        <v>2.1507800000000001</v>
      </c>
      <c r="CZ175">
        <v>0</v>
      </c>
      <c r="DA175">
        <v>0</v>
      </c>
      <c r="DB175">
        <v>999.9</v>
      </c>
      <c r="DC175">
        <v>999.9</v>
      </c>
      <c r="DD175">
        <v>56.354999999999997</v>
      </c>
      <c r="DE175">
        <v>25.992000000000001</v>
      </c>
      <c r="DF175">
        <v>19.021799999999999</v>
      </c>
      <c r="DG175">
        <v>30.311900000000001</v>
      </c>
      <c r="DH175">
        <v>15.396599999999999</v>
      </c>
      <c r="DI175">
        <v>2</v>
      </c>
      <c r="DJ175">
        <v>-0.14593700000000001</v>
      </c>
      <c r="DK175">
        <v>2.32247</v>
      </c>
      <c r="DL175">
        <v>20.194400000000002</v>
      </c>
      <c r="DM175">
        <v>5.2529899999999996</v>
      </c>
      <c r="DN175">
        <v>12.033899999999999</v>
      </c>
      <c r="DO175">
        <v>4.9677199999999999</v>
      </c>
      <c r="DP175">
        <v>3.2909999999999999</v>
      </c>
      <c r="DQ175">
        <v>9999</v>
      </c>
      <c r="DR175">
        <v>9999</v>
      </c>
      <c r="DS175">
        <v>9999</v>
      </c>
      <c r="DT175">
        <v>604.70000000000005</v>
      </c>
      <c r="DU175">
        <v>1.87103</v>
      </c>
      <c r="DV175">
        <v>1.87608</v>
      </c>
      <c r="DW175">
        <v>1.8762799999999999</v>
      </c>
      <c r="DX175">
        <v>1.88279</v>
      </c>
      <c r="DY175">
        <v>1.8755900000000001</v>
      </c>
      <c r="DZ175">
        <v>1.8746</v>
      </c>
      <c r="EA175">
        <v>1.87073</v>
      </c>
      <c r="EB175">
        <v>1.8746499999999999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-0.88100000000000001</v>
      </c>
      <c r="EQ175">
        <v>9.5100000000000004E-2</v>
      </c>
      <c r="ER175">
        <v>-0.88049999999999995</v>
      </c>
      <c r="ES175">
        <v>0</v>
      </c>
      <c r="ET175">
        <v>0</v>
      </c>
      <c r="EU175">
        <v>0</v>
      </c>
      <c r="EV175">
        <v>9.5040000000000902E-2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1.1000000000000001</v>
      </c>
      <c r="FE175">
        <v>1</v>
      </c>
      <c r="FF175">
        <v>1.4599599999999999</v>
      </c>
      <c r="FG175">
        <v>2.5842299999999998</v>
      </c>
      <c r="FH175">
        <v>2.19604</v>
      </c>
      <c r="FI175">
        <v>2.5793499999999998</v>
      </c>
      <c r="FJ175">
        <v>2.4462899999999999</v>
      </c>
      <c r="FK175">
        <v>2.2875999999999999</v>
      </c>
      <c r="FL175">
        <v>31.106999999999999</v>
      </c>
      <c r="FM175">
        <v>24.148800000000001</v>
      </c>
      <c r="FN175">
        <v>19</v>
      </c>
      <c r="FO175">
        <v>864.07799999999997</v>
      </c>
      <c r="FP175">
        <v>588.54399999999998</v>
      </c>
      <c r="FQ175">
        <v>17.9909</v>
      </c>
      <c r="FR175">
        <v>25.185400000000001</v>
      </c>
      <c r="FS175">
        <v>30.0002</v>
      </c>
      <c r="FT175">
        <v>25.167100000000001</v>
      </c>
      <c r="FU175">
        <v>25.1691</v>
      </c>
      <c r="FV175">
        <v>29.296800000000001</v>
      </c>
      <c r="FW175">
        <v>28.306999999999999</v>
      </c>
      <c r="FX175">
        <v>43.714500000000001</v>
      </c>
      <c r="FY175">
        <v>17.9849</v>
      </c>
      <c r="FZ175">
        <v>500</v>
      </c>
      <c r="GA175">
        <v>14.393800000000001</v>
      </c>
      <c r="GB175">
        <v>99.905699999999996</v>
      </c>
      <c r="GC175">
        <v>99.745099999999994</v>
      </c>
    </row>
    <row r="176" spans="1:185" x14ac:dyDescent="0.2">
      <c r="A176">
        <v>161</v>
      </c>
      <c r="B176">
        <v>1771088622.0999999</v>
      </c>
      <c r="C176">
        <v>3302.0999999046298</v>
      </c>
      <c r="D176" t="s">
        <v>620</v>
      </c>
      <c r="E176" t="s">
        <v>621</v>
      </c>
      <c r="F176">
        <v>15</v>
      </c>
      <c r="G176">
        <v>1771088614.03333</v>
      </c>
      <c r="H176">
        <f t="shared" si="26"/>
        <v>8.7298132115376157E-4</v>
      </c>
      <c r="I176">
        <v>0</v>
      </c>
      <c r="J176">
        <f t="shared" si="38"/>
        <v>5.3195653314407542E-3</v>
      </c>
      <c r="K176">
        <f t="shared" si="27"/>
        <v>0.14419179278145811</v>
      </c>
      <c r="L176">
        <f t="shared" si="28"/>
        <v>70.025003061866698</v>
      </c>
      <c r="M176">
        <f t="shared" si="29"/>
        <v>1.5445182055605731</v>
      </c>
      <c r="N176">
        <f t="shared" si="30"/>
        <v>2.2056667447711495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26230.339449960382</v>
      </c>
      <c r="T176">
        <f t="shared" si="34"/>
        <v>800.00033333333295</v>
      </c>
      <c r="U176">
        <f t="shared" si="35"/>
        <v>674.39988371983407</v>
      </c>
      <c r="V176">
        <f t="shared" si="36"/>
        <v>0.84299950339999996</v>
      </c>
      <c r="W176">
        <f t="shared" si="37"/>
        <v>0.15869884944400001</v>
      </c>
      <c r="X176">
        <v>1</v>
      </c>
      <c r="Y176">
        <v>1771088614.03333</v>
      </c>
      <c r="Z176">
        <v>499.28559999999999</v>
      </c>
      <c r="AA176">
        <v>500.01066666666702</v>
      </c>
      <c r="AB176">
        <v>15.447326666666701</v>
      </c>
      <c r="AC176">
        <v>14.3729666666667</v>
      </c>
      <c r="AD176">
        <v>500.16626666666701</v>
      </c>
      <c r="AE176">
        <v>15.3522933333333</v>
      </c>
      <c r="AF176">
        <v>800.00753333333398</v>
      </c>
      <c r="AG176">
        <v>99.921346666666693</v>
      </c>
      <c r="AH176">
        <v>6.4769953333333297E-2</v>
      </c>
      <c r="AI176">
        <v>19.003533333333301</v>
      </c>
      <c r="AJ176">
        <v>999.9</v>
      </c>
      <c r="AK176">
        <v>999.9</v>
      </c>
      <c r="AL176">
        <v>0</v>
      </c>
      <c r="AM176">
        <v>0</v>
      </c>
      <c r="AN176">
        <v>5004.8</v>
      </c>
      <c r="AO176">
        <v>0</v>
      </c>
      <c r="AP176">
        <v>2.2019299999999999</v>
      </c>
      <c r="AQ176">
        <v>-0.72506306666666698</v>
      </c>
      <c r="AR176">
        <v>507.11939999999998</v>
      </c>
      <c r="AS176">
        <v>507.30213333333302</v>
      </c>
      <c r="AT176">
        <v>1.07437733333333</v>
      </c>
      <c r="AU176">
        <v>500.01066666666702</v>
      </c>
      <c r="AV176">
        <v>14.3729666666667</v>
      </c>
      <c r="AW176">
        <v>1.54351866666667</v>
      </c>
      <c r="AX176">
        <v>1.436164</v>
      </c>
      <c r="AY176">
        <v>13.4062066666667</v>
      </c>
      <c r="AZ176">
        <v>12.304959999999999</v>
      </c>
      <c r="BA176">
        <v>800.00033333333295</v>
      </c>
      <c r="BB176">
        <v>0.90001520000000002</v>
      </c>
      <c r="BC176">
        <v>0</v>
      </c>
      <c r="BD176">
        <v>9.9984753333333301E-2</v>
      </c>
      <c r="BE176">
        <v>0</v>
      </c>
      <c r="BF176">
        <v>25</v>
      </c>
      <c r="BG176">
        <v>13191.08</v>
      </c>
      <c r="BH176">
        <v>1771088545.0999999</v>
      </c>
      <c r="BI176" t="s">
        <v>609</v>
      </c>
      <c r="BJ176">
        <v>1771088541.0999999</v>
      </c>
      <c r="BK176">
        <v>1771088545.0999999</v>
      </c>
      <c r="BL176">
        <v>6</v>
      </c>
      <c r="BM176">
        <v>-5.0000000000000001E-3</v>
      </c>
      <c r="BN176">
        <v>-5.0000000000000001E-3</v>
      </c>
      <c r="BO176">
        <v>-0.88100000000000001</v>
      </c>
      <c r="BP176">
        <v>9.5000000000000001E-2</v>
      </c>
      <c r="BQ176">
        <v>500</v>
      </c>
      <c r="BR176">
        <v>14</v>
      </c>
      <c r="BS176">
        <v>0.15</v>
      </c>
      <c r="BT176">
        <v>0.03</v>
      </c>
      <c r="BU176">
        <v>-0.72563624999999998</v>
      </c>
      <c r="BV176">
        <v>-1.8100375939847899E-2</v>
      </c>
      <c r="BW176">
        <v>2.0959420943516101E-2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1.0741784999999999</v>
      </c>
      <c r="CD176">
        <v>3.4716541353382403E-2</v>
      </c>
      <c r="CE176">
        <v>7.0280739004367401E-3</v>
      </c>
      <c r="CF176">
        <v>1</v>
      </c>
      <c r="CG176">
        <v>2</v>
      </c>
      <c r="CH176">
        <v>2</v>
      </c>
      <c r="CI176" t="s">
        <v>310</v>
      </c>
      <c r="CJ176">
        <v>3.5325899999999999</v>
      </c>
      <c r="CK176">
        <v>2.7024400000000002</v>
      </c>
      <c r="CL176">
        <v>0.113317</v>
      </c>
      <c r="CM176">
        <v>0.111833</v>
      </c>
      <c r="CN176">
        <v>8.7225700000000003E-2</v>
      </c>
      <c r="CO176">
        <v>8.1728499999999996E-2</v>
      </c>
      <c r="CP176">
        <v>31105.8</v>
      </c>
      <c r="CQ176">
        <v>27355.200000000001</v>
      </c>
      <c r="CR176">
        <v>32467.5</v>
      </c>
      <c r="CS176">
        <v>30725.1</v>
      </c>
      <c r="CT176">
        <v>40125.599999999999</v>
      </c>
      <c r="CU176">
        <v>39675</v>
      </c>
      <c r="CV176">
        <v>47411.8</v>
      </c>
      <c r="CW176">
        <v>46854</v>
      </c>
      <c r="CX176">
        <v>2.62758</v>
      </c>
      <c r="CY176">
        <v>2.1505200000000002</v>
      </c>
      <c r="CZ176">
        <v>0</v>
      </c>
      <c r="DA176">
        <v>0</v>
      </c>
      <c r="DB176">
        <v>999.9</v>
      </c>
      <c r="DC176">
        <v>999.9</v>
      </c>
      <c r="DD176">
        <v>56.262999999999998</v>
      </c>
      <c r="DE176">
        <v>25.992000000000001</v>
      </c>
      <c r="DF176">
        <v>18.990300000000001</v>
      </c>
      <c r="DG176">
        <v>30.4619</v>
      </c>
      <c r="DH176">
        <v>15.3606</v>
      </c>
      <c r="DI176">
        <v>2</v>
      </c>
      <c r="DJ176">
        <v>-0.14551800000000001</v>
      </c>
      <c r="DK176">
        <v>2.3256299999999999</v>
      </c>
      <c r="DL176">
        <v>20.194500000000001</v>
      </c>
      <c r="DM176">
        <v>5.2531100000000004</v>
      </c>
      <c r="DN176">
        <v>12.033899999999999</v>
      </c>
      <c r="DO176">
        <v>4.9677600000000002</v>
      </c>
      <c r="DP176">
        <v>3.2909999999999999</v>
      </c>
      <c r="DQ176">
        <v>9999</v>
      </c>
      <c r="DR176">
        <v>9999</v>
      </c>
      <c r="DS176">
        <v>9999</v>
      </c>
      <c r="DT176">
        <v>604.79999999999995</v>
      </c>
      <c r="DU176">
        <v>1.87104</v>
      </c>
      <c r="DV176">
        <v>1.8761099999999999</v>
      </c>
      <c r="DW176">
        <v>1.87629</v>
      </c>
      <c r="DX176">
        <v>1.8827799999999999</v>
      </c>
      <c r="DY176">
        <v>1.8755999999999999</v>
      </c>
      <c r="DZ176">
        <v>1.8746499999999999</v>
      </c>
      <c r="EA176">
        <v>1.8707499999999999</v>
      </c>
      <c r="EB176">
        <v>1.8746700000000001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-0.88100000000000001</v>
      </c>
      <c r="EQ176">
        <v>9.5000000000000001E-2</v>
      </c>
      <c r="ER176">
        <v>-0.88049999999999995</v>
      </c>
      <c r="ES176">
        <v>0</v>
      </c>
      <c r="ET176">
        <v>0</v>
      </c>
      <c r="EU176">
        <v>0</v>
      </c>
      <c r="EV176">
        <v>9.5040000000000902E-2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1.4</v>
      </c>
      <c r="FE176">
        <v>1.3</v>
      </c>
      <c r="FF176">
        <v>1.4599599999999999</v>
      </c>
      <c r="FG176">
        <v>2.5781200000000002</v>
      </c>
      <c r="FH176">
        <v>2.19604</v>
      </c>
      <c r="FI176">
        <v>2.5793499999999998</v>
      </c>
      <c r="FJ176">
        <v>2.4462899999999999</v>
      </c>
      <c r="FK176">
        <v>2.3315399999999999</v>
      </c>
      <c r="FL176">
        <v>31.128699999999998</v>
      </c>
      <c r="FM176">
        <v>24.148800000000001</v>
      </c>
      <c r="FN176">
        <v>19</v>
      </c>
      <c r="FO176">
        <v>864.42499999999995</v>
      </c>
      <c r="FP176">
        <v>588.38900000000001</v>
      </c>
      <c r="FQ176">
        <v>17.974699999999999</v>
      </c>
      <c r="FR176">
        <v>25.189599999999999</v>
      </c>
      <c r="FS176">
        <v>30.0002</v>
      </c>
      <c r="FT176">
        <v>25.171299999999999</v>
      </c>
      <c r="FU176">
        <v>25.173300000000001</v>
      </c>
      <c r="FV176">
        <v>29.295500000000001</v>
      </c>
      <c r="FW176">
        <v>28.306999999999999</v>
      </c>
      <c r="FX176">
        <v>43.340299999999999</v>
      </c>
      <c r="FY176">
        <v>17.974299999999999</v>
      </c>
      <c r="FZ176">
        <v>500</v>
      </c>
      <c r="GA176">
        <v>14.393800000000001</v>
      </c>
      <c r="GB176">
        <v>99.9071</v>
      </c>
      <c r="GC176">
        <v>99.744500000000002</v>
      </c>
    </row>
    <row r="177" spans="1:185" x14ac:dyDescent="0.2">
      <c r="A177">
        <v>162</v>
      </c>
      <c r="B177">
        <v>1771088637.0999999</v>
      </c>
      <c r="C177">
        <v>3317.0999999046298</v>
      </c>
      <c r="D177" t="s">
        <v>622</v>
      </c>
      <c r="E177" t="s">
        <v>623</v>
      </c>
      <c r="F177">
        <v>15</v>
      </c>
      <c r="G177">
        <v>1771088629.03333</v>
      </c>
      <c r="H177">
        <f t="shared" si="26"/>
        <v>8.8276507185981409E-4</v>
      </c>
      <c r="I177">
        <v>0</v>
      </c>
      <c r="J177">
        <f t="shared" si="38"/>
        <v>5.0692606270558672E-3</v>
      </c>
      <c r="K177">
        <f t="shared" si="27"/>
        <v>0.13740704970224968</v>
      </c>
      <c r="L177">
        <f t="shared" si="28"/>
        <v>69.990546809259541</v>
      </c>
      <c r="M177">
        <f t="shared" si="29"/>
        <v>1.5434416319515873</v>
      </c>
      <c r="N177">
        <f t="shared" si="30"/>
        <v>2.205214421538702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26232.250665407475</v>
      </c>
      <c r="T177">
        <f t="shared" si="34"/>
        <v>799.99919999999997</v>
      </c>
      <c r="U177">
        <f t="shared" si="35"/>
        <v>674.39884960047584</v>
      </c>
      <c r="V177">
        <f t="shared" si="36"/>
        <v>0.84299940499999981</v>
      </c>
      <c r="W177">
        <f t="shared" si="37"/>
        <v>0.15869870737999997</v>
      </c>
      <c r="X177">
        <v>1</v>
      </c>
      <c r="Y177">
        <v>1771088629.03333</v>
      </c>
      <c r="Z177">
        <v>499.26620000000003</v>
      </c>
      <c r="AA177">
        <v>499.98886666666698</v>
      </c>
      <c r="AB177">
        <v>15.4367133333333</v>
      </c>
      <c r="AC177">
        <v>14.3503066666667</v>
      </c>
      <c r="AD177">
        <v>500.14673333333297</v>
      </c>
      <c r="AE177">
        <v>15.341673333333301</v>
      </c>
      <c r="AF177">
        <v>800.01173333333304</v>
      </c>
      <c r="AG177">
        <v>99.920580000000001</v>
      </c>
      <c r="AH177">
        <v>6.4539799999999994E-2</v>
      </c>
      <c r="AI177">
        <v>19.000246666666701</v>
      </c>
      <c r="AJ177">
        <v>999.9</v>
      </c>
      <c r="AK177">
        <v>999.9</v>
      </c>
      <c r="AL177">
        <v>0</v>
      </c>
      <c r="AM177">
        <v>0</v>
      </c>
      <c r="AN177">
        <v>5005.1000000000004</v>
      </c>
      <c r="AO177">
        <v>0</v>
      </c>
      <c r="AP177">
        <v>2.2019299999999999</v>
      </c>
      <c r="AQ177">
        <v>-0.72268279999999996</v>
      </c>
      <c r="AR177">
        <v>507.094066666667</v>
      </c>
      <c r="AS177">
        <v>507.26833333333298</v>
      </c>
      <c r="AT177">
        <v>1.08641066666667</v>
      </c>
      <c r="AU177">
        <v>499.98886666666698</v>
      </c>
      <c r="AV177">
        <v>14.3503066666667</v>
      </c>
      <c r="AW177">
        <v>1.54244466666667</v>
      </c>
      <c r="AX177">
        <v>1.4338919999999999</v>
      </c>
      <c r="AY177">
        <v>13.395519999999999</v>
      </c>
      <c r="AZ177">
        <v>12.280860000000001</v>
      </c>
      <c r="BA177">
        <v>799.99919999999997</v>
      </c>
      <c r="BB177">
        <v>0.90001693333333299</v>
      </c>
      <c r="BC177">
        <v>0</v>
      </c>
      <c r="BD177">
        <v>9.9982966666666701E-2</v>
      </c>
      <c r="BE177">
        <v>0</v>
      </c>
      <c r="BF177">
        <v>25</v>
      </c>
      <c r="BG177">
        <v>13191.0933333333</v>
      </c>
      <c r="BH177">
        <v>1771088545.0999999</v>
      </c>
      <c r="BI177" t="s">
        <v>609</v>
      </c>
      <c r="BJ177">
        <v>1771088541.0999999</v>
      </c>
      <c r="BK177">
        <v>1771088545.0999999</v>
      </c>
      <c r="BL177">
        <v>6</v>
      </c>
      <c r="BM177">
        <v>-5.0000000000000001E-3</v>
      </c>
      <c r="BN177">
        <v>-5.0000000000000001E-3</v>
      </c>
      <c r="BO177">
        <v>-0.88100000000000001</v>
      </c>
      <c r="BP177">
        <v>9.5000000000000001E-2</v>
      </c>
      <c r="BQ177">
        <v>500</v>
      </c>
      <c r="BR177">
        <v>14</v>
      </c>
      <c r="BS177">
        <v>0.15</v>
      </c>
      <c r="BT177">
        <v>0.03</v>
      </c>
      <c r="BU177">
        <v>-0.725846142857143</v>
      </c>
      <c r="BV177">
        <v>5.55515844155842E-2</v>
      </c>
      <c r="BW177">
        <v>1.21760629311531E-2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1.0849280952381</v>
      </c>
      <c r="CD177">
        <v>4.0441558441557798E-3</v>
      </c>
      <c r="CE177">
        <v>6.7304705977457796E-3</v>
      </c>
      <c r="CF177">
        <v>1</v>
      </c>
      <c r="CG177">
        <v>2</v>
      </c>
      <c r="CH177">
        <v>2</v>
      </c>
      <c r="CI177" t="s">
        <v>310</v>
      </c>
      <c r="CJ177">
        <v>3.53254</v>
      </c>
      <c r="CK177">
        <v>2.7021799999999998</v>
      </c>
      <c r="CL177">
        <v>0.11330800000000001</v>
      </c>
      <c r="CM177">
        <v>0.11182499999999999</v>
      </c>
      <c r="CN177">
        <v>8.7163599999999994E-2</v>
      </c>
      <c r="CO177">
        <v>8.1727400000000006E-2</v>
      </c>
      <c r="CP177">
        <v>31105.5</v>
      </c>
      <c r="CQ177">
        <v>27355.3</v>
      </c>
      <c r="CR177">
        <v>32466.9</v>
      </c>
      <c r="CS177">
        <v>30725</v>
      </c>
      <c r="CT177">
        <v>40127.9</v>
      </c>
      <c r="CU177">
        <v>39674.800000000003</v>
      </c>
      <c r="CV177">
        <v>47411.199999999997</v>
      </c>
      <c r="CW177">
        <v>46853.7</v>
      </c>
      <c r="CX177">
        <v>2.6274799999999998</v>
      </c>
      <c r="CY177">
        <v>2.1502400000000002</v>
      </c>
      <c r="CZ177">
        <v>0</v>
      </c>
      <c r="DA177">
        <v>0</v>
      </c>
      <c r="DB177">
        <v>999.9</v>
      </c>
      <c r="DC177">
        <v>999.9</v>
      </c>
      <c r="DD177">
        <v>56.183999999999997</v>
      </c>
      <c r="DE177">
        <v>26.021999999999998</v>
      </c>
      <c r="DF177">
        <v>18.9971</v>
      </c>
      <c r="DG177">
        <v>30.041899999999998</v>
      </c>
      <c r="DH177">
        <v>15.3325</v>
      </c>
      <c r="DI177">
        <v>2</v>
      </c>
      <c r="DJ177">
        <v>-0.14527799999999999</v>
      </c>
      <c r="DK177">
        <v>2.2789299999999999</v>
      </c>
      <c r="DL177">
        <v>20.194900000000001</v>
      </c>
      <c r="DM177">
        <v>5.2523900000000001</v>
      </c>
      <c r="DN177">
        <v>12.033899999999999</v>
      </c>
      <c r="DO177">
        <v>4.9677600000000002</v>
      </c>
      <c r="DP177">
        <v>3.2909999999999999</v>
      </c>
      <c r="DQ177">
        <v>9999</v>
      </c>
      <c r="DR177">
        <v>9999</v>
      </c>
      <c r="DS177">
        <v>9999</v>
      </c>
      <c r="DT177">
        <v>604.79999999999995</v>
      </c>
      <c r="DU177">
        <v>1.87107</v>
      </c>
      <c r="DV177">
        <v>1.87615</v>
      </c>
      <c r="DW177">
        <v>1.87636</v>
      </c>
      <c r="DX177">
        <v>1.8828499999999999</v>
      </c>
      <c r="DY177">
        <v>1.87561</v>
      </c>
      <c r="DZ177">
        <v>1.8746700000000001</v>
      </c>
      <c r="EA177">
        <v>1.87076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-0.88</v>
      </c>
      <c r="EQ177">
        <v>9.5100000000000004E-2</v>
      </c>
      <c r="ER177">
        <v>-0.88049999999999995</v>
      </c>
      <c r="ES177">
        <v>0</v>
      </c>
      <c r="ET177">
        <v>0</v>
      </c>
      <c r="EU177">
        <v>0</v>
      </c>
      <c r="EV177">
        <v>9.5040000000000902E-2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1.6</v>
      </c>
      <c r="FE177">
        <v>1.5</v>
      </c>
      <c r="FF177">
        <v>1.4599599999999999</v>
      </c>
      <c r="FG177">
        <v>2.5891099999999998</v>
      </c>
      <c r="FH177">
        <v>2.19604</v>
      </c>
      <c r="FI177">
        <v>2.5781200000000002</v>
      </c>
      <c r="FJ177">
        <v>2.4462899999999999</v>
      </c>
      <c r="FK177">
        <v>2.2680699999999998</v>
      </c>
      <c r="FL177">
        <v>31.150400000000001</v>
      </c>
      <c r="FM177">
        <v>24.14</v>
      </c>
      <c r="FN177">
        <v>19</v>
      </c>
      <c r="FO177">
        <v>864.40700000000004</v>
      </c>
      <c r="FP177">
        <v>588.22199999999998</v>
      </c>
      <c r="FQ177">
        <v>17.971900000000002</v>
      </c>
      <c r="FR177">
        <v>25.193899999999999</v>
      </c>
      <c r="FS177">
        <v>30.0002</v>
      </c>
      <c r="FT177">
        <v>25.175899999999999</v>
      </c>
      <c r="FU177">
        <v>25.177700000000002</v>
      </c>
      <c r="FV177">
        <v>29.298100000000002</v>
      </c>
      <c r="FW177">
        <v>28.306999999999999</v>
      </c>
      <c r="FX177">
        <v>43.340299999999999</v>
      </c>
      <c r="FY177">
        <v>18.0077</v>
      </c>
      <c r="FZ177">
        <v>500</v>
      </c>
      <c r="GA177">
        <v>14.393800000000001</v>
      </c>
      <c r="GB177">
        <v>99.905600000000007</v>
      </c>
      <c r="GC177">
        <v>99.744100000000003</v>
      </c>
    </row>
    <row r="178" spans="1:185" x14ac:dyDescent="0.2">
      <c r="A178">
        <v>163</v>
      </c>
      <c r="B178">
        <v>1771088652.0999999</v>
      </c>
      <c r="C178">
        <v>3332.0999999046298</v>
      </c>
      <c r="D178" t="s">
        <v>624</v>
      </c>
      <c r="E178" t="s">
        <v>625</v>
      </c>
      <c r="F178">
        <v>15</v>
      </c>
      <c r="G178">
        <v>1771088644.03333</v>
      </c>
      <c r="H178">
        <f t="shared" si="26"/>
        <v>8.7832080146994849E-4</v>
      </c>
      <c r="I178">
        <v>0</v>
      </c>
      <c r="J178">
        <f t="shared" si="38"/>
        <v>5.3049931726045314E-3</v>
      </c>
      <c r="K178">
        <f t="shared" si="27"/>
        <v>0.14379680078937329</v>
      </c>
      <c r="L178">
        <f t="shared" si="28"/>
        <v>69.980681547563336</v>
      </c>
      <c r="M178">
        <f t="shared" si="29"/>
        <v>1.5429916898720872</v>
      </c>
      <c r="N178">
        <f t="shared" si="30"/>
        <v>2.2048823414550078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26174.725497052339</v>
      </c>
      <c r="T178">
        <f t="shared" si="34"/>
        <v>799.99893333333296</v>
      </c>
      <c r="U178">
        <f t="shared" si="35"/>
        <v>674.39867072057291</v>
      </c>
      <c r="V178">
        <f t="shared" si="36"/>
        <v>0.84299946239999968</v>
      </c>
      <c r="W178">
        <f t="shared" si="37"/>
        <v>0.15869868198399995</v>
      </c>
      <c r="X178">
        <v>1</v>
      </c>
      <c r="Y178">
        <v>1771088644.03333</v>
      </c>
      <c r="Z178">
        <v>499.25526666666701</v>
      </c>
      <c r="AA178">
        <v>499.983133333333</v>
      </c>
      <c r="AB178">
        <v>15.432079999999999</v>
      </c>
      <c r="AC178">
        <v>14.351139999999999</v>
      </c>
      <c r="AD178">
        <v>500.13580000000002</v>
      </c>
      <c r="AE178">
        <v>15.33704</v>
      </c>
      <c r="AF178">
        <v>800.01340000000005</v>
      </c>
      <c r="AG178">
        <v>99.921406666666698</v>
      </c>
      <c r="AH178">
        <v>6.4576419999999995E-2</v>
      </c>
      <c r="AI178">
        <v>18.9978333333333</v>
      </c>
      <c r="AJ178">
        <v>999.9</v>
      </c>
      <c r="AK178">
        <v>999.9</v>
      </c>
      <c r="AL178">
        <v>0</v>
      </c>
      <c r="AM178">
        <v>0</v>
      </c>
      <c r="AN178">
        <v>4995.5333333333301</v>
      </c>
      <c r="AO178">
        <v>0</v>
      </c>
      <c r="AP178">
        <v>2.2019299999999999</v>
      </c>
      <c r="AQ178">
        <v>-0.72781980000000002</v>
      </c>
      <c r="AR178">
        <v>507.08066666666701</v>
      </c>
      <c r="AS178">
        <v>507.26293333333302</v>
      </c>
      <c r="AT178">
        <v>1.08094333333333</v>
      </c>
      <c r="AU178">
        <v>499.983133333333</v>
      </c>
      <c r="AV178">
        <v>14.351139999999999</v>
      </c>
      <c r="AW178">
        <v>1.5419959999999999</v>
      </c>
      <c r="AX178">
        <v>1.4339853333333299</v>
      </c>
      <c r="AY178">
        <v>13.39106</v>
      </c>
      <c r="AZ178">
        <v>12.2818733333333</v>
      </c>
      <c r="BA178">
        <v>799.99893333333296</v>
      </c>
      <c r="BB178">
        <v>0.90001753333333301</v>
      </c>
      <c r="BC178">
        <v>0</v>
      </c>
      <c r="BD178">
        <v>9.9982453333333304E-2</v>
      </c>
      <c r="BE178">
        <v>0</v>
      </c>
      <c r="BF178">
        <v>25</v>
      </c>
      <c r="BG178">
        <v>13191.0666666667</v>
      </c>
      <c r="BH178">
        <v>1771088545.0999999</v>
      </c>
      <c r="BI178" t="s">
        <v>609</v>
      </c>
      <c r="BJ178">
        <v>1771088541.0999999</v>
      </c>
      <c r="BK178">
        <v>1771088545.0999999</v>
      </c>
      <c r="BL178">
        <v>6</v>
      </c>
      <c r="BM178">
        <v>-5.0000000000000001E-3</v>
      </c>
      <c r="BN178">
        <v>-5.0000000000000001E-3</v>
      </c>
      <c r="BO178">
        <v>-0.88100000000000001</v>
      </c>
      <c r="BP178">
        <v>9.5000000000000001E-2</v>
      </c>
      <c r="BQ178">
        <v>500</v>
      </c>
      <c r="BR178">
        <v>14</v>
      </c>
      <c r="BS178">
        <v>0.15</v>
      </c>
      <c r="BT178">
        <v>0.03</v>
      </c>
      <c r="BU178">
        <v>-0.7266724</v>
      </c>
      <c r="BV178">
        <v>-2.2327218045113801E-2</v>
      </c>
      <c r="BW178">
        <v>1.3917432774761301E-2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1.081205</v>
      </c>
      <c r="CD178">
        <v>1.7819548872154299E-3</v>
      </c>
      <c r="CE178">
        <v>1.9880103118444801E-3</v>
      </c>
      <c r="CF178">
        <v>1</v>
      </c>
      <c r="CG178">
        <v>2</v>
      </c>
      <c r="CH178">
        <v>2</v>
      </c>
      <c r="CI178" t="s">
        <v>310</v>
      </c>
      <c r="CJ178">
        <v>3.5325500000000001</v>
      </c>
      <c r="CK178">
        <v>2.7024400000000002</v>
      </c>
      <c r="CL178">
        <v>0.113303</v>
      </c>
      <c r="CM178">
        <v>0.11182400000000001</v>
      </c>
      <c r="CN178">
        <v>8.7167599999999998E-2</v>
      </c>
      <c r="CO178">
        <v>8.1673899999999994E-2</v>
      </c>
      <c r="CP178">
        <v>31105.5</v>
      </c>
      <c r="CQ178">
        <v>27355.200000000001</v>
      </c>
      <c r="CR178">
        <v>32466.7</v>
      </c>
      <c r="CS178">
        <v>30724.799999999999</v>
      </c>
      <c r="CT178">
        <v>40127.5</v>
      </c>
      <c r="CU178">
        <v>39677.1</v>
      </c>
      <c r="CV178">
        <v>47410.9</v>
      </c>
      <c r="CW178">
        <v>46853.599999999999</v>
      </c>
      <c r="CX178">
        <v>2.6274000000000002</v>
      </c>
      <c r="CY178">
        <v>2.1503199999999998</v>
      </c>
      <c r="CZ178">
        <v>0</v>
      </c>
      <c r="DA178">
        <v>0</v>
      </c>
      <c r="DB178">
        <v>999.9</v>
      </c>
      <c r="DC178">
        <v>999.9</v>
      </c>
      <c r="DD178">
        <v>56.11</v>
      </c>
      <c r="DE178">
        <v>26.021999999999998</v>
      </c>
      <c r="DF178">
        <v>18.973800000000001</v>
      </c>
      <c r="DG178">
        <v>30.161899999999999</v>
      </c>
      <c r="DH178">
        <v>15.4367</v>
      </c>
      <c r="DI178">
        <v>2</v>
      </c>
      <c r="DJ178">
        <v>-0.14494899999999999</v>
      </c>
      <c r="DK178">
        <v>2.2541099999999998</v>
      </c>
      <c r="DL178">
        <v>20.195599999999999</v>
      </c>
      <c r="DM178">
        <v>5.2529899999999996</v>
      </c>
      <c r="DN178">
        <v>12.033899999999999</v>
      </c>
      <c r="DO178">
        <v>4.9677600000000002</v>
      </c>
      <c r="DP178">
        <v>3.2909999999999999</v>
      </c>
      <c r="DQ178">
        <v>9999</v>
      </c>
      <c r="DR178">
        <v>9999</v>
      </c>
      <c r="DS178">
        <v>9999</v>
      </c>
      <c r="DT178">
        <v>604.79999999999995</v>
      </c>
      <c r="DU178">
        <v>1.8710800000000001</v>
      </c>
      <c r="DV178">
        <v>1.8761399999999999</v>
      </c>
      <c r="DW178">
        <v>1.87635</v>
      </c>
      <c r="DX178">
        <v>1.8828199999999999</v>
      </c>
      <c r="DY178">
        <v>1.87561</v>
      </c>
      <c r="DZ178">
        <v>1.8746799999999999</v>
      </c>
      <c r="EA178">
        <v>1.87079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-0.88</v>
      </c>
      <c r="EQ178">
        <v>9.5100000000000004E-2</v>
      </c>
      <c r="ER178">
        <v>-0.88049999999999995</v>
      </c>
      <c r="ES178">
        <v>0</v>
      </c>
      <c r="ET178">
        <v>0</v>
      </c>
      <c r="EU178">
        <v>0</v>
      </c>
      <c r="EV178">
        <v>9.5040000000000902E-2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1.9</v>
      </c>
      <c r="FE178">
        <v>1.8</v>
      </c>
      <c r="FF178">
        <v>1.4599599999999999</v>
      </c>
      <c r="FG178">
        <v>2.5830099999999998</v>
      </c>
      <c r="FH178">
        <v>2.19604</v>
      </c>
      <c r="FI178">
        <v>2.5793499999999998</v>
      </c>
      <c r="FJ178">
        <v>2.4462899999999999</v>
      </c>
      <c r="FK178">
        <v>2.3132299999999999</v>
      </c>
      <c r="FL178">
        <v>31.150400000000001</v>
      </c>
      <c r="FM178">
        <v>24.148800000000001</v>
      </c>
      <c r="FN178">
        <v>19</v>
      </c>
      <c r="FO178">
        <v>864.40200000000004</v>
      </c>
      <c r="FP178">
        <v>588.33199999999999</v>
      </c>
      <c r="FQ178">
        <v>18.0153</v>
      </c>
      <c r="FR178">
        <v>25.198499999999999</v>
      </c>
      <c r="FS178">
        <v>30.0002</v>
      </c>
      <c r="FT178">
        <v>25.180199999999999</v>
      </c>
      <c r="FU178">
        <v>25.181899999999999</v>
      </c>
      <c r="FV178">
        <v>29.299700000000001</v>
      </c>
      <c r="FW178">
        <v>28.306999999999999</v>
      </c>
      <c r="FX178">
        <v>42.9649</v>
      </c>
      <c r="FY178">
        <v>18.0123</v>
      </c>
      <c r="FZ178">
        <v>500</v>
      </c>
      <c r="GA178">
        <v>14.393800000000001</v>
      </c>
      <c r="GB178">
        <v>99.904899999999998</v>
      </c>
      <c r="GC178">
        <v>99.743700000000004</v>
      </c>
    </row>
    <row r="179" spans="1:185" x14ac:dyDescent="0.2">
      <c r="A179">
        <v>164</v>
      </c>
      <c r="B179">
        <v>1771088667.0999999</v>
      </c>
      <c r="C179">
        <v>3347.0999999046298</v>
      </c>
      <c r="D179" t="s">
        <v>626</v>
      </c>
      <c r="E179" t="s">
        <v>627</v>
      </c>
      <c r="F179">
        <v>15</v>
      </c>
      <c r="G179">
        <v>1771088659.03333</v>
      </c>
      <c r="H179">
        <f t="shared" si="26"/>
        <v>8.8771297340422628E-4</v>
      </c>
      <c r="I179">
        <v>0</v>
      </c>
      <c r="J179">
        <f t="shared" si="38"/>
        <v>5.5665634587167521E-3</v>
      </c>
      <c r="K179">
        <f t="shared" si="27"/>
        <v>0.15088690799605833</v>
      </c>
      <c r="L179">
        <f t="shared" si="28"/>
        <v>69.929911461391498</v>
      </c>
      <c r="M179">
        <f t="shared" si="29"/>
        <v>1.5420069806520242</v>
      </c>
      <c r="N179">
        <f t="shared" si="30"/>
        <v>2.2050749792574393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26217.743050421737</v>
      </c>
      <c r="T179">
        <f t="shared" si="34"/>
        <v>800.00106666666704</v>
      </c>
      <c r="U179">
        <f t="shared" si="35"/>
        <v>674.40035583927579</v>
      </c>
      <c r="V179">
        <f t="shared" si="36"/>
        <v>0.84299932079999995</v>
      </c>
      <c r="W179">
        <f t="shared" si="37"/>
        <v>0.15869861380800002</v>
      </c>
      <c r="X179">
        <v>1</v>
      </c>
      <c r="Y179">
        <v>1771088659.03333</v>
      </c>
      <c r="Z179">
        <v>499.25760000000002</v>
      </c>
      <c r="AA179">
        <v>500.00020000000001</v>
      </c>
      <c r="AB179">
        <v>15.4222866666667</v>
      </c>
      <c r="AC179">
        <v>14.3297666666667</v>
      </c>
      <c r="AD179">
        <v>500.13793333333302</v>
      </c>
      <c r="AE179">
        <v>15.3272666666667</v>
      </c>
      <c r="AF179">
        <v>800.00586666666698</v>
      </c>
      <c r="AG179">
        <v>99.921120000000002</v>
      </c>
      <c r="AH179">
        <v>6.4505606666666701E-2</v>
      </c>
      <c r="AI179">
        <v>18.999233333333301</v>
      </c>
      <c r="AJ179">
        <v>999.9</v>
      </c>
      <c r="AK179">
        <v>999.9</v>
      </c>
      <c r="AL179">
        <v>0</v>
      </c>
      <c r="AM179">
        <v>0</v>
      </c>
      <c r="AN179">
        <v>5002.6666666666697</v>
      </c>
      <c r="AO179">
        <v>0</v>
      </c>
      <c r="AP179">
        <v>2.2019299999999999</v>
      </c>
      <c r="AQ179">
        <v>-0.74264933333333305</v>
      </c>
      <c r="AR179">
        <v>507.07773333333301</v>
      </c>
      <c r="AS179">
        <v>507.26920000000001</v>
      </c>
      <c r="AT179">
        <v>1.092538</v>
      </c>
      <c r="AU179">
        <v>500.00020000000001</v>
      </c>
      <c r="AV179">
        <v>14.3297666666667</v>
      </c>
      <c r="AW179">
        <v>1.5410140000000001</v>
      </c>
      <c r="AX179">
        <v>1.431846</v>
      </c>
      <c r="AY179">
        <v>13.38128</v>
      </c>
      <c r="AZ179">
        <v>12.25916</v>
      </c>
      <c r="BA179">
        <v>800.00106666666704</v>
      </c>
      <c r="BB179">
        <v>0.90001799999999998</v>
      </c>
      <c r="BC179">
        <v>0</v>
      </c>
      <c r="BD179">
        <v>9.9981840000000002E-2</v>
      </c>
      <c r="BE179">
        <v>0</v>
      </c>
      <c r="BF179">
        <v>25</v>
      </c>
      <c r="BG179">
        <v>13191.1133333333</v>
      </c>
      <c r="BH179">
        <v>1771088545.0999999</v>
      </c>
      <c r="BI179" t="s">
        <v>609</v>
      </c>
      <c r="BJ179">
        <v>1771088541.0999999</v>
      </c>
      <c r="BK179">
        <v>1771088545.0999999</v>
      </c>
      <c r="BL179">
        <v>6</v>
      </c>
      <c r="BM179">
        <v>-5.0000000000000001E-3</v>
      </c>
      <c r="BN179">
        <v>-5.0000000000000001E-3</v>
      </c>
      <c r="BO179">
        <v>-0.88100000000000001</v>
      </c>
      <c r="BP179">
        <v>9.5000000000000001E-2</v>
      </c>
      <c r="BQ179">
        <v>500</v>
      </c>
      <c r="BR179">
        <v>14</v>
      </c>
      <c r="BS179">
        <v>0.15</v>
      </c>
      <c r="BT179">
        <v>0.03</v>
      </c>
      <c r="BU179">
        <v>-0.73995247619047599</v>
      </c>
      <c r="BV179">
        <v>6.8781818181816501E-2</v>
      </c>
      <c r="BW179">
        <v>3.1609853326092098E-2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1.0898195238095201</v>
      </c>
      <c r="CD179">
        <v>-1.67267532467535E-2</v>
      </c>
      <c r="CE179">
        <v>1.2720819259402501E-2</v>
      </c>
      <c r="CF179">
        <v>1</v>
      </c>
      <c r="CG179">
        <v>2</v>
      </c>
      <c r="CH179">
        <v>2</v>
      </c>
      <c r="CI179" t="s">
        <v>310</v>
      </c>
      <c r="CJ179">
        <v>3.5325199999999999</v>
      </c>
      <c r="CK179">
        <v>2.7022400000000002</v>
      </c>
      <c r="CL179">
        <v>0.11330900000000001</v>
      </c>
      <c r="CM179">
        <v>0.11183</v>
      </c>
      <c r="CN179">
        <v>8.7100300000000005E-2</v>
      </c>
      <c r="CO179">
        <v>8.1723400000000002E-2</v>
      </c>
      <c r="CP179">
        <v>31105.4</v>
      </c>
      <c r="CQ179">
        <v>27354.9</v>
      </c>
      <c r="CR179">
        <v>32466.799999999999</v>
      </c>
      <c r="CS179">
        <v>30724.7</v>
      </c>
      <c r="CT179">
        <v>40130.5</v>
      </c>
      <c r="CU179">
        <v>39674.6</v>
      </c>
      <c r="CV179">
        <v>47410.9</v>
      </c>
      <c r="CW179">
        <v>46853.3</v>
      </c>
      <c r="CX179">
        <v>2.62724</v>
      </c>
      <c r="CY179">
        <v>2.1500599999999999</v>
      </c>
      <c r="CZ179">
        <v>0</v>
      </c>
      <c r="DA179">
        <v>0</v>
      </c>
      <c r="DB179">
        <v>999.9</v>
      </c>
      <c r="DC179">
        <v>999.9</v>
      </c>
      <c r="DD179">
        <v>55.988</v>
      </c>
      <c r="DE179">
        <v>26.052</v>
      </c>
      <c r="DF179">
        <v>18.963699999999999</v>
      </c>
      <c r="DG179">
        <v>30.161899999999999</v>
      </c>
      <c r="DH179">
        <v>15.2644</v>
      </c>
      <c r="DI179">
        <v>2</v>
      </c>
      <c r="DJ179">
        <v>-0.14468900000000001</v>
      </c>
      <c r="DK179">
        <v>2.26939</v>
      </c>
      <c r="DL179">
        <v>20.196300000000001</v>
      </c>
      <c r="DM179">
        <v>5.2528699999999997</v>
      </c>
      <c r="DN179">
        <v>12.033899999999999</v>
      </c>
      <c r="DO179">
        <v>4.9678000000000004</v>
      </c>
      <c r="DP179">
        <v>3.2909999999999999</v>
      </c>
      <c r="DQ179">
        <v>9999</v>
      </c>
      <c r="DR179">
        <v>9999</v>
      </c>
      <c r="DS179">
        <v>9999</v>
      </c>
      <c r="DT179">
        <v>604.79999999999995</v>
      </c>
      <c r="DU179">
        <v>1.8710599999999999</v>
      </c>
      <c r="DV179">
        <v>1.8761699999999999</v>
      </c>
      <c r="DW179">
        <v>1.87635</v>
      </c>
      <c r="DX179">
        <v>1.8828499999999999</v>
      </c>
      <c r="DY179">
        <v>1.87561</v>
      </c>
      <c r="DZ179">
        <v>1.8746799999999999</v>
      </c>
      <c r="EA179">
        <v>1.87076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-0.88</v>
      </c>
      <c r="EQ179">
        <v>9.5100000000000004E-2</v>
      </c>
      <c r="ER179">
        <v>-0.88049999999999995</v>
      </c>
      <c r="ES179">
        <v>0</v>
      </c>
      <c r="ET179">
        <v>0</v>
      </c>
      <c r="EU179">
        <v>0</v>
      </c>
      <c r="EV179">
        <v>9.5040000000000902E-2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2.1</v>
      </c>
      <c r="FE179">
        <v>2</v>
      </c>
      <c r="FF179">
        <v>1.4599599999999999</v>
      </c>
      <c r="FG179">
        <v>2.5830099999999998</v>
      </c>
      <c r="FH179">
        <v>2.19604</v>
      </c>
      <c r="FI179">
        <v>2.5793499999999998</v>
      </c>
      <c r="FJ179">
        <v>2.4462899999999999</v>
      </c>
      <c r="FK179">
        <v>2.2705099999999998</v>
      </c>
      <c r="FL179">
        <v>31.150400000000001</v>
      </c>
      <c r="FM179">
        <v>24.14</v>
      </c>
      <c r="FN179">
        <v>19</v>
      </c>
      <c r="FO179">
        <v>864.32100000000003</v>
      </c>
      <c r="FP179">
        <v>588.17899999999997</v>
      </c>
      <c r="FQ179">
        <v>18.014800000000001</v>
      </c>
      <c r="FR179">
        <v>25.2027</v>
      </c>
      <c r="FS179">
        <v>30.000299999999999</v>
      </c>
      <c r="FT179">
        <v>25.1844</v>
      </c>
      <c r="FU179">
        <v>25.186199999999999</v>
      </c>
      <c r="FV179">
        <v>29.2987</v>
      </c>
      <c r="FW179">
        <v>28.035299999999999</v>
      </c>
      <c r="FX179">
        <v>42.9649</v>
      </c>
      <c r="FY179">
        <v>18.011199999999999</v>
      </c>
      <c r="FZ179">
        <v>500</v>
      </c>
      <c r="GA179">
        <v>14.393800000000001</v>
      </c>
      <c r="GB179">
        <v>99.905100000000004</v>
      </c>
      <c r="GC179">
        <v>99.743200000000002</v>
      </c>
    </row>
    <row r="180" spans="1:185" x14ac:dyDescent="0.2">
      <c r="A180">
        <v>165</v>
      </c>
      <c r="B180">
        <v>1771088682.0999999</v>
      </c>
      <c r="C180">
        <v>3362.0999999046298</v>
      </c>
      <c r="D180" t="s">
        <v>628</v>
      </c>
      <c r="E180" t="s">
        <v>629</v>
      </c>
      <c r="F180">
        <v>15</v>
      </c>
      <c r="G180">
        <v>1771088674.03333</v>
      </c>
      <c r="H180">
        <f t="shared" si="26"/>
        <v>8.6847265395813538E-4</v>
      </c>
      <c r="I180">
        <v>0</v>
      </c>
      <c r="J180">
        <f t="shared" si="38"/>
        <v>5.6532674288064782E-3</v>
      </c>
      <c r="K180">
        <f t="shared" si="27"/>
        <v>0.15323710018462225</v>
      </c>
      <c r="L180">
        <f t="shared" si="28"/>
        <v>69.913263324035398</v>
      </c>
      <c r="M180">
        <f t="shared" si="29"/>
        <v>1.5419734129241784</v>
      </c>
      <c r="N180">
        <f t="shared" si="30"/>
        <v>2.2055520506565527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26182.697566278159</v>
      </c>
      <c r="T180">
        <f t="shared" si="34"/>
        <v>800.00053333333301</v>
      </c>
      <c r="U180">
        <f t="shared" si="35"/>
        <v>674.40001807971203</v>
      </c>
      <c r="V180">
        <f t="shared" si="36"/>
        <v>0.84299946059999997</v>
      </c>
      <c r="W180">
        <f t="shared" si="37"/>
        <v>0.15869869047599999</v>
      </c>
      <c r="X180">
        <v>1</v>
      </c>
      <c r="Y180">
        <v>1771088674.03333</v>
      </c>
      <c r="Z180">
        <v>499.26519999999999</v>
      </c>
      <c r="AA180">
        <v>499.99873333333301</v>
      </c>
      <c r="AB180">
        <v>15.42184</v>
      </c>
      <c r="AC180">
        <v>14.353006666666699</v>
      </c>
      <c r="AD180">
        <v>500.14586666666702</v>
      </c>
      <c r="AE180">
        <v>15.326793333333301</v>
      </c>
      <c r="AF180">
        <v>800.01173333333304</v>
      </c>
      <c r="AG180">
        <v>99.921893333333301</v>
      </c>
      <c r="AH180">
        <v>6.4451546666666706E-2</v>
      </c>
      <c r="AI180">
        <v>19.002700000000001</v>
      </c>
      <c r="AJ180">
        <v>999.9</v>
      </c>
      <c r="AK180">
        <v>999.9</v>
      </c>
      <c r="AL180">
        <v>0</v>
      </c>
      <c r="AM180">
        <v>0</v>
      </c>
      <c r="AN180">
        <v>4996.8999999999996</v>
      </c>
      <c r="AO180">
        <v>0</v>
      </c>
      <c r="AP180">
        <v>2.2019299999999999</v>
      </c>
      <c r="AQ180">
        <v>-0.73347366666666702</v>
      </c>
      <c r="AR180">
        <v>507.08533333333298</v>
      </c>
      <c r="AS180">
        <v>507.27966666666703</v>
      </c>
      <c r="AT180">
        <v>1.0688086666666701</v>
      </c>
      <c r="AU180">
        <v>499.99873333333301</v>
      </c>
      <c r="AV180">
        <v>14.353006666666699</v>
      </c>
      <c r="AW180">
        <v>1.54098</v>
      </c>
      <c r="AX180">
        <v>1.43418133333333</v>
      </c>
      <c r="AY180">
        <v>13.380926666666699</v>
      </c>
      <c r="AZ180">
        <v>12.2839333333333</v>
      </c>
      <c r="BA180">
        <v>800.00053333333301</v>
      </c>
      <c r="BB180">
        <v>0.90001739999999997</v>
      </c>
      <c r="BC180">
        <v>0</v>
      </c>
      <c r="BD180">
        <v>9.9982580000000001E-2</v>
      </c>
      <c r="BE180">
        <v>0</v>
      </c>
      <c r="BF180">
        <v>25</v>
      </c>
      <c r="BG180">
        <v>13191.1</v>
      </c>
      <c r="BH180">
        <v>1771088545.0999999</v>
      </c>
      <c r="BI180" t="s">
        <v>609</v>
      </c>
      <c r="BJ180">
        <v>1771088541.0999999</v>
      </c>
      <c r="BK180">
        <v>1771088545.0999999</v>
      </c>
      <c r="BL180">
        <v>6</v>
      </c>
      <c r="BM180">
        <v>-5.0000000000000001E-3</v>
      </c>
      <c r="BN180">
        <v>-5.0000000000000001E-3</v>
      </c>
      <c r="BO180">
        <v>-0.88100000000000001</v>
      </c>
      <c r="BP180">
        <v>9.5000000000000001E-2</v>
      </c>
      <c r="BQ180">
        <v>500</v>
      </c>
      <c r="BR180">
        <v>14</v>
      </c>
      <c r="BS180">
        <v>0.15</v>
      </c>
      <c r="BT180">
        <v>0.03</v>
      </c>
      <c r="BU180">
        <v>-0.72671954999999999</v>
      </c>
      <c r="BV180">
        <v>-2.7509007518797399E-2</v>
      </c>
      <c r="BW180">
        <v>2.6284650002377799E-2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1.0704210000000001</v>
      </c>
      <c r="CD180">
        <v>-2.0251127819548499E-2</v>
      </c>
      <c r="CE180">
        <v>4.6611950184475203E-3</v>
      </c>
      <c r="CF180">
        <v>1</v>
      </c>
      <c r="CG180">
        <v>2</v>
      </c>
      <c r="CH180">
        <v>2</v>
      </c>
      <c r="CI180" t="s">
        <v>310</v>
      </c>
      <c r="CJ180">
        <v>3.5325199999999999</v>
      </c>
      <c r="CK180">
        <v>2.70228</v>
      </c>
      <c r="CL180">
        <v>0.113304</v>
      </c>
      <c r="CM180">
        <v>0.111829</v>
      </c>
      <c r="CN180">
        <v>8.7138199999999999E-2</v>
      </c>
      <c r="CO180">
        <v>8.1750000000000003E-2</v>
      </c>
      <c r="CP180">
        <v>31105.3</v>
      </c>
      <c r="CQ180">
        <v>27355.1</v>
      </c>
      <c r="CR180">
        <v>32466.6</v>
      </c>
      <c r="CS180">
        <v>30724.9</v>
      </c>
      <c r="CT180">
        <v>40128.800000000003</v>
      </c>
      <c r="CU180">
        <v>39673.699999999997</v>
      </c>
      <c r="CV180">
        <v>47410.8</v>
      </c>
      <c r="CW180">
        <v>46853.599999999999</v>
      </c>
      <c r="CX180">
        <v>2.6273399999999998</v>
      </c>
      <c r="CY180">
        <v>2.1499199999999998</v>
      </c>
      <c r="CZ180">
        <v>0</v>
      </c>
      <c r="DA180">
        <v>0</v>
      </c>
      <c r="DB180">
        <v>999.9</v>
      </c>
      <c r="DC180">
        <v>999.9</v>
      </c>
      <c r="DD180">
        <v>55.914999999999999</v>
      </c>
      <c r="DE180">
        <v>26.052</v>
      </c>
      <c r="DF180">
        <v>18.9391</v>
      </c>
      <c r="DG180">
        <v>30.311900000000001</v>
      </c>
      <c r="DH180">
        <v>15.460699999999999</v>
      </c>
      <c r="DI180">
        <v>2</v>
      </c>
      <c r="DJ180">
        <v>-0.14429500000000001</v>
      </c>
      <c r="DK180">
        <v>2.2890000000000001</v>
      </c>
      <c r="DL180">
        <v>20.1934</v>
      </c>
      <c r="DM180">
        <v>5.2529899999999996</v>
      </c>
      <c r="DN180">
        <v>12.033899999999999</v>
      </c>
      <c r="DO180">
        <v>4.9678399999999998</v>
      </c>
      <c r="DP180">
        <v>3.2909999999999999</v>
      </c>
      <c r="DQ180">
        <v>9999</v>
      </c>
      <c r="DR180">
        <v>9999</v>
      </c>
      <c r="DS180">
        <v>9999</v>
      </c>
      <c r="DT180">
        <v>604.79999999999995</v>
      </c>
      <c r="DU180">
        <v>1.8710899999999999</v>
      </c>
      <c r="DV180">
        <v>1.8762099999999999</v>
      </c>
      <c r="DW180">
        <v>1.8763700000000001</v>
      </c>
      <c r="DX180">
        <v>1.8828800000000001</v>
      </c>
      <c r="DY180">
        <v>1.87561</v>
      </c>
      <c r="DZ180">
        <v>1.87469</v>
      </c>
      <c r="EA180">
        <v>1.8708100000000001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-0.88</v>
      </c>
      <c r="EQ180">
        <v>9.5000000000000001E-2</v>
      </c>
      <c r="ER180">
        <v>-0.88049999999999995</v>
      </c>
      <c r="ES180">
        <v>0</v>
      </c>
      <c r="ET180">
        <v>0</v>
      </c>
      <c r="EU180">
        <v>0</v>
      </c>
      <c r="EV180">
        <v>9.5040000000000902E-2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2.4</v>
      </c>
      <c r="FE180">
        <v>2.2999999999999998</v>
      </c>
      <c r="FF180">
        <v>1.4599599999999999</v>
      </c>
      <c r="FG180">
        <v>2.5830099999999998</v>
      </c>
      <c r="FH180">
        <v>2.19604</v>
      </c>
      <c r="FI180">
        <v>2.5793499999999998</v>
      </c>
      <c r="FJ180">
        <v>2.4462899999999999</v>
      </c>
      <c r="FK180">
        <v>2.32666</v>
      </c>
      <c r="FL180">
        <v>31.150400000000001</v>
      </c>
      <c r="FM180">
        <v>24.148800000000001</v>
      </c>
      <c r="FN180">
        <v>19</v>
      </c>
      <c r="FO180">
        <v>864.48400000000004</v>
      </c>
      <c r="FP180">
        <v>588.11800000000005</v>
      </c>
      <c r="FQ180">
        <v>18.008199999999999</v>
      </c>
      <c r="FR180">
        <v>25.207000000000001</v>
      </c>
      <c r="FS180">
        <v>30.0002</v>
      </c>
      <c r="FT180">
        <v>25.188700000000001</v>
      </c>
      <c r="FU180">
        <v>25.1904</v>
      </c>
      <c r="FV180">
        <v>29.298500000000001</v>
      </c>
      <c r="FW180">
        <v>28.035299999999999</v>
      </c>
      <c r="FX180">
        <v>42.9649</v>
      </c>
      <c r="FY180">
        <v>18.0032</v>
      </c>
      <c r="FZ180">
        <v>500</v>
      </c>
      <c r="GA180">
        <v>14.393800000000001</v>
      </c>
      <c r="GB180">
        <v>99.904700000000005</v>
      </c>
      <c r="GC180">
        <v>99.743799999999993</v>
      </c>
    </row>
    <row r="181" spans="1:185" x14ac:dyDescent="0.2">
      <c r="A181">
        <v>166</v>
      </c>
      <c r="B181">
        <v>1771088697.0999999</v>
      </c>
      <c r="C181">
        <v>3377.0999999046298</v>
      </c>
      <c r="D181" t="s">
        <v>630</v>
      </c>
      <c r="E181" t="s">
        <v>631</v>
      </c>
      <c r="F181">
        <v>15</v>
      </c>
      <c r="G181">
        <v>1771088689.03333</v>
      </c>
      <c r="H181">
        <f t="shared" si="26"/>
        <v>8.8234624614454669E-4</v>
      </c>
      <c r="I181">
        <v>0</v>
      </c>
      <c r="J181">
        <f t="shared" si="38"/>
        <v>5.5930535058442863E-3</v>
      </c>
      <c r="K181">
        <f t="shared" si="27"/>
        <v>0.15160494549502632</v>
      </c>
      <c r="L181">
        <f t="shared" si="28"/>
        <v>69.900795659925336</v>
      </c>
      <c r="M181">
        <f t="shared" si="29"/>
        <v>1.5417696247445993</v>
      </c>
      <c r="N181">
        <f t="shared" si="30"/>
        <v>2.2056538987702936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26171.598986840258</v>
      </c>
      <c r="T181">
        <f t="shared" si="34"/>
        <v>799.99980000000005</v>
      </c>
      <c r="U181">
        <f t="shared" si="35"/>
        <v>674.39930500013145</v>
      </c>
      <c r="V181">
        <f t="shared" si="36"/>
        <v>0.84299934199999971</v>
      </c>
      <c r="W181">
        <f t="shared" si="37"/>
        <v>0.15869874475999995</v>
      </c>
      <c r="X181">
        <v>1</v>
      </c>
      <c r="Y181">
        <v>1771088689.03333</v>
      </c>
      <c r="Z181">
        <v>499.246733333333</v>
      </c>
      <c r="AA181">
        <v>499.98686666666703</v>
      </c>
      <c r="AB181">
        <v>15.419866666666699</v>
      </c>
      <c r="AC181">
        <v>14.3339533333333</v>
      </c>
      <c r="AD181">
        <v>500.12726666666703</v>
      </c>
      <c r="AE181">
        <v>15.32484</v>
      </c>
      <c r="AF181">
        <v>800.00913333333301</v>
      </c>
      <c r="AG181">
        <v>99.921413333333305</v>
      </c>
      <c r="AH181">
        <v>6.45111933333333E-2</v>
      </c>
      <c r="AI181">
        <v>19.003440000000001</v>
      </c>
      <c r="AJ181">
        <v>999.9</v>
      </c>
      <c r="AK181">
        <v>999.9</v>
      </c>
      <c r="AL181">
        <v>0</v>
      </c>
      <c r="AM181">
        <v>0</v>
      </c>
      <c r="AN181">
        <v>4995.1000000000004</v>
      </c>
      <c r="AO181">
        <v>0</v>
      </c>
      <c r="AP181">
        <v>2.2019299999999999</v>
      </c>
      <c r="AQ181">
        <v>-0.73992506666666702</v>
      </c>
      <c r="AR181">
        <v>507.06560000000002</v>
      </c>
      <c r="AS181">
        <v>507.25760000000002</v>
      </c>
      <c r="AT181">
        <v>1.0859206666666701</v>
      </c>
      <c r="AU181">
        <v>499.98686666666703</v>
      </c>
      <c r="AV181">
        <v>14.3339533333333</v>
      </c>
      <c r="AW181">
        <v>1.5407759999999999</v>
      </c>
      <c r="AX181">
        <v>1.43226866666667</v>
      </c>
      <c r="AY181">
        <v>13.378906666666699</v>
      </c>
      <c r="AZ181">
        <v>12.263640000000001</v>
      </c>
      <c r="BA181">
        <v>799.99980000000005</v>
      </c>
      <c r="BB181">
        <v>0.90001613333333297</v>
      </c>
      <c r="BC181">
        <v>0</v>
      </c>
      <c r="BD181">
        <v>9.9983666666666707E-2</v>
      </c>
      <c r="BE181">
        <v>0</v>
      </c>
      <c r="BF181">
        <v>25</v>
      </c>
      <c r="BG181">
        <v>13191.086666666701</v>
      </c>
      <c r="BH181">
        <v>1771088545.0999999</v>
      </c>
      <c r="BI181" t="s">
        <v>609</v>
      </c>
      <c r="BJ181">
        <v>1771088541.0999999</v>
      </c>
      <c r="BK181">
        <v>1771088545.0999999</v>
      </c>
      <c r="BL181">
        <v>6</v>
      </c>
      <c r="BM181">
        <v>-5.0000000000000001E-3</v>
      </c>
      <c r="BN181">
        <v>-5.0000000000000001E-3</v>
      </c>
      <c r="BO181">
        <v>-0.88100000000000001</v>
      </c>
      <c r="BP181">
        <v>9.5000000000000001E-2</v>
      </c>
      <c r="BQ181">
        <v>500</v>
      </c>
      <c r="BR181">
        <v>14</v>
      </c>
      <c r="BS181">
        <v>0.15</v>
      </c>
      <c r="BT181">
        <v>0.03</v>
      </c>
      <c r="BU181">
        <v>-0.73565085714285705</v>
      </c>
      <c r="BV181">
        <v>-9.5381298701299494E-2</v>
      </c>
      <c r="BW181">
        <v>2.3205676202757201E-2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1.0813952380952401</v>
      </c>
      <c r="CD181">
        <v>9.9293766233765998E-2</v>
      </c>
      <c r="CE181">
        <v>1.23378583535731E-2</v>
      </c>
      <c r="CF181">
        <v>1</v>
      </c>
      <c r="CG181">
        <v>2</v>
      </c>
      <c r="CH181">
        <v>2</v>
      </c>
      <c r="CI181" t="s">
        <v>310</v>
      </c>
      <c r="CJ181">
        <v>3.5325600000000001</v>
      </c>
      <c r="CK181">
        <v>2.7022300000000001</v>
      </c>
      <c r="CL181">
        <v>0.113301</v>
      </c>
      <c r="CM181">
        <v>0.111817</v>
      </c>
      <c r="CN181">
        <v>8.7082800000000002E-2</v>
      </c>
      <c r="CO181">
        <v>8.1708000000000003E-2</v>
      </c>
      <c r="CP181">
        <v>31105.5</v>
      </c>
      <c r="CQ181">
        <v>27355.200000000001</v>
      </c>
      <c r="CR181">
        <v>32466.7</v>
      </c>
      <c r="CS181">
        <v>30724.6</v>
      </c>
      <c r="CT181">
        <v>40131.4</v>
      </c>
      <c r="CU181">
        <v>39675.199999999997</v>
      </c>
      <c r="CV181">
        <v>47410.9</v>
      </c>
      <c r="CW181">
        <v>46853.2</v>
      </c>
      <c r="CX181">
        <v>2.6272799999999998</v>
      </c>
      <c r="CY181">
        <v>2.1497799999999998</v>
      </c>
      <c r="CZ181">
        <v>0</v>
      </c>
      <c r="DA181">
        <v>0</v>
      </c>
      <c r="DB181">
        <v>999.9</v>
      </c>
      <c r="DC181">
        <v>999.9</v>
      </c>
      <c r="DD181">
        <v>55.792999999999999</v>
      </c>
      <c r="DE181">
        <v>26.062000000000001</v>
      </c>
      <c r="DF181">
        <v>18.912199999999999</v>
      </c>
      <c r="DG181">
        <v>30.221900000000002</v>
      </c>
      <c r="DH181">
        <v>15.336499999999999</v>
      </c>
      <c r="DI181">
        <v>2</v>
      </c>
      <c r="DJ181">
        <v>-0.14380100000000001</v>
      </c>
      <c r="DK181">
        <v>2.3055300000000001</v>
      </c>
      <c r="DL181">
        <v>20.194700000000001</v>
      </c>
      <c r="DM181">
        <v>5.25251</v>
      </c>
      <c r="DN181">
        <v>12.033899999999999</v>
      </c>
      <c r="DO181">
        <v>4.9676</v>
      </c>
      <c r="DP181">
        <v>3.2909999999999999</v>
      </c>
      <c r="DQ181">
        <v>9999</v>
      </c>
      <c r="DR181">
        <v>9999</v>
      </c>
      <c r="DS181">
        <v>9999</v>
      </c>
      <c r="DT181">
        <v>604.79999999999995</v>
      </c>
      <c r="DU181">
        <v>1.8710899999999999</v>
      </c>
      <c r="DV181">
        <v>1.8761699999999999</v>
      </c>
      <c r="DW181">
        <v>1.87636</v>
      </c>
      <c r="DX181">
        <v>1.8828400000000001</v>
      </c>
      <c r="DY181">
        <v>1.87561</v>
      </c>
      <c r="DZ181">
        <v>1.8746499999999999</v>
      </c>
      <c r="EA181">
        <v>1.87077</v>
      </c>
      <c r="EB181">
        <v>1.8746799999999999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-0.88</v>
      </c>
      <c r="EQ181">
        <v>9.5100000000000004E-2</v>
      </c>
      <c r="ER181">
        <v>-0.88049999999999995</v>
      </c>
      <c r="ES181">
        <v>0</v>
      </c>
      <c r="ET181">
        <v>0</v>
      </c>
      <c r="EU181">
        <v>0</v>
      </c>
      <c r="EV181">
        <v>9.5040000000000902E-2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2.6</v>
      </c>
      <c r="FE181">
        <v>2.5</v>
      </c>
      <c r="FF181">
        <v>1.4599599999999999</v>
      </c>
      <c r="FG181">
        <v>2.5781200000000002</v>
      </c>
      <c r="FH181">
        <v>2.19604</v>
      </c>
      <c r="FI181">
        <v>2.5793499999999998</v>
      </c>
      <c r="FJ181">
        <v>2.4462899999999999</v>
      </c>
      <c r="FK181">
        <v>2.2924799999999999</v>
      </c>
      <c r="FL181">
        <v>31.1722</v>
      </c>
      <c r="FM181">
        <v>24.148800000000001</v>
      </c>
      <c r="FN181">
        <v>19</v>
      </c>
      <c r="FO181">
        <v>864.495</v>
      </c>
      <c r="FP181">
        <v>588.05499999999995</v>
      </c>
      <c r="FQ181">
        <v>17.9955</v>
      </c>
      <c r="FR181">
        <v>25.210899999999999</v>
      </c>
      <c r="FS181">
        <v>30.000299999999999</v>
      </c>
      <c r="FT181">
        <v>25.192900000000002</v>
      </c>
      <c r="FU181">
        <v>25.194400000000002</v>
      </c>
      <c r="FV181">
        <v>29.3019</v>
      </c>
      <c r="FW181">
        <v>27.7637</v>
      </c>
      <c r="FX181">
        <v>42.593899999999998</v>
      </c>
      <c r="FY181">
        <v>17.992999999999999</v>
      </c>
      <c r="FZ181">
        <v>500</v>
      </c>
      <c r="GA181">
        <v>14.393800000000001</v>
      </c>
      <c r="GB181">
        <v>99.905000000000001</v>
      </c>
      <c r="GC181">
        <v>99.742900000000006</v>
      </c>
    </row>
    <row r="182" spans="1:185" x14ac:dyDescent="0.2">
      <c r="A182">
        <v>167</v>
      </c>
      <c r="B182">
        <v>1771088712.0999999</v>
      </c>
      <c r="C182">
        <v>3392.0999999046298</v>
      </c>
      <c r="D182" t="s">
        <v>632</v>
      </c>
      <c r="E182" t="s">
        <v>633</v>
      </c>
      <c r="F182">
        <v>15</v>
      </c>
      <c r="G182">
        <v>1771088704.03333</v>
      </c>
      <c r="H182">
        <f t="shared" si="26"/>
        <v>8.4408682744321114E-4</v>
      </c>
      <c r="I182">
        <v>0</v>
      </c>
      <c r="J182">
        <f t="shared" si="38"/>
        <v>6.1187823180227164E-3</v>
      </c>
      <c r="K182">
        <f t="shared" si="27"/>
        <v>0.16585531657268407</v>
      </c>
      <c r="L182">
        <f t="shared" si="28"/>
        <v>69.931856231443106</v>
      </c>
      <c r="M182">
        <f t="shared" si="29"/>
        <v>1.5422333501462828</v>
      </c>
      <c r="N182">
        <f t="shared" si="30"/>
        <v>2.2053373573299435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26259.635678851013</v>
      </c>
      <c r="T182">
        <f t="shared" si="34"/>
        <v>800.00093333333302</v>
      </c>
      <c r="U182">
        <f t="shared" si="35"/>
        <v>674.40036295950495</v>
      </c>
      <c r="V182">
        <f t="shared" si="36"/>
        <v>0.84299947019999966</v>
      </c>
      <c r="W182">
        <f t="shared" si="37"/>
        <v>0.15869881841199993</v>
      </c>
      <c r="X182">
        <v>1</v>
      </c>
      <c r="Y182">
        <v>1771088704.03333</v>
      </c>
      <c r="Z182">
        <v>499.244666666667</v>
      </c>
      <c r="AA182">
        <v>499.97873333333303</v>
      </c>
      <c r="AB182">
        <v>15.4246533333333</v>
      </c>
      <c r="AC182">
        <v>14.3858333333333</v>
      </c>
      <c r="AD182">
        <v>500.12520000000001</v>
      </c>
      <c r="AE182">
        <v>15.329606666666701</v>
      </c>
      <c r="AF182">
        <v>800.01066666666702</v>
      </c>
      <c r="AG182">
        <v>99.9206066666667</v>
      </c>
      <c r="AH182">
        <v>6.4353566666666695E-2</v>
      </c>
      <c r="AI182">
        <v>19.001139999999999</v>
      </c>
      <c r="AJ182">
        <v>999.9</v>
      </c>
      <c r="AK182">
        <v>999.9</v>
      </c>
      <c r="AL182">
        <v>0</v>
      </c>
      <c r="AM182">
        <v>0</v>
      </c>
      <c r="AN182">
        <v>5009.6333333333296</v>
      </c>
      <c r="AO182">
        <v>0</v>
      </c>
      <c r="AP182">
        <v>2.2019299999999999</v>
      </c>
      <c r="AQ182">
        <v>-0.73410033333333302</v>
      </c>
      <c r="AR182">
        <v>507.06593333333302</v>
      </c>
      <c r="AS182">
        <v>507.27640000000002</v>
      </c>
      <c r="AT182">
        <v>1.0388059999999999</v>
      </c>
      <c r="AU182">
        <v>499.97873333333303</v>
      </c>
      <c r="AV182">
        <v>14.3858333333333</v>
      </c>
      <c r="AW182">
        <v>1.54124066666667</v>
      </c>
      <c r="AX182">
        <v>1.43744266666667</v>
      </c>
      <c r="AY182">
        <v>13.3835333333333</v>
      </c>
      <c r="AZ182">
        <v>12.318479999999999</v>
      </c>
      <c r="BA182">
        <v>800.00093333333302</v>
      </c>
      <c r="BB182">
        <v>0.90001553333333295</v>
      </c>
      <c r="BC182">
        <v>0</v>
      </c>
      <c r="BD182">
        <v>9.9984393333333296E-2</v>
      </c>
      <c r="BE182">
        <v>0</v>
      </c>
      <c r="BF182">
        <v>25</v>
      </c>
      <c r="BG182">
        <v>13191.0933333333</v>
      </c>
      <c r="BH182">
        <v>1771088545.0999999</v>
      </c>
      <c r="BI182" t="s">
        <v>609</v>
      </c>
      <c r="BJ182">
        <v>1771088541.0999999</v>
      </c>
      <c r="BK182">
        <v>1771088545.0999999</v>
      </c>
      <c r="BL182">
        <v>6</v>
      </c>
      <c r="BM182">
        <v>-5.0000000000000001E-3</v>
      </c>
      <c r="BN182">
        <v>-5.0000000000000001E-3</v>
      </c>
      <c r="BO182">
        <v>-0.88100000000000001</v>
      </c>
      <c r="BP182">
        <v>9.5000000000000001E-2</v>
      </c>
      <c r="BQ182">
        <v>500</v>
      </c>
      <c r="BR182">
        <v>14</v>
      </c>
      <c r="BS182">
        <v>0.15</v>
      </c>
      <c r="BT182">
        <v>0.03</v>
      </c>
      <c r="BU182">
        <v>-0.73656005000000002</v>
      </c>
      <c r="BV182">
        <v>-2.43663609022556E-2</v>
      </c>
      <c r="BW182">
        <v>2.1696680406170399E-2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1.051623</v>
      </c>
      <c r="CD182">
        <v>-0.20893894736842</v>
      </c>
      <c r="CE182">
        <v>2.5420175274769401E-2</v>
      </c>
      <c r="CF182">
        <v>0</v>
      </c>
      <c r="CG182">
        <v>1</v>
      </c>
      <c r="CH182">
        <v>2</v>
      </c>
      <c r="CI182" t="s">
        <v>299</v>
      </c>
      <c r="CJ182">
        <v>3.5325099999999998</v>
      </c>
      <c r="CK182">
        <v>2.7022300000000001</v>
      </c>
      <c r="CL182">
        <v>0.113301</v>
      </c>
      <c r="CM182">
        <v>0.111819</v>
      </c>
      <c r="CN182">
        <v>8.7191400000000002E-2</v>
      </c>
      <c r="CO182">
        <v>8.1916900000000001E-2</v>
      </c>
      <c r="CP182">
        <v>31104.7</v>
      </c>
      <c r="CQ182">
        <v>27355.1</v>
      </c>
      <c r="CR182">
        <v>32465.9</v>
      </c>
      <c r="CS182">
        <v>30724.6</v>
      </c>
      <c r="CT182">
        <v>40125.800000000003</v>
      </c>
      <c r="CU182">
        <v>39665.800000000003</v>
      </c>
      <c r="CV182">
        <v>47410.1</v>
      </c>
      <c r="CW182">
        <v>46853.1</v>
      </c>
      <c r="CX182">
        <v>2.6269200000000001</v>
      </c>
      <c r="CY182">
        <v>2.1494399999999998</v>
      </c>
      <c r="CZ182">
        <v>0</v>
      </c>
      <c r="DA182">
        <v>0</v>
      </c>
      <c r="DB182">
        <v>999.9</v>
      </c>
      <c r="DC182">
        <v>999.9</v>
      </c>
      <c r="DD182">
        <v>55.744</v>
      </c>
      <c r="DE182">
        <v>26.093</v>
      </c>
      <c r="DF182">
        <v>18.929400000000001</v>
      </c>
      <c r="DG182">
        <v>29.771899999999999</v>
      </c>
      <c r="DH182">
        <v>15.416700000000001</v>
      </c>
      <c r="DI182">
        <v>2</v>
      </c>
      <c r="DJ182">
        <v>-0.14371700000000001</v>
      </c>
      <c r="DK182">
        <v>2.2959499999999999</v>
      </c>
      <c r="DL182">
        <v>20.193000000000001</v>
      </c>
      <c r="DM182">
        <v>5.2523900000000001</v>
      </c>
      <c r="DN182">
        <v>12.033899999999999</v>
      </c>
      <c r="DO182">
        <v>4.9676400000000003</v>
      </c>
      <c r="DP182">
        <v>3.2909999999999999</v>
      </c>
      <c r="DQ182">
        <v>9999</v>
      </c>
      <c r="DR182">
        <v>9999</v>
      </c>
      <c r="DS182">
        <v>9999</v>
      </c>
      <c r="DT182">
        <v>604.79999999999995</v>
      </c>
      <c r="DU182">
        <v>1.8710899999999999</v>
      </c>
      <c r="DV182">
        <v>1.8761699999999999</v>
      </c>
      <c r="DW182">
        <v>1.87636</v>
      </c>
      <c r="DX182">
        <v>1.8828400000000001</v>
      </c>
      <c r="DY182">
        <v>1.87561</v>
      </c>
      <c r="DZ182">
        <v>1.8746799999999999</v>
      </c>
      <c r="EA182">
        <v>1.8707800000000001</v>
      </c>
      <c r="EB182">
        <v>1.8746799999999999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-0.88100000000000001</v>
      </c>
      <c r="EQ182">
        <v>9.5000000000000001E-2</v>
      </c>
      <c r="ER182">
        <v>-0.88049999999999995</v>
      </c>
      <c r="ES182">
        <v>0</v>
      </c>
      <c r="ET182">
        <v>0</v>
      </c>
      <c r="EU182">
        <v>0</v>
      </c>
      <c r="EV182">
        <v>9.5040000000000902E-2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2.9</v>
      </c>
      <c r="FE182">
        <v>2.8</v>
      </c>
      <c r="FF182">
        <v>1.4611799999999999</v>
      </c>
      <c r="FG182">
        <v>2.5891099999999998</v>
      </c>
      <c r="FH182">
        <v>2.19604</v>
      </c>
      <c r="FI182">
        <v>2.5793499999999998</v>
      </c>
      <c r="FJ182">
        <v>2.4462899999999999</v>
      </c>
      <c r="FK182">
        <v>2.3083499999999999</v>
      </c>
      <c r="FL182">
        <v>31.193899999999999</v>
      </c>
      <c r="FM182">
        <v>24.14</v>
      </c>
      <c r="FN182">
        <v>19</v>
      </c>
      <c r="FO182">
        <v>864.22900000000004</v>
      </c>
      <c r="FP182">
        <v>587.84100000000001</v>
      </c>
      <c r="FQ182">
        <v>17.990300000000001</v>
      </c>
      <c r="FR182">
        <v>25.2151</v>
      </c>
      <c r="FS182">
        <v>30.0001</v>
      </c>
      <c r="FT182">
        <v>25.197099999999999</v>
      </c>
      <c r="FU182">
        <v>25.198799999999999</v>
      </c>
      <c r="FV182">
        <v>29.303899999999999</v>
      </c>
      <c r="FW182">
        <v>27.7637</v>
      </c>
      <c r="FX182">
        <v>42.593899999999998</v>
      </c>
      <c r="FY182">
        <v>17.989699999999999</v>
      </c>
      <c r="FZ182">
        <v>500</v>
      </c>
      <c r="GA182">
        <v>14.393800000000001</v>
      </c>
      <c r="GB182">
        <v>99.903000000000006</v>
      </c>
      <c r="GC182">
        <v>99.742800000000003</v>
      </c>
    </row>
    <row r="183" spans="1:185" x14ac:dyDescent="0.2">
      <c r="A183">
        <v>168</v>
      </c>
      <c r="B183">
        <v>1771088727.0999999</v>
      </c>
      <c r="C183">
        <v>3407.0999999046298</v>
      </c>
      <c r="D183" t="s">
        <v>634</v>
      </c>
      <c r="E183" t="s">
        <v>635</v>
      </c>
      <c r="F183">
        <v>15</v>
      </c>
      <c r="G183">
        <v>1771088719.03333</v>
      </c>
      <c r="H183">
        <f t="shared" si="26"/>
        <v>8.615910206037948E-4</v>
      </c>
      <c r="I183">
        <v>0</v>
      </c>
      <c r="J183">
        <f t="shared" si="38"/>
        <v>5.734794642941775E-3</v>
      </c>
      <c r="K183">
        <f t="shared" si="27"/>
        <v>0.15544697156211362</v>
      </c>
      <c r="L183">
        <f t="shared" si="28"/>
        <v>70.03007809313857</v>
      </c>
      <c r="M183">
        <f t="shared" si="29"/>
        <v>1.544337795255222</v>
      </c>
      <c r="N183">
        <f t="shared" si="30"/>
        <v>2.2052492833169262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26171.304301237869</v>
      </c>
      <c r="T183">
        <f t="shared" si="34"/>
        <v>799.99993333333305</v>
      </c>
      <c r="U183">
        <f t="shared" si="35"/>
        <v>674.39937340004747</v>
      </c>
      <c r="V183">
        <f t="shared" si="36"/>
        <v>0.84299928700000015</v>
      </c>
      <c r="W183">
        <f t="shared" si="37"/>
        <v>0.15869880214000004</v>
      </c>
      <c r="X183">
        <v>1</v>
      </c>
      <c r="Y183">
        <v>1771088719.03333</v>
      </c>
      <c r="Z183">
        <v>499.26319999999998</v>
      </c>
      <c r="AA183">
        <v>499.99520000000001</v>
      </c>
      <c r="AB183">
        <v>15.4457533333333</v>
      </c>
      <c r="AC183">
        <v>14.3854133333333</v>
      </c>
      <c r="AD183">
        <v>500.143466666667</v>
      </c>
      <c r="AE183">
        <v>15.350713333333299</v>
      </c>
      <c r="AF183">
        <v>800.01046666666696</v>
      </c>
      <c r="AG183">
        <v>99.9200533333333</v>
      </c>
      <c r="AH183">
        <v>6.4567806666666699E-2</v>
      </c>
      <c r="AI183">
        <v>19.000499999999999</v>
      </c>
      <c r="AJ183">
        <v>999.9</v>
      </c>
      <c r="AK183">
        <v>999.9</v>
      </c>
      <c r="AL183">
        <v>0</v>
      </c>
      <c r="AM183">
        <v>0</v>
      </c>
      <c r="AN183">
        <v>4995.0666666666702</v>
      </c>
      <c r="AO183">
        <v>0</v>
      </c>
      <c r="AP183">
        <v>2.2019299999999999</v>
      </c>
      <c r="AQ183">
        <v>-0.73192346666666697</v>
      </c>
      <c r="AR183">
        <v>507.09553333333298</v>
      </c>
      <c r="AS183">
        <v>507.29253333333298</v>
      </c>
      <c r="AT183">
        <v>1.0603326666666699</v>
      </c>
      <c r="AU183">
        <v>499.99520000000001</v>
      </c>
      <c r="AV183">
        <v>14.3854133333333</v>
      </c>
      <c r="AW183">
        <v>1.54334066666667</v>
      </c>
      <c r="AX183">
        <v>1.43739066666667</v>
      </c>
      <c r="AY183">
        <v>13.4044266666667</v>
      </c>
      <c r="AZ183">
        <v>12.317933333333301</v>
      </c>
      <c r="BA183">
        <v>799.99993333333305</v>
      </c>
      <c r="BB183">
        <v>0.90001506666666697</v>
      </c>
      <c r="BC183">
        <v>0</v>
      </c>
      <c r="BD183">
        <v>9.9984633333333295E-2</v>
      </c>
      <c r="BE183">
        <v>0</v>
      </c>
      <c r="BF183">
        <v>25</v>
      </c>
      <c r="BG183">
        <v>13191.073333333299</v>
      </c>
      <c r="BH183">
        <v>1771088545.0999999</v>
      </c>
      <c r="BI183" t="s">
        <v>609</v>
      </c>
      <c r="BJ183">
        <v>1771088541.0999999</v>
      </c>
      <c r="BK183">
        <v>1771088545.0999999</v>
      </c>
      <c r="BL183">
        <v>6</v>
      </c>
      <c r="BM183">
        <v>-5.0000000000000001E-3</v>
      </c>
      <c r="BN183">
        <v>-5.0000000000000001E-3</v>
      </c>
      <c r="BO183">
        <v>-0.88100000000000001</v>
      </c>
      <c r="BP183">
        <v>9.5000000000000001E-2</v>
      </c>
      <c r="BQ183">
        <v>500</v>
      </c>
      <c r="BR183">
        <v>14</v>
      </c>
      <c r="BS183">
        <v>0.15</v>
      </c>
      <c r="BT183">
        <v>0.03</v>
      </c>
      <c r="BU183">
        <v>-0.73545623809523797</v>
      </c>
      <c r="BV183">
        <v>9.1845428571427898E-2</v>
      </c>
      <c r="BW183">
        <v>2.8740380785668401E-2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1.05382333333333</v>
      </c>
      <c r="CD183">
        <v>0.17432961038961201</v>
      </c>
      <c r="CE183">
        <v>1.9938759653196501E-2</v>
      </c>
      <c r="CF183">
        <v>0</v>
      </c>
      <c r="CG183">
        <v>1</v>
      </c>
      <c r="CH183">
        <v>2</v>
      </c>
      <c r="CI183" t="s">
        <v>299</v>
      </c>
      <c r="CJ183">
        <v>3.5324900000000001</v>
      </c>
      <c r="CK183">
        <v>2.7023600000000001</v>
      </c>
      <c r="CL183">
        <v>0.113302</v>
      </c>
      <c r="CM183">
        <v>0.11182599999999999</v>
      </c>
      <c r="CN183">
        <v>8.7213499999999999E-2</v>
      </c>
      <c r="CO183">
        <v>8.1700800000000004E-2</v>
      </c>
      <c r="CP183">
        <v>31104.3</v>
      </c>
      <c r="CQ183">
        <v>27355.1</v>
      </c>
      <c r="CR183">
        <v>32465.5</v>
      </c>
      <c r="CS183">
        <v>30724.799999999999</v>
      </c>
      <c r="CT183">
        <v>40124.199999999997</v>
      </c>
      <c r="CU183">
        <v>39675.9</v>
      </c>
      <c r="CV183">
        <v>47409.4</v>
      </c>
      <c r="CW183">
        <v>46853.7</v>
      </c>
      <c r="CX183">
        <v>2.6269999999999998</v>
      </c>
      <c r="CY183">
        <v>2.1494399999999998</v>
      </c>
      <c r="CZ183">
        <v>0</v>
      </c>
      <c r="DA183">
        <v>0</v>
      </c>
      <c r="DB183">
        <v>999.9</v>
      </c>
      <c r="DC183">
        <v>999.9</v>
      </c>
      <c r="DD183">
        <v>55.628</v>
      </c>
      <c r="DE183">
        <v>26.093</v>
      </c>
      <c r="DF183">
        <v>18.889199999999999</v>
      </c>
      <c r="DG183">
        <v>30.161899999999999</v>
      </c>
      <c r="DH183">
        <v>15.4046</v>
      </c>
      <c r="DI183">
        <v>2</v>
      </c>
      <c r="DJ183">
        <v>-0.14321999999999999</v>
      </c>
      <c r="DK183">
        <v>2.29664</v>
      </c>
      <c r="DL183">
        <v>20.194700000000001</v>
      </c>
      <c r="DM183">
        <v>5.2526299999999999</v>
      </c>
      <c r="DN183">
        <v>12.033899999999999</v>
      </c>
      <c r="DO183">
        <v>4.9676</v>
      </c>
      <c r="DP183">
        <v>3.2909999999999999</v>
      </c>
      <c r="DQ183">
        <v>9999</v>
      </c>
      <c r="DR183">
        <v>9999</v>
      </c>
      <c r="DS183">
        <v>9999</v>
      </c>
      <c r="DT183">
        <v>604.79999999999995</v>
      </c>
      <c r="DU183">
        <v>1.8710800000000001</v>
      </c>
      <c r="DV183">
        <v>1.87618</v>
      </c>
      <c r="DW183">
        <v>1.87636</v>
      </c>
      <c r="DX183">
        <v>1.88283</v>
      </c>
      <c r="DY183">
        <v>1.87561</v>
      </c>
      <c r="DZ183">
        <v>1.87469</v>
      </c>
      <c r="EA183">
        <v>1.8708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-0.88</v>
      </c>
      <c r="EQ183">
        <v>9.5100000000000004E-2</v>
      </c>
      <c r="ER183">
        <v>-0.88049999999999995</v>
      </c>
      <c r="ES183">
        <v>0</v>
      </c>
      <c r="ET183">
        <v>0</v>
      </c>
      <c r="EU183">
        <v>0</v>
      </c>
      <c r="EV183">
        <v>9.5040000000000902E-2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3.1</v>
      </c>
      <c r="FE183">
        <v>3</v>
      </c>
      <c r="FF183">
        <v>1.4611799999999999</v>
      </c>
      <c r="FG183">
        <v>2.5817899999999998</v>
      </c>
      <c r="FH183">
        <v>2.19604</v>
      </c>
      <c r="FI183">
        <v>2.5793499999999998</v>
      </c>
      <c r="FJ183">
        <v>2.4462899999999999</v>
      </c>
      <c r="FK183">
        <v>2.31812</v>
      </c>
      <c r="FL183">
        <v>31.215599999999998</v>
      </c>
      <c r="FM183">
        <v>24.148800000000001</v>
      </c>
      <c r="FN183">
        <v>19</v>
      </c>
      <c r="FO183">
        <v>864.37099999999998</v>
      </c>
      <c r="FP183">
        <v>587.88699999999994</v>
      </c>
      <c r="FQ183">
        <v>17.988099999999999</v>
      </c>
      <c r="FR183">
        <v>25.2193</v>
      </c>
      <c r="FS183">
        <v>30.000299999999999</v>
      </c>
      <c r="FT183">
        <v>25.2014</v>
      </c>
      <c r="FU183">
        <v>25.2029</v>
      </c>
      <c r="FV183">
        <v>29.304600000000001</v>
      </c>
      <c r="FW183">
        <v>27.7637</v>
      </c>
      <c r="FX183">
        <v>42.221200000000003</v>
      </c>
      <c r="FY183">
        <v>17.988199999999999</v>
      </c>
      <c r="FZ183">
        <v>500</v>
      </c>
      <c r="GA183">
        <v>14.393800000000001</v>
      </c>
      <c r="GB183">
        <v>99.901600000000002</v>
      </c>
      <c r="GC183">
        <v>99.743799999999993</v>
      </c>
    </row>
    <row r="184" spans="1:185" x14ac:dyDescent="0.2">
      <c r="A184">
        <v>169</v>
      </c>
      <c r="B184">
        <v>1771088742.0999999</v>
      </c>
      <c r="C184">
        <v>3422.0999999046298</v>
      </c>
      <c r="D184" t="s">
        <v>636</v>
      </c>
      <c r="E184" t="s">
        <v>637</v>
      </c>
      <c r="F184">
        <v>15</v>
      </c>
      <c r="G184">
        <v>1771088734.03333</v>
      </c>
      <c r="H184">
        <f t="shared" si="26"/>
        <v>8.843076580717711E-4</v>
      </c>
      <c r="I184">
        <v>0</v>
      </c>
      <c r="J184">
        <f t="shared" si="38"/>
        <v>5.0329203551652572E-3</v>
      </c>
      <c r="K184">
        <f t="shared" si="27"/>
        <v>0.13642201264986076</v>
      </c>
      <c r="L184">
        <f t="shared" si="28"/>
        <v>69.979068074366836</v>
      </c>
      <c r="M184">
        <f t="shared" si="29"/>
        <v>1.543164747610309</v>
      </c>
      <c r="N184">
        <f t="shared" si="30"/>
        <v>2.2051804776399511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26238.623094760183</v>
      </c>
      <c r="T184">
        <f t="shared" si="34"/>
        <v>800.00126666666699</v>
      </c>
      <c r="U184">
        <f t="shared" si="35"/>
        <v>674.40077867954255</v>
      </c>
      <c r="V184">
        <f t="shared" si="36"/>
        <v>0.84299963860000005</v>
      </c>
      <c r="W184">
        <f t="shared" si="37"/>
        <v>0.158699005556</v>
      </c>
      <c r="X184">
        <v>1</v>
      </c>
      <c r="Y184">
        <v>1771088734.03333</v>
      </c>
      <c r="Z184">
        <v>499.26886666666701</v>
      </c>
      <c r="AA184">
        <v>499.991266666667</v>
      </c>
      <c r="AB184">
        <v>15.433906666666701</v>
      </c>
      <c r="AC184">
        <v>14.345599999999999</v>
      </c>
      <c r="AD184">
        <v>500.14946666666702</v>
      </c>
      <c r="AE184">
        <v>15.3388666666667</v>
      </c>
      <c r="AF184">
        <v>800.01286666666704</v>
      </c>
      <c r="AG184">
        <v>99.920926666666702</v>
      </c>
      <c r="AH184">
        <v>6.4435493333333302E-2</v>
      </c>
      <c r="AI184">
        <v>19</v>
      </c>
      <c r="AJ184">
        <v>999.9</v>
      </c>
      <c r="AK184">
        <v>999.9</v>
      </c>
      <c r="AL184">
        <v>0</v>
      </c>
      <c r="AM184">
        <v>0</v>
      </c>
      <c r="AN184">
        <v>5006.1333333333296</v>
      </c>
      <c r="AO184">
        <v>0</v>
      </c>
      <c r="AP184">
        <v>2.2019299999999999</v>
      </c>
      <c r="AQ184">
        <v>-0.72231453333333295</v>
      </c>
      <c r="AR184">
        <v>507.09533333333297</v>
      </c>
      <c r="AS184">
        <v>507.268466666667</v>
      </c>
      <c r="AT184">
        <v>1.0883086666666699</v>
      </c>
      <c r="AU184">
        <v>499.991266666667</v>
      </c>
      <c r="AV184">
        <v>14.345599999999999</v>
      </c>
      <c r="AW184">
        <v>1.5421706666666699</v>
      </c>
      <c r="AX184">
        <v>1.43342533333333</v>
      </c>
      <c r="AY184">
        <v>13.392799999999999</v>
      </c>
      <c r="AZ184">
        <v>12.275933333333301</v>
      </c>
      <c r="BA184">
        <v>800.00126666666699</v>
      </c>
      <c r="BB184">
        <v>0.90001339999999996</v>
      </c>
      <c r="BC184">
        <v>0</v>
      </c>
      <c r="BD184">
        <v>9.9986646666666706E-2</v>
      </c>
      <c r="BE184">
        <v>0</v>
      </c>
      <c r="BF184">
        <v>25</v>
      </c>
      <c r="BG184">
        <v>13191.086666666701</v>
      </c>
      <c r="BH184">
        <v>1771088545.0999999</v>
      </c>
      <c r="BI184" t="s">
        <v>609</v>
      </c>
      <c r="BJ184">
        <v>1771088541.0999999</v>
      </c>
      <c r="BK184">
        <v>1771088545.0999999</v>
      </c>
      <c r="BL184">
        <v>6</v>
      </c>
      <c r="BM184">
        <v>-5.0000000000000001E-3</v>
      </c>
      <c r="BN184">
        <v>-5.0000000000000001E-3</v>
      </c>
      <c r="BO184">
        <v>-0.88100000000000001</v>
      </c>
      <c r="BP184">
        <v>9.5000000000000001E-2</v>
      </c>
      <c r="BQ184">
        <v>500</v>
      </c>
      <c r="BR184">
        <v>14</v>
      </c>
      <c r="BS184">
        <v>0.15</v>
      </c>
      <c r="BT184">
        <v>0.03</v>
      </c>
      <c r="BU184">
        <v>-0.72391514999999995</v>
      </c>
      <c r="BV184">
        <v>2.1034601503758101E-2</v>
      </c>
      <c r="BW184">
        <v>2.1138273210636199E-2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1.0878865</v>
      </c>
      <c r="CD184">
        <v>-1.4163157894737301E-2</v>
      </c>
      <c r="CE184">
        <v>7.3319733189639996E-3</v>
      </c>
      <c r="CF184">
        <v>1</v>
      </c>
      <c r="CG184">
        <v>2</v>
      </c>
      <c r="CH184">
        <v>2</v>
      </c>
      <c r="CI184" t="s">
        <v>310</v>
      </c>
      <c r="CJ184">
        <v>3.5325500000000001</v>
      </c>
      <c r="CK184">
        <v>2.7022699999999999</v>
      </c>
      <c r="CL184">
        <v>0.113306</v>
      </c>
      <c r="CM184">
        <v>0.11182400000000001</v>
      </c>
      <c r="CN184">
        <v>8.7157999999999999E-2</v>
      </c>
      <c r="CO184">
        <v>8.1706600000000004E-2</v>
      </c>
      <c r="CP184">
        <v>31104.5</v>
      </c>
      <c r="CQ184">
        <v>27354.799999999999</v>
      </c>
      <c r="CR184">
        <v>32465.9</v>
      </c>
      <c r="CS184">
        <v>30724.5</v>
      </c>
      <c r="CT184">
        <v>40127.199999999997</v>
      </c>
      <c r="CU184">
        <v>39675.5</v>
      </c>
      <c r="CV184">
        <v>47410</v>
      </c>
      <c r="CW184">
        <v>46853.5</v>
      </c>
      <c r="CX184">
        <v>2.6269200000000001</v>
      </c>
      <c r="CY184">
        <v>2.1493199999999999</v>
      </c>
      <c r="CZ184">
        <v>0</v>
      </c>
      <c r="DA184">
        <v>0</v>
      </c>
      <c r="DB184">
        <v>999.9</v>
      </c>
      <c r="DC184">
        <v>999.9</v>
      </c>
      <c r="DD184">
        <v>55.506</v>
      </c>
      <c r="DE184">
        <v>26.123000000000001</v>
      </c>
      <c r="DF184">
        <v>18.879300000000001</v>
      </c>
      <c r="DG184">
        <v>30.4619</v>
      </c>
      <c r="DH184">
        <v>15.2845</v>
      </c>
      <c r="DI184">
        <v>2</v>
      </c>
      <c r="DJ184">
        <v>-0.14312800000000001</v>
      </c>
      <c r="DK184">
        <v>2.2855699999999999</v>
      </c>
      <c r="DL184">
        <v>20.195</v>
      </c>
      <c r="DM184">
        <v>5.2526299999999999</v>
      </c>
      <c r="DN184">
        <v>12.033899999999999</v>
      </c>
      <c r="DO184">
        <v>4.9676799999999997</v>
      </c>
      <c r="DP184">
        <v>3.2909999999999999</v>
      </c>
      <c r="DQ184">
        <v>9999</v>
      </c>
      <c r="DR184">
        <v>9999</v>
      </c>
      <c r="DS184">
        <v>9999</v>
      </c>
      <c r="DT184">
        <v>604.79999999999995</v>
      </c>
      <c r="DU184">
        <v>1.8710899999999999</v>
      </c>
      <c r="DV184">
        <v>1.8762000000000001</v>
      </c>
      <c r="DW184">
        <v>1.8763700000000001</v>
      </c>
      <c r="DX184">
        <v>1.88287</v>
      </c>
      <c r="DY184">
        <v>1.87561</v>
      </c>
      <c r="DZ184">
        <v>1.8746799999999999</v>
      </c>
      <c r="EA184">
        <v>1.87083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-0.88</v>
      </c>
      <c r="EQ184">
        <v>9.5000000000000001E-2</v>
      </c>
      <c r="ER184">
        <v>-0.88049999999999995</v>
      </c>
      <c r="ES184">
        <v>0</v>
      </c>
      <c r="ET184">
        <v>0</v>
      </c>
      <c r="EU184">
        <v>0</v>
      </c>
      <c r="EV184">
        <v>9.5040000000000902E-2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3.4</v>
      </c>
      <c r="FE184">
        <v>3.3</v>
      </c>
      <c r="FF184">
        <v>1.4611799999999999</v>
      </c>
      <c r="FG184">
        <v>2.5903299999999998</v>
      </c>
      <c r="FH184">
        <v>2.19604</v>
      </c>
      <c r="FI184">
        <v>2.5793499999999998</v>
      </c>
      <c r="FJ184">
        <v>2.4462899999999999</v>
      </c>
      <c r="FK184">
        <v>2.2631800000000002</v>
      </c>
      <c r="FL184">
        <v>31.215599999999998</v>
      </c>
      <c r="FM184">
        <v>24.14</v>
      </c>
      <c r="FN184">
        <v>19</v>
      </c>
      <c r="FO184">
        <v>864.34500000000003</v>
      </c>
      <c r="FP184">
        <v>587.83699999999999</v>
      </c>
      <c r="FQ184">
        <v>17.987500000000001</v>
      </c>
      <c r="FR184">
        <v>25.2227</v>
      </c>
      <c r="FS184">
        <v>30.0001</v>
      </c>
      <c r="FT184">
        <v>25.2043</v>
      </c>
      <c r="FU184">
        <v>25.206700000000001</v>
      </c>
      <c r="FV184">
        <v>29.304099999999998</v>
      </c>
      <c r="FW184">
        <v>27.7637</v>
      </c>
      <c r="FX184">
        <v>42.221200000000003</v>
      </c>
      <c r="FY184">
        <v>17.999300000000002</v>
      </c>
      <c r="FZ184">
        <v>500</v>
      </c>
      <c r="GA184">
        <v>14.393800000000001</v>
      </c>
      <c r="GB184">
        <v>99.902799999999999</v>
      </c>
      <c r="GC184">
        <v>99.742999999999995</v>
      </c>
    </row>
    <row r="185" spans="1:185" x14ac:dyDescent="0.2">
      <c r="A185">
        <v>170</v>
      </c>
      <c r="B185">
        <v>1771088757.0999999</v>
      </c>
      <c r="C185">
        <v>3437.0999999046298</v>
      </c>
      <c r="D185" t="s">
        <v>638</v>
      </c>
      <c r="E185" t="s">
        <v>639</v>
      </c>
      <c r="F185">
        <v>15</v>
      </c>
      <c r="G185">
        <v>1771088749.03333</v>
      </c>
      <c r="H185">
        <f t="shared" si="26"/>
        <v>8.7920599343488317E-4</v>
      </c>
      <c r="I185">
        <v>0</v>
      </c>
      <c r="J185">
        <f t="shared" si="38"/>
        <v>5.0911059094215713E-3</v>
      </c>
      <c r="K185">
        <f t="shared" si="27"/>
        <v>0.13799918650890017</v>
      </c>
      <c r="L185">
        <f t="shared" si="28"/>
        <v>69.955268270816873</v>
      </c>
      <c r="M185">
        <f t="shared" si="29"/>
        <v>1.542815130148331</v>
      </c>
      <c r="N185">
        <f t="shared" si="30"/>
        <v>2.2054309393477727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26189.333972407363</v>
      </c>
      <c r="T185">
        <f t="shared" si="34"/>
        <v>799.99879999999996</v>
      </c>
      <c r="U185">
        <f t="shared" si="35"/>
        <v>674.39865752049604</v>
      </c>
      <c r="V185">
        <f t="shared" si="36"/>
        <v>0.84299958639999972</v>
      </c>
      <c r="W185">
        <f t="shared" si="37"/>
        <v>0.15869886206399994</v>
      </c>
      <c r="X185">
        <v>1</v>
      </c>
      <c r="Y185">
        <v>1771088749.03333</v>
      </c>
      <c r="Z185">
        <v>499.27926666666701</v>
      </c>
      <c r="AA185">
        <v>500.00046666666702</v>
      </c>
      <c r="AB185">
        <v>15.4304666666667</v>
      </c>
      <c r="AC185">
        <v>14.348433333333301</v>
      </c>
      <c r="AD185">
        <v>500.15966666666702</v>
      </c>
      <c r="AE185">
        <v>15.335426666666701</v>
      </c>
      <c r="AF185">
        <v>800.01179999999999</v>
      </c>
      <c r="AG185">
        <v>99.920713333333296</v>
      </c>
      <c r="AH185">
        <v>6.4281513333333304E-2</v>
      </c>
      <c r="AI185">
        <v>19.001819999999999</v>
      </c>
      <c r="AJ185">
        <v>999.9</v>
      </c>
      <c r="AK185">
        <v>999.9</v>
      </c>
      <c r="AL185">
        <v>0</v>
      </c>
      <c r="AM185">
        <v>0</v>
      </c>
      <c r="AN185">
        <v>4998.0333333333301</v>
      </c>
      <c r="AO185">
        <v>0</v>
      </c>
      <c r="AP185">
        <v>2.2019299999999999</v>
      </c>
      <c r="AQ185">
        <v>-0.72130926666666695</v>
      </c>
      <c r="AR185">
        <v>507.10413333333298</v>
      </c>
      <c r="AS185">
        <v>507.27913333333299</v>
      </c>
      <c r="AT185">
        <v>1.0820286666666701</v>
      </c>
      <c r="AU185">
        <v>500.00046666666702</v>
      </c>
      <c r="AV185">
        <v>14.348433333333301</v>
      </c>
      <c r="AW185">
        <v>1.54182333333333</v>
      </c>
      <c r="AX185">
        <v>1.4337059999999999</v>
      </c>
      <c r="AY185">
        <v>13.3893466666667</v>
      </c>
      <c r="AZ185">
        <v>12.2789</v>
      </c>
      <c r="BA185">
        <v>799.99879999999996</v>
      </c>
      <c r="BB185">
        <v>0.90001533333333295</v>
      </c>
      <c r="BC185">
        <v>0</v>
      </c>
      <c r="BD185">
        <v>9.9984719999999999E-2</v>
      </c>
      <c r="BE185">
        <v>0</v>
      </c>
      <c r="BF185">
        <v>25</v>
      </c>
      <c r="BG185">
        <v>13191.06</v>
      </c>
      <c r="BH185">
        <v>1771088545.0999999</v>
      </c>
      <c r="BI185" t="s">
        <v>609</v>
      </c>
      <c r="BJ185">
        <v>1771088541.0999999</v>
      </c>
      <c r="BK185">
        <v>1771088545.0999999</v>
      </c>
      <c r="BL185">
        <v>6</v>
      </c>
      <c r="BM185">
        <v>-5.0000000000000001E-3</v>
      </c>
      <c r="BN185">
        <v>-5.0000000000000001E-3</v>
      </c>
      <c r="BO185">
        <v>-0.88100000000000001</v>
      </c>
      <c r="BP185">
        <v>9.5000000000000001E-2</v>
      </c>
      <c r="BQ185">
        <v>500</v>
      </c>
      <c r="BR185">
        <v>14</v>
      </c>
      <c r="BS185">
        <v>0.15</v>
      </c>
      <c r="BT185">
        <v>0.03</v>
      </c>
      <c r="BU185">
        <v>-0.72142676190476196</v>
      </c>
      <c r="BV185">
        <v>0.107413012987012</v>
      </c>
      <c r="BW185">
        <v>2.5048066880841699E-2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1.0826480952380999</v>
      </c>
      <c r="CD185">
        <v>-2.5141558441558701E-2</v>
      </c>
      <c r="CE185">
        <v>3.3762413858745002E-3</v>
      </c>
      <c r="CF185">
        <v>1</v>
      </c>
      <c r="CG185">
        <v>2</v>
      </c>
      <c r="CH185">
        <v>2</v>
      </c>
      <c r="CI185" t="s">
        <v>310</v>
      </c>
      <c r="CJ185">
        <v>3.5324599999999999</v>
      </c>
      <c r="CK185">
        <v>2.7022300000000001</v>
      </c>
      <c r="CL185">
        <v>0.113303</v>
      </c>
      <c r="CM185">
        <v>0.111817</v>
      </c>
      <c r="CN185">
        <v>8.7141700000000002E-2</v>
      </c>
      <c r="CO185">
        <v>8.1718399999999997E-2</v>
      </c>
      <c r="CP185">
        <v>31104.400000000001</v>
      </c>
      <c r="CQ185">
        <v>27354.7</v>
      </c>
      <c r="CR185">
        <v>32465.7</v>
      </c>
      <c r="CS185">
        <v>30724.2</v>
      </c>
      <c r="CT185">
        <v>40127.800000000003</v>
      </c>
      <c r="CU185">
        <v>39674.6</v>
      </c>
      <c r="CV185">
        <v>47409.8</v>
      </c>
      <c r="CW185">
        <v>46853</v>
      </c>
      <c r="CX185">
        <v>2.6268400000000001</v>
      </c>
      <c r="CY185">
        <v>2.1492599999999999</v>
      </c>
      <c r="CZ185">
        <v>0</v>
      </c>
      <c r="DA185">
        <v>0</v>
      </c>
      <c r="DB185">
        <v>999.9</v>
      </c>
      <c r="DC185">
        <v>999.9</v>
      </c>
      <c r="DD185">
        <v>55.463000000000001</v>
      </c>
      <c r="DE185">
        <v>26.123000000000001</v>
      </c>
      <c r="DF185">
        <v>18.865500000000001</v>
      </c>
      <c r="DG185">
        <v>30.401900000000001</v>
      </c>
      <c r="DH185">
        <v>15.4808</v>
      </c>
      <c r="DI185">
        <v>2</v>
      </c>
      <c r="DJ185">
        <v>-0.142961</v>
      </c>
      <c r="DK185">
        <v>2.29759</v>
      </c>
      <c r="DL185">
        <v>20.194700000000001</v>
      </c>
      <c r="DM185">
        <v>5.2527499999999998</v>
      </c>
      <c r="DN185">
        <v>12.033899999999999</v>
      </c>
      <c r="DO185">
        <v>4.9676799999999997</v>
      </c>
      <c r="DP185">
        <v>3.2909999999999999</v>
      </c>
      <c r="DQ185">
        <v>9999</v>
      </c>
      <c r="DR185">
        <v>9999</v>
      </c>
      <c r="DS185">
        <v>9999</v>
      </c>
      <c r="DT185">
        <v>604.79999999999995</v>
      </c>
      <c r="DU185">
        <v>1.8711599999999999</v>
      </c>
      <c r="DV185">
        <v>1.87622</v>
      </c>
      <c r="DW185">
        <v>1.8763700000000001</v>
      </c>
      <c r="DX185">
        <v>1.8829199999999999</v>
      </c>
      <c r="DY185">
        <v>1.87561</v>
      </c>
      <c r="DZ185">
        <v>1.87469</v>
      </c>
      <c r="EA185">
        <v>1.87086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-0.88100000000000001</v>
      </c>
      <c r="EQ185">
        <v>9.5000000000000001E-2</v>
      </c>
      <c r="ER185">
        <v>-0.88049999999999995</v>
      </c>
      <c r="ES185">
        <v>0</v>
      </c>
      <c r="ET185">
        <v>0</v>
      </c>
      <c r="EU185">
        <v>0</v>
      </c>
      <c r="EV185">
        <v>9.5040000000000902E-2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3.6</v>
      </c>
      <c r="FE185">
        <v>3.5</v>
      </c>
      <c r="FF185">
        <v>1.4611799999999999</v>
      </c>
      <c r="FG185">
        <v>2.5866699999999998</v>
      </c>
      <c r="FH185">
        <v>2.19604</v>
      </c>
      <c r="FI185">
        <v>2.5793499999999998</v>
      </c>
      <c r="FJ185">
        <v>2.4462899999999999</v>
      </c>
      <c r="FK185">
        <v>2.3107899999999999</v>
      </c>
      <c r="FL185">
        <v>31.215599999999998</v>
      </c>
      <c r="FM185">
        <v>24.148800000000001</v>
      </c>
      <c r="FN185">
        <v>19</v>
      </c>
      <c r="FO185">
        <v>864.32600000000002</v>
      </c>
      <c r="FP185">
        <v>587.82100000000003</v>
      </c>
      <c r="FQ185">
        <v>17.995999999999999</v>
      </c>
      <c r="FR185">
        <v>25.2257</v>
      </c>
      <c r="FS185">
        <v>30.0002</v>
      </c>
      <c r="FT185">
        <v>25.207699999999999</v>
      </c>
      <c r="FU185">
        <v>25.209299999999999</v>
      </c>
      <c r="FV185">
        <v>29.306899999999999</v>
      </c>
      <c r="FW185">
        <v>27.7637</v>
      </c>
      <c r="FX185">
        <v>41.847900000000003</v>
      </c>
      <c r="FY185">
        <v>17.991299999999999</v>
      </c>
      <c r="FZ185">
        <v>500</v>
      </c>
      <c r="GA185">
        <v>14.393800000000001</v>
      </c>
      <c r="GB185">
        <v>99.9024</v>
      </c>
      <c r="GC185">
        <v>99.742099999999994</v>
      </c>
    </row>
    <row r="186" spans="1:185" x14ac:dyDescent="0.2">
      <c r="A186">
        <v>171</v>
      </c>
      <c r="B186">
        <v>1771088772.0999999</v>
      </c>
      <c r="C186">
        <v>3452.0999999046298</v>
      </c>
      <c r="D186" t="s">
        <v>640</v>
      </c>
      <c r="E186" t="s">
        <v>641</v>
      </c>
      <c r="F186">
        <v>15</v>
      </c>
      <c r="G186">
        <v>1771088764.03333</v>
      </c>
      <c r="H186">
        <f t="shared" si="26"/>
        <v>8.8863370896293523E-4</v>
      </c>
      <c r="I186">
        <v>0</v>
      </c>
      <c r="J186">
        <f t="shared" si="38"/>
        <v>4.5730451269294413E-3</v>
      </c>
      <c r="K186">
        <f t="shared" si="27"/>
        <v>0.12395666454647633</v>
      </c>
      <c r="L186">
        <f t="shared" si="28"/>
        <v>69.924003921149719</v>
      </c>
      <c r="M186">
        <f t="shared" si="29"/>
        <v>1.5420813505132254</v>
      </c>
      <c r="N186">
        <f t="shared" si="30"/>
        <v>2.2053676334841521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26219.38870690799</v>
      </c>
      <c r="T186">
        <f t="shared" si="34"/>
        <v>800.00026666666702</v>
      </c>
      <c r="U186">
        <f t="shared" si="35"/>
        <v>674.39979471985691</v>
      </c>
      <c r="V186">
        <f t="shared" si="36"/>
        <v>0.84299946240000001</v>
      </c>
      <c r="W186">
        <f t="shared" si="37"/>
        <v>0.15869881190400001</v>
      </c>
      <c r="X186">
        <v>1</v>
      </c>
      <c r="Y186">
        <v>1771088764.03333</v>
      </c>
      <c r="Z186">
        <v>499.28006666666698</v>
      </c>
      <c r="AA186">
        <v>499.9896</v>
      </c>
      <c r="AB186">
        <v>15.4230466666667</v>
      </c>
      <c r="AC186">
        <v>14.3294</v>
      </c>
      <c r="AD186">
        <v>500.160666666667</v>
      </c>
      <c r="AE186">
        <v>15.327999999999999</v>
      </c>
      <c r="AF186">
        <v>800.01</v>
      </c>
      <c r="AG186">
        <v>99.921193333333306</v>
      </c>
      <c r="AH186">
        <v>6.4327286666666705E-2</v>
      </c>
      <c r="AI186">
        <v>19.001359999999998</v>
      </c>
      <c r="AJ186">
        <v>999.9</v>
      </c>
      <c r="AK186">
        <v>999.9</v>
      </c>
      <c r="AL186">
        <v>0</v>
      </c>
      <c r="AM186">
        <v>0</v>
      </c>
      <c r="AN186">
        <v>5002.9666666666699</v>
      </c>
      <c r="AO186">
        <v>0</v>
      </c>
      <c r="AP186">
        <v>2.2019299999999999</v>
      </c>
      <c r="AQ186">
        <v>-0.70938726666666696</v>
      </c>
      <c r="AR186">
        <v>507.10120000000001</v>
      </c>
      <c r="AS186">
        <v>507.25833333333298</v>
      </c>
      <c r="AT186">
        <v>1.093642</v>
      </c>
      <c r="AU186">
        <v>499.9896</v>
      </c>
      <c r="AV186">
        <v>14.3294</v>
      </c>
      <c r="AW186">
        <v>1.5410900000000001</v>
      </c>
      <c r="AX186">
        <v>1.43181133333333</v>
      </c>
      <c r="AY186">
        <v>13.3820466666667</v>
      </c>
      <c r="AZ186">
        <v>12.25878</v>
      </c>
      <c r="BA186">
        <v>800.00026666666702</v>
      </c>
      <c r="BB186">
        <v>0.90001560000000003</v>
      </c>
      <c r="BC186">
        <v>0</v>
      </c>
      <c r="BD186">
        <v>9.9984320000000002E-2</v>
      </c>
      <c r="BE186">
        <v>0</v>
      </c>
      <c r="BF186">
        <v>25</v>
      </c>
      <c r="BG186">
        <v>13191.0933333333</v>
      </c>
      <c r="BH186">
        <v>1771088545.0999999</v>
      </c>
      <c r="BI186" t="s">
        <v>609</v>
      </c>
      <c r="BJ186">
        <v>1771088541.0999999</v>
      </c>
      <c r="BK186">
        <v>1771088545.0999999</v>
      </c>
      <c r="BL186">
        <v>6</v>
      </c>
      <c r="BM186">
        <v>-5.0000000000000001E-3</v>
      </c>
      <c r="BN186">
        <v>-5.0000000000000001E-3</v>
      </c>
      <c r="BO186">
        <v>-0.88100000000000001</v>
      </c>
      <c r="BP186">
        <v>9.5000000000000001E-2</v>
      </c>
      <c r="BQ186">
        <v>500</v>
      </c>
      <c r="BR186">
        <v>14</v>
      </c>
      <c r="BS186">
        <v>0.15</v>
      </c>
      <c r="BT186">
        <v>0.03</v>
      </c>
      <c r="BU186">
        <v>-0.70298305000000005</v>
      </c>
      <c r="BV186">
        <v>-0.121494270676692</v>
      </c>
      <c r="BW186">
        <v>1.7390525016442102E-2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1.089626</v>
      </c>
      <c r="CD186">
        <v>6.12784962406E-2</v>
      </c>
      <c r="CE186">
        <v>9.3450753876038808E-3</v>
      </c>
      <c r="CF186">
        <v>1</v>
      </c>
      <c r="CG186">
        <v>2</v>
      </c>
      <c r="CH186">
        <v>2</v>
      </c>
      <c r="CI186" t="s">
        <v>310</v>
      </c>
      <c r="CJ186">
        <v>3.5325500000000001</v>
      </c>
      <c r="CK186">
        <v>2.7020200000000001</v>
      </c>
      <c r="CL186">
        <v>0.1133</v>
      </c>
      <c r="CM186">
        <v>0.11182</v>
      </c>
      <c r="CN186">
        <v>8.7069599999999997E-2</v>
      </c>
      <c r="CO186">
        <v>8.1639600000000007E-2</v>
      </c>
      <c r="CP186">
        <v>31104.6</v>
      </c>
      <c r="CQ186">
        <v>27355.200000000001</v>
      </c>
      <c r="CR186">
        <v>32465.8</v>
      </c>
      <c r="CS186">
        <v>30724.799999999999</v>
      </c>
      <c r="CT186">
        <v>40131.300000000003</v>
      </c>
      <c r="CU186">
        <v>39678.9</v>
      </c>
      <c r="CV186">
        <v>47410</v>
      </c>
      <c r="CW186">
        <v>46854</v>
      </c>
      <c r="CX186">
        <v>2.6268600000000002</v>
      </c>
      <c r="CY186">
        <v>2.1490200000000002</v>
      </c>
      <c r="CZ186">
        <v>0</v>
      </c>
      <c r="DA186">
        <v>0</v>
      </c>
      <c r="DB186">
        <v>999.9</v>
      </c>
      <c r="DC186">
        <v>999.9</v>
      </c>
      <c r="DD186">
        <v>55.378</v>
      </c>
      <c r="DE186">
        <v>26.152999999999999</v>
      </c>
      <c r="DF186">
        <v>18.869499999999999</v>
      </c>
      <c r="DG186">
        <v>30.131900000000002</v>
      </c>
      <c r="DH186">
        <v>15.352600000000001</v>
      </c>
      <c r="DI186">
        <v>2</v>
      </c>
      <c r="DJ186">
        <v>-0.14266499999999999</v>
      </c>
      <c r="DK186">
        <v>2.3033100000000002</v>
      </c>
      <c r="DL186">
        <v>20.194900000000001</v>
      </c>
      <c r="DM186">
        <v>5.25251</v>
      </c>
      <c r="DN186">
        <v>12.033899999999999</v>
      </c>
      <c r="DO186">
        <v>4.9676799999999997</v>
      </c>
      <c r="DP186">
        <v>3.2909999999999999</v>
      </c>
      <c r="DQ186">
        <v>9999</v>
      </c>
      <c r="DR186">
        <v>9999</v>
      </c>
      <c r="DS186">
        <v>9999</v>
      </c>
      <c r="DT186">
        <v>604.79999999999995</v>
      </c>
      <c r="DU186">
        <v>1.8711</v>
      </c>
      <c r="DV186">
        <v>1.87619</v>
      </c>
      <c r="DW186">
        <v>1.8763700000000001</v>
      </c>
      <c r="DX186">
        <v>1.8828800000000001</v>
      </c>
      <c r="DY186">
        <v>1.87561</v>
      </c>
      <c r="DZ186">
        <v>1.87469</v>
      </c>
      <c r="EA186">
        <v>1.87083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-0.88100000000000001</v>
      </c>
      <c r="EQ186">
        <v>9.5000000000000001E-2</v>
      </c>
      <c r="ER186">
        <v>-0.88049999999999995</v>
      </c>
      <c r="ES186">
        <v>0</v>
      </c>
      <c r="ET186">
        <v>0</v>
      </c>
      <c r="EU186">
        <v>0</v>
      </c>
      <c r="EV186">
        <v>9.5040000000000902E-2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3.9</v>
      </c>
      <c r="FE186">
        <v>3.8</v>
      </c>
      <c r="FF186">
        <v>1.4611799999999999</v>
      </c>
      <c r="FG186">
        <v>2.5793499999999998</v>
      </c>
      <c r="FH186">
        <v>2.19604</v>
      </c>
      <c r="FI186">
        <v>2.5793499999999998</v>
      </c>
      <c r="FJ186">
        <v>2.4462899999999999</v>
      </c>
      <c r="FK186">
        <v>2.2851599999999999</v>
      </c>
      <c r="FL186">
        <v>31.215599999999998</v>
      </c>
      <c r="FM186">
        <v>24.14</v>
      </c>
      <c r="FN186">
        <v>19</v>
      </c>
      <c r="FO186">
        <v>864.40599999999995</v>
      </c>
      <c r="FP186">
        <v>587.67600000000004</v>
      </c>
      <c r="FQ186">
        <v>17.988099999999999</v>
      </c>
      <c r="FR186">
        <v>25.228999999999999</v>
      </c>
      <c r="FS186">
        <v>30.0001</v>
      </c>
      <c r="FT186">
        <v>25.211500000000001</v>
      </c>
      <c r="FU186">
        <v>25.213000000000001</v>
      </c>
      <c r="FV186">
        <v>29.307600000000001</v>
      </c>
      <c r="FW186">
        <v>27.493600000000001</v>
      </c>
      <c r="FX186">
        <v>41.847900000000003</v>
      </c>
      <c r="FY186">
        <v>17.987200000000001</v>
      </c>
      <c r="FZ186">
        <v>500</v>
      </c>
      <c r="GA186">
        <v>14.393800000000001</v>
      </c>
      <c r="GB186">
        <v>99.902799999999999</v>
      </c>
      <c r="GC186">
        <v>99.744200000000006</v>
      </c>
    </row>
    <row r="187" spans="1:185" x14ac:dyDescent="0.2">
      <c r="A187">
        <v>172</v>
      </c>
      <c r="B187">
        <v>1771088787.0999999</v>
      </c>
      <c r="C187">
        <v>3467.0999999046298</v>
      </c>
      <c r="D187" t="s">
        <v>642</v>
      </c>
      <c r="E187" t="s">
        <v>643</v>
      </c>
      <c r="F187">
        <v>15</v>
      </c>
      <c r="G187">
        <v>1771088779.03333</v>
      </c>
      <c r="H187">
        <f t="shared" si="26"/>
        <v>8.6182925548102213E-4</v>
      </c>
      <c r="I187">
        <v>0</v>
      </c>
      <c r="J187">
        <f t="shared" si="38"/>
        <v>4.6614264065026898E-3</v>
      </c>
      <c r="K187">
        <f t="shared" si="27"/>
        <v>0.12635232177708966</v>
      </c>
      <c r="L187">
        <f t="shared" si="28"/>
        <v>69.899325840235917</v>
      </c>
      <c r="M187">
        <f t="shared" si="29"/>
        <v>1.541447969431903</v>
      </c>
      <c r="N187">
        <f t="shared" si="30"/>
        <v>2.2052401091179115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26176.977763772371</v>
      </c>
      <c r="T187">
        <f t="shared" si="34"/>
        <v>800.0018</v>
      </c>
      <c r="U187">
        <f t="shared" si="35"/>
        <v>674.40131499954475</v>
      </c>
      <c r="V187">
        <f t="shared" si="36"/>
        <v>0.84299974700000024</v>
      </c>
      <c r="W187">
        <f t="shared" si="37"/>
        <v>0.15869904270000007</v>
      </c>
      <c r="X187">
        <v>1</v>
      </c>
      <c r="Y187">
        <v>1771088779.03333</v>
      </c>
      <c r="Z187">
        <v>499.27953333333301</v>
      </c>
      <c r="AA187">
        <v>499.97533333333303</v>
      </c>
      <c r="AB187">
        <v>15.4168933333333</v>
      </c>
      <c r="AC187">
        <v>14.3562266666667</v>
      </c>
      <c r="AD187">
        <v>500.16013333333302</v>
      </c>
      <c r="AE187">
        <v>15.321846666666699</v>
      </c>
      <c r="AF187">
        <v>800.00866666666695</v>
      </c>
      <c r="AG187">
        <v>99.920100000000005</v>
      </c>
      <c r="AH187">
        <v>6.4244193333333297E-2</v>
      </c>
      <c r="AI187">
        <v>19.000433333333302</v>
      </c>
      <c r="AJ187">
        <v>999.9</v>
      </c>
      <c r="AK187">
        <v>999.9</v>
      </c>
      <c r="AL187">
        <v>0</v>
      </c>
      <c r="AM187">
        <v>0</v>
      </c>
      <c r="AN187">
        <v>4996</v>
      </c>
      <c r="AO187">
        <v>0</v>
      </c>
      <c r="AP187">
        <v>2.2019299999999999</v>
      </c>
      <c r="AQ187">
        <v>-0.69597366666666705</v>
      </c>
      <c r="AR187">
        <v>507.097466666667</v>
      </c>
      <c r="AS187">
        <v>507.25779999999997</v>
      </c>
      <c r="AT187">
        <v>1.06065733333333</v>
      </c>
      <c r="AU187">
        <v>499.97533333333303</v>
      </c>
      <c r="AV187">
        <v>14.3562266666667</v>
      </c>
      <c r="AW187">
        <v>1.5404566666666699</v>
      </c>
      <c r="AX187">
        <v>1.4344760000000001</v>
      </c>
      <c r="AY187">
        <v>13.3757533333333</v>
      </c>
      <c r="AZ187">
        <v>12.28706</v>
      </c>
      <c r="BA187">
        <v>800.0018</v>
      </c>
      <c r="BB187">
        <v>0.90001326666666703</v>
      </c>
      <c r="BC187">
        <v>0</v>
      </c>
      <c r="BD187">
        <v>9.9986900000000004E-2</v>
      </c>
      <c r="BE187">
        <v>0</v>
      </c>
      <c r="BF187">
        <v>25</v>
      </c>
      <c r="BG187">
        <v>13191.1133333333</v>
      </c>
      <c r="BH187">
        <v>1771088545.0999999</v>
      </c>
      <c r="BI187" t="s">
        <v>609</v>
      </c>
      <c r="BJ187">
        <v>1771088541.0999999</v>
      </c>
      <c r="BK187">
        <v>1771088545.0999999</v>
      </c>
      <c r="BL187">
        <v>6</v>
      </c>
      <c r="BM187">
        <v>-5.0000000000000001E-3</v>
      </c>
      <c r="BN187">
        <v>-5.0000000000000001E-3</v>
      </c>
      <c r="BO187">
        <v>-0.88100000000000001</v>
      </c>
      <c r="BP187">
        <v>9.5000000000000001E-2</v>
      </c>
      <c r="BQ187">
        <v>500</v>
      </c>
      <c r="BR187">
        <v>14</v>
      </c>
      <c r="BS187">
        <v>0.15</v>
      </c>
      <c r="BT187">
        <v>0.03</v>
      </c>
      <c r="BU187">
        <v>-0.70173866666666695</v>
      </c>
      <c r="BV187">
        <v>9.4390909090909095E-2</v>
      </c>
      <c r="BW187">
        <v>1.7154105018453401E-2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1.06934333333333</v>
      </c>
      <c r="CD187">
        <v>-0.13498129870129799</v>
      </c>
      <c r="CE187">
        <v>1.5612363334514399E-2</v>
      </c>
      <c r="CF187">
        <v>0</v>
      </c>
      <c r="CG187">
        <v>1</v>
      </c>
      <c r="CH187">
        <v>2</v>
      </c>
      <c r="CI187" t="s">
        <v>299</v>
      </c>
      <c r="CJ187">
        <v>3.5325000000000002</v>
      </c>
      <c r="CK187">
        <v>2.7021600000000001</v>
      </c>
      <c r="CL187">
        <v>0.11329400000000001</v>
      </c>
      <c r="CM187">
        <v>0.111816</v>
      </c>
      <c r="CN187">
        <v>8.71257E-2</v>
      </c>
      <c r="CO187">
        <v>8.1777699999999995E-2</v>
      </c>
      <c r="CP187">
        <v>31105.1</v>
      </c>
      <c r="CQ187">
        <v>27355.200000000001</v>
      </c>
      <c r="CR187">
        <v>32466.1</v>
      </c>
      <c r="CS187">
        <v>30724.7</v>
      </c>
      <c r="CT187">
        <v>40129.1</v>
      </c>
      <c r="CU187">
        <v>39672.699999999997</v>
      </c>
      <c r="CV187">
        <v>47410.400000000001</v>
      </c>
      <c r="CW187">
        <v>46854</v>
      </c>
      <c r="CX187">
        <v>2.62676</v>
      </c>
      <c r="CY187">
        <v>2.1489600000000002</v>
      </c>
      <c r="CZ187">
        <v>0</v>
      </c>
      <c r="DA187">
        <v>0</v>
      </c>
      <c r="DB187">
        <v>999.9</v>
      </c>
      <c r="DC187">
        <v>999.9</v>
      </c>
      <c r="DD187">
        <v>55.292000000000002</v>
      </c>
      <c r="DE187">
        <v>26.152999999999999</v>
      </c>
      <c r="DF187">
        <v>18.841699999999999</v>
      </c>
      <c r="DG187">
        <v>30.431899999999999</v>
      </c>
      <c r="DH187">
        <v>15.4087</v>
      </c>
      <c r="DI187">
        <v>2</v>
      </c>
      <c r="DJ187">
        <v>-0.142425</v>
      </c>
      <c r="DK187">
        <v>2.30118</v>
      </c>
      <c r="DL187">
        <v>20.194800000000001</v>
      </c>
      <c r="DM187">
        <v>5.2528699999999997</v>
      </c>
      <c r="DN187">
        <v>12.033899999999999</v>
      </c>
      <c r="DO187">
        <v>4.9676400000000003</v>
      </c>
      <c r="DP187">
        <v>3.2909999999999999</v>
      </c>
      <c r="DQ187">
        <v>9999</v>
      </c>
      <c r="DR187">
        <v>9999</v>
      </c>
      <c r="DS187">
        <v>9999</v>
      </c>
      <c r="DT187">
        <v>604.79999999999995</v>
      </c>
      <c r="DU187">
        <v>1.8711</v>
      </c>
      <c r="DV187">
        <v>1.8762000000000001</v>
      </c>
      <c r="DW187">
        <v>1.8763700000000001</v>
      </c>
      <c r="DX187">
        <v>1.88287</v>
      </c>
      <c r="DY187">
        <v>1.87561</v>
      </c>
      <c r="DZ187">
        <v>1.87469</v>
      </c>
      <c r="EA187">
        <v>1.87083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-0.88</v>
      </c>
      <c r="EQ187">
        <v>9.5000000000000001E-2</v>
      </c>
      <c r="ER187">
        <v>-0.88049999999999995</v>
      </c>
      <c r="ES187">
        <v>0</v>
      </c>
      <c r="ET187">
        <v>0</v>
      </c>
      <c r="EU187">
        <v>0</v>
      </c>
      <c r="EV187">
        <v>9.5040000000000902E-2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4.0999999999999996</v>
      </c>
      <c r="FE187">
        <v>4</v>
      </c>
      <c r="FF187">
        <v>1.4611799999999999</v>
      </c>
      <c r="FG187">
        <v>2.5854499999999998</v>
      </c>
      <c r="FH187">
        <v>2.19604</v>
      </c>
      <c r="FI187">
        <v>2.5793499999999998</v>
      </c>
      <c r="FJ187">
        <v>2.4462899999999999</v>
      </c>
      <c r="FK187">
        <v>2.3156699999999999</v>
      </c>
      <c r="FL187">
        <v>31.237400000000001</v>
      </c>
      <c r="FM187">
        <v>24.14</v>
      </c>
      <c r="FN187">
        <v>19</v>
      </c>
      <c r="FO187">
        <v>864.35500000000002</v>
      </c>
      <c r="FP187">
        <v>587.66800000000001</v>
      </c>
      <c r="FQ187">
        <v>17.986999999999998</v>
      </c>
      <c r="FR187">
        <v>25.232099999999999</v>
      </c>
      <c r="FS187">
        <v>30.0002</v>
      </c>
      <c r="FT187">
        <v>25.214099999999998</v>
      </c>
      <c r="FU187">
        <v>25.2164</v>
      </c>
      <c r="FV187">
        <v>29.3081</v>
      </c>
      <c r="FW187">
        <v>27.493600000000001</v>
      </c>
      <c r="FX187">
        <v>41.847900000000003</v>
      </c>
      <c r="FY187">
        <v>17.986000000000001</v>
      </c>
      <c r="FZ187">
        <v>500</v>
      </c>
      <c r="GA187">
        <v>14.393800000000001</v>
      </c>
      <c r="GB187">
        <v>99.903599999999997</v>
      </c>
      <c r="GC187">
        <v>99.744</v>
      </c>
    </row>
    <row r="188" spans="1:185" x14ac:dyDescent="0.2">
      <c r="A188">
        <v>173</v>
      </c>
      <c r="B188">
        <v>1771088802.0999999</v>
      </c>
      <c r="C188">
        <v>3482.0999999046298</v>
      </c>
      <c r="D188" t="s">
        <v>644</v>
      </c>
      <c r="E188" t="s">
        <v>645</v>
      </c>
      <c r="F188">
        <v>15</v>
      </c>
      <c r="G188">
        <v>1771088794.03333</v>
      </c>
      <c r="H188">
        <f t="shared" si="26"/>
        <v>8.6828460294253486E-4</v>
      </c>
      <c r="I188">
        <v>0</v>
      </c>
      <c r="J188">
        <f t="shared" si="38"/>
        <v>5.9279433619333875E-3</v>
      </c>
      <c r="K188">
        <f t="shared" si="27"/>
        <v>0.16068244820909366</v>
      </c>
      <c r="L188">
        <f t="shared" si="28"/>
        <v>69.923452989121699</v>
      </c>
      <c r="M188">
        <f t="shared" si="29"/>
        <v>1.5423097880237404</v>
      </c>
      <c r="N188">
        <f t="shared" si="30"/>
        <v>2.2057117062907126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26198.370984017263</v>
      </c>
      <c r="T188">
        <f t="shared" si="34"/>
        <v>799.99853333333294</v>
      </c>
      <c r="U188">
        <f t="shared" si="35"/>
        <v>674.39861160027851</v>
      </c>
      <c r="V188">
        <f t="shared" si="36"/>
        <v>0.84299981000000024</v>
      </c>
      <c r="W188">
        <f t="shared" si="37"/>
        <v>0.15869900532000003</v>
      </c>
      <c r="X188">
        <v>1</v>
      </c>
      <c r="Y188">
        <v>1771088794.03333</v>
      </c>
      <c r="Z188">
        <v>499.27373333333298</v>
      </c>
      <c r="AA188">
        <v>500.01646666666699</v>
      </c>
      <c r="AB188">
        <v>15.42564</v>
      </c>
      <c r="AC188">
        <v>14.35704</v>
      </c>
      <c r="AD188">
        <v>500.1542</v>
      </c>
      <c r="AE188">
        <v>15.3306</v>
      </c>
      <c r="AF188">
        <v>800.01006666666694</v>
      </c>
      <c r="AG188">
        <v>99.9189066666667</v>
      </c>
      <c r="AH188">
        <v>6.4613500000000004E-2</v>
      </c>
      <c r="AI188">
        <v>19.00386</v>
      </c>
      <c r="AJ188">
        <v>999.9</v>
      </c>
      <c r="AK188">
        <v>999.9</v>
      </c>
      <c r="AL188">
        <v>0</v>
      </c>
      <c r="AM188">
        <v>0</v>
      </c>
      <c r="AN188">
        <v>4999.6333333333296</v>
      </c>
      <c r="AO188">
        <v>0</v>
      </c>
      <c r="AP188">
        <v>2.2019299999999999</v>
      </c>
      <c r="AQ188">
        <v>-0.74272859999999996</v>
      </c>
      <c r="AR188">
        <v>507.09606666666701</v>
      </c>
      <c r="AS188">
        <v>507.2998</v>
      </c>
      <c r="AT188">
        <v>1.0686040000000001</v>
      </c>
      <c r="AU188">
        <v>500.01646666666699</v>
      </c>
      <c r="AV188">
        <v>14.35704</v>
      </c>
      <c r="AW188">
        <v>1.541312</v>
      </c>
      <c r="AX188">
        <v>1.4345399999999999</v>
      </c>
      <c r="AY188">
        <v>13.38424</v>
      </c>
      <c r="AZ188">
        <v>12.2877266666667</v>
      </c>
      <c r="BA188">
        <v>799.99853333333294</v>
      </c>
      <c r="BB188">
        <v>0.90001406666666695</v>
      </c>
      <c r="BC188">
        <v>0</v>
      </c>
      <c r="BD188">
        <v>9.9986199999999997E-2</v>
      </c>
      <c r="BE188">
        <v>0</v>
      </c>
      <c r="BF188">
        <v>25</v>
      </c>
      <c r="BG188">
        <v>13191.0666666667</v>
      </c>
      <c r="BH188">
        <v>1771088545.0999999</v>
      </c>
      <c r="BI188" t="s">
        <v>609</v>
      </c>
      <c r="BJ188">
        <v>1771088541.0999999</v>
      </c>
      <c r="BK188">
        <v>1771088545.0999999</v>
      </c>
      <c r="BL188">
        <v>6</v>
      </c>
      <c r="BM188">
        <v>-5.0000000000000001E-3</v>
      </c>
      <c r="BN188">
        <v>-5.0000000000000001E-3</v>
      </c>
      <c r="BO188">
        <v>-0.88100000000000001</v>
      </c>
      <c r="BP188">
        <v>9.5000000000000001E-2</v>
      </c>
      <c r="BQ188">
        <v>500</v>
      </c>
      <c r="BR188">
        <v>14</v>
      </c>
      <c r="BS188">
        <v>0.15</v>
      </c>
      <c r="BT188">
        <v>0.03</v>
      </c>
      <c r="BU188">
        <v>-0.73215934999999999</v>
      </c>
      <c r="BV188">
        <v>-0.12504004511278299</v>
      </c>
      <c r="BW188">
        <v>3.5718360512872097E-2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1.0659240000000001</v>
      </c>
      <c r="CD188">
        <v>0.100541954887219</v>
      </c>
      <c r="CE188">
        <v>1.15792017859609E-2</v>
      </c>
      <c r="CF188">
        <v>0</v>
      </c>
      <c r="CG188">
        <v>1</v>
      </c>
      <c r="CH188">
        <v>2</v>
      </c>
      <c r="CI188" t="s">
        <v>299</v>
      </c>
      <c r="CJ188">
        <v>3.5325799999999998</v>
      </c>
      <c r="CK188">
        <v>2.7025299999999999</v>
      </c>
      <c r="CL188">
        <v>0.113301</v>
      </c>
      <c r="CM188">
        <v>0.11182</v>
      </c>
      <c r="CN188">
        <v>8.7122500000000005E-2</v>
      </c>
      <c r="CO188">
        <v>8.1651699999999994E-2</v>
      </c>
      <c r="CP188">
        <v>31104.5</v>
      </c>
      <c r="CQ188">
        <v>27355.200000000001</v>
      </c>
      <c r="CR188">
        <v>32465.8</v>
      </c>
      <c r="CS188">
        <v>30724.9</v>
      </c>
      <c r="CT188">
        <v>40128.800000000003</v>
      </c>
      <c r="CU188">
        <v>39678.6</v>
      </c>
      <c r="CV188">
        <v>47409.9</v>
      </c>
      <c r="CW188">
        <v>46854.400000000001</v>
      </c>
      <c r="CX188">
        <v>2.6266799999999999</v>
      </c>
      <c r="CY188">
        <v>2.14872</v>
      </c>
      <c r="CZ188">
        <v>0</v>
      </c>
      <c r="DA188">
        <v>0</v>
      </c>
      <c r="DB188">
        <v>999.9</v>
      </c>
      <c r="DC188">
        <v>999.9</v>
      </c>
      <c r="DD188">
        <v>55.195</v>
      </c>
      <c r="DE188">
        <v>26.152999999999999</v>
      </c>
      <c r="DF188">
        <v>18.808900000000001</v>
      </c>
      <c r="DG188">
        <v>30.161899999999999</v>
      </c>
      <c r="DH188">
        <v>15.320499999999999</v>
      </c>
      <c r="DI188">
        <v>2</v>
      </c>
      <c r="DJ188">
        <v>-0.142069</v>
      </c>
      <c r="DK188">
        <v>2.3292999999999999</v>
      </c>
      <c r="DL188">
        <v>20.194099999999999</v>
      </c>
      <c r="DM188">
        <v>5.2528699999999997</v>
      </c>
      <c r="DN188">
        <v>12.033899999999999</v>
      </c>
      <c r="DO188">
        <v>4.9677199999999999</v>
      </c>
      <c r="DP188">
        <v>3.2909999999999999</v>
      </c>
      <c r="DQ188">
        <v>9999</v>
      </c>
      <c r="DR188">
        <v>9999</v>
      </c>
      <c r="DS188">
        <v>9999</v>
      </c>
      <c r="DT188">
        <v>604.79999999999995</v>
      </c>
      <c r="DU188">
        <v>1.87114</v>
      </c>
      <c r="DV188">
        <v>1.8762000000000001</v>
      </c>
      <c r="DW188">
        <v>1.8763700000000001</v>
      </c>
      <c r="DX188">
        <v>1.8829100000000001</v>
      </c>
      <c r="DY188">
        <v>1.87561</v>
      </c>
      <c r="DZ188">
        <v>1.87469</v>
      </c>
      <c r="EA188">
        <v>1.87083</v>
      </c>
      <c r="EB188">
        <v>1.8747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-0.88100000000000001</v>
      </c>
      <c r="EQ188">
        <v>9.5000000000000001E-2</v>
      </c>
      <c r="ER188">
        <v>-0.88049999999999995</v>
      </c>
      <c r="ES188">
        <v>0</v>
      </c>
      <c r="ET188">
        <v>0</v>
      </c>
      <c r="EU188">
        <v>0</v>
      </c>
      <c r="EV188">
        <v>9.5040000000000902E-2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4.3</v>
      </c>
      <c r="FE188">
        <v>4.3</v>
      </c>
      <c r="FF188">
        <v>1.4599599999999999</v>
      </c>
      <c r="FG188">
        <v>2.5793499999999998</v>
      </c>
      <c r="FH188">
        <v>2.19604</v>
      </c>
      <c r="FI188">
        <v>2.5793499999999998</v>
      </c>
      <c r="FJ188">
        <v>2.4462899999999999</v>
      </c>
      <c r="FK188">
        <v>2.32422</v>
      </c>
      <c r="FL188">
        <v>31.237400000000001</v>
      </c>
      <c r="FM188">
        <v>24.148800000000001</v>
      </c>
      <c r="FN188">
        <v>19</v>
      </c>
      <c r="FO188">
        <v>864.34900000000005</v>
      </c>
      <c r="FP188">
        <v>587.52200000000005</v>
      </c>
      <c r="FQ188">
        <v>17.978899999999999</v>
      </c>
      <c r="FR188">
        <v>25.235399999999998</v>
      </c>
      <c r="FS188">
        <v>30.000299999999999</v>
      </c>
      <c r="FT188">
        <v>25.218399999999999</v>
      </c>
      <c r="FU188">
        <v>25.219899999999999</v>
      </c>
      <c r="FV188">
        <v>29.305599999999998</v>
      </c>
      <c r="FW188">
        <v>27.493600000000001</v>
      </c>
      <c r="FX188">
        <v>41.4773</v>
      </c>
      <c r="FY188">
        <v>17.974299999999999</v>
      </c>
      <c r="FZ188">
        <v>500</v>
      </c>
      <c r="GA188">
        <v>14.393800000000001</v>
      </c>
      <c r="GB188">
        <v>99.902600000000007</v>
      </c>
      <c r="GC188">
        <v>99.744799999999998</v>
      </c>
    </row>
    <row r="189" spans="1:185" x14ac:dyDescent="0.2">
      <c r="A189">
        <v>174</v>
      </c>
      <c r="B189">
        <v>1771088817.0999999</v>
      </c>
      <c r="C189">
        <v>3497.0999999046298</v>
      </c>
      <c r="D189" t="s">
        <v>646</v>
      </c>
      <c r="E189" t="s">
        <v>647</v>
      </c>
      <c r="F189">
        <v>15</v>
      </c>
      <c r="G189">
        <v>1771088809.03333</v>
      </c>
      <c r="H189">
        <f t="shared" si="26"/>
        <v>8.8010450310232015E-4</v>
      </c>
      <c r="I189">
        <v>0</v>
      </c>
      <c r="J189">
        <f t="shared" si="38"/>
        <v>5.1158696309147817E-3</v>
      </c>
      <c r="K189">
        <f t="shared" si="27"/>
        <v>0.13867043033721493</v>
      </c>
      <c r="L189">
        <f t="shared" si="28"/>
        <v>69.907145840509131</v>
      </c>
      <c r="M189">
        <f t="shared" si="29"/>
        <v>1.5416903267620081</v>
      </c>
      <c r="N189">
        <f t="shared" si="30"/>
        <v>2.20534010969254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26210.281122234923</v>
      </c>
      <c r="T189">
        <f t="shared" si="34"/>
        <v>799.99973333333298</v>
      </c>
      <c r="U189">
        <f t="shared" si="35"/>
        <v>674.39956272007066</v>
      </c>
      <c r="V189">
        <f t="shared" si="36"/>
        <v>0.8429997344000002</v>
      </c>
      <c r="W189">
        <f t="shared" si="37"/>
        <v>0.15869897222400003</v>
      </c>
      <c r="X189">
        <v>1</v>
      </c>
      <c r="Y189">
        <v>1771088809.03333</v>
      </c>
      <c r="Z189">
        <v>499.27420000000001</v>
      </c>
      <c r="AA189">
        <v>499.99680000000001</v>
      </c>
      <c r="AB189">
        <v>15.419366666666701</v>
      </c>
      <c r="AC189">
        <v>14.336206666666699</v>
      </c>
      <c r="AD189">
        <v>500.15453333333301</v>
      </c>
      <c r="AE189">
        <v>15.3243333333333</v>
      </c>
      <c r="AF189">
        <v>800.00540000000001</v>
      </c>
      <c r="AG189">
        <v>99.919506666666706</v>
      </c>
      <c r="AH189">
        <v>6.4517326666666694E-2</v>
      </c>
      <c r="AI189">
        <v>19.001159999999999</v>
      </c>
      <c r="AJ189">
        <v>999.9</v>
      </c>
      <c r="AK189">
        <v>999.9</v>
      </c>
      <c r="AL189">
        <v>0</v>
      </c>
      <c r="AM189">
        <v>0</v>
      </c>
      <c r="AN189">
        <v>5001.5333333333301</v>
      </c>
      <c r="AO189">
        <v>0</v>
      </c>
      <c r="AP189">
        <v>2.2019299999999999</v>
      </c>
      <c r="AQ189">
        <v>-0.72265826666666699</v>
      </c>
      <c r="AR189">
        <v>507.09333333333302</v>
      </c>
      <c r="AS189">
        <v>507.26926666666702</v>
      </c>
      <c r="AT189">
        <v>1.08315466666667</v>
      </c>
      <c r="AU189">
        <v>499.99680000000001</v>
      </c>
      <c r="AV189">
        <v>14.336206666666699</v>
      </c>
      <c r="AW189">
        <v>1.5406960000000001</v>
      </c>
      <c r="AX189">
        <v>1.4324680000000001</v>
      </c>
      <c r="AY189">
        <v>13.378119999999999</v>
      </c>
      <c r="AZ189">
        <v>12.265753333333301</v>
      </c>
      <c r="BA189">
        <v>799.99973333333298</v>
      </c>
      <c r="BB189">
        <v>0.90001426666666695</v>
      </c>
      <c r="BC189">
        <v>0</v>
      </c>
      <c r="BD189">
        <v>9.9985920000000006E-2</v>
      </c>
      <c r="BE189">
        <v>0</v>
      </c>
      <c r="BF189">
        <v>25</v>
      </c>
      <c r="BG189">
        <v>13191.073333333299</v>
      </c>
      <c r="BH189">
        <v>1771088545.0999999</v>
      </c>
      <c r="BI189" t="s">
        <v>609</v>
      </c>
      <c r="BJ189">
        <v>1771088541.0999999</v>
      </c>
      <c r="BK189">
        <v>1771088545.0999999</v>
      </c>
      <c r="BL189">
        <v>6</v>
      </c>
      <c r="BM189">
        <v>-5.0000000000000001E-3</v>
      </c>
      <c r="BN189">
        <v>-5.0000000000000001E-3</v>
      </c>
      <c r="BO189">
        <v>-0.88100000000000001</v>
      </c>
      <c r="BP189">
        <v>9.5000000000000001E-2</v>
      </c>
      <c r="BQ189">
        <v>500</v>
      </c>
      <c r="BR189">
        <v>14</v>
      </c>
      <c r="BS189">
        <v>0.15</v>
      </c>
      <c r="BT189">
        <v>0.03</v>
      </c>
      <c r="BU189">
        <v>-0.72403385714285695</v>
      </c>
      <c r="BV189">
        <v>5.3937896103895898E-2</v>
      </c>
      <c r="BW189">
        <v>1.7562866940510301E-2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1.08285428571429</v>
      </c>
      <c r="CD189">
        <v>-1.4811428571426401E-2</v>
      </c>
      <c r="CE189">
        <v>5.9573248801698597E-3</v>
      </c>
      <c r="CF189">
        <v>1</v>
      </c>
      <c r="CG189">
        <v>2</v>
      </c>
      <c r="CH189">
        <v>2</v>
      </c>
      <c r="CI189" t="s">
        <v>310</v>
      </c>
      <c r="CJ189">
        <v>3.5324800000000001</v>
      </c>
      <c r="CK189">
        <v>2.7023700000000002</v>
      </c>
      <c r="CL189">
        <v>0.11329500000000001</v>
      </c>
      <c r="CM189">
        <v>0.111816</v>
      </c>
      <c r="CN189">
        <v>8.7082800000000002E-2</v>
      </c>
      <c r="CO189">
        <v>8.1662999999999999E-2</v>
      </c>
      <c r="CP189">
        <v>31104.2</v>
      </c>
      <c r="CQ189">
        <v>27355.3</v>
      </c>
      <c r="CR189">
        <v>32465.3</v>
      </c>
      <c r="CS189">
        <v>30724.799999999999</v>
      </c>
      <c r="CT189">
        <v>40130.1</v>
      </c>
      <c r="CU189">
        <v>39678.1</v>
      </c>
      <c r="CV189">
        <v>47409.3</v>
      </c>
      <c r="CW189">
        <v>46854.400000000001</v>
      </c>
      <c r="CX189">
        <v>2.6267</v>
      </c>
      <c r="CY189">
        <v>2.14852</v>
      </c>
      <c r="CZ189">
        <v>0</v>
      </c>
      <c r="DA189">
        <v>0</v>
      </c>
      <c r="DB189">
        <v>999.9</v>
      </c>
      <c r="DC189">
        <v>999.9</v>
      </c>
      <c r="DD189">
        <v>55.121000000000002</v>
      </c>
      <c r="DE189">
        <v>26.183</v>
      </c>
      <c r="DF189">
        <v>18.817299999999999</v>
      </c>
      <c r="DG189">
        <v>30.221900000000002</v>
      </c>
      <c r="DH189">
        <v>15.4207</v>
      </c>
      <c r="DI189">
        <v>2</v>
      </c>
      <c r="DJ189">
        <v>-0.14184099999999999</v>
      </c>
      <c r="DK189">
        <v>2.3162400000000001</v>
      </c>
      <c r="DL189">
        <v>20.194500000000001</v>
      </c>
      <c r="DM189">
        <v>5.2527499999999998</v>
      </c>
      <c r="DN189">
        <v>12.033899999999999</v>
      </c>
      <c r="DO189">
        <v>4.9675599999999998</v>
      </c>
      <c r="DP189">
        <v>3.2909999999999999</v>
      </c>
      <c r="DQ189">
        <v>9999</v>
      </c>
      <c r="DR189">
        <v>9999</v>
      </c>
      <c r="DS189">
        <v>9999</v>
      </c>
      <c r="DT189">
        <v>604.79999999999995</v>
      </c>
      <c r="DU189">
        <v>1.87114</v>
      </c>
      <c r="DV189">
        <v>1.87622</v>
      </c>
      <c r="DW189">
        <v>1.8763700000000001</v>
      </c>
      <c r="DX189">
        <v>1.88289</v>
      </c>
      <c r="DY189">
        <v>1.8756200000000001</v>
      </c>
      <c r="DZ189">
        <v>1.87469</v>
      </c>
      <c r="EA189">
        <v>1.87087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-0.88100000000000001</v>
      </c>
      <c r="EQ189">
        <v>9.5000000000000001E-2</v>
      </c>
      <c r="ER189">
        <v>-0.88049999999999995</v>
      </c>
      <c r="ES189">
        <v>0</v>
      </c>
      <c r="ET189">
        <v>0</v>
      </c>
      <c r="EU189">
        <v>0</v>
      </c>
      <c r="EV189">
        <v>9.5040000000000902E-2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4.5999999999999996</v>
      </c>
      <c r="FE189">
        <v>4.5</v>
      </c>
      <c r="FF189">
        <v>1.4611799999999999</v>
      </c>
      <c r="FG189">
        <v>2.5817899999999998</v>
      </c>
      <c r="FH189">
        <v>2.19604</v>
      </c>
      <c r="FI189">
        <v>2.5793499999999998</v>
      </c>
      <c r="FJ189">
        <v>2.4462899999999999</v>
      </c>
      <c r="FK189">
        <v>2.2790499999999998</v>
      </c>
      <c r="FL189">
        <v>31.2591</v>
      </c>
      <c r="FM189">
        <v>24.14</v>
      </c>
      <c r="FN189">
        <v>19</v>
      </c>
      <c r="FO189">
        <v>864.42200000000003</v>
      </c>
      <c r="FP189">
        <v>587.40800000000002</v>
      </c>
      <c r="FQ189">
        <v>17.9695</v>
      </c>
      <c r="FR189">
        <v>25.238399999999999</v>
      </c>
      <c r="FS189">
        <v>30.0002</v>
      </c>
      <c r="FT189">
        <v>25.221699999999998</v>
      </c>
      <c r="FU189">
        <v>25.223600000000001</v>
      </c>
      <c r="FV189">
        <v>29.306699999999999</v>
      </c>
      <c r="FW189">
        <v>27.493600000000001</v>
      </c>
      <c r="FX189">
        <v>41.4773</v>
      </c>
      <c r="FY189">
        <v>17.9832</v>
      </c>
      <c r="FZ189">
        <v>500</v>
      </c>
      <c r="GA189">
        <v>14.393800000000001</v>
      </c>
      <c r="GB189">
        <v>99.9011</v>
      </c>
      <c r="GC189">
        <v>99.744699999999995</v>
      </c>
    </row>
    <row r="190" spans="1:185" x14ac:dyDescent="0.2">
      <c r="A190">
        <v>175</v>
      </c>
      <c r="B190">
        <v>1771088832.0999999</v>
      </c>
      <c r="C190">
        <v>3512.0999999046298</v>
      </c>
      <c r="D190" t="s">
        <v>648</v>
      </c>
      <c r="E190" t="s">
        <v>649</v>
      </c>
      <c r="F190">
        <v>15</v>
      </c>
      <c r="G190">
        <v>1771088824.03333</v>
      </c>
      <c r="H190">
        <f t="shared" si="26"/>
        <v>8.7152545026617943E-4</v>
      </c>
      <c r="I190">
        <v>0</v>
      </c>
      <c r="J190">
        <f t="shared" si="38"/>
        <v>5.8410777701504218E-3</v>
      </c>
      <c r="K190">
        <f t="shared" si="27"/>
        <v>0.15832787511339755</v>
      </c>
      <c r="L190">
        <f t="shared" si="28"/>
        <v>69.874538611664732</v>
      </c>
      <c r="M190">
        <f t="shared" si="29"/>
        <v>1.5409853300014957</v>
      </c>
      <c r="N190">
        <f t="shared" si="30"/>
        <v>2.2053602937769474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26246.288124053099</v>
      </c>
      <c r="T190">
        <f t="shared" si="34"/>
        <v>800.00059999999996</v>
      </c>
      <c r="U190">
        <f t="shared" si="35"/>
        <v>674.40018787976157</v>
      </c>
      <c r="V190">
        <f t="shared" si="36"/>
        <v>0.84299960260000006</v>
      </c>
      <c r="W190">
        <f t="shared" si="37"/>
        <v>0.15869891555600002</v>
      </c>
      <c r="X190">
        <v>1</v>
      </c>
      <c r="Y190">
        <v>1771088824.03333</v>
      </c>
      <c r="Z190">
        <v>499.263933333333</v>
      </c>
      <c r="AA190">
        <v>500.00573333333301</v>
      </c>
      <c r="AB190">
        <v>15.4123933333333</v>
      </c>
      <c r="AC190">
        <v>14.339793333333301</v>
      </c>
      <c r="AD190">
        <v>500.14440000000002</v>
      </c>
      <c r="AE190">
        <v>15.3173333333333</v>
      </c>
      <c r="AF190">
        <v>800.01226666666696</v>
      </c>
      <c r="AG190">
        <v>99.919039999999995</v>
      </c>
      <c r="AH190">
        <v>6.4479540000000002E-2</v>
      </c>
      <c r="AI190">
        <v>19.0013066666667</v>
      </c>
      <c r="AJ190">
        <v>999.9</v>
      </c>
      <c r="AK190">
        <v>999.9</v>
      </c>
      <c r="AL190">
        <v>0</v>
      </c>
      <c r="AM190">
        <v>0</v>
      </c>
      <c r="AN190">
        <v>5007.5</v>
      </c>
      <c r="AO190">
        <v>0</v>
      </c>
      <c r="AP190">
        <v>2.2019299999999999</v>
      </c>
      <c r="AQ190">
        <v>-0.74179273333333295</v>
      </c>
      <c r="AR190">
        <v>507.07926666666702</v>
      </c>
      <c r="AS190">
        <v>507.28</v>
      </c>
      <c r="AT190">
        <v>1.07257933333333</v>
      </c>
      <c r="AU190">
        <v>500.00573333333301</v>
      </c>
      <c r="AV190">
        <v>14.339793333333301</v>
      </c>
      <c r="AW190">
        <v>1.5399913333333299</v>
      </c>
      <c r="AX190">
        <v>1.43282</v>
      </c>
      <c r="AY190">
        <v>13.3711</v>
      </c>
      <c r="AZ190">
        <v>12.269500000000001</v>
      </c>
      <c r="BA190">
        <v>800.00059999999996</v>
      </c>
      <c r="BB190">
        <v>0.9000146</v>
      </c>
      <c r="BC190">
        <v>0</v>
      </c>
      <c r="BD190">
        <v>9.99854466666667E-2</v>
      </c>
      <c r="BE190">
        <v>0</v>
      </c>
      <c r="BF190">
        <v>25</v>
      </c>
      <c r="BG190">
        <v>13191.086666666701</v>
      </c>
      <c r="BH190">
        <v>1771088545.0999999</v>
      </c>
      <c r="BI190" t="s">
        <v>609</v>
      </c>
      <c r="BJ190">
        <v>1771088541.0999999</v>
      </c>
      <c r="BK190">
        <v>1771088545.0999999</v>
      </c>
      <c r="BL190">
        <v>6</v>
      </c>
      <c r="BM190">
        <v>-5.0000000000000001E-3</v>
      </c>
      <c r="BN190">
        <v>-5.0000000000000001E-3</v>
      </c>
      <c r="BO190">
        <v>-0.88100000000000001</v>
      </c>
      <c r="BP190">
        <v>9.5000000000000001E-2</v>
      </c>
      <c r="BQ190">
        <v>500</v>
      </c>
      <c r="BR190">
        <v>14</v>
      </c>
      <c r="BS190">
        <v>0.15</v>
      </c>
      <c r="BT190">
        <v>0.03</v>
      </c>
      <c r="BU190">
        <v>-0.73369280000000003</v>
      </c>
      <c r="BV190">
        <v>-0.156581233082706</v>
      </c>
      <c r="BW190">
        <v>2.1241914112433501E-2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1.0737715000000001</v>
      </c>
      <c r="CD190">
        <v>-3.0516541353383199E-2</v>
      </c>
      <c r="CE190">
        <v>3.0695101807943301E-3</v>
      </c>
      <c r="CF190">
        <v>1</v>
      </c>
      <c r="CG190">
        <v>2</v>
      </c>
      <c r="CH190">
        <v>2</v>
      </c>
      <c r="CI190" t="s">
        <v>310</v>
      </c>
      <c r="CJ190">
        <v>3.5325799999999998</v>
      </c>
      <c r="CK190">
        <v>2.7023600000000001</v>
      </c>
      <c r="CL190">
        <v>0.11329400000000001</v>
      </c>
      <c r="CM190">
        <v>0.11182</v>
      </c>
      <c r="CN190">
        <v>8.7053699999999998E-2</v>
      </c>
      <c r="CO190">
        <v>8.1678200000000006E-2</v>
      </c>
      <c r="CP190">
        <v>31104.6</v>
      </c>
      <c r="CQ190">
        <v>27355.3</v>
      </c>
      <c r="CR190">
        <v>32465.7</v>
      </c>
      <c r="CS190">
        <v>30724.9</v>
      </c>
      <c r="CT190">
        <v>40131.9</v>
      </c>
      <c r="CU190">
        <v>39677.5</v>
      </c>
      <c r="CV190">
        <v>47409.9</v>
      </c>
      <c r="CW190">
        <v>46854.400000000001</v>
      </c>
      <c r="CX190">
        <v>2.6267800000000001</v>
      </c>
      <c r="CY190">
        <v>2.1484000000000001</v>
      </c>
      <c r="CZ190">
        <v>0</v>
      </c>
      <c r="DA190">
        <v>0</v>
      </c>
      <c r="DB190">
        <v>999.9</v>
      </c>
      <c r="DC190">
        <v>999.9</v>
      </c>
      <c r="DD190">
        <v>55.079000000000001</v>
      </c>
      <c r="DE190">
        <v>26.193000000000001</v>
      </c>
      <c r="DF190">
        <v>18.813700000000001</v>
      </c>
      <c r="DG190">
        <v>30.161899999999999</v>
      </c>
      <c r="DH190">
        <v>15.336499999999999</v>
      </c>
      <c r="DI190">
        <v>2</v>
      </c>
      <c r="DJ190">
        <v>-0.141711</v>
      </c>
      <c r="DK190">
        <v>2.3238099999999999</v>
      </c>
      <c r="DL190">
        <v>20.194099999999999</v>
      </c>
      <c r="DM190">
        <v>5.2526299999999999</v>
      </c>
      <c r="DN190">
        <v>12.033899999999999</v>
      </c>
      <c r="DO190">
        <v>4.9676799999999997</v>
      </c>
      <c r="DP190">
        <v>3.2909999999999999</v>
      </c>
      <c r="DQ190">
        <v>9999</v>
      </c>
      <c r="DR190">
        <v>9999</v>
      </c>
      <c r="DS190">
        <v>9999</v>
      </c>
      <c r="DT190">
        <v>604.79999999999995</v>
      </c>
      <c r="DU190">
        <v>1.8711</v>
      </c>
      <c r="DV190">
        <v>1.8762000000000001</v>
      </c>
      <c r="DW190">
        <v>1.8763700000000001</v>
      </c>
      <c r="DX190">
        <v>1.8829</v>
      </c>
      <c r="DY190">
        <v>1.87561</v>
      </c>
      <c r="DZ190">
        <v>1.87469</v>
      </c>
      <c r="EA190">
        <v>1.8708199999999999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-0.88100000000000001</v>
      </c>
      <c r="EQ190">
        <v>9.5000000000000001E-2</v>
      </c>
      <c r="ER190">
        <v>-0.88049999999999995</v>
      </c>
      <c r="ES190">
        <v>0</v>
      </c>
      <c r="ET190">
        <v>0</v>
      </c>
      <c r="EU190">
        <v>0</v>
      </c>
      <c r="EV190">
        <v>9.5040000000000902E-2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4.8</v>
      </c>
      <c r="FE190">
        <v>4.8</v>
      </c>
      <c r="FF190">
        <v>1.4611799999999999</v>
      </c>
      <c r="FG190">
        <v>2.5842299999999998</v>
      </c>
      <c r="FH190">
        <v>2.19604</v>
      </c>
      <c r="FI190">
        <v>2.5793499999999998</v>
      </c>
      <c r="FJ190">
        <v>2.4462899999999999</v>
      </c>
      <c r="FK190">
        <v>2.3132299999999999</v>
      </c>
      <c r="FL190">
        <v>31.2591</v>
      </c>
      <c r="FM190">
        <v>24.148800000000001</v>
      </c>
      <c r="FN190">
        <v>19</v>
      </c>
      <c r="FO190">
        <v>864.54499999999996</v>
      </c>
      <c r="FP190">
        <v>587.34500000000003</v>
      </c>
      <c r="FQ190">
        <v>17.978300000000001</v>
      </c>
      <c r="FR190">
        <v>25.241800000000001</v>
      </c>
      <c r="FS190">
        <v>30.0002</v>
      </c>
      <c r="FT190">
        <v>25.224699999999999</v>
      </c>
      <c r="FU190">
        <v>25.226299999999998</v>
      </c>
      <c r="FV190">
        <v>29.304500000000001</v>
      </c>
      <c r="FW190">
        <v>27.493600000000001</v>
      </c>
      <c r="FX190">
        <v>41.103900000000003</v>
      </c>
      <c r="FY190">
        <v>17.976199999999999</v>
      </c>
      <c r="FZ190">
        <v>500</v>
      </c>
      <c r="GA190">
        <v>14.3949</v>
      </c>
      <c r="GB190">
        <v>99.9024</v>
      </c>
      <c r="GC190">
        <v>99.744799999999998</v>
      </c>
    </row>
    <row r="191" spans="1:185" x14ac:dyDescent="0.2">
      <c r="A191">
        <v>176</v>
      </c>
      <c r="B191">
        <v>1771088847.0999999</v>
      </c>
      <c r="C191">
        <v>3527.0999999046298</v>
      </c>
      <c r="D191" t="s">
        <v>650</v>
      </c>
      <c r="E191" t="s">
        <v>651</v>
      </c>
      <c r="F191">
        <v>15</v>
      </c>
      <c r="G191">
        <v>1771088839.03333</v>
      </c>
      <c r="H191">
        <f t="shared" si="26"/>
        <v>8.6725415354949899E-4</v>
      </c>
      <c r="I191">
        <v>0</v>
      </c>
      <c r="J191">
        <f t="shared" si="38"/>
        <v>4.965025470691083E-3</v>
      </c>
      <c r="K191">
        <f t="shared" si="27"/>
        <v>0.13458165831580285</v>
      </c>
      <c r="L191">
        <f t="shared" si="28"/>
        <v>69.872914147969269</v>
      </c>
      <c r="M191">
        <f t="shared" si="29"/>
        <v>1.540785401670739</v>
      </c>
      <c r="N191">
        <f t="shared" si="30"/>
        <v>2.2051254344535152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26197.932238767906</v>
      </c>
      <c r="T191">
        <f t="shared" si="34"/>
        <v>799.99766666666699</v>
      </c>
      <c r="U191">
        <f t="shared" si="35"/>
        <v>674.39755460139554</v>
      </c>
      <c r="V191">
        <f t="shared" si="36"/>
        <v>0.8429994019999999</v>
      </c>
      <c r="W191">
        <f t="shared" si="37"/>
        <v>0.15869863492</v>
      </c>
      <c r="X191">
        <v>1</v>
      </c>
      <c r="Y191">
        <v>1771088839.03333</v>
      </c>
      <c r="Z191">
        <v>499.27666666666698</v>
      </c>
      <c r="AA191">
        <v>499.98613333333299</v>
      </c>
      <c r="AB191">
        <v>15.410306666666701</v>
      </c>
      <c r="AC191">
        <v>14.34296</v>
      </c>
      <c r="AD191">
        <v>500.157266666667</v>
      </c>
      <c r="AE191">
        <v>15.315239999999999</v>
      </c>
      <c r="AF191">
        <v>800.01139999999998</v>
      </c>
      <c r="AG191">
        <v>99.919626666666701</v>
      </c>
      <c r="AH191">
        <v>6.4457686666666694E-2</v>
      </c>
      <c r="AI191">
        <v>18.999600000000001</v>
      </c>
      <c r="AJ191">
        <v>999.9</v>
      </c>
      <c r="AK191">
        <v>999.9</v>
      </c>
      <c r="AL191">
        <v>0</v>
      </c>
      <c r="AM191">
        <v>0</v>
      </c>
      <c r="AN191">
        <v>4999.4666666666699</v>
      </c>
      <c r="AO191">
        <v>0</v>
      </c>
      <c r="AP191">
        <v>2.2019299999999999</v>
      </c>
      <c r="AQ191">
        <v>-0.70923460000000005</v>
      </c>
      <c r="AR191">
        <v>507.09140000000002</v>
      </c>
      <c r="AS191">
        <v>507.261666666667</v>
      </c>
      <c r="AT191">
        <v>1.0673313333333301</v>
      </c>
      <c r="AU191">
        <v>499.98613333333299</v>
      </c>
      <c r="AV191">
        <v>14.34296</v>
      </c>
      <c r="AW191">
        <v>1.5397893333333299</v>
      </c>
      <c r="AX191">
        <v>1.4331433333333301</v>
      </c>
      <c r="AY191">
        <v>13.3691</v>
      </c>
      <c r="AZ191">
        <v>12.2729133333333</v>
      </c>
      <c r="BA191">
        <v>799.99766666666699</v>
      </c>
      <c r="BB191">
        <v>0.90001799999999998</v>
      </c>
      <c r="BC191">
        <v>0</v>
      </c>
      <c r="BD191">
        <v>9.99819333333333E-2</v>
      </c>
      <c r="BE191">
        <v>0</v>
      </c>
      <c r="BF191">
        <v>25</v>
      </c>
      <c r="BG191">
        <v>13191.0666666667</v>
      </c>
      <c r="BH191">
        <v>1771088545.0999999</v>
      </c>
      <c r="BI191" t="s">
        <v>609</v>
      </c>
      <c r="BJ191">
        <v>1771088541.0999999</v>
      </c>
      <c r="BK191">
        <v>1771088545.0999999</v>
      </c>
      <c r="BL191">
        <v>6</v>
      </c>
      <c r="BM191">
        <v>-5.0000000000000001E-3</v>
      </c>
      <c r="BN191">
        <v>-5.0000000000000001E-3</v>
      </c>
      <c r="BO191">
        <v>-0.88100000000000001</v>
      </c>
      <c r="BP191">
        <v>9.5000000000000001E-2</v>
      </c>
      <c r="BQ191">
        <v>500</v>
      </c>
      <c r="BR191">
        <v>14</v>
      </c>
      <c r="BS191">
        <v>0.15</v>
      </c>
      <c r="BT191">
        <v>0.03</v>
      </c>
      <c r="BU191">
        <v>-0.72271147619047604</v>
      </c>
      <c r="BV191">
        <v>0.24785953246753201</v>
      </c>
      <c r="BW191">
        <v>2.9096586256350501E-2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1.0681890476190501</v>
      </c>
      <c r="CD191">
        <v>-5.6344675324673001E-2</v>
      </c>
      <c r="CE191">
        <v>1.01478151083828E-2</v>
      </c>
      <c r="CF191">
        <v>1</v>
      </c>
      <c r="CG191">
        <v>2</v>
      </c>
      <c r="CH191">
        <v>2</v>
      </c>
      <c r="CI191" t="s">
        <v>310</v>
      </c>
      <c r="CJ191">
        <v>3.5325199999999999</v>
      </c>
      <c r="CK191">
        <v>2.70208</v>
      </c>
      <c r="CL191">
        <v>0.11329400000000001</v>
      </c>
      <c r="CM191">
        <v>0.11181199999999999</v>
      </c>
      <c r="CN191">
        <v>8.70702E-2</v>
      </c>
      <c r="CO191">
        <v>8.1753500000000007E-2</v>
      </c>
      <c r="CP191">
        <v>31104.400000000001</v>
      </c>
      <c r="CQ191">
        <v>27355.8</v>
      </c>
      <c r="CR191">
        <v>32465.5</v>
      </c>
      <c r="CS191">
        <v>30725.3</v>
      </c>
      <c r="CT191">
        <v>40131</v>
      </c>
      <c r="CU191">
        <v>39674.800000000003</v>
      </c>
      <c r="CV191">
        <v>47409.7</v>
      </c>
      <c r="CW191">
        <v>46855.199999999997</v>
      </c>
      <c r="CX191">
        <v>2.62662</v>
      </c>
      <c r="CY191">
        <v>2.1482000000000001</v>
      </c>
      <c r="CZ191">
        <v>0</v>
      </c>
      <c r="DA191">
        <v>0</v>
      </c>
      <c r="DB191">
        <v>999.9</v>
      </c>
      <c r="DC191">
        <v>999.9</v>
      </c>
      <c r="DD191">
        <v>54.957000000000001</v>
      </c>
      <c r="DE191">
        <v>26.193000000000001</v>
      </c>
      <c r="DF191">
        <v>18.770900000000001</v>
      </c>
      <c r="DG191">
        <v>30.251899999999999</v>
      </c>
      <c r="DH191">
        <v>15.352600000000001</v>
      </c>
      <c r="DI191">
        <v>2</v>
      </c>
      <c r="DJ191">
        <v>-0.141295</v>
      </c>
      <c r="DK191">
        <v>2.3128099999999998</v>
      </c>
      <c r="DL191">
        <v>20.194600000000001</v>
      </c>
      <c r="DM191">
        <v>5.2523900000000001</v>
      </c>
      <c r="DN191">
        <v>12.033899999999999</v>
      </c>
      <c r="DO191">
        <v>4.9676400000000003</v>
      </c>
      <c r="DP191">
        <v>3.2909999999999999</v>
      </c>
      <c r="DQ191">
        <v>9999</v>
      </c>
      <c r="DR191">
        <v>9999</v>
      </c>
      <c r="DS191">
        <v>9999</v>
      </c>
      <c r="DT191">
        <v>604.79999999999995</v>
      </c>
      <c r="DU191">
        <v>1.8711500000000001</v>
      </c>
      <c r="DV191">
        <v>1.87622</v>
      </c>
      <c r="DW191">
        <v>1.8763700000000001</v>
      </c>
      <c r="DX191">
        <v>1.8829199999999999</v>
      </c>
      <c r="DY191">
        <v>1.8756200000000001</v>
      </c>
      <c r="DZ191">
        <v>1.87469</v>
      </c>
      <c r="EA191">
        <v>1.87086</v>
      </c>
      <c r="EB191">
        <v>1.8747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-0.88</v>
      </c>
      <c r="EQ191">
        <v>9.5000000000000001E-2</v>
      </c>
      <c r="ER191">
        <v>-0.88049999999999995</v>
      </c>
      <c r="ES191">
        <v>0</v>
      </c>
      <c r="ET191">
        <v>0</v>
      </c>
      <c r="EU191">
        <v>0</v>
      </c>
      <c r="EV191">
        <v>9.5040000000000902E-2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5.0999999999999996</v>
      </c>
      <c r="FE191">
        <v>5</v>
      </c>
      <c r="FF191">
        <v>1.4611799999999999</v>
      </c>
      <c r="FG191">
        <v>2.5878899999999998</v>
      </c>
      <c r="FH191">
        <v>2.19604</v>
      </c>
      <c r="FI191">
        <v>2.5793499999999998</v>
      </c>
      <c r="FJ191">
        <v>2.4462899999999999</v>
      </c>
      <c r="FK191">
        <v>2.2680699999999998</v>
      </c>
      <c r="FL191">
        <v>31.2591</v>
      </c>
      <c r="FM191">
        <v>24.14</v>
      </c>
      <c r="FN191">
        <v>19</v>
      </c>
      <c r="FO191">
        <v>864.45</v>
      </c>
      <c r="FP191">
        <v>587.23599999999999</v>
      </c>
      <c r="FQ191">
        <v>17.978999999999999</v>
      </c>
      <c r="FR191">
        <v>25.244800000000001</v>
      </c>
      <c r="FS191">
        <v>30.0001</v>
      </c>
      <c r="FT191">
        <v>25.228100000000001</v>
      </c>
      <c r="FU191">
        <v>25.230399999999999</v>
      </c>
      <c r="FV191">
        <v>29.308599999999998</v>
      </c>
      <c r="FW191">
        <v>27.185700000000001</v>
      </c>
      <c r="FX191">
        <v>41.103900000000003</v>
      </c>
      <c r="FY191">
        <v>17.978400000000001</v>
      </c>
      <c r="FZ191">
        <v>500</v>
      </c>
      <c r="GA191">
        <v>14.394</v>
      </c>
      <c r="GB191">
        <v>99.901899999999998</v>
      </c>
      <c r="GC191">
        <v>99.746399999999994</v>
      </c>
    </row>
    <row r="192" spans="1:185" x14ac:dyDescent="0.2">
      <c r="A192">
        <v>177</v>
      </c>
      <c r="B192">
        <v>1771088862.0999999</v>
      </c>
      <c r="C192">
        <v>3542.0999999046298</v>
      </c>
      <c r="D192" t="s">
        <v>652</v>
      </c>
      <c r="E192" t="s">
        <v>653</v>
      </c>
      <c r="F192">
        <v>15</v>
      </c>
      <c r="G192">
        <v>1771088854.03333</v>
      </c>
      <c r="H192">
        <f t="shared" si="26"/>
        <v>8.6007483091792383E-4</v>
      </c>
      <c r="I192">
        <v>0</v>
      </c>
      <c r="J192">
        <f t="shared" si="38"/>
        <v>5.187908164721023E-3</v>
      </c>
      <c r="K192">
        <f t="shared" si="27"/>
        <v>0.14062310216125967</v>
      </c>
      <c r="L192">
        <f t="shared" si="28"/>
        <v>69.902483194608962</v>
      </c>
      <c r="M192">
        <f t="shared" si="29"/>
        <v>1.5416670254887734</v>
      </c>
      <c r="N192">
        <f t="shared" si="30"/>
        <v>2.2054538766480762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26231.834682078887</v>
      </c>
      <c r="T192">
        <f t="shared" si="34"/>
        <v>800.00093333333302</v>
      </c>
      <c r="U192">
        <f t="shared" si="35"/>
        <v>674.40022199934106</v>
      </c>
      <c r="V192">
        <f t="shared" si="36"/>
        <v>0.84299929400000029</v>
      </c>
      <c r="W192">
        <f t="shared" si="37"/>
        <v>0.15869849484000004</v>
      </c>
      <c r="X192">
        <v>1</v>
      </c>
      <c r="Y192">
        <v>1771088854.03333</v>
      </c>
      <c r="Z192">
        <v>499.27346666666699</v>
      </c>
      <c r="AA192">
        <v>499.98599999999999</v>
      </c>
      <c r="AB192">
        <v>15.419</v>
      </c>
      <c r="AC192">
        <v>14.3605</v>
      </c>
      <c r="AD192">
        <v>500.15406666666701</v>
      </c>
      <c r="AE192">
        <v>15.3239533333333</v>
      </c>
      <c r="AF192">
        <v>800.01260000000002</v>
      </c>
      <c r="AG192">
        <v>99.920360000000002</v>
      </c>
      <c r="AH192">
        <v>6.4530426666666696E-2</v>
      </c>
      <c r="AI192">
        <v>19.001986666666699</v>
      </c>
      <c r="AJ192">
        <v>999.9</v>
      </c>
      <c r="AK192">
        <v>999.9</v>
      </c>
      <c r="AL192">
        <v>0</v>
      </c>
      <c r="AM192">
        <v>0</v>
      </c>
      <c r="AN192">
        <v>5005.0666666666702</v>
      </c>
      <c r="AO192">
        <v>0</v>
      </c>
      <c r="AP192">
        <v>2.2019299999999999</v>
      </c>
      <c r="AQ192">
        <v>-0.71240833333333298</v>
      </c>
      <c r="AR192">
        <v>507.0924</v>
      </c>
      <c r="AS192">
        <v>507.2706</v>
      </c>
      <c r="AT192">
        <v>1.0584946666666699</v>
      </c>
      <c r="AU192">
        <v>499.98599999999999</v>
      </c>
      <c r="AV192">
        <v>14.3605</v>
      </c>
      <c r="AW192">
        <v>1.54067133333333</v>
      </c>
      <c r="AX192">
        <v>1.4349066666666701</v>
      </c>
      <c r="AY192">
        <v>13.3778666666667</v>
      </c>
      <c r="AZ192">
        <v>12.2916133333333</v>
      </c>
      <c r="BA192">
        <v>800.00093333333302</v>
      </c>
      <c r="BB192">
        <v>0.900019666666667</v>
      </c>
      <c r="BC192">
        <v>0</v>
      </c>
      <c r="BD192">
        <v>9.9980200000000005E-2</v>
      </c>
      <c r="BE192">
        <v>0</v>
      </c>
      <c r="BF192">
        <v>25</v>
      </c>
      <c r="BG192">
        <v>13191.12</v>
      </c>
      <c r="BH192">
        <v>1771088545.0999999</v>
      </c>
      <c r="BI192" t="s">
        <v>609</v>
      </c>
      <c r="BJ192">
        <v>1771088541.0999999</v>
      </c>
      <c r="BK192">
        <v>1771088545.0999999</v>
      </c>
      <c r="BL192">
        <v>6</v>
      </c>
      <c r="BM192">
        <v>-5.0000000000000001E-3</v>
      </c>
      <c r="BN192">
        <v>-5.0000000000000001E-3</v>
      </c>
      <c r="BO192">
        <v>-0.88100000000000001</v>
      </c>
      <c r="BP192">
        <v>9.5000000000000001E-2</v>
      </c>
      <c r="BQ192">
        <v>500</v>
      </c>
      <c r="BR192">
        <v>14</v>
      </c>
      <c r="BS192">
        <v>0.15</v>
      </c>
      <c r="BT192">
        <v>0.03</v>
      </c>
      <c r="BU192">
        <v>-0.70945265000000002</v>
      </c>
      <c r="BV192">
        <v>1.21054285714286E-2</v>
      </c>
      <c r="BW192">
        <v>1.59499222828044E-2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1.0575425000000001</v>
      </c>
      <c r="CD192">
        <v>3.4382706766918701E-2</v>
      </c>
      <c r="CE192">
        <v>3.7284137042447401E-3</v>
      </c>
      <c r="CF192">
        <v>1</v>
      </c>
      <c r="CG192">
        <v>2</v>
      </c>
      <c r="CH192">
        <v>2</v>
      </c>
      <c r="CI192" t="s">
        <v>310</v>
      </c>
      <c r="CJ192">
        <v>3.5325299999999999</v>
      </c>
      <c r="CK192">
        <v>2.7022300000000001</v>
      </c>
      <c r="CL192">
        <v>0.11329500000000001</v>
      </c>
      <c r="CM192">
        <v>0.11181199999999999</v>
      </c>
      <c r="CN192">
        <v>8.71252E-2</v>
      </c>
      <c r="CO192">
        <v>8.1765699999999997E-2</v>
      </c>
      <c r="CP192">
        <v>31104.3</v>
      </c>
      <c r="CQ192">
        <v>27355.200000000001</v>
      </c>
      <c r="CR192">
        <v>32465.3</v>
      </c>
      <c r="CS192">
        <v>30724.6</v>
      </c>
      <c r="CT192">
        <v>40128.300000000003</v>
      </c>
      <c r="CU192">
        <v>39673.4</v>
      </c>
      <c r="CV192">
        <v>47409.4</v>
      </c>
      <c r="CW192">
        <v>46854.2</v>
      </c>
      <c r="CX192">
        <v>2.6265999999999998</v>
      </c>
      <c r="CY192">
        <v>2.14818</v>
      </c>
      <c r="CZ192">
        <v>0</v>
      </c>
      <c r="DA192">
        <v>0</v>
      </c>
      <c r="DB192">
        <v>999.9</v>
      </c>
      <c r="DC192">
        <v>999.9</v>
      </c>
      <c r="DD192">
        <v>54.859000000000002</v>
      </c>
      <c r="DE192">
        <v>26.224</v>
      </c>
      <c r="DF192">
        <v>18.772200000000002</v>
      </c>
      <c r="DG192">
        <v>30.101900000000001</v>
      </c>
      <c r="DH192">
        <v>15.412699999999999</v>
      </c>
      <c r="DI192">
        <v>2</v>
      </c>
      <c r="DJ192">
        <v>-0.14117299999999999</v>
      </c>
      <c r="DK192">
        <v>2.3301099999999999</v>
      </c>
      <c r="DL192">
        <v>20.1937</v>
      </c>
      <c r="DM192">
        <v>5.2528699999999997</v>
      </c>
      <c r="DN192">
        <v>12.033899999999999</v>
      </c>
      <c r="DO192">
        <v>4.9675200000000004</v>
      </c>
      <c r="DP192">
        <v>3.2910200000000001</v>
      </c>
      <c r="DQ192">
        <v>9999</v>
      </c>
      <c r="DR192">
        <v>9999</v>
      </c>
      <c r="DS192">
        <v>9999</v>
      </c>
      <c r="DT192">
        <v>604.79999999999995</v>
      </c>
      <c r="DU192">
        <v>1.8711800000000001</v>
      </c>
      <c r="DV192">
        <v>1.87622</v>
      </c>
      <c r="DW192">
        <v>1.8763700000000001</v>
      </c>
      <c r="DX192">
        <v>1.8829199999999999</v>
      </c>
      <c r="DY192">
        <v>1.8756200000000001</v>
      </c>
      <c r="DZ192">
        <v>1.87469</v>
      </c>
      <c r="EA192">
        <v>1.8708800000000001</v>
      </c>
      <c r="EB192">
        <v>1.8747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-0.88100000000000001</v>
      </c>
      <c r="EQ192">
        <v>9.5000000000000001E-2</v>
      </c>
      <c r="ER192">
        <v>-0.88049999999999995</v>
      </c>
      <c r="ES192">
        <v>0</v>
      </c>
      <c r="ET192">
        <v>0</v>
      </c>
      <c r="EU192">
        <v>0</v>
      </c>
      <c r="EV192">
        <v>9.5040000000000902E-2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5.3</v>
      </c>
      <c r="FE192">
        <v>5.3</v>
      </c>
      <c r="FF192">
        <v>1.4611799999999999</v>
      </c>
      <c r="FG192">
        <v>2.5830099999999998</v>
      </c>
      <c r="FH192">
        <v>2.19604</v>
      </c>
      <c r="FI192">
        <v>2.5793499999999998</v>
      </c>
      <c r="FJ192">
        <v>2.4462899999999999</v>
      </c>
      <c r="FK192">
        <v>2.323</v>
      </c>
      <c r="FL192">
        <v>31.2591</v>
      </c>
      <c r="FM192">
        <v>24.148800000000001</v>
      </c>
      <c r="FN192">
        <v>19</v>
      </c>
      <c r="FO192">
        <v>864.48099999999999</v>
      </c>
      <c r="FP192">
        <v>587.255</v>
      </c>
      <c r="FQ192">
        <v>17.973400000000002</v>
      </c>
      <c r="FR192">
        <v>25.248100000000001</v>
      </c>
      <c r="FS192">
        <v>30.000299999999999</v>
      </c>
      <c r="FT192">
        <v>25.231100000000001</v>
      </c>
      <c r="FU192">
        <v>25.2333</v>
      </c>
      <c r="FV192">
        <v>29.310400000000001</v>
      </c>
      <c r="FW192">
        <v>27.185700000000001</v>
      </c>
      <c r="FX192">
        <v>41.103900000000003</v>
      </c>
      <c r="FY192">
        <v>17.9724</v>
      </c>
      <c r="FZ192">
        <v>500</v>
      </c>
      <c r="GA192">
        <v>14.394</v>
      </c>
      <c r="GB192">
        <v>99.901399999999995</v>
      </c>
      <c r="GC192">
        <v>99.744200000000006</v>
      </c>
    </row>
    <row r="193" spans="1:185" x14ac:dyDescent="0.2">
      <c r="A193">
        <v>178</v>
      </c>
      <c r="B193">
        <v>1771088877.0999999</v>
      </c>
      <c r="C193">
        <v>3557.0999999046298</v>
      </c>
      <c r="D193" t="s">
        <v>654</v>
      </c>
      <c r="E193" t="s">
        <v>655</v>
      </c>
      <c r="F193">
        <v>15</v>
      </c>
      <c r="G193">
        <v>1771088869.03333</v>
      </c>
      <c r="H193">
        <f t="shared" si="26"/>
        <v>8.657964351598326E-4</v>
      </c>
      <c r="I193">
        <v>0</v>
      </c>
      <c r="J193">
        <f t="shared" si="38"/>
        <v>5.4836323729245684E-3</v>
      </c>
      <c r="K193">
        <f t="shared" si="27"/>
        <v>0.14863898336450782</v>
      </c>
      <c r="L193">
        <f t="shared" si="28"/>
        <v>69.945339781385528</v>
      </c>
      <c r="M193">
        <f t="shared" si="29"/>
        <v>1.5425095314062043</v>
      </c>
      <c r="N193">
        <f t="shared" si="30"/>
        <v>2.205307081540135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26185.19447742686</v>
      </c>
      <c r="T193">
        <f t="shared" si="34"/>
        <v>800.00026666666702</v>
      </c>
      <c r="U193">
        <f t="shared" si="35"/>
        <v>674.39978383985328</v>
      </c>
      <c r="V193">
        <f t="shared" si="36"/>
        <v>0.8429994488</v>
      </c>
      <c r="W193">
        <f t="shared" si="37"/>
        <v>0.158698673968</v>
      </c>
      <c r="X193">
        <v>1</v>
      </c>
      <c r="Y193">
        <v>1771088869.03333</v>
      </c>
      <c r="Z193">
        <v>499.27760000000001</v>
      </c>
      <c r="AA193">
        <v>500.003733333333</v>
      </c>
      <c r="AB193">
        <v>15.427386666666701</v>
      </c>
      <c r="AC193">
        <v>14.3618466666667</v>
      </c>
      <c r="AD193">
        <v>500.15780000000001</v>
      </c>
      <c r="AE193">
        <v>15.332326666666701</v>
      </c>
      <c r="AF193">
        <v>800.00699999999995</v>
      </c>
      <c r="AG193">
        <v>99.920793333333407</v>
      </c>
      <c r="AH193">
        <v>6.4354166666666698E-2</v>
      </c>
      <c r="AI193">
        <v>19.000920000000001</v>
      </c>
      <c r="AJ193">
        <v>999.9</v>
      </c>
      <c r="AK193">
        <v>999.9</v>
      </c>
      <c r="AL193">
        <v>0</v>
      </c>
      <c r="AM193">
        <v>0</v>
      </c>
      <c r="AN193">
        <v>4997.3333333333303</v>
      </c>
      <c r="AO193">
        <v>0</v>
      </c>
      <c r="AP193">
        <v>2.2019299999999999</v>
      </c>
      <c r="AQ193">
        <v>-0.72637320000000005</v>
      </c>
      <c r="AR193">
        <v>507.10059999999999</v>
      </c>
      <c r="AS193">
        <v>507.28960000000001</v>
      </c>
      <c r="AT193">
        <v>1.06553266666667</v>
      </c>
      <c r="AU193">
        <v>500.003733333333</v>
      </c>
      <c r="AV193">
        <v>14.3618466666667</v>
      </c>
      <c r="AW193">
        <v>1.54151533333333</v>
      </c>
      <c r="AX193">
        <v>1.43504733333333</v>
      </c>
      <c r="AY193">
        <v>13.386279999999999</v>
      </c>
      <c r="AZ193">
        <v>12.2931066666667</v>
      </c>
      <c r="BA193">
        <v>800.00026666666702</v>
      </c>
      <c r="BB193">
        <v>0.90001759999999997</v>
      </c>
      <c r="BC193">
        <v>0</v>
      </c>
      <c r="BD193">
        <v>9.9982373333333305E-2</v>
      </c>
      <c r="BE193">
        <v>0</v>
      </c>
      <c r="BF193">
        <v>25</v>
      </c>
      <c r="BG193">
        <v>13191.0933333333</v>
      </c>
      <c r="BH193">
        <v>1771088545.0999999</v>
      </c>
      <c r="BI193" t="s">
        <v>609</v>
      </c>
      <c r="BJ193">
        <v>1771088541.0999999</v>
      </c>
      <c r="BK193">
        <v>1771088545.0999999</v>
      </c>
      <c r="BL193">
        <v>6</v>
      </c>
      <c r="BM193">
        <v>-5.0000000000000001E-3</v>
      </c>
      <c r="BN193">
        <v>-5.0000000000000001E-3</v>
      </c>
      <c r="BO193">
        <v>-0.88100000000000001</v>
      </c>
      <c r="BP193">
        <v>9.5000000000000001E-2</v>
      </c>
      <c r="BQ193">
        <v>500</v>
      </c>
      <c r="BR193">
        <v>14</v>
      </c>
      <c r="BS193">
        <v>0.15</v>
      </c>
      <c r="BT193">
        <v>0.03</v>
      </c>
      <c r="BU193">
        <v>-0.71969880952381005</v>
      </c>
      <c r="BV193">
        <v>-9.3062805194804699E-2</v>
      </c>
      <c r="BW193">
        <v>1.8910946378119201E-2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1.0646819047619001</v>
      </c>
      <c r="CD193">
        <v>2.5119740259739499E-2</v>
      </c>
      <c r="CE193">
        <v>5.0183298483778803E-3</v>
      </c>
      <c r="CF193">
        <v>1</v>
      </c>
      <c r="CG193">
        <v>2</v>
      </c>
      <c r="CH193">
        <v>2</v>
      </c>
      <c r="CI193" t="s">
        <v>310</v>
      </c>
      <c r="CJ193">
        <v>3.5325099999999998</v>
      </c>
      <c r="CK193">
        <v>2.7022200000000001</v>
      </c>
      <c r="CL193">
        <v>0.113292</v>
      </c>
      <c r="CM193">
        <v>0.111813</v>
      </c>
      <c r="CN193">
        <v>8.7127599999999999E-2</v>
      </c>
      <c r="CO193">
        <v>8.1648299999999993E-2</v>
      </c>
      <c r="CP193">
        <v>31104.6</v>
      </c>
      <c r="CQ193">
        <v>27355.599999999999</v>
      </c>
      <c r="CR193">
        <v>32465.599999999999</v>
      </c>
      <c r="CS193">
        <v>30725.200000000001</v>
      </c>
      <c r="CT193">
        <v>40128.5</v>
      </c>
      <c r="CU193">
        <v>39679.1</v>
      </c>
      <c r="CV193">
        <v>47409.8</v>
      </c>
      <c r="CW193">
        <v>46854.8</v>
      </c>
      <c r="CX193">
        <v>2.6267999999999998</v>
      </c>
      <c r="CY193">
        <v>2.1479200000000001</v>
      </c>
      <c r="CZ193">
        <v>0</v>
      </c>
      <c r="DA193">
        <v>0</v>
      </c>
      <c r="DB193">
        <v>999.9</v>
      </c>
      <c r="DC193">
        <v>999.9</v>
      </c>
      <c r="DD193">
        <v>54.786000000000001</v>
      </c>
      <c r="DE193">
        <v>26.234000000000002</v>
      </c>
      <c r="DF193">
        <v>18.7578</v>
      </c>
      <c r="DG193">
        <v>30.311900000000001</v>
      </c>
      <c r="DH193">
        <v>15.3005</v>
      </c>
      <c r="DI193">
        <v>2</v>
      </c>
      <c r="DJ193">
        <v>-0.140705</v>
      </c>
      <c r="DK193">
        <v>2.3254199999999998</v>
      </c>
      <c r="DL193">
        <v>20.1951</v>
      </c>
      <c r="DM193">
        <v>5.2515499999999999</v>
      </c>
      <c r="DN193">
        <v>12.033899999999999</v>
      </c>
      <c r="DO193">
        <v>4.9674399999999999</v>
      </c>
      <c r="DP193">
        <v>3.2909999999999999</v>
      </c>
      <c r="DQ193">
        <v>9999</v>
      </c>
      <c r="DR193">
        <v>9999</v>
      </c>
      <c r="DS193">
        <v>9999</v>
      </c>
      <c r="DT193">
        <v>604.79999999999995</v>
      </c>
      <c r="DU193">
        <v>1.87117</v>
      </c>
      <c r="DV193">
        <v>1.87622</v>
      </c>
      <c r="DW193">
        <v>1.8763700000000001</v>
      </c>
      <c r="DX193">
        <v>1.8829199999999999</v>
      </c>
      <c r="DY193">
        <v>1.8756200000000001</v>
      </c>
      <c r="DZ193">
        <v>1.87469</v>
      </c>
      <c r="EA193">
        <v>1.87086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-0.88100000000000001</v>
      </c>
      <c r="EQ193">
        <v>9.5100000000000004E-2</v>
      </c>
      <c r="ER193">
        <v>-0.88049999999999995</v>
      </c>
      <c r="ES193">
        <v>0</v>
      </c>
      <c r="ET193">
        <v>0</v>
      </c>
      <c r="EU193">
        <v>0</v>
      </c>
      <c r="EV193">
        <v>9.5040000000000902E-2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5.6</v>
      </c>
      <c r="FE193">
        <v>5.5</v>
      </c>
      <c r="FF193">
        <v>1.4611799999999999</v>
      </c>
      <c r="FG193">
        <v>2.5842299999999998</v>
      </c>
      <c r="FH193">
        <v>2.19604</v>
      </c>
      <c r="FI193">
        <v>2.5793499999999998</v>
      </c>
      <c r="FJ193">
        <v>2.4462899999999999</v>
      </c>
      <c r="FK193">
        <v>2.2631800000000002</v>
      </c>
      <c r="FL193">
        <v>31.302600000000002</v>
      </c>
      <c r="FM193">
        <v>24.14</v>
      </c>
      <c r="FN193">
        <v>19</v>
      </c>
      <c r="FO193">
        <v>864.73400000000004</v>
      </c>
      <c r="FP193">
        <v>587.09299999999996</v>
      </c>
      <c r="FQ193">
        <v>17.970800000000001</v>
      </c>
      <c r="FR193">
        <v>25.251200000000001</v>
      </c>
      <c r="FS193">
        <v>30.0001</v>
      </c>
      <c r="FT193">
        <v>25.235299999999999</v>
      </c>
      <c r="FU193">
        <v>25.236799999999999</v>
      </c>
      <c r="FV193">
        <v>29.308900000000001</v>
      </c>
      <c r="FW193">
        <v>27.185700000000001</v>
      </c>
      <c r="FX193">
        <v>40.731499999999997</v>
      </c>
      <c r="FY193">
        <v>17.969799999999999</v>
      </c>
      <c r="FZ193">
        <v>500</v>
      </c>
      <c r="GA193">
        <v>14.394</v>
      </c>
      <c r="GB193">
        <v>99.902299999999997</v>
      </c>
      <c r="GC193">
        <v>99.745699999999999</v>
      </c>
    </row>
    <row r="194" spans="1:185" x14ac:dyDescent="0.2">
      <c r="A194">
        <v>179</v>
      </c>
      <c r="B194">
        <v>1771088892.0999999</v>
      </c>
      <c r="C194">
        <v>3572.0999999046298</v>
      </c>
      <c r="D194" t="s">
        <v>656</v>
      </c>
      <c r="E194" t="s">
        <v>657</v>
      </c>
      <c r="F194">
        <v>15</v>
      </c>
      <c r="G194">
        <v>1771088884.03333</v>
      </c>
      <c r="H194">
        <f t="shared" si="26"/>
        <v>8.8272455511623237E-4</v>
      </c>
      <c r="I194">
        <v>0</v>
      </c>
      <c r="J194">
        <f t="shared" si="38"/>
        <v>5.5882129391430354E-3</v>
      </c>
      <c r="K194">
        <f t="shared" si="27"/>
        <v>0.15147373740804101</v>
      </c>
      <c r="L194">
        <f t="shared" si="28"/>
        <v>69.905038506634071</v>
      </c>
      <c r="M194">
        <f t="shared" si="29"/>
        <v>1.541687465023853</v>
      </c>
      <c r="N194">
        <f t="shared" si="30"/>
        <v>2.2054024973858573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26200.139904289426</v>
      </c>
      <c r="T194">
        <f t="shared" si="34"/>
        <v>800.000133333333</v>
      </c>
      <c r="U194">
        <f t="shared" si="35"/>
        <v>674.39970103993085</v>
      </c>
      <c r="V194">
        <f t="shared" si="36"/>
        <v>0.84299948579999961</v>
      </c>
      <c r="W194">
        <f t="shared" si="37"/>
        <v>0.15869870150799995</v>
      </c>
      <c r="X194">
        <v>1</v>
      </c>
      <c r="Y194">
        <v>1771088884.03333</v>
      </c>
      <c r="Z194">
        <v>499.24579999999997</v>
      </c>
      <c r="AA194">
        <v>499.98599999999999</v>
      </c>
      <c r="AB194">
        <v>15.4191066666667</v>
      </c>
      <c r="AC194">
        <v>14.3327333333333</v>
      </c>
      <c r="AD194">
        <v>500.12633333333298</v>
      </c>
      <c r="AE194">
        <v>15.32408</v>
      </c>
      <c r="AF194">
        <v>800.01386666666701</v>
      </c>
      <c r="AG194">
        <v>99.921033333333298</v>
      </c>
      <c r="AH194">
        <v>6.4491013333333305E-2</v>
      </c>
      <c r="AI194">
        <v>19.001613333333299</v>
      </c>
      <c r="AJ194">
        <v>999.9</v>
      </c>
      <c r="AK194">
        <v>999.9</v>
      </c>
      <c r="AL194">
        <v>0</v>
      </c>
      <c r="AM194">
        <v>0</v>
      </c>
      <c r="AN194">
        <v>4999.8</v>
      </c>
      <c r="AO194">
        <v>0</v>
      </c>
      <c r="AP194">
        <v>2.2019299999999999</v>
      </c>
      <c r="AQ194">
        <v>-0.73994753333333296</v>
      </c>
      <c r="AR194">
        <v>507.06433333333302</v>
      </c>
      <c r="AS194">
        <v>507.25626666666699</v>
      </c>
      <c r="AT194">
        <v>1.08639333333333</v>
      </c>
      <c r="AU194">
        <v>499.98599999999999</v>
      </c>
      <c r="AV194">
        <v>14.3327333333333</v>
      </c>
      <c r="AW194">
        <v>1.54069533333333</v>
      </c>
      <c r="AX194">
        <v>1.4321406666666701</v>
      </c>
      <c r="AY194">
        <v>13.3780933333333</v>
      </c>
      <c r="AZ194">
        <v>12.2622866666667</v>
      </c>
      <c r="BA194">
        <v>800.000133333333</v>
      </c>
      <c r="BB194">
        <v>0.900017333333333</v>
      </c>
      <c r="BC194">
        <v>0</v>
      </c>
      <c r="BD194">
        <v>9.99826733333333E-2</v>
      </c>
      <c r="BE194">
        <v>0</v>
      </c>
      <c r="BF194">
        <v>25</v>
      </c>
      <c r="BG194">
        <v>13191.1</v>
      </c>
      <c r="BH194">
        <v>1771088545.0999999</v>
      </c>
      <c r="BI194" t="s">
        <v>609</v>
      </c>
      <c r="BJ194">
        <v>1771088541.0999999</v>
      </c>
      <c r="BK194">
        <v>1771088545.0999999</v>
      </c>
      <c r="BL194">
        <v>6</v>
      </c>
      <c r="BM194">
        <v>-5.0000000000000001E-3</v>
      </c>
      <c r="BN194">
        <v>-5.0000000000000001E-3</v>
      </c>
      <c r="BO194">
        <v>-0.88100000000000001</v>
      </c>
      <c r="BP194">
        <v>9.5000000000000001E-2</v>
      </c>
      <c r="BQ194">
        <v>500</v>
      </c>
      <c r="BR194">
        <v>14</v>
      </c>
      <c r="BS194">
        <v>0.15</v>
      </c>
      <c r="BT194">
        <v>0.03</v>
      </c>
      <c r="BU194">
        <v>-0.73714042857142903</v>
      </c>
      <c r="BV194">
        <v>-7.3589610389611398E-2</v>
      </c>
      <c r="BW194">
        <v>2.0269549771990102E-2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1.0812719047618999</v>
      </c>
      <c r="CD194">
        <v>4.13283116883141E-2</v>
      </c>
      <c r="CE194">
        <v>1.46516693731295E-2</v>
      </c>
      <c r="CF194">
        <v>1</v>
      </c>
      <c r="CG194">
        <v>2</v>
      </c>
      <c r="CH194">
        <v>2</v>
      </c>
      <c r="CI194" t="s">
        <v>310</v>
      </c>
      <c r="CJ194">
        <v>3.5325099999999998</v>
      </c>
      <c r="CK194">
        <v>2.7021700000000002</v>
      </c>
      <c r="CL194">
        <v>0.11329400000000001</v>
      </c>
      <c r="CM194">
        <v>0.111816</v>
      </c>
      <c r="CN194">
        <v>8.7108599999999994E-2</v>
      </c>
      <c r="CO194">
        <v>8.1724500000000005E-2</v>
      </c>
      <c r="CP194">
        <v>31104.3</v>
      </c>
      <c r="CQ194">
        <v>27356.2</v>
      </c>
      <c r="CR194">
        <v>32465.3</v>
      </c>
      <c r="CS194">
        <v>30725.9</v>
      </c>
      <c r="CT194">
        <v>40129.199999999997</v>
      </c>
      <c r="CU194">
        <v>39676.699999999997</v>
      </c>
      <c r="CV194">
        <v>47409.5</v>
      </c>
      <c r="CW194">
        <v>46855.9</v>
      </c>
      <c r="CX194">
        <v>2.6265399999999999</v>
      </c>
      <c r="CY194">
        <v>2.14784</v>
      </c>
      <c r="CZ194">
        <v>0</v>
      </c>
      <c r="DA194">
        <v>0</v>
      </c>
      <c r="DB194">
        <v>999.9</v>
      </c>
      <c r="DC194">
        <v>999.9</v>
      </c>
      <c r="DD194">
        <v>54.664000000000001</v>
      </c>
      <c r="DE194">
        <v>26.234000000000002</v>
      </c>
      <c r="DF194">
        <v>18.716799999999999</v>
      </c>
      <c r="DG194">
        <v>30.131900000000002</v>
      </c>
      <c r="DH194">
        <v>15.4087</v>
      </c>
      <c r="DI194">
        <v>2</v>
      </c>
      <c r="DJ194">
        <v>-0.140596</v>
      </c>
      <c r="DK194">
        <v>2.3319800000000002</v>
      </c>
      <c r="DL194">
        <v>20.194600000000001</v>
      </c>
      <c r="DM194">
        <v>5.2515499999999999</v>
      </c>
      <c r="DN194">
        <v>12.033899999999999</v>
      </c>
      <c r="DO194">
        <v>4.9673999999999996</v>
      </c>
      <c r="DP194">
        <v>3.2909999999999999</v>
      </c>
      <c r="DQ194">
        <v>9999</v>
      </c>
      <c r="DR194">
        <v>9999</v>
      </c>
      <c r="DS194">
        <v>9999</v>
      </c>
      <c r="DT194">
        <v>604.79999999999995</v>
      </c>
      <c r="DU194">
        <v>1.8711500000000001</v>
      </c>
      <c r="DV194">
        <v>1.8762099999999999</v>
      </c>
      <c r="DW194">
        <v>1.8763700000000001</v>
      </c>
      <c r="DX194">
        <v>1.88286</v>
      </c>
      <c r="DY194">
        <v>1.87561</v>
      </c>
      <c r="DZ194">
        <v>1.87469</v>
      </c>
      <c r="EA194">
        <v>1.8708499999999999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-0.88</v>
      </c>
      <c r="EQ194">
        <v>9.5100000000000004E-2</v>
      </c>
      <c r="ER194">
        <v>-0.88049999999999995</v>
      </c>
      <c r="ES194">
        <v>0</v>
      </c>
      <c r="ET194">
        <v>0</v>
      </c>
      <c r="EU194">
        <v>0</v>
      </c>
      <c r="EV194">
        <v>9.5040000000000902E-2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5.8</v>
      </c>
      <c r="FE194">
        <v>5.8</v>
      </c>
      <c r="FF194">
        <v>1.4611799999999999</v>
      </c>
      <c r="FG194">
        <v>2.5830099999999998</v>
      </c>
      <c r="FH194">
        <v>2.19604</v>
      </c>
      <c r="FI194">
        <v>2.5793499999999998</v>
      </c>
      <c r="FJ194">
        <v>2.4462899999999999</v>
      </c>
      <c r="FK194">
        <v>2.3290999999999999</v>
      </c>
      <c r="FL194">
        <v>31.302600000000002</v>
      </c>
      <c r="FM194">
        <v>24.148800000000001</v>
      </c>
      <c r="FN194">
        <v>19</v>
      </c>
      <c r="FO194">
        <v>864.53899999999999</v>
      </c>
      <c r="FP194">
        <v>587.08000000000004</v>
      </c>
      <c r="FQ194">
        <v>17.965900000000001</v>
      </c>
      <c r="FR194">
        <v>25.254100000000001</v>
      </c>
      <c r="FS194">
        <v>30.0002</v>
      </c>
      <c r="FT194">
        <v>25.238299999999999</v>
      </c>
      <c r="FU194">
        <v>25.241099999999999</v>
      </c>
      <c r="FV194">
        <v>29.310199999999998</v>
      </c>
      <c r="FW194">
        <v>26.915099999999999</v>
      </c>
      <c r="FX194">
        <v>40.731499999999997</v>
      </c>
      <c r="FY194">
        <v>17.965</v>
      </c>
      <c r="FZ194">
        <v>500</v>
      </c>
      <c r="GA194">
        <v>14.394</v>
      </c>
      <c r="GB194">
        <v>99.901499999999999</v>
      </c>
      <c r="GC194">
        <v>99.748099999999994</v>
      </c>
    </row>
    <row r="195" spans="1:185" x14ac:dyDescent="0.2">
      <c r="A195">
        <v>180</v>
      </c>
      <c r="B195">
        <v>1771088907.0999999</v>
      </c>
      <c r="C195">
        <v>3587.0999999046298</v>
      </c>
      <c r="D195" t="s">
        <v>658</v>
      </c>
      <c r="E195" t="s">
        <v>659</v>
      </c>
      <c r="F195">
        <v>15</v>
      </c>
      <c r="G195">
        <v>1771088899.03333</v>
      </c>
      <c r="H195">
        <f t="shared" si="26"/>
        <v>8.6488692668007527E-4</v>
      </c>
      <c r="I195">
        <v>0</v>
      </c>
      <c r="J195">
        <f t="shared" si="38"/>
        <v>5.5442047919101881E-3</v>
      </c>
      <c r="K195">
        <f t="shared" si="27"/>
        <v>0.15028085542405833</v>
      </c>
      <c r="L195">
        <f t="shared" si="28"/>
        <v>69.904254148052516</v>
      </c>
      <c r="M195">
        <f t="shared" si="29"/>
        <v>1.5416727321850707</v>
      </c>
      <c r="N195">
        <f t="shared" si="30"/>
        <v>2.2054061672983614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26225.326116439152</v>
      </c>
      <c r="T195">
        <f t="shared" si="34"/>
        <v>799.99833333333299</v>
      </c>
      <c r="U195">
        <f t="shared" si="35"/>
        <v>674.39812892097098</v>
      </c>
      <c r="V195">
        <f t="shared" si="36"/>
        <v>0.84299941740000028</v>
      </c>
      <c r="W195">
        <f t="shared" si="37"/>
        <v>0.15869863444400006</v>
      </c>
      <c r="X195">
        <v>1</v>
      </c>
      <c r="Y195">
        <v>1771088899.03333</v>
      </c>
      <c r="Z195">
        <v>499.26293333333302</v>
      </c>
      <c r="AA195">
        <v>499.99053333333302</v>
      </c>
      <c r="AB195">
        <v>15.41888</v>
      </c>
      <c r="AC195">
        <v>14.3544533333333</v>
      </c>
      <c r="AD195">
        <v>500.143466666667</v>
      </c>
      <c r="AE195">
        <v>15.323840000000001</v>
      </c>
      <c r="AF195">
        <v>800.00940000000003</v>
      </c>
      <c r="AG195">
        <v>99.921599999999998</v>
      </c>
      <c r="AH195">
        <v>6.4438686666666703E-2</v>
      </c>
      <c r="AI195">
        <v>19.001639999999998</v>
      </c>
      <c r="AJ195">
        <v>999.9</v>
      </c>
      <c r="AK195">
        <v>999.9</v>
      </c>
      <c r="AL195">
        <v>0</v>
      </c>
      <c r="AM195">
        <v>0</v>
      </c>
      <c r="AN195">
        <v>5003.9333333333298</v>
      </c>
      <c r="AO195">
        <v>0</v>
      </c>
      <c r="AP195">
        <v>2.2019299999999999</v>
      </c>
      <c r="AQ195">
        <v>-0.72763466666666698</v>
      </c>
      <c r="AR195">
        <v>507.08166666666699</v>
      </c>
      <c r="AS195">
        <v>507.2722</v>
      </c>
      <c r="AT195">
        <v>1.0644133333333301</v>
      </c>
      <c r="AU195">
        <v>499.99053333333302</v>
      </c>
      <c r="AV195">
        <v>14.3544533333333</v>
      </c>
      <c r="AW195">
        <v>1.54067933333333</v>
      </c>
      <c r="AX195">
        <v>1.43432</v>
      </c>
      <c r="AY195">
        <v>13.3779533333333</v>
      </c>
      <c r="AZ195">
        <v>12.28542</v>
      </c>
      <c r="BA195">
        <v>799.99833333333299</v>
      </c>
      <c r="BB195">
        <v>0.90001806666666695</v>
      </c>
      <c r="BC195">
        <v>0</v>
      </c>
      <c r="BD195">
        <v>9.99818866666667E-2</v>
      </c>
      <c r="BE195">
        <v>0</v>
      </c>
      <c r="BF195">
        <v>25</v>
      </c>
      <c r="BG195">
        <v>13191.0666666667</v>
      </c>
      <c r="BH195">
        <v>1771088545.0999999</v>
      </c>
      <c r="BI195" t="s">
        <v>609</v>
      </c>
      <c r="BJ195">
        <v>1771088541.0999999</v>
      </c>
      <c r="BK195">
        <v>1771088545.0999999</v>
      </c>
      <c r="BL195">
        <v>6</v>
      </c>
      <c r="BM195">
        <v>-5.0000000000000001E-3</v>
      </c>
      <c r="BN195">
        <v>-5.0000000000000001E-3</v>
      </c>
      <c r="BO195">
        <v>-0.88100000000000001</v>
      </c>
      <c r="BP195">
        <v>9.5000000000000001E-2</v>
      </c>
      <c r="BQ195">
        <v>500</v>
      </c>
      <c r="BR195">
        <v>14</v>
      </c>
      <c r="BS195">
        <v>0.15</v>
      </c>
      <c r="BT195">
        <v>0.03</v>
      </c>
      <c r="BU195">
        <v>-0.73370795238095199</v>
      </c>
      <c r="BV195">
        <v>0.10464163636363601</v>
      </c>
      <c r="BW195">
        <v>2.4058326626042601E-2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1.06672952380952</v>
      </c>
      <c r="CD195">
        <v>-4.9923116883117E-2</v>
      </c>
      <c r="CE195">
        <v>5.5378794946308102E-3</v>
      </c>
      <c r="CF195">
        <v>1</v>
      </c>
      <c r="CG195">
        <v>2</v>
      </c>
      <c r="CH195">
        <v>2</v>
      </c>
      <c r="CI195" t="s">
        <v>310</v>
      </c>
      <c r="CJ195">
        <v>3.53254</v>
      </c>
      <c r="CK195">
        <v>2.7023700000000002</v>
      </c>
      <c r="CL195">
        <v>0.113291</v>
      </c>
      <c r="CM195">
        <v>0.111818</v>
      </c>
      <c r="CN195">
        <v>8.70702E-2</v>
      </c>
      <c r="CO195">
        <v>8.1739999999999993E-2</v>
      </c>
      <c r="CP195">
        <v>31104.1</v>
      </c>
      <c r="CQ195">
        <v>27355.7</v>
      </c>
      <c r="CR195">
        <v>32465.1</v>
      </c>
      <c r="CS195">
        <v>30725.5</v>
      </c>
      <c r="CT195">
        <v>40130.800000000003</v>
      </c>
      <c r="CU195">
        <v>39675.199999999997</v>
      </c>
      <c r="CV195">
        <v>47409.4</v>
      </c>
      <c r="CW195">
        <v>46855</v>
      </c>
      <c r="CX195">
        <v>2.6264400000000001</v>
      </c>
      <c r="CY195">
        <v>2.1477599999999999</v>
      </c>
      <c r="CZ195">
        <v>0</v>
      </c>
      <c r="DA195">
        <v>0</v>
      </c>
      <c r="DB195">
        <v>999.9</v>
      </c>
      <c r="DC195">
        <v>999.9</v>
      </c>
      <c r="DD195">
        <v>54.59</v>
      </c>
      <c r="DE195">
        <v>26.263999999999999</v>
      </c>
      <c r="DF195">
        <v>18.722999999999999</v>
      </c>
      <c r="DG195">
        <v>30.041899999999998</v>
      </c>
      <c r="DH195">
        <v>15.3606</v>
      </c>
      <c r="DI195">
        <v>2</v>
      </c>
      <c r="DJ195">
        <v>-0.140207</v>
      </c>
      <c r="DK195">
        <v>2.3357299999999999</v>
      </c>
      <c r="DL195">
        <v>20.1968</v>
      </c>
      <c r="DM195">
        <v>5.2513100000000001</v>
      </c>
      <c r="DN195">
        <v>12.033899999999999</v>
      </c>
      <c r="DO195">
        <v>4.96732</v>
      </c>
      <c r="DP195">
        <v>3.2909999999999999</v>
      </c>
      <c r="DQ195">
        <v>9999</v>
      </c>
      <c r="DR195">
        <v>9999</v>
      </c>
      <c r="DS195">
        <v>9999</v>
      </c>
      <c r="DT195">
        <v>604.79999999999995</v>
      </c>
      <c r="DU195">
        <v>1.87117</v>
      </c>
      <c r="DV195">
        <v>1.87622</v>
      </c>
      <c r="DW195">
        <v>1.8763700000000001</v>
      </c>
      <c r="DX195">
        <v>1.88287</v>
      </c>
      <c r="DY195">
        <v>1.8756200000000001</v>
      </c>
      <c r="DZ195">
        <v>1.87469</v>
      </c>
      <c r="EA195">
        <v>1.8708400000000001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-0.88</v>
      </c>
      <c r="EQ195">
        <v>9.5000000000000001E-2</v>
      </c>
      <c r="ER195">
        <v>-0.88049999999999995</v>
      </c>
      <c r="ES195">
        <v>0</v>
      </c>
      <c r="ET195">
        <v>0</v>
      </c>
      <c r="EU195">
        <v>0</v>
      </c>
      <c r="EV195">
        <v>9.5040000000000902E-2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6.1</v>
      </c>
      <c r="FE195">
        <v>6</v>
      </c>
      <c r="FF195">
        <v>1.4611799999999999</v>
      </c>
      <c r="FG195">
        <v>2.5903299999999998</v>
      </c>
      <c r="FH195">
        <v>2.19604</v>
      </c>
      <c r="FI195">
        <v>2.5793499999999998</v>
      </c>
      <c r="FJ195">
        <v>2.4462899999999999</v>
      </c>
      <c r="FK195">
        <v>2.2668499999999998</v>
      </c>
      <c r="FL195">
        <v>31.302600000000002</v>
      </c>
      <c r="FM195">
        <v>24.1313</v>
      </c>
      <c r="FN195">
        <v>19</v>
      </c>
      <c r="FO195">
        <v>864.50199999999995</v>
      </c>
      <c r="FP195">
        <v>587.04399999999998</v>
      </c>
      <c r="FQ195">
        <v>17.9617</v>
      </c>
      <c r="FR195">
        <v>25.2576</v>
      </c>
      <c r="FS195">
        <v>30.0002</v>
      </c>
      <c r="FT195">
        <v>25.241599999999998</v>
      </c>
      <c r="FU195">
        <v>25.243500000000001</v>
      </c>
      <c r="FV195">
        <v>29.311199999999999</v>
      </c>
      <c r="FW195">
        <v>26.915099999999999</v>
      </c>
      <c r="FX195">
        <v>40.731499999999997</v>
      </c>
      <c r="FY195">
        <v>17.96</v>
      </c>
      <c r="FZ195">
        <v>500</v>
      </c>
      <c r="GA195">
        <v>14.394</v>
      </c>
      <c r="GB195">
        <v>99.9011</v>
      </c>
      <c r="GC195">
        <v>99.746300000000005</v>
      </c>
    </row>
    <row r="196" spans="1:185" x14ac:dyDescent="0.2">
      <c r="A196">
        <v>181</v>
      </c>
      <c r="B196">
        <v>1771088922.0999999</v>
      </c>
      <c r="C196">
        <v>3602.0999999046298</v>
      </c>
      <c r="D196" t="s">
        <v>660</v>
      </c>
      <c r="E196" t="s">
        <v>661</v>
      </c>
      <c r="F196">
        <v>15</v>
      </c>
      <c r="G196">
        <v>1771088914.03333</v>
      </c>
      <c r="H196">
        <f t="shared" si="26"/>
        <v>8.6688858249530266E-4</v>
      </c>
      <c r="I196">
        <v>0</v>
      </c>
      <c r="J196">
        <f t="shared" si="38"/>
        <v>5.4971663061259843E-3</v>
      </c>
      <c r="K196">
        <f t="shared" si="27"/>
        <v>0.14900583327988767</v>
      </c>
      <c r="L196">
        <f t="shared" si="28"/>
        <v>69.89954567825346</v>
      </c>
      <c r="M196">
        <f t="shared" si="29"/>
        <v>1.5413476520609195</v>
      </c>
      <c r="N196">
        <f t="shared" si="30"/>
        <v>2.2050896570282719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26195.200520455379</v>
      </c>
      <c r="T196">
        <f t="shared" si="34"/>
        <v>800.00093333333302</v>
      </c>
      <c r="U196">
        <f t="shared" si="35"/>
        <v>674.400368559512</v>
      </c>
      <c r="V196">
        <f t="shared" si="36"/>
        <v>0.84299947720000024</v>
      </c>
      <c r="W196">
        <f t="shared" si="37"/>
        <v>0.15869838119200003</v>
      </c>
      <c r="X196">
        <v>1</v>
      </c>
      <c r="Y196">
        <v>1771088914.03333</v>
      </c>
      <c r="Z196">
        <v>499.26940000000002</v>
      </c>
      <c r="AA196">
        <v>499.99666666666701</v>
      </c>
      <c r="AB196">
        <v>15.415513333333299</v>
      </c>
      <c r="AC196">
        <v>14.348613333333301</v>
      </c>
      <c r="AD196">
        <v>500.15</v>
      </c>
      <c r="AE196">
        <v>15.320486666666699</v>
      </c>
      <c r="AF196">
        <v>800.00473333333298</v>
      </c>
      <c r="AG196">
        <v>99.922213333333303</v>
      </c>
      <c r="AH196">
        <v>6.4573920000000007E-2</v>
      </c>
      <c r="AI196">
        <v>18.99934</v>
      </c>
      <c r="AJ196">
        <v>999.9</v>
      </c>
      <c r="AK196">
        <v>999.9</v>
      </c>
      <c r="AL196">
        <v>0</v>
      </c>
      <c r="AM196">
        <v>0</v>
      </c>
      <c r="AN196">
        <v>4998.8999999999996</v>
      </c>
      <c r="AO196">
        <v>0</v>
      </c>
      <c r="AP196">
        <v>2.2019299999999999</v>
      </c>
      <c r="AQ196">
        <v>-0.72719920000000005</v>
      </c>
      <c r="AR196">
        <v>507.08659999999998</v>
      </c>
      <c r="AS196">
        <v>507.275466666667</v>
      </c>
      <c r="AT196">
        <v>1.0669173333333299</v>
      </c>
      <c r="AU196">
        <v>499.99666666666701</v>
      </c>
      <c r="AV196">
        <v>14.348613333333301</v>
      </c>
      <c r="AW196">
        <v>1.540354</v>
      </c>
      <c r="AX196">
        <v>1.4337453333333301</v>
      </c>
      <c r="AY196">
        <v>13.37472</v>
      </c>
      <c r="AZ196">
        <v>12.279306666666701</v>
      </c>
      <c r="BA196">
        <v>800.00093333333302</v>
      </c>
      <c r="BB196">
        <v>0.90002206666666695</v>
      </c>
      <c r="BC196">
        <v>0</v>
      </c>
      <c r="BD196">
        <v>9.9978093333333296E-2</v>
      </c>
      <c r="BE196">
        <v>0</v>
      </c>
      <c r="BF196">
        <v>25</v>
      </c>
      <c r="BG196">
        <v>13191.1266666667</v>
      </c>
      <c r="BH196">
        <v>1771088545.0999999</v>
      </c>
      <c r="BI196" t="s">
        <v>609</v>
      </c>
      <c r="BJ196">
        <v>1771088541.0999999</v>
      </c>
      <c r="BK196">
        <v>1771088545.0999999</v>
      </c>
      <c r="BL196">
        <v>6</v>
      </c>
      <c r="BM196">
        <v>-5.0000000000000001E-3</v>
      </c>
      <c r="BN196">
        <v>-5.0000000000000001E-3</v>
      </c>
      <c r="BO196">
        <v>-0.88100000000000001</v>
      </c>
      <c r="BP196">
        <v>9.5000000000000001E-2</v>
      </c>
      <c r="BQ196">
        <v>500</v>
      </c>
      <c r="BR196">
        <v>14</v>
      </c>
      <c r="BS196">
        <v>0.15</v>
      </c>
      <c r="BT196">
        <v>0.03</v>
      </c>
      <c r="BU196">
        <v>-0.72630304999999995</v>
      </c>
      <c r="BV196">
        <v>-6.9826015037603899E-3</v>
      </c>
      <c r="BW196">
        <v>2.3863389282486699E-2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1.0652465</v>
      </c>
      <c r="CD196">
        <v>8.79604511278195E-2</v>
      </c>
      <c r="CE196">
        <v>1.1863082767560901E-2</v>
      </c>
      <c r="CF196">
        <v>1</v>
      </c>
      <c r="CG196">
        <v>2</v>
      </c>
      <c r="CH196">
        <v>2</v>
      </c>
      <c r="CI196" t="s">
        <v>310</v>
      </c>
      <c r="CJ196">
        <v>3.5325600000000001</v>
      </c>
      <c r="CK196">
        <v>2.7024499999999998</v>
      </c>
      <c r="CL196">
        <v>0.11329500000000001</v>
      </c>
      <c r="CM196">
        <v>0.11181199999999999</v>
      </c>
      <c r="CN196">
        <v>8.7057399999999993E-2</v>
      </c>
      <c r="CO196">
        <v>8.1573199999999998E-2</v>
      </c>
      <c r="CP196">
        <v>31104.5</v>
      </c>
      <c r="CQ196">
        <v>27356.1</v>
      </c>
      <c r="CR196">
        <v>32465.7</v>
      </c>
      <c r="CS196">
        <v>30725.7</v>
      </c>
      <c r="CT196">
        <v>40132.1</v>
      </c>
      <c r="CU196">
        <v>39683.300000000003</v>
      </c>
      <c r="CV196">
        <v>47410.3</v>
      </c>
      <c r="CW196">
        <v>46855.7</v>
      </c>
      <c r="CX196">
        <v>2.62642</v>
      </c>
      <c r="CY196">
        <v>2.1473800000000001</v>
      </c>
      <c r="CZ196">
        <v>0</v>
      </c>
      <c r="DA196">
        <v>0</v>
      </c>
      <c r="DB196">
        <v>999.9</v>
      </c>
      <c r="DC196">
        <v>999.9</v>
      </c>
      <c r="DD196">
        <v>54.499000000000002</v>
      </c>
      <c r="DE196">
        <v>26.263999999999999</v>
      </c>
      <c r="DF196">
        <v>18.693300000000001</v>
      </c>
      <c r="DG196">
        <v>30.071899999999999</v>
      </c>
      <c r="DH196">
        <v>15.396599999999999</v>
      </c>
      <c r="DI196">
        <v>2</v>
      </c>
      <c r="DJ196">
        <v>-0.140094</v>
      </c>
      <c r="DK196">
        <v>2.2997700000000001</v>
      </c>
      <c r="DL196">
        <v>20.194800000000001</v>
      </c>
      <c r="DM196">
        <v>5.25143</v>
      </c>
      <c r="DN196">
        <v>12.033899999999999</v>
      </c>
      <c r="DO196">
        <v>4.9677199999999999</v>
      </c>
      <c r="DP196">
        <v>3.2909999999999999</v>
      </c>
      <c r="DQ196">
        <v>9999</v>
      </c>
      <c r="DR196">
        <v>9999</v>
      </c>
      <c r="DS196">
        <v>9999</v>
      </c>
      <c r="DT196">
        <v>604.79999999999995</v>
      </c>
      <c r="DU196">
        <v>1.8711599999999999</v>
      </c>
      <c r="DV196">
        <v>1.8762099999999999</v>
      </c>
      <c r="DW196">
        <v>1.8763700000000001</v>
      </c>
      <c r="DX196">
        <v>1.8828800000000001</v>
      </c>
      <c r="DY196">
        <v>1.8756200000000001</v>
      </c>
      <c r="DZ196">
        <v>1.8746799999999999</v>
      </c>
      <c r="EA196">
        <v>1.87086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-0.88</v>
      </c>
      <c r="EQ196">
        <v>9.5000000000000001E-2</v>
      </c>
      <c r="ER196">
        <v>-0.88049999999999995</v>
      </c>
      <c r="ES196">
        <v>0</v>
      </c>
      <c r="ET196">
        <v>0</v>
      </c>
      <c r="EU196">
        <v>0</v>
      </c>
      <c r="EV196">
        <v>9.5040000000000902E-2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6.3</v>
      </c>
      <c r="FE196">
        <v>6.3</v>
      </c>
      <c r="FF196">
        <v>1.4611799999999999</v>
      </c>
      <c r="FG196">
        <v>2.5854499999999998</v>
      </c>
      <c r="FH196">
        <v>2.19604</v>
      </c>
      <c r="FI196">
        <v>2.5793499999999998</v>
      </c>
      <c r="FJ196">
        <v>2.4462899999999999</v>
      </c>
      <c r="FK196">
        <v>2.3132299999999999</v>
      </c>
      <c r="FL196">
        <v>31.324400000000001</v>
      </c>
      <c r="FM196">
        <v>24.148800000000001</v>
      </c>
      <c r="FN196">
        <v>19</v>
      </c>
      <c r="FO196">
        <v>864.54399999999998</v>
      </c>
      <c r="FP196">
        <v>586.79399999999998</v>
      </c>
      <c r="FQ196">
        <v>17.966000000000001</v>
      </c>
      <c r="FR196">
        <v>25.26</v>
      </c>
      <c r="FS196">
        <v>30.0001</v>
      </c>
      <c r="FT196">
        <v>25.2455</v>
      </c>
      <c r="FU196">
        <v>25.247499999999999</v>
      </c>
      <c r="FV196">
        <v>29.312200000000001</v>
      </c>
      <c r="FW196">
        <v>26.915099999999999</v>
      </c>
      <c r="FX196">
        <v>40.3596</v>
      </c>
      <c r="FY196">
        <v>17.969100000000001</v>
      </c>
      <c r="FZ196">
        <v>500</v>
      </c>
      <c r="GA196">
        <v>14.3942</v>
      </c>
      <c r="GB196">
        <v>99.902900000000002</v>
      </c>
      <c r="GC196">
        <v>99.747600000000006</v>
      </c>
    </row>
    <row r="197" spans="1:185" x14ac:dyDescent="0.2">
      <c r="A197">
        <v>182</v>
      </c>
      <c r="B197">
        <v>1771089099.0999999</v>
      </c>
      <c r="C197">
        <v>3779.0999999046298</v>
      </c>
      <c r="D197" t="s">
        <v>662</v>
      </c>
      <c r="E197" t="s">
        <v>663</v>
      </c>
      <c r="F197">
        <v>15</v>
      </c>
      <c r="G197">
        <v>1771089090.5999999</v>
      </c>
      <c r="H197">
        <f t="shared" si="26"/>
        <v>1.0020522181884649E-3</v>
      </c>
      <c r="I197">
        <v>0</v>
      </c>
      <c r="J197">
        <f t="shared" si="38"/>
        <v>4.47291468322231E-2</v>
      </c>
      <c r="K197">
        <f t="shared" si="27"/>
        <v>1.212425352350456</v>
      </c>
      <c r="L197">
        <f t="shared" si="28"/>
        <v>72.538846772451009</v>
      </c>
      <c r="M197">
        <f t="shared" si="29"/>
        <v>1.5864688200001025</v>
      </c>
      <c r="N197">
        <f t="shared" si="30"/>
        <v>2.1870609895091628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26199.268841898167</v>
      </c>
      <c r="T197">
        <f t="shared" si="34"/>
        <v>800.00018750000004</v>
      </c>
      <c r="U197">
        <f t="shared" si="35"/>
        <v>674.39972681239897</v>
      </c>
      <c r="V197">
        <f t="shared" si="36"/>
        <v>0.8429994609375</v>
      </c>
      <c r="W197">
        <f t="shared" si="37"/>
        <v>0.15869871324375001</v>
      </c>
      <c r="X197">
        <v>1</v>
      </c>
      <c r="Y197">
        <v>1771089090.5999999</v>
      </c>
      <c r="Z197">
        <v>797.54106249999995</v>
      </c>
      <c r="AA197">
        <v>800.05556249999995</v>
      </c>
      <c r="AB197">
        <v>15.868112500000001</v>
      </c>
      <c r="AC197">
        <v>14.635425</v>
      </c>
      <c r="AD197">
        <v>798.42162499999995</v>
      </c>
      <c r="AE197">
        <v>15.77305625</v>
      </c>
      <c r="AF197">
        <v>800.00125000000003</v>
      </c>
      <c r="AG197">
        <v>99.914249999999996</v>
      </c>
      <c r="AH197">
        <v>6.4170243749999994E-2</v>
      </c>
      <c r="AI197">
        <v>18.867850000000001</v>
      </c>
      <c r="AJ197">
        <v>999.9</v>
      </c>
      <c r="AK197">
        <v>999.9</v>
      </c>
      <c r="AL197">
        <v>0</v>
      </c>
      <c r="AM197">
        <v>0</v>
      </c>
      <c r="AN197">
        <v>4997.96875</v>
      </c>
      <c r="AO197">
        <v>0</v>
      </c>
      <c r="AP197">
        <v>2.2019299999999999</v>
      </c>
      <c r="AQ197">
        <v>-2.514421875</v>
      </c>
      <c r="AR197">
        <v>810.4006875</v>
      </c>
      <c r="AS197">
        <v>811.93868750000001</v>
      </c>
      <c r="AT197">
        <v>1.23268</v>
      </c>
      <c r="AU197">
        <v>800.05556249999995</v>
      </c>
      <c r="AV197">
        <v>14.635425</v>
      </c>
      <c r="AW197">
        <v>1.58545</v>
      </c>
      <c r="AX197">
        <v>1.462286875</v>
      </c>
      <c r="AY197">
        <v>13.817993749999999</v>
      </c>
      <c r="AZ197">
        <v>12.579118749999999</v>
      </c>
      <c r="BA197">
        <v>800.00018750000004</v>
      </c>
      <c r="BB197">
        <v>0.90001706250000002</v>
      </c>
      <c r="BC197">
        <v>0</v>
      </c>
      <c r="BD197">
        <v>9.9982906250000003E-2</v>
      </c>
      <c r="BE197">
        <v>0</v>
      </c>
      <c r="BF197">
        <v>25</v>
      </c>
      <c r="BG197">
        <v>13191.0875</v>
      </c>
      <c r="BH197">
        <v>1771088545.0999999</v>
      </c>
      <c r="BI197" t="s">
        <v>609</v>
      </c>
      <c r="BJ197">
        <v>1771088541.0999999</v>
      </c>
      <c r="BK197">
        <v>1771088545.0999999</v>
      </c>
      <c r="BL197">
        <v>6</v>
      </c>
      <c r="BM197">
        <v>-5.0000000000000001E-3</v>
      </c>
      <c r="BN197">
        <v>-5.0000000000000001E-3</v>
      </c>
      <c r="BO197">
        <v>-0.88100000000000001</v>
      </c>
      <c r="BP197">
        <v>9.5000000000000001E-2</v>
      </c>
      <c r="BQ197">
        <v>500</v>
      </c>
      <c r="BR197">
        <v>14</v>
      </c>
      <c r="BS197">
        <v>0.15</v>
      </c>
      <c r="BT197">
        <v>0.03</v>
      </c>
      <c r="BU197">
        <v>-2.9050674999999999</v>
      </c>
      <c r="BV197">
        <v>7.3560735338345804</v>
      </c>
      <c r="BW197">
        <v>0.723117457920046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1.1981109999999999</v>
      </c>
      <c r="CD197">
        <v>0.68823338345864604</v>
      </c>
      <c r="CE197">
        <v>6.8359407830963601E-2</v>
      </c>
      <c r="CF197">
        <v>0</v>
      </c>
      <c r="CG197">
        <v>0</v>
      </c>
      <c r="CH197">
        <v>2</v>
      </c>
      <c r="CI197" t="s">
        <v>290</v>
      </c>
      <c r="CJ197">
        <v>3.5324599999999999</v>
      </c>
      <c r="CK197">
        <v>2.7021799999999998</v>
      </c>
      <c r="CL197">
        <v>0.15698699999999999</v>
      </c>
      <c r="CM197">
        <v>0.154945</v>
      </c>
      <c r="CN197">
        <v>8.8525699999999999E-2</v>
      </c>
      <c r="CO197">
        <v>8.23189E-2</v>
      </c>
      <c r="CP197">
        <v>29569.9</v>
      </c>
      <c r="CQ197">
        <v>26026</v>
      </c>
      <c r="CR197">
        <v>32463.1</v>
      </c>
      <c r="CS197">
        <v>30723.3</v>
      </c>
      <c r="CT197">
        <v>40066.5</v>
      </c>
      <c r="CU197">
        <v>39652</v>
      </c>
      <c r="CV197">
        <v>47406.2</v>
      </c>
      <c r="CW197">
        <v>46853.5</v>
      </c>
      <c r="CX197">
        <v>2.6259600000000001</v>
      </c>
      <c r="CY197">
        <v>2.14696</v>
      </c>
      <c r="CZ197">
        <v>0</v>
      </c>
      <c r="DA197">
        <v>0</v>
      </c>
      <c r="DB197">
        <v>999.9</v>
      </c>
      <c r="DC197">
        <v>999.9</v>
      </c>
      <c r="DD197">
        <v>54.31</v>
      </c>
      <c r="DE197">
        <v>26.405000000000001</v>
      </c>
      <c r="DF197">
        <v>18.785</v>
      </c>
      <c r="DG197">
        <v>30.401900000000001</v>
      </c>
      <c r="DH197">
        <v>15.464700000000001</v>
      </c>
      <c r="DI197">
        <v>2</v>
      </c>
      <c r="DJ197">
        <v>-0.136409</v>
      </c>
      <c r="DK197">
        <v>1.85781</v>
      </c>
      <c r="DL197">
        <v>20.2013</v>
      </c>
      <c r="DM197">
        <v>5.2517899999999997</v>
      </c>
      <c r="DN197">
        <v>12.033899999999999</v>
      </c>
      <c r="DO197">
        <v>4.9676400000000003</v>
      </c>
      <c r="DP197">
        <v>3.2909999999999999</v>
      </c>
      <c r="DQ197">
        <v>9999</v>
      </c>
      <c r="DR197">
        <v>9999</v>
      </c>
      <c r="DS197">
        <v>9999</v>
      </c>
      <c r="DT197">
        <v>604.9</v>
      </c>
      <c r="DU197">
        <v>1.8711800000000001</v>
      </c>
      <c r="DV197">
        <v>1.8762099999999999</v>
      </c>
      <c r="DW197">
        <v>1.8763700000000001</v>
      </c>
      <c r="DX197">
        <v>1.8829</v>
      </c>
      <c r="DY197">
        <v>1.87561</v>
      </c>
      <c r="DZ197">
        <v>1.87469</v>
      </c>
      <c r="EA197">
        <v>1.87086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-0.88100000000000001</v>
      </c>
      <c r="EQ197">
        <v>9.5100000000000004E-2</v>
      </c>
      <c r="ER197">
        <v>-0.88049999999999995</v>
      </c>
      <c r="ES197">
        <v>0</v>
      </c>
      <c r="ET197">
        <v>0</v>
      </c>
      <c r="EU197">
        <v>0</v>
      </c>
      <c r="EV197">
        <v>9.5040000000000902E-2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9.3000000000000007</v>
      </c>
      <c r="FE197">
        <v>9.1999999999999993</v>
      </c>
      <c r="FF197">
        <v>2.1447799999999999</v>
      </c>
      <c r="FG197">
        <v>2.5817899999999998</v>
      </c>
      <c r="FH197">
        <v>2.19604</v>
      </c>
      <c r="FI197">
        <v>2.5793499999999998</v>
      </c>
      <c r="FJ197">
        <v>2.4462899999999999</v>
      </c>
      <c r="FK197">
        <v>2.32178</v>
      </c>
      <c r="FL197">
        <v>31.433299999999999</v>
      </c>
      <c r="FM197">
        <v>24.148800000000001</v>
      </c>
      <c r="FN197">
        <v>19</v>
      </c>
      <c r="FO197">
        <v>864.97900000000004</v>
      </c>
      <c r="FP197">
        <v>587.04999999999995</v>
      </c>
      <c r="FQ197">
        <v>17.952300000000001</v>
      </c>
      <c r="FR197">
        <v>25.328499999999998</v>
      </c>
      <c r="FS197">
        <v>30</v>
      </c>
      <c r="FT197">
        <v>25.298999999999999</v>
      </c>
      <c r="FU197">
        <v>25.2986</v>
      </c>
      <c r="FV197">
        <v>43.023200000000003</v>
      </c>
      <c r="FW197">
        <v>27.522400000000001</v>
      </c>
      <c r="FX197">
        <v>41.2819</v>
      </c>
      <c r="FY197">
        <v>18.0061</v>
      </c>
      <c r="FZ197">
        <v>800</v>
      </c>
      <c r="GA197">
        <v>14.3575</v>
      </c>
      <c r="GB197">
        <v>99.894599999999997</v>
      </c>
      <c r="GC197">
        <v>99.741500000000002</v>
      </c>
    </row>
    <row r="198" spans="1:185" x14ac:dyDescent="0.2">
      <c r="A198">
        <v>183</v>
      </c>
      <c r="B198">
        <v>1771089114.0999999</v>
      </c>
      <c r="C198">
        <v>3794.0999999046298</v>
      </c>
      <c r="D198" t="s">
        <v>664</v>
      </c>
      <c r="E198" t="s">
        <v>665</v>
      </c>
      <c r="F198">
        <v>15</v>
      </c>
      <c r="G198">
        <v>1771089106.03333</v>
      </c>
      <c r="H198">
        <f t="shared" si="26"/>
        <v>1.033515957310546E-3</v>
      </c>
      <c r="I198">
        <v>0</v>
      </c>
      <c r="J198">
        <f t="shared" si="38"/>
        <v>1.8315033662038398E-2</v>
      </c>
      <c r="K198">
        <f t="shared" si="27"/>
        <v>0.49644611430438312</v>
      </c>
      <c r="L198">
        <f t="shared" si="28"/>
        <v>71.584052951366658</v>
      </c>
      <c r="M198">
        <f t="shared" si="29"/>
        <v>1.5681617755064059</v>
      </c>
      <c r="N198">
        <f t="shared" si="30"/>
        <v>2.1906579899461631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26266.165864361919</v>
      </c>
      <c r="T198">
        <f t="shared" si="34"/>
        <v>799.99873333333301</v>
      </c>
      <c r="U198">
        <f t="shared" si="35"/>
        <v>674.398569480574</v>
      </c>
      <c r="V198">
        <f t="shared" si="36"/>
        <v>0.84299954659999998</v>
      </c>
      <c r="W198">
        <f t="shared" si="37"/>
        <v>0.158698645636</v>
      </c>
      <c r="X198">
        <v>1</v>
      </c>
      <c r="Y198">
        <v>1771089106.03333</v>
      </c>
      <c r="Z198">
        <v>798.361533333333</v>
      </c>
      <c r="AA198">
        <v>800.013466666667</v>
      </c>
      <c r="AB198">
        <v>15.685093333333301</v>
      </c>
      <c r="AC198">
        <v>14.41348</v>
      </c>
      <c r="AD198">
        <v>799.24199999999996</v>
      </c>
      <c r="AE198">
        <v>15.590033333333301</v>
      </c>
      <c r="AF198">
        <v>800.01139999999998</v>
      </c>
      <c r="AG198">
        <v>99.913446666666701</v>
      </c>
      <c r="AH198">
        <v>6.4394853333333293E-2</v>
      </c>
      <c r="AI198">
        <v>18.894159999999999</v>
      </c>
      <c r="AJ198">
        <v>999.9</v>
      </c>
      <c r="AK198">
        <v>999.9</v>
      </c>
      <c r="AL198">
        <v>0</v>
      </c>
      <c r="AM198">
        <v>0</v>
      </c>
      <c r="AN198">
        <v>5009.4333333333298</v>
      </c>
      <c r="AO198">
        <v>0</v>
      </c>
      <c r="AP198">
        <v>2.2413780000000001</v>
      </c>
      <c r="AQ198">
        <v>-1.6521726666666701</v>
      </c>
      <c r="AR198">
        <v>811.08333333333303</v>
      </c>
      <c r="AS198">
        <v>811.71326666666698</v>
      </c>
      <c r="AT198">
        <v>1.2716206666666701</v>
      </c>
      <c r="AU198">
        <v>800.013466666667</v>
      </c>
      <c r="AV198">
        <v>14.41348</v>
      </c>
      <c r="AW198">
        <v>1.5671520000000001</v>
      </c>
      <c r="AX198">
        <v>1.4400993333333301</v>
      </c>
      <c r="AY198">
        <v>13.6394866666667</v>
      </c>
      <c r="AZ198">
        <v>12.346500000000001</v>
      </c>
      <c r="BA198">
        <v>799.99873333333301</v>
      </c>
      <c r="BB198">
        <v>0.9000184</v>
      </c>
      <c r="BC198">
        <v>0</v>
      </c>
      <c r="BD198">
        <v>9.9981713333333305E-2</v>
      </c>
      <c r="BE198">
        <v>0</v>
      </c>
      <c r="BF198">
        <v>25</v>
      </c>
      <c r="BG198">
        <v>13191.073333333299</v>
      </c>
      <c r="BH198">
        <v>1771088545.0999999</v>
      </c>
      <c r="BI198" t="s">
        <v>609</v>
      </c>
      <c r="BJ198">
        <v>1771088541.0999999</v>
      </c>
      <c r="BK198">
        <v>1771088545.0999999</v>
      </c>
      <c r="BL198">
        <v>6</v>
      </c>
      <c r="BM198">
        <v>-5.0000000000000001E-3</v>
      </c>
      <c r="BN198">
        <v>-5.0000000000000001E-3</v>
      </c>
      <c r="BO198">
        <v>-0.88100000000000001</v>
      </c>
      <c r="BP198">
        <v>9.5000000000000001E-2</v>
      </c>
      <c r="BQ198">
        <v>500</v>
      </c>
      <c r="BR198">
        <v>14</v>
      </c>
      <c r="BS198">
        <v>0.15</v>
      </c>
      <c r="BT198">
        <v>0.03</v>
      </c>
      <c r="BU198">
        <v>-1.80867190476191</v>
      </c>
      <c r="BV198">
        <v>2.3636750649350602</v>
      </c>
      <c r="BW198">
        <v>0.24518805126287499</v>
      </c>
      <c r="BX198">
        <v>0</v>
      </c>
      <c r="BY198">
        <v>0</v>
      </c>
      <c r="BZ198">
        <v>0</v>
      </c>
      <c r="CA198">
        <v>0</v>
      </c>
      <c r="CB198">
        <v>-1</v>
      </c>
      <c r="CC198">
        <v>1.27062428571429</v>
      </c>
      <c r="CD198">
        <v>3.4161038961062402E-3</v>
      </c>
      <c r="CE198">
        <v>5.9414032104245802E-3</v>
      </c>
      <c r="CF198">
        <v>1</v>
      </c>
      <c r="CG198">
        <v>1</v>
      </c>
      <c r="CH198">
        <v>2</v>
      </c>
      <c r="CI198" t="s">
        <v>299</v>
      </c>
      <c r="CJ198">
        <v>3.5324900000000001</v>
      </c>
      <c r="CK198">
        <v>2.7020499999999998</v>
      </c>
      <c r="CL198">
        <v>0.157031</v>
      </c>
      <c r="CM198">
        <v>0.15493499999999999</v>
      </c>
      <c r="CN198">
        <v>8.78578E-2</v>
      </c>
      <c r="CO198">
        <v>8.1577899999999995E-2</v>
      </c>
      <c r="CP198">
        <v>29567.8</v>
      </c>
      <c r="CQ198">
        <v>26026.5</v>
      </c>
      <c r="CR198">
        <v>32462.400000000001</v>
      </c>
      <c r="CS198">
        <v>30723.5</v>
      </c>
      <c r="CT198">
        <v>40096.400000000001</v>
      </c>
      <c r="CU198">
        <v>39685.199999999997</v>
      </c>
      <c r="CV198">
        <v>47405.7</v>
      </c>
      <c r="CW198">
        <v>46853.8</v>
      </c>
      <c r="CX198">
        <v>2.6260400000000002</v>
      </c>
      <c r="CY198">
        <v>2.1463999999999999</v>
      </c>
      <c r="CZ198">
        <v>0</v>
      </c>
      <c r="DA198">
        <v>0</v>
      </c>
      <c r="DB198">
        <v>999.9</v>
      </c>
      <c r="DC198">
        <v>999.9</v>
      </c>
      <c r="DD198">
        <v>54.261000000000003</v>
      </c>
      <c r="DE198">
        <v>26.434999999999999</v>
      </c>
      <c r="DF198">
        <v>18.8032</v>
      </c>
      <c r="DG198">
        <v>30.161899999999999</v>
      </c>
      <c r="DH198">
        <v>15.3285</v>
      </c>
      <c r="DI198">
        <v>2</v>
      </c>
      <c r="DJ198">
        <v>-0.13631099999999999</v>
      </c>
      <c r="DK198">
        <v>1.7185600000000001</v>
      </c>
      <c r="DL198">
        <v>20.2026</v>
      </c>
      <c r="DM198">
        <v>5.2492799999999997</v>
      </c>
      <c r="DN198">
        <v>12.033899999999999</v>
      </c>
      <c r="DO198">
        <v>4.9673600000000002</v>
      </c>
      <c r="DP198">
        <v>3.2906399999999998</v>
      </c>
      <c r="DQ198">
        <v>9999</v>
      </c>
      <c r="DR198">
        <v>9999</v>
      </c>
      <c r="DS198">
        <v>9999</v>
      </c>
      <c r="DT198">
        <v>604.9</v>
      </c>
      <c r="DU198">
        <v>1.87117</v>
      </c>
      <c r="DV198">
        <v>1.8762000000000001</v>
      </c>
      <c r="DW198">
        <v>1.8763700000000001</v>
      </c>
      <c r="DX198">
        <v>1.8828800000000001</v>
      </c>
      <c r="DY198">
        <v>1.87561</v>
      </c>
      <c r="DZ198">
        <v>1.8747</v>
      </c>
      <c r="EA198">
        <v>1.87086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-0.88</v>
      </c>
      <c r="EQ198">
        <v>9.5100000000000004E-2</v>
      </c>
      <c r="ER198">
        <v>-0.88049999999999995</v>
      </c>
      <c r="ES198">
        <v>0</v>
      </c>
      <c r="ET198">
        <v>0</v>
      </c>
      <c r="EU198">
        <v>0</v>
      </c>
      <c r="EV198">
        <v>9.5040000000000902E-2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9.6</v>
      </c>
      <c r="FE198">
        <v>9.5</v>
      </c>
      <c r="FF198">
        <v>2.1435499999999998</v>
      </c>
      <c r="FG198">
        <v>2.5769000000000002</v>
      </c>
      <c r="FH198">
        <v>2.19604</v>
      </c>
      <c r="FI198">
        <v>2.5793499999999998</v>
      </c>
      <c r="FJ198">
        <v>2.4462899999999999</v>
      </c>
      <c r="FK198">
        <v>2.2753899999999998</v>
      </c>
      <c r="FL198">
        <v>31.433299999999999</v>
      </c>
      <c r="FM198">
        <v>24.14</v>
      </c>
      <c r="FN198">
        <v>19</v>
      </c>
      <c r="FO198">
        <v>865.12400000000002</v>
      </c>
      <c r="FP198">
        <v>586.67200000000003</v>
      </c>
      <c r="FQ198">
        <v>18.201699999999999</v>
      </c>
      <c r="FR198">
        <v>25.334199999999999</v>
      </c>
      <c r="FS198">
        <v>30.0002</v>
      </c>
      <c r="FT198">
        <v>25.3033</v>
      </c>
      <c r="FU198">
        <v>25.303699999999999</v>
      </c>
      <c r="FV198">
        <v>43.0244</v>
      </c>
      <c r="FW198">
        <v>28.084599999999998</v>
      </c>
      <c r="FX198">
        <v>41.2819</v>
      </c>
      <c r="FY198">
        <v>18.2378</v>
      </c>
      <c r="FZ198">
        <v>800</v>
      </c>
      <c r="GA198">
        <v>14.2437</v>
      </c>
      <c r="GB198">
        <v>99.893100000000004</v>
      </c>
      <c r="GC198">
        <v>99.742199999999997</v>
      </c>
    </row>
    <row r="199" spans="1:185" x14ac:dyDescent="0.2">
      <c r="A199">
        <v>184</v>
      </c>
      <c r="B199">
        <v>1771089129.0999999</v>
      </c>
      <c r="C199">
        <v>3809.0999999046298</v>
      </c>
      <c r="D199" t="s">
        <v>666</v>
      </c>
      <c r="E199" t="s">
        <v>667</v>
      </c>
      <c r="F199">
        <v>15</v>
      </c>
      <c r="G199">
        <v>1771089121.03333</v>
      </c>
      <c r="H199">
        <f t="shared" si="26"/>
        <v>1.0331918432627647E-3</v>
      </c>
      <c r="I199">
        <v>0</v>
      </c>
      <c r="J199">
        <f t="shared" si="38"/>
        <v>1.2242507309617378E-2</v>
      </c>
      <c r="K199">
        <f t="shared" si="27"/>
        <v>0.33184460893456658</v>
      </c>
      <c r="L199">
        <f t="shared" si="28"/>
        <v>70.783026399482353</v>
      </c>
      <c r="M199">
        <f t="shared" si="29"/>
        <v>1.5548264727008865</v>
      </c>
      <c r="N199">
        <f t="shared" si="30"/>
        <v>2.1966092039153855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26199.019032676933</v>
      </c>
      <c r="T199">
        <f t="shared" si="34"/>
        <v>799.99893333333296</v>
      </c>
      <c r="U199">
        <f t="shared" si="35"/>
        <v>674.39872656049863</v>
      </c>
      <c r="V199">
        <f t="shared" si="36"/>
        <v>0.8429995321999999</v>
      </c>
      <c r="W199">
        <f t="shared" si="37"/>
        <v>0.15869845373199998</v>
      </c>
      <c r="X199">
        <v>1</v>
      </c>
      <c r="Y199">
        <v>1771089121.03333</v>
      </c>
      <c r="Z199">
        <v>798.56666666666604</v>
      </c>
      <c r="AA199">
        <v>800.01279999999997</v>
      </c>
      <c r="AB199">
        <v>15.5517466666667</v>
      </c>
      <c r="AC199">
        <v>14.2803533333333</v>
      </c>
      <c r="AD199">
        <v>799.44693333333305</v>
      </c>
      <c r="AE199">
        <v>15.456706666666699</v>
      </c>
      <c r="AF199">
        <v>800.00726666666696</v>
      </c>
      <c r="AG199">
        <v>99.913340000000005</v>
      </c>
      <c r="AH199">
        <v>6.4270620000000001E-2</v>
      </c>
      <c r="AI199">
        <v>18.937606666666699</v>
      </c>
      <c r="AJ199">
        <v>999.9</v>
      </c>
      <c r="AK199">
        <v>999.9</v>
      </c>
      <c r="AL199">
        <v>0</v>
      </c>
      <c r="AM199">
        <v>0</v>
      </c>
      <c r="AN199">
        <v>4999</v>
      </c>
      <c r="AO199">
        <v>0</v>
      </c>
      <c r="AP199">
        <v>2.2583899999999999</v>
      </c>
      <c r="AQ199">
        <v>-1.44632133333333</v>
      </c>
      <c r="AR199">
        <v>811.181733333333</v>
      </c>
      <c r="AS199">
        <v>811.602933333333</v>
      </c>
      <c r="AT199">
        <v>1.27138533333333</v>
      </c>
      <c r="AU199">
        <v>800.01279999999997</v>
      </c>
      <c r="AV199">
        <v>14.2803533333333</v>
      </c>
      <c r="AW199">
        <v>1.5538273333333299</v>
      </c>
      <c r="AX199">
        <v>1.42679933333333</v>
      </c>
      <c r="AY199">
        <v>13.5083466666667</v>
      </c>
      <c r="AZ199">
        <v>12.205446666666701</v>
      </c>
      <c r="BA199">
        <v>799.99893333333296</v>
      </c>
      <c r="BB199">
        <v>0.90002119999999997</v>
      </c>
      <c r="BC199">
        <v>0</v>
      </c>
      <c r="BD199">
        <v>9.9978993333333294E-2</v>
      </c>
      <c r="BE199">
        <v>0</v>
      </c>
      <c r="BF199">
        <v>25</v>
      </c>
      <c r="BG199">
        <v>13191.086666666701</v>
      </c>
      <c r="BH199">
        <v>1771088545.0999999</v>
      </c>
      <c r="BI199" t="s">
        <v>609</v>
      </c>
      <c r="BJ199">
        <v>1771088541.0999999</v>
      </c>
      <c r="BK199">
        <v>1771088545.0999999</v>
      </c>
      <c r="BL199">
        <v>6</v>
      </c>
      <c r="BM199">
        <v>-5.0000000000000001E-3</v>
      </c>
      <c r="BN199">
        <v>-5.0000000000000001E-3</v>
      </c>
      <c r="BO199">
        <v>-0.88100000000000001</v>
      </c>
      <c r="BP199">
        <v>9.5000000000000001E-2</v>
      </c>
      <c r="BQ199">
        <v>500</v>
      </c>
      <c r="BR199">
        <v>14</v>
      </c>
      <c r="BS199">
        <v>0.15</v>
      </c>
      <c r="BT199">
        <v>0.03</v>
      </c>
      <c r="BU199">
        <v>-1.46403857142857</v>
      </c>
      <c r="BV199">
        <v>0.19853454545454499</v>
      </c>
      <c r="BW199">
        <v>4.6304069273580203E-2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1.2710033333333299</v>
      </c>
      <c r="CD199">
        <v>1.79844155844169E-2</v>
      </c>
      <c r="CE199">
        <v>8.2470383332346204E-3</v>
      </c>
      <c r="CF199">
        <v>1</v>
      </c>
      <c r="CG199">
        <v>2</v>
      </c>
      <c r="CH199">
        <v>2</v>
      </c>
      <c r="CI199" t="s">
        <v>310</v>
      </c>
      <c r="CJ199">
        <v>3.5325500000000001</v>
      </c>
      <c r="CK199">
        <v>2.7020499999999998</v>
      </c>
      <c r="CL199">
        <v>0.15704099999999999</v>
      </c>
      <c r="CM199">
        <v>0.15493599999999999</v>
      </c>
      <c r="CN199">
        <v>8.7388099999999996E-2</v>
      </c>
      <c r="CO199">
        <v>8.1173200000000001E-2</v>
      </c>
      <c r="CP199">
        <v>29566.7</v>
      </c>
      <c r="CQ199">
        <v>26026.2</v>
      </c>
      <c r="CR199">
        <v>32461.7</v>
      </c>
      <c r="CS199">
        <v>30723.200000000001</v>
      </c>
      <c r="CT199">
        <v>40116.800000000003</v>
      </c>
      <c r="CU199">
        <v>39702.9</v>
      </c>
      <c r="CV199">
        <v>47404.6</v>
      </c>
      <c r="CW199">
        <v>46853.5</v>
      </c>
      <c r="CX199">
        <v>2.6257199999999998</v>
      </c>
      <c r="CY199">
        <v>2.14602</v>
      </c>
      <c r="CZ199">
        <v>0</v>
      </c>
      <c r="DA199">
        <v>0</v>
      </c>
      <c r="DB199">
        <v>999.9</v>
      </c>
      <c r="DC199">
        <v>999.9</v>
      </c>
      <c r="DD199">
        <v>54.162999999999997</v>
      </c>
      <c r="DE199">
        <v>26.434999999999999</v>
      </c>
      <c r="DF199">
        <v>18.767600000000002</v>
      </c>
      <c r="DG199">
        <v>30.251899999999999</v>
      </c>
      <c r="DH199">
        <v>15.4688</v>
      </c>
      <c r="DI199">
        <v>2</v>
      </c>
      <c r="DJ199">
        <v>-0.13575000000000001</v>
      </c>
      <c r="DK199">
        <v>1.73465</v>
      </c>
      <c r="DL199">
        <v>20.2027</v>
      </c>
      <c r="DM199">
        <v>5.2520300000000004</v>
      </c>
      <c r="DN199">
        <v>12.033899999999999</v>
      </c>
      <c r="DO199">
        <v>4.9677199999999999</v>
      </c>
      <c r="DP199">
        <v>3.2909999999999999</v>
      </c>
      <c r="DQ199">
        <v>9999</v>
      </c>
      <c r="DR199">
        <v>9999</v>
      </c>
      <c r="DS199">
        <v>9999</v>
      </c>
      <c r="DT199">
        <v>604.9</v>
      </c>
      <c r="DU199">
        <v>1.8711199999999999</v>
      </c>
      <c r="DV199">
        <v>1.8761699999999999</v>
      </c>
      <c r="DW199">
        <v>1.8763700000000001</v>
      </c>
      <c r="DX199">
        <v>1.8828800000000001</v>
      </c>
      <c r="DY199">
        <v>1.87561</v>
      </c>
      <c r="DZ199">
        <v>1.87469</v>
      </c>
      <c r="EA199">
        <v>1.8708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-0.88100000000000001</v>
      </c>
      <c r="EQ199">
        <v>9.5100000000000004E-2</v>
      </c>
      <c r="ER199">
        <v>-0.88049999999999995</v>
      </c>
      <c r="ES199">
        <v>0</v>
      </c>
      <c r="ET199">
        <v>0</v>
      </c>
      <c r="EU199">
        <v>0</v>
      </c>
      <c r="EV199">
        <v>9.5040000000000902E-2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9.8000000000000007</v>
      </c>
      <c r="FE199">
        <v>9.6999999999999993</v>
      </c>
      <c r="FF199">
        <v>2.1435499999999998</v>
      </c>
      <c r="FG199">
        <v>2.5817899999999998</v>
      </c>
      <c r="FH199">
        <v>2.19604</v>
      </c>
      <c r="FI199">
        <v>2.5793499999999998</v>
      </c>
      <c r="FJ199">
        <v>2.4462899999999999</v>
      </c>
      <c r="FK199">
        <v>2.32056</v>
      </c>
      <c r="FL199">
        <v>31.433299999999999</v>
      </c>
      <c r="FM199">
        <v>24.148800000000001</v>
      </c>
      <c r="FN199">
        <v>19</v>
      </c>
      <c r="FO199">
        <v>864.91300000000001</v>
      </c>
      <c r="FP199">
        <v>586.44000000000005</v>
      </c>
      <c r="FQ199">
        <v>18.3705</v>
      </c>
      <c r="FR199">
        <v>25.338799999999999</v>
      </c>
      <c r="FS199">
        <v>30.0002</v>
      </c>
      <c r="FT199">
        <v>25.308700000000002</v>
      </c>
      <c r="FU199">
        <v>25.309200000000001</v>
      </c>
      <c r="FV199">
        <v>43.0212</v>
      </c>
      <c r="FW199">
        <v>28.3752</v>
      </c>
      <c r="FX199">
        <v>40.909399999999998</v>
      </c>
      <c r="FY199">
        <v>18.381900000000002</v>
      </c>
      <c r="FZ199">
        <v>800</v>
      </c>
      <c r="GA199">
        <v>14.1898</v>
      </c>
      <c r="GB199">
        <v>99.890799999999999</v>
      </c>
      <c r="GC199">
        <v>99.741500000000002</v>
      </c>
    </row>
    <row r="200" spans="1:185" x14ac:dyDescent="0.2">
      <c r="A200">
        <v>185</v>
      </c>
      <c r="B200">
        <v>1771089144.0999999</v>
      </c>
      <c r="C200">
        <v>3824.0999999046298</v>
      </c>
      <c r="D200" t="s">
        <v>668</v>
      </c>
      <c r="E200" t="s">
        <v>669</v>
      </c>
      <c r="F200">
        <v>15</v>
      </c>
      <c r="G200">
        <v>1771089136.03333</v>
      </c>
      <c r="H200">
        <f t="shared" si="26"/>
        <v>1.0016334799084852E-3</v>
      </c>
      <c r="I200">
        <v>0</v>
      </c>
      <c r="J200">
        <f t="shared" si="38"/>
        <v>1.1139908228045616E-2</v>
      </c>
      <c r="K200">
        <f t="shared" si="27"/>
        <v>0.30195762975764917</v>
      </c>
      <c r="L200">
        <f t="shared" si="28"/>
        <v>70.143911521458676</v>
      </c>
      <c r="M200">
        <f t="shared" si="29"/>
        <v>1.5453679984318025</v>
      </c>
      <c r="N200">
        <f t="shared" si="30"/>
        <v>2.2031391818790116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26200.904970569427</v>
      </c>
      <c r="T200">
        <f t="shared" si="34"/>
        <v>799.99993333333305</v>
      </c>
      <c r="U200">
        <f t="shared" si="35"/>
        <v>674.39951772003519</v>
      </c>
      <c r="V200">
        <f t="shared" si="36"/>
        <v>0.84299946739999987</v>
      </c>
      <c r="W200">
        <f t="shared" si="37"/>
        <v>0.158698369684</v>
      </c>
      <c r="X200">
        <v>1</v>
      </c>
      <c r="Y200">
        <v>1771089136.03333</v>
      </c>
      <c r="Z200">
        <v>798.61846666666702</v>
      </c>
      <c r="AA200">
        <v>799.99580000000003</v>
      </c>
      <c r="AB200">
        <v>15.4570733333333</v>
      </c>
      <c r="AC200">
        <v>14.224399999999999</v>
      </c>
      <c r="AD200">
        <v>799.52246666666701</v>
      </c>
      <c r="AE200">
        <v>15.3620466666667</v>
      </c>
      <c r="AF200">
        <v>800.01013333333299</v>
      </c>
      <c r="AG200">
        <v>99.913700000000006</v>
      </c>
      <c r="AH200">
        <v>6.4346626666666698E-2</v>
      </c>
      <c r="AI200">
        <v>18.98516</v>
      </c>
      <c r="AJ200">
        <v>999.9</v>
      </c>
      <c r="AK200">
        <v>999.9</v>
      </c>
      <c r="AL200">
        <v>0</v>
      </c>
      <c r="AM200">
        <v>0</v>
      </c>
      <c r="AN200">
        <v>5000</v>
      </c>
      <c r="AO200">
        <v>0</v>
      </c>
      <c r="AP200">
        <v>2.25462733333333</v>
      </c>
      <c r="AQ200">
        <v>-1.35390866666667</v>
      </c>
      <c r="AR200">
        <v>811.18020000000001</v>
      </c>
      <c r="AS200">
        <v>811.539533333333</v>
      </c>
      <c r="AT200">
        <v>1.232672</v>
      </c>
      <c r="AU200">
        <v>799.99580000000003</v>
      </c>
      <c r="AV200">
        <v>14.224399999999999</v>
      </c>
      <c r="AW200">
        <v>1.54437466666667</v>
      </c>
      <c r="AX200">
        <v>1.42121266666667</v>
      </c>
      <c r="AY200">
        <v>13.414680000000001</v>
      </c>
      <c r="AZ200">
        <v>12.1458866666667</v>
      </c>
      <c r="BA200">
        <v>799.99993333333305</v>
      </c>
      <c r="BB200">
        <v>0.90002219999999999</v>
      </c>
      <c r="BC200">
        <v>0</v>
      </c>
      <c r="BD200">
        <v>9.99779533333333E-2</v>
      </c>
      <c r="BE200">
        <v>0</v>
      </c>
      <c r="BF200">
        <v>25</v>
      </c>
      <c r="BG200">
        <v>13191.1266666667</v>
      </c>
      <c r="BH200">
        <v>1771089167.0999999</v>
      </c>
      <c r="BI200" t="s">
        <v>670</v>
      </c>
      <c r="BJ200">
        <v>1771089167.0999999</v>
      </c>
      <c r="BK200">
        <v>1771088545.0999999</v>
      </c>
      <c r="BL200">
        <v>7</v>
      </c>
      <c r="BM200">
        <v>-2.4E-2</v>
      </c>
      <c r="BN200">
        <v>-5.0000000000000001E-3</v>
      </c>
      <c r="BO200">
        <v>-0.90400000000000003</v>
      </c>
      <c r="BP200">
        <v>9.5000000000000001E-2</v>
      </c>
      <c r="BQ200">
        <v>800</v>
      </c>
      <c r="BR200">
        <v>14</v>
      </c>
      <c r="BS200">
        <v>0.32</v>
      </c>
      <c r="BT200">
        <v>0.03</v>
      </c>
      <c r="BU200">
        <v>-1.3767720000000001</v>
      </c>
      <c r="BV200">
        <v>0.461032781954889</v>
      </c>
      <c r="BW200">
        <v>5.0152583642321003E-2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1.2440059999999999</v>
      </c>
      <c r="CD200">
        <v>-0.26292451127819599</v>
      </c>
      <c r="CE200">
        <v>2.55506049634837E-2</v>
      </c>
      <c r="CF200">
        <v>0</v>
      </c>
      <c r="CG200">
        <v>1</v>
      </c>
      <c r="CH200">
        <v>2</v>
      </c>
      <c r="CI200" t="s">
        <v>299</v>
      </c>
      <c r="CJ200">
        <v>3.5325000000000002</v>
      </c>
      <c r="CK200">
        <v>2.7022599999999999</v>
      </c>
      <c r="CL200">
        <v>0.15704199999999999</v>
      </c>
      <c r="CM200">
        <v>0.15492800000000001</v>
      </c>
      <c r="CN200">
        <v>8.7107699999999996E-2</v>
      </c>
      <c r="CO200">
        <v>8.1155699999999997E-2</v>
      </c>
      <c r="CP200">
        <v>29566.7</v>
      </c>
      <c r="CQ200">
        <v>26026.1</v>
      </c>
      <c r="CR200">
        <v>32461.8</v>
      </c>
      <c r="CS200">
        <v>30722.9</v>
      </c>
      <c r="CT200">
        <v>40129.699999999997</v>
      </c>
      <c r="CU200">
        <v>39703.300000000003</v>
      </c>
      <c r="CV200">
        <v>47404.800000000003</v>
      </c>
      <c r="CW200">
        <v>46853.1</v>
      </c>
      <c r="CX200">
        <v>2.62554</v>
      </c>
      <c r="CY200">
        <v>2.1457600000000001</v>
      </c>
      <c r="CZ200">
        <v>0</v>
      </c>
      <c r="DA200">
        <v>0</v>
      </c>
      <c r="DB200">
        <v>999.9</v>
      </c>
      <c r="DC200">
        <v>999.9</v>
      </c>
      <c r="DD200">
        <v>54.113999999999997</v>
      </c>
      <c r="DE200">
        <v>26.445</v>
      </c>
      <c r="DF200">
        <v>18.763400000000001</v>
      </c>
      <c r="DG200">
        <v>29.8919</v>
      </c>
      <c r="DH200">
        <v>15.336499999999999</v>
      </c>
      <c r="DI200">
        <v>2</v>
      </c>
      <c r="DJ200">
        <v>-0.134738</v>
      </c>
      <c r="DK200">
        <v>1.86459</v>
      </c>
      <c r="DL200">
        <v>20.2011</v>
      </c>
      <c r="DM200">
        <v>5.2523900000000001</v>
      </c>
      <c r="DN200">
        <v>12.033899999999999</v>
      </c>
      <c r="DO200">
        <v>4.9677600000000002</v>
      </c>
      <c r="DP200">
        <v>3.2909999999999999</v>
      </c>
      <c r="DQ200">
        <v>9999</v>
      </c>
      <c r="DR200">
        <v>9999</v>
      </c>
      <c r="DS200">
        <v>9999</v>
      </c>
      <c r="DT200">
        <v>604.9</v>
      </c>
      <c r="DU200">
        <v>1.87107</v>
      </c>
      <c r="DV200">
        <v>1.8761300000000001</v>
      </c>
      <c r="DW200">
        <v>1.87632</v>
      </c>
      <c r="DX200">
        <v>1.8828199999999999</v>
      </c>
      <c r="DY200">
        <v>1.87561</v>
      </c>
      <c r="DZ200">
        <v>1.8746700000000001</v>
      </c>
      <c r="EA200">
        <v>1.8707499999999999</v>
      </c>
      <c r="EB200">
        <v>1.8746700000000001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-0.90400000000000003</v>
      </c>
      <c r="EQ200">
        <v>9.5100000000000004E-2</v>
      </c>
      <c r="ER200">
        <v>-0.88049999999999995</v>
      </c>
      <c r="ES200">
        <v>0</v>
      </c>
      <c r="ET200">
        <v>0</v>
      </c>
      <c r="EU200">
        <v>0</v>
      </c>
      <c r="EV200">
        <v>9.5040000000000902E-2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10.1</v>
      </c>
      <c r="FE200">
        <v>10</v>
      </c>
      <c r="FF200">
        <v>2.1435499999999998</v>
      </c>
      <c r="FG200">
        <v>2.5817899999999998</v>
      </c>
      <c r="FH200">
        <v>2.19604</v>
      </c>
      <c r="FI200">
        <v>2.5793499999999998</v>
      </c>
      <c r="FJ200">
        <v>2.4462899999999999</v>
      </c>
      <c r="FK200">
        <v>2.2766099999999998</v>
      </c>
      <c r="FL200">
        <v>31.455200000000001</v>
      </c>
      <c r="FM200">
        <v>24.14</v>
      </c>
      <c r="FN200">
        <v>19</v>
      </c>
      <c r="FO200">
        <v>864.83500000000004</v>
      </c>
      <c r="FP200">
        <v>586.30799999999999</v>
      </c>
      <c r="FQ200">
        <v>18.4345</v>
      </c>
      <c r="FR200">
        <v>25.343399999999999</v>
      </c>
      <c r="FS200">
        <v>30.000499999999999</v>
      </c>
      <c r="FT200">
        <v>25.314299999999999</v>
      </c>
      <c r="FU200">
        <v>25.315300000000001</v>
      </c>
      <c r="FV200">
        <v>43.021599999999999</v>
      </c>
      <c r="FW200">
        <v>28.3752</v>
      </c>
      <c r="FX200">
        <v>40.909399999999998</v>
      </c>
      <c r="FY200">
        <v>18.425699999999999</v>
      </c>
      <c r="FZ200">
        <v>800</v>
      </c>
      <c r="GA200">
        <v>14.2646</v>
      </c>
      <c r="GB200">
        <v>99.891199999999998</v>
      </c>
      <c r="GC200">
        <v>99.740499999999997</v>
      </c>
    </row>
    <row r="201" spans="1:185" x14ac:dyDescent="0.2">
      <c r="A201">
        <v>186</v>
      </c>
      <c r="B201">
        <v>1771089169.0999999</v>
      </c>
      <c r="C201">
        <v>3849.0999999046298</v>
      </c>
      <c r="D201" t="s">
        <v>671</v>
      </c>
      <c r="E201" t="s">
        <v>672</v>
      </c>
      <c r="F201">
        <v>15</v>
      </c>
      <c r="G201">
        <v>1771089168.0999999</v>
      </c>
      <c r="H201">
        <f t="shared" si="26"/>
        <v>1.2173633894567506E-5</v>
      </c>
      <c r="I201">
        <v>0</v>
      </c>
      <c r="J201">
        <f t="shared" si="38"/>
        <v>-3.5932830411548438E-4</v>
      </c>
      <c r="K201">
        <f t="shared" si="27"/>
        <v>-9.7399297008915267E-3</v>
      </c>
      <c r="L201">
        <f t="shared" si="28"/>
        <v>64.608896709603982</v>
      </c>
      <c r="M201">
        <f t="shared" si="29"/>
        <v>1.42380062588835</v>
      </c>
      <c r="N201">
        <f t="shared" si="30"/>
        <v>2.2037222401240988</v>
      </c>
      <c r="O201">
        <v>478</v>
      </c>
      <c r="P201">
        <v>60</v>
      </c>
      <c r="Q201">
        <f t="shared" si="31"/>
        <v>1</v>
      </c>
      <c r="R201">
        <f t="shared" si="32"/>
        <v>0</v>
      </c>
      <c r="S201">
        <f t="shared" si="33"/>
        <v>26245.561614279111</v>
      </c>
      <c r="T201">
        <f t="shared" si="34"/>
        <v>799.99099999999999</v>
      </c>
      <c r="U201">
        <f t="shared" si="35"/>
        <v>674.39219220248401</v>
      </c>
      <c r="V201">
        <f t="shared" si="36"/>
        <v>0.84299972400000001</v>
      </c>
      <c r="W201">
        <f t="shared" si="37"/>
        <v>0.15869892024000001</v>
      </c>
      <c r="X201">
        <v>1</v>
      </c>
      <c r="Y201">
        <v>1771089168.0999999</v>
      </c>
      <c r="Z201">
        <v>800.08399999999995</v>
      </c>
      <c r="AA201">
        <v>800.08399999999995</v>
      </c>
      <c r="AB201">
        <v>14.239699999999999</v>
      </c>
      <c r="AC201">
        <v>14.2247</v>
      </c>
      <c r="AD201">
        <v>800.98800000000006</v>
      </c>
      <c r="AE201">
        <v>14.1297</v>
      </c>
      <c r="AF201">
        <v>800.01900000000001</v>
      </c>
      <c r="AG201">
        <v>99.912199999999999</v>
      </c>
      <c r="AH201">
        <v>7.5905500000000001E-2</v>
      </c>
      <c r="AI201">
        <v>18.9894</v>
      </c>
      <c r="AJ201">
        <v>999.9</v>
      </c>
      <c r="AK201">
        <v>999.9</v>
      </c>
      <c r="AL201">
        <v>0</v>
      </c>
      <c r="AM201">
        <v>0</v>
      </c>
      <c r="AN201">
        <v>5007.5</v>
      </c>
      <c r="AO201">
        <v>0</v>
      </c>
      <c r="AP201">
        <v>2.2583899999999999</v>
      </c>
      <c r="AQ201">
        <v>-4.8828100000000002E-4</v>
      </c>
      <c r="AR201">
        <v>811.62900000000002</v>
      </c>
      <c r="AS201">
        <v>811.62900000000002</v>
      </c>
      <c r="AT201">
        <v>9.5367399999999999E-7</v>
      </c>
      <c r="AU201">
        <v>800.08399999999995</v>
      </c>
      <c r="AV201">
        <v>14.2247</v>
      </c>
      <c r="AW201">
        <v>1.4212199999999999</v>
      </c>
      <c r="AX201">
        <v>1.4212199999999999</v>
      </c>
      <c r="AY201">
        <v>12.146000000000001</v>
      </c>
      <c r="AZ201">
        <v>12.146000000000001</v>
      </c>
      <c r="BA201">
        <v>799.99099999999999</v>
      </c>
      <c r="BB201">
        <v>0.90001500000000001</v>
      </c>
      <c r="BC201">
        <v>0</v>
      </c>
      <c r="BD201">
        <v>9.9985199999999996E-2</v>
      </c>
      <c r="BE201">
        <v>0</v>
      </c>
      <c r="BF201">
        <v>25</v>
      </c>
      <c r="BG201">
        <v>13190.9</v>
      </c>
      <c r="BH201">
        <v>1771089189.0999999</v>
      </c>
      <c r="BI201" t="s">
        <v>673</v>
      </c>
      <c r="BJ201">
        <v>1771089167.0999999</v>
      </c>
      <c r="BK201">
        <v>1771089189.0999999</v>
      </c>
      <c r="BL201">
        <v>8</v>
      </c>
      <c r="BM201">
        <v>-2.4E-2</v>
      </c>
      <c r="BN201">
        <v>1.4999999999999999E-2</v>
      </c>
      <c r="BO201">
        <v>-0.90400000000000003</v>
      </c>
      <c r="BP201">
        <v>0.11</v>
      </c>
      <c r="BQ201">
        <v>800</v>
      </c>
      <c r="BR201">
        <v>15</v>
      </c>
      <c r="BS201">
        <v>0.32</v>
      </c>
      <c r="BT201">
        <v>0.08</v>
      </c>
      <c r="BU201">
        <v>-4.1041793857142801E-2</v>
      </c>
      <c r="BV201">
        <v>1.10377901298701</v>
      </c>
      <c r="BW201">
        <v>0.22568574140692599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7.0709435998761894E-2</v>
      </c>
      <c r="CD201">
        <v>-1.0623127805813</v>
      </c>
      <c r="CE201">
        <v>0.179888043447957</v>
      </c>
      <c r="CF201">
        <v>0</v>
      </c>
      <c r="CG201">
        <v>0</v>
      </c>
      <c r="CH201">
        <v>2</v>
      </c>
      <c r="CI201" t="s">
        <v>290</v>
      </c>
      <c r="CJ201">
        <v>3.5339499999999999</v>
      </c>
      <c r="CK201">
        <v>2.71258</v>
      </c>
      <c r="CL201">
        <v>0.15718499999999999</v>
      </c>
      <c r="CM201">
        <v>0.15493100000000001</v>
      </c>
      <c r="CN201">
        <v>8.2101900000000005E-2</v>
      </c>
      <c r="CO201">
        <v>8.1159899999999993E-2</v>
      </c>
      <c r="CP201">
        <v>29560.9</v>
      </c>
      <c r="CQ201">
        <v>26024.9</v>
      </c>
      <c r="CR201">
        <v>32461</v>
      </c>
      <c r="CS201">
        <v>30721.5</v>
      </c>
      <c r="CT201">
        <v>40355.4</v>
      </c>
      <c r="CU201">
        <v>39701.599999999999</v>
      </c>
      <c r="CV201">
        <v>47403.4</v>
      </c>
      <c r="CW201">
        <v>46851.3</v>
      </c>
      <c r="CX201">
        <v>1.6879200000000001</v>
      </c>
      <c r="CY201">
        <v>1.6169</v>
      </c>
      <c r="CZ201">
        <v>0</v>
      </c>
      <c r="DA201">
        <v>0</v>
      </c>
      <c r="DB201">
        <v>999.9</v>
      </c>
      <c r="DC201">
        <v>999.9</v>
      </c>
      <c r="DD201">
        <v>54.040999999999997</v>
      </c>
      <c r="DE201">
        <v>26.454999999999998</v>
      </c>
      <c r="DF201">
        <v>18.747199999999999</v>
      </c>
      <c r="DG201">
        <v>30.111899999999999</v>
      </c>
      <c r="DH201">
        <v>15.641</v>
      </c>
      <c r="DI201">
        <v>2</v>
      </c>
      <c r="DJ201">
        <v>-0.13156499999999999</v>
      </c>
      <c r="DK201">
        <v>2.5510299999999999</v>
      </c>
      <c r="DL201">
        <v>20.1892</v>
      </c>
      <c r="DM201">
        <v>5.2471199999999998</v>
      </c>
      <c r="DN201">
        <v>12.033899999999999</v>
      </c>
      <c r="DO201">
        <v>4.9663599999999999</v>
      </c>
      <c r="DP201">
        <v>3.2902200000000001</v>
      </c>
      <c r="DQ201">
        <v>9999</v>
      </c>
      <c r="DR201">
        <v>9999</v>
      </c>
      <c r="DS201">
        <v>9999</v>
      </c>
      <c r="DT201">
        <v>604.9</v>
      </c>
      <c r="DU201">
        <v>1.87113</v>
      </c>
      <c r="DV201">
        <v>1.87618</v>
      </c>
      <c r="DW201">
        <v>1.87635</v>
      </c>
      <c r="DX201">
        <v>1.8828499999999999</v>
      </c>
      <c r="DY201">
        <v>1.87561</v>
      </c>
      <c r="DZ201">
        <v>1.8746799999999999</v>
      </c>
      <c r="EA201">
        <v>1.8708100000000001</v>
      </c>
      <c r="EB201">
        <v>1.8746700000000001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-0.90400000000000003</v>
      </c>
      <c r="EQ201">
        <v>0.11</v>
      </c>
      <c r="ER201">
        <v>-0.90418181818176901</v>
      </c>
      <c r="ES201">
        <v>0</v>
      </c>
      <c r="ET201">
        <v>0</v>
      </c>
      <c r="EU201">
        <v>0</v>
      </c>
      <c r="EV201">
        <v>9.5040000000000902E-2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</v>
      </c>
      <c r="FE201">
        <v>10.4</v>
      </c>
      <c r="FF201">
        <v>2.1435499999999998</v>
      </c>
      <c r="FG201">
        <v>2.5769000000000002</v>
      </c>
      <c r="FH201">
        <v>2.19604</v>
      </c>
      <c r="FI201">
        <v>2.5781200000000002</v>
      </c>
      <c r="FJ201">
        <v>2.4462899999999999</v>
      </c>
      <c r="FK201">
        <v>2.2875999999999999</v>
      </c>
      <c r="FL201">
        <v>31.477</v>
      </c>
      <c r="FM201">
        <v>24.14</v>
      </c>
      <c r="FN201">
        <v>19</v>
      </c>
      <c r="FO201">
        <v>296.774</v>
      </c>
      <c r="FP201">
        <v>282.48</v>
      </c>
      <c r="FQ201">
        <v>17.754999999999999</v>
      </c>
      <c r="FR201">
        <v>25.3507</v>
      </c>
      <c r="FS201">
        <v>29.999099999999999</v>
      </c>
      <c r="FT201">
        <v>25.3416</v>
      </c>
      <c r="FU201">
        <v>25.3386</v>
      </c>
      <c r="FV201">
        <v>43.020400000000002</v>
      </c>
      <c r="FW201">
        <v>25.7166</v>
      </c>
      <c r="FX201">
        <v>40.909399999999998</v>
      </c>
      <c r="FY201">
        <v>17.7986</v>
      </c>
      <c r="FZ201">
        <v>800</v>
      </c>
      <c r="GA201">
        <v>14.921900000000001</v>
      </c>
      <c r="GB201">
        <v>99.888400000000004</v>
      </c>
      <c r="GC201">
        <v>99.736500000000007</v>
      </c>
    </row>
    <row r="202" spans="1:185" x14ac:dyDescent="0.2">
      <c r="A202">
        <v>187</v>
      </c>
      <c r="B202">
        <v>1771089191.0999999</v>
      </c>
      <c r="C202">
        <v>3871.0999999046298</v>
      </c>
      <c r="D202" t="s">
        <v>674</v>
      </c>
      <c r="E202" t="s">
        <v>675</v>
      </c>
      <c r="F202">
        <v>15</v>
      </c>
      <c r="G202">
        <v>1771089190.0999999</v>
      </c>
      <c r="H202">
        <f t="shared" si="26"/>
        <v>1.6238526877297805E-7</v>
      </c>
      <c r="I202">
        <v>0</v>
      </c>
      <c r="J202">
        <f t="shared" si="38"/>
        <v>-1.3624455775377567E-3</v>
      </c>
      <c r="K202">
        <f t="shared" si="27"/>
        <v>-3.6930361439725119E-2</v>
      </c>
      <c r="L202">
        <f t="shared" si="28"/>
        <v>66.693871421313105</v>
      </c>
      <c r="M202">
        <f t="shared" si="29"/>
        <v>1.4673737115750598</v>
      </c>
      <c r="N202">
        <f t="shared" si="30"/>
        <v>2.2001627440480784</v>
      </c>
      <c r="O202">
        <v>476</v>
      </c>
      <c r="P202">
        <v>59</v>
      </c>
      <c r="Q202">
        <f t="shared" si="31"/>
        <v>1</v>
      </c>
      <c r="R202">
        <f t="shared" si="32"/>
        <v>0</v>
      </c>
      <c r="S202">
        <f t="shared" si="33"/>
        <v>26199.635796511513</v>
      </c>
      <c r="T202">
        <f t="shared" si="34"/>
        <v>799.99900000000002</v>
      </c>
      <c r="U202">
        <f t="shared" si="35"/>
        <v>674.39851860079807</v>
      </c>
      <c r="V202">
        <f t="shared" si="36"/>
        <v>0.842999202</v>
      </c>
      <c r="W202">
        <f t="shared" si="37"/>
        <v>0.15869878452</v>
      </c>
      <c r="X202">
        <v>1</v>
      </c>
      <c r="Y202">
        <v>1771089190.0999999</v>
      </c>
      <c r="Z202">
        <v>799.67499999999995</v>
      </c>
      <c r="AA202">
        <v>799.62900000000002</v>
      </c>
      <c r="AB202">
        <v>14.6754</v>
      </c>
      <c r="AC202">
        <v>14.6752</v>
      </c>
      <c r="AD202">
        <v>800.57899999999995</v>
      </c>
      <c r="AE202">
        <v>14.5657</v>
      </c>
      <c r="AF202">
        <v>800.01099999999997</v>
      </c>
      <c r="AG202">
        <v>99.912999999999997</v>
      </c>
      <c r="AH202">
        <v>7.5668899999999997E-2</v>
      </c>
      <c r="AI202">
        <v>18.9635</v>
      </c>
      <c r="AJ202">
        <v>999.9</v>
      </c>
      <c r="AK202">
        <v>999.9</v>
      </c>
      <c r="AL202">
        <v>0</v>
      </c>
      <c r="AM202">
        <v>0</v>
      </c>
      <c r="AN202">
        <v>4999.5</v>
      </c>
      <c r="AO202">
        <v>0</v>
      </c>
      <c r="AP202">
        <v>2.2583899999999999</v>
      </c>
      <c r="AQ202">
        <v>4.5349100000000003E-2</v>
      </c>
      <c r="AR202">
        <v>811.58500000000004</v>
      </c>
      <c r="AS202">
        <v>811.53899999999999</v>
      </c>
      <c r="AT202">
        <v>1.9168899999999999E-4</v>
      </c>
      <c r="AU202">
        <v>799.62900000000002</v>
      </c>
      <c r="AV202">
        <v>14.6752</v>
      </c>
      <c r="AW202">
        <v>1.4662599999999999</v>
      </c>
      <c r="AX202">
        <v>1.46624</v>
      </c>
      <c r="AY202">
        <v>12.620799999999999</v>
      </c>
      <c r="AZ202">
        <v>12.6206</v>
      </c>
      <c r="BA202">
        <v>799.99900000000002</v>
      </c>
      <c r="BB202">
        <v>0.90001500000000001</v>
      </c>
      <c r="BC202">
        <v>0</v>
      </c>
      <c r="BD202">
        <v>9.9984600000000007E-2</v>
      </c>
      <c r="BE202">
        <v>0</v>
      </c>
      <c r="BF202">
        <v>25</v>
      </c>
      <c r="BG202">
        <v>13191.1</v>
      </c>
      <c r="BH202">
        <v>1771089189.0999999</v>
      </c>
      <c r="BI202" t="s">
        <v>673</v>
      </c>
      <c r="BJ202">
        <v>1771089167.0999999</v>
      </c>
      <c r="BK202">
        <v>1771089189.0999999</v>
      </c>
      <c r="BL202">
        <v>8</v>
      </c>
      <c r="BM202">
        <v>-2.4E-2</v>
      </c>
      <c r="BN202">
        <v>1.4999999999999999E-2</v>
      </c>
      <c r="BO202">
        <v>-0.90400000000000003</v>
      </c>
      <c r="BP202">
        <v>0.11</v>
      </c>
      <c r="BQ202">
        <v>800</v>
      </c>
      <c r="BR202">
        <v>15</v>
      </c>
      <c r="BS202">
        <v>0.32</v>
      </c>
      <c r="BT202">
        <v>0.08</v>
      </c>
      <c r="BU202">
        <v>-3.043912E-2</v>
      </c>
      <c r="BV202">
        <v>0.99453398883116795</v>
      </c>
      <c r="BW202">
        <v>0.125662603875423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8.95670947142857E-2</v>
      </c>
      <c r="CD202">
        <v>-1.27719656181818</v>
      </c>
      <c r="CE202">
        <v>0.16908335509657599</v>
      </c>
      <c r="CF202">
        <v>0</v>
      </c>
      <c r="CG202">
        <v>0</v>
      </c>
      <c r="CH202">
        <v>2</v>
      </c>
      <c r="CI202" t="s">
        <v>290</v>
      </c>
      <c r="CJ202">
        <v>3.5337200000000002</v>
      </c>
      <c r="CK202">
        <v>2.7121200000000001</v>
      </c>
      <c r="CL202">
        <v>0.15714</v>
      </c>
      <c r="CM202">
        <v>0.15488399999999999</v>
      </c>
      <c r="CN202">
        <v>8.3976499999999996E-2</v>
      </c>
      <c r="CO202">
        <v>8.3052799999999996E-2</v>
      </c>
      <c r="CP202">
        <v>29563.200000000001</v>
      </c>
      <c r="CQ202">
        <v>26027.1</v>
      </c>
      <c r="CR202">
        <v>32461.8</v>
      </c>
      <c r="CS202">
        <v>30722.5</v>
      </c>
      <c r="CT202">
        <v>40271.699999999997</v>
      </c>
      <c r="CU202">
        <v>39618.6</v>
      </c>
      <c r="CV202">
        <v>47404.800000000003</v>
      </c>
      <c r="CW202">
        <v>46852.6</v>
      </c>
      <c r="CX202">
        <v>1.6931799999999999</v>
      </c>
      <c r="CY202">
        <v>1.6113</v>
      </c>
      <c r="CZ202">
        <v>0</v>
      </c>
      <c r="DA202">
        <v>0</v>
      </c>
      <c r="DB202">
        <v>999.9</v>
      </c>
      <c r="DC202">
        <v>999.9</v>
      </c>
      <c r="DD202">
        <v>53.991999999999997</v>
      </c>
      <c r="DE202">
        <v>26.484999999999999</v>
      </c>
      <c r="DF202">
        <v>18.7652</v>
      </c>
      <c r="DG202">
        <v>29.971900000000002</v>
      </c>
      <c r="DH202">
        <v>15.853400000000001</v>
      </c>
      <c r="DI202">
        <v>2</v>
      </c>
      <c r="DJ202">
        <v>-0.13245499999999999</v>
      </c>
      <c r="DK202">
        <v>2.3397999999999999</v>
      </c>
      <c r="DL202">
        <v>20.192599999999999</v>
      </c>
      <c r="DM202">
        <v>5.2424499999999998</v>
      </c>
      <c r="DN202">
        <v>12.033899999999999</v>
      </c>
      <c r="DO202">
        <v>4.9656799999999999</v>
      </c>
      <c r="DP202">
        <v>3.2896999999999998</v>
      </c>
      <c r="DQ202">
        <v>9999</v>
      </c>
      <c r="DR202">
        <v>9999</v>
      </c>
      <c r="DS202">
        <v>9999</v>
      </c>
      <c r="DT202">
        <v>604.9</v>
      </c>
      <c r="DU202">
        <v>1.87113</v>
      </c>
      <c r="DV202">
        <v>1.8762000000000001</v>
      </c>
      <c r="DW202">
        <v>1.8763700000000001</v>
      </c>
      <c r="DX202">
        <v>1.88286</v>
      </c>
      <c r="DY202">
        <v>1.87561</v>
      </c>
      <c r="DZ202">
        <v>1.8746799999999999</v>
      </c>
      <c r="EA202">
        <v>1.8708100000000001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-0.90400000000000003</v>
      </c>
      <c r="EQ202">
        <v>0.1096</v>
      </c>
      <c r="ER202">
        <v>-0.90418181818176901</v>
      </c>
      <c r="ES202">
        <v>0</v>
      </c>
      <c r="ET202">
        <v>0</v>
      </c>
      <c r="EU202">
        <v>0</v>
      </c>
      <c r="EV202">
        <v>0.10966999999999801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0.4</v>
      </c>
      <c r="FE202">
        <v>0</v>
      </c>
      <c r="FF202">
        <v>2.1447799999999999</v>
      </c>
      <c r="FG202">
        <v>2.5817899999999998</v>
      </c>
      <c r="FH202">
        <v>2.19604</v>
      </c>
      <c r="FI202">
        <v>2.5793499999999998</v>
      </c>
      <c r="FJ202">
        <v>2.4462899999999999</v>
      </c>
      <c r="FK202">
        <v>2.32666</v>
      </c>
      <c r="FL202">
        <v>31.455200000000001</v>
      </c>
      <c r="FM202">
        <v>24.148800000000001</v>
      </c>
      <c r="FN202">
        <v>19</v>
      </c>
      <c r="FO202">
        <v>298.66399999999999</v>
      </c>
      <c r="FP202">
        <v>280.15899999999999</v>
      </c>
      <c r="FQ202">
        <v>17.857600000000001</v>
      </c>
      <c r="FR202">
        <v>25.357099999999999</v>
      </c>
      <c r="FS202">
        <v>29.9999</v>
      </c>
      <c r="FT202">
        <v>25.349699999999999</v>
      </c>
      <c r="FU202">
        <v>25.346599999999999</v>
      </c>
      <c r="FV202">
        <v>43.027500000000003</v>
      </c>
      <c r="FW202">
        <v>26.838899999999999</v>
      </c>
      <c r="FX202">
        <v>40.909399999999998</v>
      </c>
      <c r="FY202">
        <v>17.890499999999999</v>
      </c>
      <c r="FZ202">
        <v>800</v>
      </c>
      <c r="GA202">
        <v>14.6774</v>
      </c>
      <c r="GB202">
        <v>99.891199999999998</v>
      </c>
      <c r="GC202">
        <v>99.739400000000003</v>
      </c>
    </row>
    <row r="203" spans="1:185" x14ac:dyDescent="0.2">
      <c r="A203">
        <v>188</v>
      </c>
      <c r="B203">
        <v>1771089206.0999999</v>
      </c>
      <c r="C203">
        <v>3886.0999999046298</v>
      </c>
      <c r="D203" t="s">
        <v>676</v>
      </c>
      <c r="E203" t="s">
        <v>677</v>
      </c>
      <c r="F203">
        <v>15</v>
      </c>
      <c r="G203">
        <v>1771089198.03333</v>
      </c>
      <c r="H203">
        <f t="shared" si="26"/>
        <v>7.9026511888747209E-4</v>
      </c>
      <c r="I203">
        <v>0</v>
      </c>
      <c r="J203">
        <f t="shared" si="38"/>
        <v>1.010939664209249E-2</v>
      </c>
      <c r="K203">
        <f t="shared" si="27"/>
        <v>0.274024649560487</v>
      </c>
      <c r="L203">
        <f t="shared" si="28"/>
        <v>69.960473027075054</v>
      </c>
      <c r="M203">
        <f t="shared" si="29"/>
        <v>1.5391347351423226</v>
      </c>
      <c r="N203">
        <f t="shared" si="30"/>
        <v>2.200006187131796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26183.560297672131</v>
      </c>
      <c r="T203">
        <f t="shared" si="34"/>
        <v>799.99686666666696</v>
      </c>
      <c r="U203">
        <f t="shared" si="35"/>
        <v>674.39686196194566</v>
      </c>
      <c r="V203">
        <f t="shared" si="36"/>
        <v>0.84299937920000034</v>
      </c>
      <c r="W203">
        <f t="shared" si="37"/>
        <v>0.15869878579200006</v>
      </c>
      <c r="X203">
        <v>1</v>
      </c>
      <c r="Y203">
        <v>1771089198.03333</v>
      </c>
      <c r="Z203">
        <v>798.79626666666604</v>
      </c>
      <c r="AA203">
        <v>799.92733333333297</v>
      </c>
      <c r="AB203">
        <v>15.394439999999999</v>
      </c>
      <c r="AC203">
        <v>14.422280000000001</v>
      </c>
      <c r="AD203">
        <v>799.70046666666701</v>
      </c>
      <c r="AE203">
        <v>15.2847666666667</v>
      </c>
      <c r="AF203">
        <v>800.38206666666701</v>
      </c>
      <c r="AG203">
        <v>99.913693333333299</v>
      </c>
      <c r="AH203">
        <v>6.6217280000000003E-2</v>
      </c>
      <c r="AI203">
        <v>18.96236</v>
      </c>
      <c r="AJ203">
        <v>999.9</v>
      </c>
      <c r="AK203">
        <v>999.9</v>
      </c>
      <c r="AL203">
        <v>0</v>
      </c>
      <c r="AM203">
        <v>0</v>
      </c>
      <c r="AN203">
        <v>4996.8</v>
      </c>
      <c r="AO203">
        <v>0</v>
      </c>
      <c r="AP203">
        <v>2.2583899999999999</v>
      </c>
      <c r="AQ203">
        <v>-1.1309775933333299</v>
      </c>
      <c r="AR203">
        <v>811.28560000000004</v>
      </c>
      <c r="AS203">
        <v>811.63300000000004</v>
      </c>
      <c r="AT203">
        <v>0.97215637926666698</v>
      </c>
      <c r="AU203">
        <v>799.92733333333297</v>
      </c>
      <c r="AV203">
        <v>14.422280000000001</v>
      </c>
      <c r="AW203">
        <v>1.5381146666666701</v>
      </c>
      <c r="AX203">
        <v>1.4409826666666701</v>
      </c>
      <c r="AY203">
        <v>13.35022</v>
      </c>
      <c r="AZ203">
        <v>12.355119999999999</v>
      </c>
      <c r="BA203">
        <v>799.99686666666696</v>
      </c>
      <c r="BB203">
        <v>0.90001566666666699</v>
      </c>
      <c r="BC203">
        <v>0</v>
      </c>
      <c r="BD203">
        <v>9.9984160000000002E-2</v>
      </c>
      <c r="BE203">
        <v>0</v>
      </c>
      <c r="BF203">
        <v>25</v>
      </c>
      <c r="BG203">
        <v>13191.053333333301</v>
      </c>
      <c r="BH203">
        <v>1771089189.0999999</v>
      </c>
      <c r="BI203" t="s">
        <v>673</v>
      </c>
      <c r="BJ203">
        <v>1771089167.0999999</v>
      </c>
      <c r="BK203">
        <v>1771089189.0999999</v>
      </c>
      <c r="BL203">
        <v>8</v>
      </c>
      <c r="BM203">
        <v>-2.4E-2</v>
      </c>
      <c r="BN203">
        <v>1.4999999999999999E-2</v>
      </c>
      <c r="BO203">
        <v>-0.90400000000000003</v>
      </c>
      <c r="BP203">
        <v>0.11</v>
      </c>
      <c r="BQ203">
        <v>800</v>
      </c>
      <c r="BR203">
        <v>15</v>
      </c>
      <c r="BS203">
        <v>0.32</v>
      </c>
      <c r="BT203">
        <v>0.08</v>
      </c>
      <c r="BU203">
        <v>-0.83779618499999997</v>
      </c>
      <c r="BV203">
        <v>-5.7550683112781904</v>
      </c>
      <c r="BW203">
        <v>0.63465499125415303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0.72840780444999997</v>
      </c>
      <c r="CD203">
        <v>5.3338288430526299</v>
      </c>
      <c r="CE203">
        <v>0.55429176712796202</v>
      </c>
      <c r="CF203">
        <v>0</v>
      </c>
      <c r="CG203">
        <v>0</v>
      </c>
      <c r="CH203">
        <v>2</v>
      </c>
      <c r="CI203" t="s">
        <v>290</v>
      </c>
      <c r="CJ203">
        <v>3.5324800000000001</v>
      </c>
      <c r="CK203">
        <v>2.70208</v>
      </c>
      <c r="CL203">
        <v>0.15703700000000001</v>
      </c>
      <c r="CM203">
        <v>0.15493199999999999</v>
      </c>
      <c r="CN203">
        <v>8.7358500000000006E-2</v>
      </c>
      <c r="CO203">
        <v>8.1342100000000001E-2</v>
      </c>
      <c r="CP203">
        <v>29565.9</v>
      </c>
      <c r="CQ203">
        <v>26025.7</v>
      </c>
      <c r="CR203">
        <v>32460.799999999999</v>
      </c>
      <c r="CS203">
        <v>30722.7</v>
      </c>
      <c r="CT203">
        <v>40117.1</v>
      </c>
      <c r="CU203">
        <v>39695.1</v>
      </c>
      <c r="CV203">
        <v>47403.4</v>
      </c>
      <c r="CW203">
        <v>46853.2</v>
      </c>
      <c r="CX203">
        <v>2.6221199999999998</v>
      </c>
      <c r="CY203">
        <v>2.14378</v>
      </c>
      <c r="CZ203">
        <v>0</v>
      </c>
      <c r="DA203">
        <v>0</v>
      </c>
      <c r="DB203">
        <v>999.9</v>
      </c>
      <c r="DC203">
        <v>999.9</v>
      </c>
      <c r="DD203">
        <v>53.948999999999998</v>
      </c>
      <c r="DE203">
        <v>26.484999999999999</v>
      </c>
      <c r="DF203">
        <v>18.748699999999999</v>
      </c>
      <c r="DG203">
        <v>30.0319</v>
      </c>
      <c r="DH203">
        <v>15.380599999999999</v>
      </c>
      <c r="DI203">
        <v>2</v>
      </c>
      <c r="DJ203">
        <v>-0.132274</v>
      </c>
      <c r="DK203">
        <v>2.2413799999999999</v>
      </c>
      <c r="DL203">
        <v>20.196200000000001</v>
      </c>
      <c r="DM203">
        <v>5.2480799999999999</v>
      </c>
      <c r="DN203">
        <v>12.033899999999999</v>
      </c>
      <c r="DO203">
        <v>4.9677199999999999</v>
      </c>
      <c r="DP203">
        <v>3.2909999999999999</v>
      </c>
      <c r="DQ203">
        <v>9999</v>
      </c>
      <c r="DR203">
        <v>9999</v>
      </c>
      <c r="DS203">
        <v>9999</v>
      </c>
      <c r="DT203">
        <v>604.9</v>
      </c>
      <c r="DU203">
        <v>1.8711500000000001</v>
      </c>
      <c r="DV203">
        <v>1.87622</v>
      </c>
      <c r="DW203">
        <v>1.8763700000000001</v>
      </c>
      <c r="DX203">
        <v>1.88286</v>
      </c>
      <c r="DY203">
        <v>1.87561</v>
      </c>
      <c r="DZ203">
        <v>1.87469</v>
      </c>
      <c r="EA203">
        <v>1.87083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-0.90400000000000003</v>
      </c>
      <c r="EQ203">
        <v>0.1096</v>
      </c>
      <c r="ER203">
        <v>-0.90418181818176901</v>
      </c>
      <c r="ES203">
        <v>0</v>
      </c>
      <c r="ET203">
        <v>0</v>
      </c>
      <c r="EU203">
        <v>0</v>
      </c>
      <c r="EV203">
        <v>0.10966999999999801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0.7</v>
      </c>
      <c r="FE203">
        <v>0.3</v>
      </c>
      <c r="FF203">
        <v>2.1447799999999999</v>
      </c>
      <c r="FG203">
        <v>2.5842299999999998</v>
      </c>
      <c r="FH203">
        <v>2.19604</v>
      </c>
      <c r="FI203">
        <v>2.5793499999999998</v>
      </c>
      <c r="FJ203">
        <v>2.4462899999999999</v>
      </c>
      <c r="FK203">
        <v>2.2485400000000002</v>
      </c>
      <c r="FL203">
        <v>31.477</v>
      </c>
      <c r="FM203">
        <v>24.14</v>
      </c>
      <c r="FN203">
        <v>19</v>
      </c>
      <c r="FO203">
        <v>861.99900000000002</v>
      </c>
      <c r="FP203">
        <v>584.971</v>
      </c>
      <c r="FQ203">
        <v>17.936499999999999</v>
      </c>
      <c r="FR203">
        <v>25.3614</v>
      </c>
      <c r="FS203">
        <v>30.0001</v>
      </c>
      <c r="FT203">
        <v>25.3352</v>
      </c>
      <c r="FU203">
        <v>25.332999999999998</v>
      </c>
      <c r="FV203">
        <v>43.023099999999999</v>
      </c>
      <c r="FW203">
        <v>27.8626</v>
      </c>
      <c r="FX203">
        <v>40.534199999999998</v>
      </c>
      <c r="FY203">
        <v>17.969899999999999</v>
      </c>
      <c r="FZ203">
        <v>800</v>
      </c>
      <c r="GA203">
        <v>14.2615</v>
      </c>
      <c r="GB203">
        <v>99.888099999999994</v>
      </c>
      <c r="GC203">
        <v>99.740300000000005</v>
      </c>
    </row>
    <row r="204" spans="1:185" x14ac:dyDescent="0.2">
      <c r="A204">
        <v>189</v>
      </c>
      <c r="B204">
        <v>1771089221.0999999</v>
      </c>
      <c r="C204">
        <v>3901.0999999046298</v>
      </c>
      <c r="D204" t="s">
        <v>678</v>
      </c>
      <c r="E204" t="s">
        <v>679</v>
      </c>
      <c r="F204">
        <v>15</v>
      </c>
      <c r="G204">
        <v>1771089213.03333</v>
      </c>
      <c r="H204">
        <f t="shared" si="26"/>
        <v>9.7290142355630426E-4</v>
      </c>
      <c r="I204">
        <v>0</v>
      </c>
      <c r="J204">
        <f t="shared" si="38"/>
        <v>1.0049817307584608E-2</v>
      </c>
      <c r="K204">
        <f t="shared" si="27"/>
        <v>0.27240969598436637</v>
      </c>
      <c r="L204">
        <f t="shared" si="28"/>
        <v>70.259737059081843</v>
      </c>
      <c r="M204">
        <f t="shared" si="29"/>
        <v>1.5458176232105096</v>
      </c>
      <c r="N204">
        <f t="shared" si="30"/>
        <v>2.2001471794729635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26160.266279880208</v>
      </c>
      <c r="T204">
        <f t="shared" si="34"/>
        <v>800.00066666666703</v>
      </c>
      <c r="U204">
        <f t="shared" si="35"/>
        <v>674.40012647963738</v>
      </c>
      <c r="V204">
        <f t="shared" si="36"/>
        <v>0.8429994556</v>
      </c>
      <c r="W204">
        <f t="shared" si="37"/>
        <v>0.158698742936</v>
      </c>
      <c r="X204">
        <v>1</v>
      </c>
      <c r="Y204">
        <v>1771089213.03333</v>
      </c>
      <c r="Z204">
        <v>798.68219999999997</v>
      </c>
      <c r="AA204">
        <v>799.99400000000003</v>
      </c>
      <c r="AB204">
        <v>15.4617666666667</v>
      </c>
      <c r="AC204">
        <v>14.2644533333333</v>
      </c>
      <c r="AD204">
        <v>799.58640000000003</v>
      </c>
      <c r="AE204">
        <v>15.352066666666699</v>
      </c>
      <c r="AF204">
        <v>800.006666666667</v>
      </c>
      <c r="AG204">
        <v>99.912253333333297</v>
      </c>
      <c r="AH204">
        <v>6.4525293333333303E-2</v>
      </c>
      <c r="AI204">
        <v>18.9633866666667</v>
      </c>
      <c r="AJ204">
        <v>999.9</v>
      </c>
      <c r="AK204">
        <v>999.9</v>
      </c>
      <c r="AL204">
        <v>0</v>
      </c>
      <c r="AM204">
        <v>0</v>
      </c>
      <c r="AN204">
        <v>4993.0333333333301</v>
      </c>
      <c r="AO204">
        <v>0</v>
      </c>
      <c r="AP204">
        <v>2.2583899999999999</v>
      </c>
      <c r="AQ204">
        <v>-1.3118173333333301</v>
      </c>
      <c r="AR204">
        <v>811.22519999999997</v>
      </c>
      <c r="AS204">
        <v>811.57060000000001</v>
      </c>
      <c r="AT204">
        <v>1.1972986666666701</v>
      </c>
      <c r="AU204">
        <v>799.99400000000003</v>
      </c>
      <c r="AV204">
        <v>14.2644533333333</v>
      </c>
      <c r="AW204">
        <v>1.5448173333333299</v>
      </c>
      <c r="AX204">
        <v>1.4251946666666699</v>
      </c>
      <c r="AY204">
        <v>13.419093333333301</v>
      </c>
      <c r="AZ204">
        <v>12.188373333333301</v>
      </c>
      <c r="BA204">
        <v>800.00066666666703</v>
      </c>
      <c r="BB204">
        <v>0.90001660000000006</v>
      </c>
      <c r="BC204">
        <v>0</v>
      </c>
      <c r="BD204">
        <v>9.9983346666666695E-2</v>
      </c>
      <c r="BE204">
        <v>0</v>
      </c>
      <c r="BF204">
        <v>25</v>
      </c>
      <c r="BG204">
        <v>13191.1</v>
      </c>
      <c r="BH204">
        <v>1771089189.0999999</v>
      </c>
      <c r="BI204" t="s">
        <v>673</v>
      </c>
      <c r="BJ204">
        <v>1771089167.0999999</v>
      </c>
      <c r="BK204">
        <v>1771089189.0999999</v>
      </c>
      <c r="BL204">
        <v>8</v>
      </c>
      <c r="BM204">
        <v>-2.4E-2</v>
      </c>
      <c r="BN204">
        <v>1.4999999999999999E-2</v>
      </c>
      <c r="BO204">
        <v>-0.90400000000000003</v>
      </c>
      <c r="BP204">
        <v>0.11</v>
      </c>
      <c r="BQ204">
        <v>800</v>
      </c>
      <c r="BR204">
        <v>15</v>
      </c>
      <c r="BS204">
        <v>0.32</v>
      </c>
      <c r="BT204">
        <v>0.08</v>
      </c>
      <c r="BU204">
        <v>-1.31452666666667</v>
      </c>
      <c r="BV204">
        <v>0.18862363636363599</v>
      </c>
      <c r="BW204">
        <v>4.58391265949094E-2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1.21117047619048</v>
      </c>
      <c r="CD204">
        <v>-0.28654987012987099</v>
      </c>
      <c r="CE204">
        <v>2.9018616106314E-2</v>
      </c>
      <c r="CF204">
        <v>0</v>
      </c>
      <c r="CG204">
        <v>1</v>
      </c>
      <c r="CH204">
        <v>2</v>
      </c>
      <c r="CI204" t="s">
        <v>299</v>
      </c>
      <c r="CJ204">
        <v>3.5325299999999999</v>
      </c>
      <c r="CK204">
        <v>2.70234</v>
      </c>
      <c r="CL204">
        <v>0.15704000000000001</v>
      </c>
      <c r="CM204">
        <v>0.15492300000000001</v>
      </c>
      <c r="CN204">
        <v>8.7048799999999996E-2</v>
      </c>
      <c r="CO204">
        <v>8.1322199999999997E-2</v>
      </c>
      <c r="CP204">
        <v>29566.5</v>
      </c>
      <c r="CQ204">
        <v>26025.7</v>
      </c>
      <c r="CR204">
        <v>32461.599999999999</v>
      </c>
      <c r="CS204">
        <v>30722.3</v>
      </c>
      <c r="CT204">
        <v>40132.1</v>
      </c>
      <c r="CU204">
        <v>39695.300000000003</v>
      </c>
      <c r="CV204">
        <v>47404.4</v>
      </c>
      <c r="CW204">
        <v>46852.4</v>
      </c>
      <c r="CX204">
        <v>2.62412</v>
      </c>
      <c r="CY204">
        <v>2.1446000000000001</v>
      </c>
      <c r="CZ204">
        <v>0</v>
      </c>
      <c r="DA204">
        <v>0</v>
      </c>
      <c r="DB204">
        <v>999.9</v>
      </c>
      <c r="DC204">
        <v>999.9</v>
      </c>
      <c r="DD204">
        <v>53.851999999999997</v>
      </c>
      <c r="DE204">
        <v>26.506</v>
      </c>
      <c r="DF204">
        <v>18.738199999999999</v>
      </c>
      <c r="DG204">
        <v>30.001899999999999</v>
      </c>
      <c r="DH204">
        <v>15.4407</v>
      </c>
      <c r="DI204">
        <v>2</v>
      </c>
      <c r="DJ204">
        <v>-0.13223199999999999</v>
      </c>
      <c r="DK204">
        <v>2.16317</v>
      </c>
      <c r="DL204">
        <v>20.197199999999999</v>
      </c>
      <c r="DM204">
        <v>5.2461599999999997</v>
      </c>
      <c r="DN204">
        <v>12.033899999999999</v>
      </c>
      <c r="DO204">
        <v>4.9674399999999999</v>
      </c>
      <c r="DP204">
        <v>3.2907600000000001</v>
      </c>
      <c r="DQ204">
        <v>9999</v>
      </c>
      <c r="DR204">
        <v>9999</v>
      </c>
      <c r="DS204">
        <v>9999</v>
      </c>
      <c r="DT204">
        <v>604.9</v>
      </c>
      <c r="DU204">
        <v>1.8711500000000001</v>
      </c>
      <c r="DV204">
        <v>1.87618</v>
      </c>
      <c r="DW204">
        <v>1.87635</v>
      </c>
      <c r="DX204">
        <v>1.8828199999999999</v>
      </c>
      <c r="DY204">
        <v>1.87561</v>
      </c>
      <c r="DZ204">
        <v>1.8746799999999999</v>
      </c>
      <c r="EA204">
        <v>1.87079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-0.90400000000000003</v>
      </c>
      <c r="EQ204">
        <v>0.10970000000000001</v>
      </c>
      <c r="ER204">
        <v>-0.90418181818176901</v>
      </c>
      <c r="ES204">
        <v>0</v>
      </c>
      <c r="ET204">
        <v>0</v>
      </c>
      <c r="EU204">
        <v>0</v>
      </c>
      <c r="EV204">
        <v>0.10966999999999801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0.9</v>
      </c>
      <c r="FE204">
        <v>0.5</v>
      </c>
      <c r="FF204">
        <v>2.1447799999999999</v>
      </c>
      <c r="FG204">
        <v>2.5793499999999998</v>
      </c>
      <c r="FH204">
        <v>2.19604</v>
      </c>
      <c r="FI204">
        <v>2.5793499999999998</v>
      </c>
      <c r="FJ204">
        <v>2.4462899999999999</v>
      </c>
      <c r="FK204">
        <v>2.3156699999999999</v>
      </c>
      <c r="FL204">
        <v>31.498799999999999</v>
      </c>
      <c r="FM204">
        <v>24.148800000000001</v>
      </c>
      <c r="FN204">
        <v>19</v>
      </c>
      <c r="FO204">
        <v>863.88800000000003</v>
      </c>
      <c r="FP204">
        <v>585.64800000000002</v>
      </c>
      <c r="FQ204">
        <v>18.017099999999999</v>
      </c>
      <c r="FR204">
        <v>25.3643</v>
      </c>
      <c r="FS204">
        <v>30</v>
      </c>
      <c r="FT204">
        <v>25.337399999999999</v>
      </c>
      <c r="FU204">
        <v>25.336500000000001</v>
      </c>
      <c r="FV204">
        <v>43.024000000000001</v>
      </c>
      <c r="FW204">
        <v>27.8626</v>
      </c>
      <c r="FX204">
        <v>40.534199999999998</v>
      </c>
      <c r="FY204">
        <v>18.0456</v>
      </c>
      <c r="FZ204">
        <v>800</v>
      </c>
      <c r="GA204">
        <v>14.2882</v>
      </c>
      <c r="GB204">
        <v>99.8904</v>
      </c>
      <c r="GC204">
        <v>99.738900000000001</v>
      </c>
    </row>
    <row r="205" spans="1:185" x14ac:dyDescent="0.2">
      <c r="A205">
        <v>190</v>
      </c>
      <c r="B205">
        <v>1771089236.0999999</v>
      </c>
      <c r="C205">
        <v>3916.0999999046298</v>
      </c>
      <c r="D205" t="s">
        <v>680</v>
      </c>
      <c r="E205" t="s">
        <v>681</v>
      </c>
      <c r="F205">
        <v>15</v>
      </c>
      <c r="G205">
        <v>1771089228.03333</v>
      </c>
      <c r="H205">
        <f t="shared" si="26"/>
        <v>9.3510857350637697E-4</v>
      </c>
      <c r="I205">
        <v>0</v>
      </c>
      <c r="J205">
        <f t="shared" si="38"/>
        <v>1.011592717979534E-2</v>
      </c>
      <c r="K205">
        <f t="shared" si="27"/>
        <v>0.27420166589180933</v>
      </c>
      <c r="L205">
        <f t="shared" si="28"/>
        <v>69.986529006737726</v>
      </c>
      <c r="M205">
        <f t="shared" si="29"/>
        <v>1.541169447175528</v>
      </c>
      <c r="N205">
        <f t="shared" si="30"/>
        <v>2.2020944159513283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26252.189161845403</v>
      </c>
      <c r="T205">
        <f t="shared" si="34"/>
        <v>799.99839999999995</v>
      </c>
      <c r="U205">
        <f t="shared" si="35"/>
        <v>674.39830864068517</v>
      </c>
      <c r="V205">
        <f t="shared" si="36"/>
        <v>0.84299957180000007</v>
      </c>
      <c r="W205">
        <f t="shared" si="37"/>
        <v>0.15869917634800002</v>
      </c>
      <c r="X205">
        <v>1</v>
      </c>
      <c r="Y205">
        <v>1771089228.03333</v>
      </c>
      <c r="Z205">
        <v>798.71273333333295</v>
      </c>
      <c r="AA205">
        <v>799.98906666666699</v>
      </c>
      <c r="AB205">
        <v>15.4152133333333</v>
      </c>
      <c r="AC205">
        <v>14.2643666666667</v>
      </c>
      <c r="AD205">
        <v>799.61686666666697</v>
      </c>
      <c r="AE205">
        <v>15.305526666666699</v>
      </c>
      <c r="AF205">
        <v>800.01419999999996</v>
      </c>
      <c r="AG205">
        <v>99.912626666666696</v>
      </c>
      <c r="AH205">
        <v>6.4546133333333297E-2</v>
      </c>
      <c r="AI205">
        <v>18.97756</v>
      </c>
      <c r="AJ205">
        <v>999.9</v>
      </c>
      <c r="AK205">
        <v>999.9</v>
      </c>
      <c r="AL205">
        <v>0</v>
      </c>
      <c r="AM205">
        <v>0</v>
      </c>
      <c r="AN205">
        <v>5008.3999999999996</v>
      </c>
      <c r="AO205">
        <v>0</v>
      </c>
      <c r="AP205">
        <v>2.2583899999999999</v>
      </c>
      <c r="AQ205">
        <v>-1.27641133333333</v>
      </c>
      <c r="AR205">
        <v>811.21773333333294</v>
      </c>
      <c r="AS205">
        <v>811.565333333333</v>
      </c>
      <c r="AT205">
        <v>1.1508400000000001</v>
      </c>
      <c r="AU205">
        <v>799.98906666666699</v>
      </c>
      <c r="AV205">
        <v>14.2643666666667</v>
      </c>
      <c r="AW205">
        <v>1.5401733333333301</v>
      </c>
      <c r="AX205">
        <v>1.42519</v>
      </c>
      <c r="AY205">
        <v>13.37294</v>
      </c>
      <c r="AZ205">
        <v>12.18834</v>
      </c>
      <c r="BA205">
        <v>799.99839999999995</v>
      </c>
      <c r="BB205">
        <v>0.90001059999999999</v>
      </c>
      <c r="BC205">
        <v>0</v>
      </c>
      <c r="BD205">
        <v>9.9989273333333406E-2</v>
      </c>
      <c r="BE205">
        <v>0</v>
      </c>
      <c r="BF205">
        <v>25</v>
      </c>
      <c r="BG205">
        <v>13191.0333333333</v>
      </c>
      <c r="BH205">
        <v>1771089189.0999999</v>
      </c>
      <c r="BI205" t="s">
        <v>673</v>
      </c>
      <c r="BJ205">
        <v>1771089167.0999999</v>
      </c>
      <c r="BK205">
        <v>1771089189.0999999</v>
      </c>
      <c r="BL205">
        <v>8</v>
      </c>
      <c r="BM205">
        <v>-2.4E-2</v>
      </c>
      <c r="BN205">
        <v>1.4999999999999999E-2</v>
      </c>
      <c r="BO205">
        <v>-0.90400000000000003</v>
      </c>
      <c r="BP205">
        <v>0.11</v>
      </c>
      <c r="BQ205">
        <v>800</v>
      </c>
      <c r="BR205">
        <v>15</v>
      </c>
      <c r="BS205">
        <v>0.32</v>
      </c>
      <c r="BT205">
        <v>0.08</v>
      </c>
      <c r="BU205">
        <v>-1.2779294999999999</v>
      </c>
      <c r="BV205">
        <v>6.2756842105263E-2</v>
      </c>
      <c r="BW205">
        <v>2.9426053502805999E-2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1.1564615</v>
      </c>
      <c r="CD205">
        <v>-0.13564466165413699</v>
      </c>
      <c r="CE205">
        <v>1.3075747502533101E-2</v>
      </c>
      <c r="CF205">
        <v>0</v>
      </c>
      <c r="CG205">
        <v>1</v>
      </c>
      <c r="CH205">
        <v>2</v>
      </c>
      <c r="CI205" t="s">
        <v>299</v>
      </c>
      <c r="CJ205">
        <v>3.5326</v>
      </c>
      <c r="CK205">
        <v>2.7021000000000002</v>
      </c>
      <c r="CL205">
        <v>0.15703300000000001</v>
      </c>
      <c r="CM205">
        <v>0.154922</v>
      </c>
      <c r="CN205">
        <v>8.6926799999999999E-2</v>
      </c>
      <c r="CO205">
        <v>8.133E-2</v>
      </c>
      <c r="CP205">
        <v>29566.3</v>
      </c>
      <c r="CQ205">
        <v>26025.7</v>
      </c>
      <c r="CR205">
        <v>32461.1</v>
      </c>
      <c r="CS205">
        <v>30722.3</v>
      </c>
      <c r="CT205">
        <v>40137.199999999997</v>
      </c>
      <c r="CU205">
        <v>39695.1</v>
      </c>
      <c r="CV205">
        <v>47403.9</v>
      </c>
      <c r="CW205">
        <v>46852.6</v>
      </c>
      <c r="CX205">
        <v>2.6247799999999999</v>
      </c>
      <c r="CY205">
        <v>2.1447799999999999</v>
      </c>
      <c r="CZ205">
        <v>0</v>
      </c>
      <c r="DA205">
        <v>0</v>
      </c>
      <c r="DB205">
        <v>999.9</v>
      </c>
      <c r="DC205">
        <v>999.9</v>
      </c>
      <c r="DD205">
        <v>53.802999999999997</v>
      </c>
      <c r="DE205">
        <v>26.515999999999998</v>
      </c>
      <c r="DF205">
        <v>18.732500000000002</v>
      </c>
      <c r="DG205">
        <v>30.241900000000001</v>
      </c>
      <c r="DH205">
        <v>15.320499999999999</v>
      </c>
      <c r="DI205">
        <v>2</v>
      </c>
      <c r="DJ205">
        <v>-0.132157</v>
      </c>
      <c r="DK205">
        <v>2.16343</v>
      </c>
      <c r="DL205">
        <v>20.197399999999998</v>
      </c>
      <c r="DM205">
        <v>5.2472399999999997</v>
      </c>
      <c r="DN205">
        <v>12.033899999999999</v>
      </c>
      <c r="DO205">
        <v>4.9676799999999997</v>
      </c>
      <c r="DP205">
        <v>3.2909999999999999</v>
      </c>
      <c r="DQ205">
        <v>9999</v>
      </c>
      <c r="DR205">
        <v>9999</v>
      </c>
      <c r="DS205">
        <v>9999</v>
      </c>
      <c r="DT205">
        <v>604.9</v>
      </c>
      <c r="DU205">
        <v>1.87113</v>
      </c>
      <c r="DV205">
        <v>1.87615</v>
      </c>
      <c r="DW205">
        <v>1.87632</v>
      </c>
      <c r="DX205">
        <v>1.88279</v>
      </c>
      <c r="DY205">
        <v>1.8755999999999999</v>
      </c>
      <c r="DZ205">
        <v>1.8746700000000001</v>
      </c>
      <c r="EA205">
        <v>1.87077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-0.90400000000000003</v>
      </c>
      <c r="EQ205">
        <v>0.10970000000000001</v>
      </c>
      <c r="ER205">
        <v>-0.90418181818176901</v>
      </c>
      <c r="ES205">
        <v>0</v>
      </c>
      <c r="ET205">
        <v>0</v>
      </c>
      <c r="EU205">
        <v>0</v>
      </c>
      <c r="EV205">
        <v>0.10966999999999801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1.1000000000000001</v>
      </c>
      <c r="FE205">
        <v>0.8</v>
      </c>
      <c r="FF205">
        <v>2.1447799999999999</v>
      </c>
      <c r="FG205">
        <v>2.5854499999999998</v>
      </c>
      <c r="FH205">
        <v>2.19604</v>
      </c>
      <c r="FI205">
        <v>2.5793499999999998</v>
      </c>
      <c r="FJ205">
        <v>2.4462899999999999</v>
      </c>
      <c r="FK205">
        <v>2.2863799999999999</v>
      </c>
      <c r="FL205">
        <v>31.498799999999999</v>
      </c>
      <c r="FM205">
        <v>24.14</v>
      </c>
      <c r="FN205">
        <v>19</v>
      </c>
      <c r="FO205">
        <v>864.56100000000004</v>
      </c>
      <c r="FP205">
        <v>585.83699999999999</v>
      </c>
      <c r="FQ205">
        <v>18.081</v>
      </c>
      <c r="FR205">
        <v>25.368300000000001</v>
      </c>
      <c r="FS205">
        <v>30.0001</v>
      </c>
      <c r="FT205">
        <v>25.341100000000001</v>
      </c>
      <c r="FU205">
        <v>25.340800000000002</v>
      </c>
      <c r="FV205">
        <v>43.026600000000002</v>
      </c>
      <c r="FW205">
        <v>27.8626</v>
      </c>
      <c r="FX205">
        <v>40.164099999999998</v>
      </c>
      <c r="FY205">
        <v>18.0899</v>
      </c>
      <c r="FZ205">
        <v>800</v>
      </c>
      <c r="GA205">
        <v>14.2882</v>
      </c>
      <c r="GB205">
        <v>99.889099999999999</v>
      </c>
      <c r="GC205">
        <v>99.739099999999993</v>
      </c>
    </row>
    <row r="206" spans="1:185" x14ac:dyDescent="0.2">
      <c r="A206">
        <v>191</v>
      </c>
      <c r="B206">
        <v>1771089251.0999999</v>
      </c>
      <c r="C206">
        <v>3931.0999999046298</v>
      </c>
      <c r="D206" t="s">
        <v>682</v>
      </c>
      <c r="E206" t="s">
        <v>683</v>
      </c>
      <c r="F206">
        <v>15</v>
      </c>
      <c r="G206">
        <v>1771089243.03333</v>
      </c>
      <c r="H206">
        <f t="shared" si="26"/>
        <v>9.3684085321094426E-4</v>
      </c>
      <c r="I206">
        <v>0</v>
      </c>
      <c r="J206">
        <f t="shared" si="38"/>
        <v>9.8688648461353473E-3</v>
      </c>
      <c r="K206">
        <f t="shared" si="27"/>
        <v>0.26750481030312973</v>
      </c>
      <c r="L206">
        <f t="shared" si="28"/>
        <v>69.794592487373961</v>
      </c>
      <c r="M206">
        <f t="shared" si="29"/>
        <v>1.5386184941612047</v>
      </c>
      <c r="N206">
        <f t="shared" si="30"/>
        <v>2.2044952758188896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26205.491528322797</v>
      </c>
      <c r="T206">
        <f t="shared" si="34"/>
        <v>799.99966666666705</v>
      </c>
      <c r="U206">
        <f t="shared" si="35"/>
        <v>674.3998319599533</v>
      </c>
      <c r="V206">
        <f t="shared" si="36"/>
        <v>0.8430001412</v>
      </c>
      <c r="W206">
        <f t="shared" si="37"/>
        <v>0.15870043095200001</v>
      </c>
      <c r="X206">
        <v>1</v>
      </c>
      <c r="Y206">
        <v>1771089243.03333</v>
      </c>
      <c r="Z206">
        <v>798.73693333333301</v>
      </c>
      <c r="AA206">
        <v>800.006666666667</v>
      </c>
      <c r="AB206">
        <v>15.390033333333299</v>
      </c>
      <c r="AC206">
        <v>14.2370133333333</v>
      </c>
      <c r="AD206">
        <v>799.64099999999996</v>
      </c>
      <c r="AE206">
        <v>15.2803533333333</v>
      </c>
      <c r="AF206">
        <v>800.00593333333302</v>
      </c>
      <c r="AG206">
        <v>99.910693333333299</v>
      </c>
      <c r="AH206">
        <v>6.4300926666666702E-2</v>
      </c>
      <c r="AI206">
        <v>18.99502</v>
      </c>
      <c r="AJ206">
        <v>999.9</v>
      </c>
      <c r="AK206">
        <v>999.9</v>
      </c>
      <c r="AL206">
        <v>0</v>
      </c>
      <c r="AM206">
        <v>0</v>
      </c>
      <c r="AN206">
        <v>5001.0333333333301</v>
      </c>
      <c r="AO206">
        <v>0</v>
      </c>
      <c r="AP206">
        <v>2.2583899999999999</v>
      </c>
      <c r="AQ206">
        <v>-1.26971733333333</v>
      </c>
      <c r="AR206">
        <v>811.22153333333301</v>
      </c>
      <c r="AS206">
        <v>811.56079999999997</v>
      </c>
      <c r="AT206">
        <v>1.1530133333333299</v>
      </c>
      <c r="AU206">
        <v>800.006666666667</v>
      </c>
      <c r="AV206">
        <v>14.2370133333333</v>
      </c>
      <c r="AW206">
        <v>1.53762933333333</v>
      </c>
      <c r="AX206">
        <v>1.4224300000000001</v>
      </c>
      <c r="AY206">
        <v>13.3475533333333</v>
      </c>
      <c r="AZ206">
        <v>12.158886666666699</v>
      </c>
      <c r="BA206">
        <v>799.99966666666705</v>
      </c>
      <c r="BB206">
        <v>0.899994133333333</v>
      </c>
      <c r="BC206">
        <v>0</v>
      </c>
      <c r="BD206">
        <v>0.10000582666666701</v>
      </c>
      <c r="BE206">
        <v>0</v>
      </c>
      <c r="BF206">
        <v>25</v>
      </c>
      <c r="BG206">
        <v>13191</v>
      </c>
      <c r="BH206">
        <v>1771089189.0999999</v>
      </c>
      <c r="BI206" t="s">
        <v>673</v>
      </c>
      <c r="BJ206">
        <v>1771089167.0999999</v>
      </c>
      <c r="BK206">
        <v>1771089189.0999999</v>
      </c>
      <c r="BL206">
        <v>8</v>
      </c>
      <c r="BM206">
        <v>-2.4E-2</v>
      </c>
      <c r="BN206">
        <v>1.4999999999999999E-2</v>
      </c>
      <c r="BO206">
        <v>-0.90400000000000003</v>
      </c>
      <c r="BP206">
        <v>0.11</v>
      </c>
      <c r="BQ206">
        <v>800</v>
      </c>
      <c r="BR206">
        <v>15</v>
      </c>
      <c r="BS206">
        <v>0.32</v>
      </c>
      <c r="BT206">
        <v>0.08</v>
      </c>
      <c r="BU206">
        <v>-1.2676261904761901</v>
      </c>
      <c r="BV206">
        <v>4.2089610389609303E-2</v>
      </c>
      <c r="BW206">
        <v>3.1608743437188502E-2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1.1495147619047601</v>
      </c>
      <c r="CD206">
        <v>7.4029870129871195E-2</v>
      </c>
      <c r="CE206">
        <v>1.1079529222871001E-2</v>
      </c>
      <c r="CF206">
        <v>1</v>
      </c>
      <c r="CG206">
        <v>2</v>
      </c>
      <c r="CH206">
        <v>2</v>
      </c>
      <c r="CI206" t="s">
        <v>310</v>
      </c>
      <c r="CJ206">
        <v>3.5324599999999999</v>
      </c>
      <c r="CK206">
        <v>2.7019000000000002</v>
      </c>
      <c r="CL206">
        <v>0.15703300000000001</v>
      </c>
      <c r="CM206">
        <v>0.15491199999999999</v>
      </c>
      <c r="CN206">
        <v>8.6791900000000005E-2</v>
      </c>
      <c r="CO206">
        <v>8.1140699999999996E-2</v>
      </c>
      <c r="CP206">
        <v>29565.9</v>
      </c>
      <c r="CQ206">
        <v>26026.2</v>
      </c>
      <c r="CR206">
        <v>32460.6</v>
      </c>
      <c r="CS206">
        <v>30722.5</v>
      </c>
      <c r="CT206">
        <v>40142.699999999997</v>
      </c>
      <c r="CU206">
        <v>39703.5</v>
      </c>
      <c r="CV206">
        <v>47403.199999999997</v>
      </c>
      <c r="CW206">
        <v>46852.5</v>
      </c>
      <c r="CX206">
        <v>2.6246999999999998</v>
      </c>
      <c r="CY206">
        <v>2.1446399999999999</v>
      </c>
      <c r="CZ206">
        <v>0</v>
      </c>
      <c r="DA206">
        <v>0</v>
      </c>
      <c r="DB206">
        <v>999.9</v>
      </c>
      <c r="DC206">
        <v>999.9</v>
      </c>
      <c r="DD206">
        <v>53.704999999999998</v>
      </c>
      <c r="DE206">
        <v>26.526</v>
      </c>
      <c r="DF206">
        <v>18.709800000000001</v>
      </c>
      <c r="DG206">
        <v>29.971900000000002</v>
      </c>
      <c r="DH206">
        <v>15.400600000000001</v>
      </c>
      <c r="DI206">
        <v>2</v>
      </c>
      <c r="DJ206">
        <v>-0.13164600000000001</v>
      </c>
      <c r="DK206">
        <v>2.2235900000000002</v>
      </c>
      <c r="DL206">
        <v>20.1968</v>
      </c>
      <c r="DM206">
        <v>5.2472399999999997</v>
      </c>
      <c r="DN206">
        <v>12.033899999999999</v>
      </c>
      <c r="DO206">
        <v>4.9677199999999999</v>
      </c>
      <c r="DP206">
        <v>3.2909999999999999</v>
      </c>
      <c r="DQ206">
        <v>9999</v>
      </c>
      <c r="DR206">
        <v>9999</v>
      </c>
      <c r="DS206">
        <v>9999</v>
      </c>
      <c r="DT206">
        <v>604.9</v>
      </c>
      <c r="DU206">
        <v>1.8711</v>
      </c>
      <c r="DV206">
        <v>1.8761699999999999</v>
      </c>
      <c r="DW206">
        <v>1.87635</v>
      </c>
      <c r="DX206">
        <v>1.8828400000000001</v>
      </c>
      <c r="DY206">
        <v>1.87561</v>
      </c>
      <c r="DZ206">
        <v>1.87466</v>
      </c>
      <c r="EA206">
        <v>1.8708199999999999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-0.90400000000000003</v>
      </c>
      <c r="EQ206">
        <v>0.1096</v>
      </c>
      <c r="ER206">
        <v>-0.90418181818176901</v>
      </c>
      <c r="ES206">
        <v>0</v>
      </c>
      <c r="ET206">
        <v>0</v>
      </c>
      <c r="EU206">
        <v>0</v>
      </c>
      <c r="EV206">
        <v>0.10966999999999801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1.4</v>
      </c>
      <c r="FE206">
        <v>1</v>
      </c>
      <c r="FF206">
        <v>2.1447799999999999</v>
      </c>
      <c r="FG206">
        <v>2.5769000000000002</v>
      </c>
      <c r="FH206">
        <v>2.19604</v>
      </c>
      <c r="FI206">
        <v>2.5793499999999998</v>
      </c>
      <c r="FJ206">
        <v>2.4462899999999999</v>
      </c>
      <c r="FK206">
        <v>2.3095699999999999</v>
      </c>
      <c r="FL206">
        <v>31.498799999999999</v>
      </c>
      <c r="FM206">
        <v>24.148800000000001</v>
      </c>
      <c r="FN206">
        <v>19</v>
      </c>
      <c r="FO206">
        <v>864.53</v>
      </c>
      <c r="FP206">
        <v>585.77599999999995</v>
      </c>
      <c r="FQ206">
        <v>18.102799999999998</v>
      </c>
      <c r="FR206">
        <v>25.3704</v>
      </c>
      <c r="FS206">
        <v>30.000299999999999</v>
      </c>
      <c r="FT206">
        <v>25.343800000000002</v>
      </c>
      <c r="FU206">
        <v>25.345099999999999</v>
      </c>
      <c r="FV206">
        <v>43.027900000000002</v>
      </c>
      <c r="FW206">
        <v>27.8626</v>
      </c>
      <c r="FX206">
        <v>40.164099999999998</v>
      </c>
      <c r="FY206">
        <v>17.950700000000001</v>
      </c>
      <c r="FZ206">
        <v>800</v>
      </c>
      <c r="GA206">
        <v>14.2889</v>
      </c>
      <c r="GB206">
        <v>99.887600000000006</v>
      </c>
      <c r="GC206">
        <v>99.7393</v>
      </c>
    </row>
    <row r="207" spans="1:185" x14ac:dyDescent="0.2">
      <c r="A207">
        <v>192</v>
      </c>
      <c r="B207">
        <v>1771089266.0999999</v>
      </c>
      <c r="C207">
        <v>3946.0999999046298</v>
      </c>
      <c r="D207" t="s">
        <v>684</v>
      </c>
      <c r="E207" t="s">
        <v>685</v>
      </c>
      <c r="F207">
        <v>15</v>
      </c>
      <c r="G207">
        <v>1771089258.03333</v>
      </c>
      <c r="H207">
        <f t="shared" si="26"/>
        <v>9.1012463273212082E-4</v>
      </c>
      <c r="I207">
        <v>0</v>
      </c>
      <c r="J207">
        <f t="shared" si="38"/>
        <v>1.0477283671866752E-2</v>
      </c>
      <c r="K207">
        <f t="shared" si="27"/>
        <v>0.28399657152386093</v>
      </c>
      <c r="L207">
        <f t="shared" si="28"/>
        <v>69.634638699953683</v>
      </c>
      <c r="M207">
        <f t="shared" si="29"/>
        <v>1.5360416141238378</v>
      </c>
      <c r="N207">
        <f t="shared" si="30"/>
        <v>2.2058585250114318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26152.996897922723</v>
      </c>
      <c r="T207">
        <f t="shared" si="34"/>
        <v>800.00019999999995</v>
      </c>
      <c r="U207">
        <f t="shared" si="35"/>
        <v>674.40012075998777</v>
      </c>
      <c r="V207">
        <f t="shared" si="36"/>
        <v>0.84299994019999969</v>
      </c>
      <c r="W207">
        <f t="shared" si="37"/>
        <v>0.15869973357199996</v>
      </c>
      <c r="X207">
        <v>1</v>
      </c>
      <c r="Y207">
        <v>1771089258.03333</v>
      </c>
      <c r="Z207">
        <v>798.73193333333302</v>
      </c>
      <c r="AA207">
        <v>799.99559999999997</v>
      </c>
      <c r="AB207">
        <v>15.364333333333301</v>
      </c>
      <c r="AC207">
        <v>14.2441666666667</v>
      </c>
      <c r="AD207">
        <v>799.63606666666703</v>
      </c>
      <c r="AE207">
        <v>15.254666666666701</v>
      </c>
      <c r="AF207">
        <v>800.00699999999995</v>
      </c>
      <c r="AG207">
        <v>99.910273333333393</v>
      </c>
      <c r="AH207">
        <v>6.4231306666666696E-2</v>
      </c>
      <c r="AI207">
        <v>19.004926666666702</v>
      </c>
      <c r="AJ207">
        <v>999.9</v>
      </c>
      <c r="AK207">
        <v>999.9</v>
      </c>
      <c r="AL207">
        <v>0</v>
      </c>
      <c r="AM207">
        <v>0</v>
      </c>
      <c r="AN207">
        <v>4992.5333333333301</v>
      </c>
      <c r="AO207">
        <v>0</v>
      </c>
      <c r="AP207">
        <v>2.2583899999999999</v>
      </c>
      <c r="AQ207">
        <v>-1.263606</v>
      </c>
      <c r="AR207">
        <v>811.19546666666702</v>
      </c>
      <c r="AS207">
        <v>811.55546666666703</v>
      </c>
      <c r="AT207">
        <v>1.1201653333333299</v>
      </c>
      <c r="AU207">
        <v>799.99559999999997</v>
      </c>
      <c r="AV207">
        <v>14.2441666666667</v>
      </c>
      <c r="AW207">
        <v>1.5350553333333301</v>
      </c>
      <c r="AX207">
        <v>1.423138</v>
      </c>
      <c r="AY207">
        <v>13.321859999999999</v>
      </c>
      <c r="AZ207">
        <v>12.1664333333333</v>
      </c>
      <c r="BA207">
        <v>800.00019999999995</v>
      </c>
      <c r="BB207">
        <v>0.90000373333333294</v>
      </c>
      <c r="BC207">
        <v>0</v>
      </c>
      <c r="BD207">
        <v>9.9996326666666704E-2</v>
      </c>
      <c r="BE207">
        <v>0</v>
      </c>
      <c r="BF207">
        <v>25.002220000000001</v>
      </c>
      <c r="BG207">
        <v>13191.0333333333</v>
      </c>
      <c r="BH207">
        <v>1771089189.0999999</v>
      </c>
      <c r="BI207" t="s">
        <v>673</v>
      </c>
      <c r="BJ207">
        <v>1771089167.0999999</v>
      </c>
      <c r="BK207">
        <v>1771089189.0999999</v>
      </c>
      <c r="BL207">
        <v>8</v>
      </c>
      <c r="BM207">
        <v>-2.4E-2</v>
      </c>
      <c r="BN207">
        <v>1.4999999999999999E-2</v>
      </c>
      <c r="BO207">
        <v>-0.90400000000000003</v>
      </c>
      <c r="BP207">
        <v>0.11</v>
      </c>
      <c r="BQ207">
        <v>800</v>
      </c>
      <c r="BR207">
        <v>15</v>
      </c>
      <c r="BS207">
        <v>0.32</v>
      </c>
      <c r="BT207">
        <v>0.08</v>
      </c>
      <c r="BU207">
        <v>-1.2641009523809501</v>
      </c>
      <c r="BV207">
        <v>-6.3401298701302095E-2</v>
      </c>
      <c r="BW207">
        <v>2.46315088385669E-2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1.1341490476190501</v>
      </c>
      <c r="CD207">
        <v>-0.23027454545454601</v>
      </c>
      <c r="CE207">
        <v>2.3685858530588799E-2</v>
      </c>
      <c r="CF207">
        <v>0</v>
      </c>
      <c r="CG207">
        <v>1</v>
      </c>
      <c r="CH207">
        <v>2</v>
      </c>
      <c r="CI207" t="s">
        <v>299</v>
      </c>
      <c r="CJ207">
        <v>3.53254</v>
      </c>
      <c r="CK207">
        <v>2.70207</v>
      </c>
      <c r="CL207">
        <v>0.15704000000000001</v>
      </c>
      <c r="CM207">
        <v>0.154916</v>
      </c>
      <c r="CN207">
        <v>8.6734500000000006E-2</v>
      </c>
      <c r="CO207">
        <v>8.1300600000000001E-2</v>
      </c>
      <c r="CP207">
        <v>29565.3</v>
      </c>
      <c r="CQ207">
        <v>26025.9</v>
      </c>
      <c r="CR207">
        <v>32460.3</v>
      </c>
      <c r="CS207">
        <v>30722.3</v>
      </c>
      <c r="CT207">
        <v>40145.199999999997</v>
      </c>
      <c r="CU207">
        <v>39696.6</v>
      </c>
      <c r="CV207">
        <v>47403</v>
      </c>
      <c r="CW207">
        <v>46852.800000000003</v>
      </c>
      <c r="CX207">
        <v>2.6246399999999999</v>
      </c>
      <c r="CY207">
        <v>2.14446</v>
      </c>
      <c r="CZ207">
        <v>0</v>
      </c>
      <c r="DA207">
        <v>0</v>
      </c>
      <c r="DB207">
        <v>999.9</v>
      </c>
      <c r="DC207">
        <v>999.9</v>
      </c>
      <c r="DD207">
        <v>53.631999999999998</v>
      </c>
      <c r="DE207">
        <v>26.545999999999999</v>
      </c>
      <c r="DF207">
        <v>18.706499999999998</v>
      </c>
      <c r="DG207">
        <v>30.361899999999999</v>
      </c>
      <c r="DH207">
        <v>15.364599999999999</v>
      </c>
      <c r="DI207">
        <v>2</v>
      </c>
      <c r="DJ207">
        <v>-0.13030900000000001</v>
      </c>
      <c r="DK207">
        <v>2.4893100000000001</v>
      </c>
      <c r="DL207">
        <v>20.1919</v>
      </c>
      <c r="DM207">
        <v>5.2472399999999997</v>
      </c>
      <c r="DN207">
        <v>12.033899999999999</v>
      </c>
      <c r="DO207">
        <v>4.9676799999999997</v>
      </c>
      <c r="DP207">
        <v>3.2909999999999999</v>
      </c>
      <c r="DQ207">
        <v>9999</v>
      </c>
      <c r="DR207">
        <v>9999</v>
      </c>
      <c r="DS207">
        <v>9999</v>
      </c>
      <c r="DT207">
        <v>604.9</v>
      </c>
      <c r="DU207">
        <v>1.87114</v>
      </c>
      <c r="DV207">
        <v>1.87618</v>
      </c>
      <c r="DW207">
        <v>1.87636</v>
      </c>
      <c r="DX207">
        <v>1.8828800000000001</v>
      </c>
      <c r="DY207">
        <v>1.87561</v>
      </c>
      <c r="DZ207">
        <v>1.8746799999999999</v>
      </c>
      <c r="EA207">
        <v>1.8708499999999999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-0.90400000000000003</v>
      </c>
      <c r="EQ207">
        <v>0.10970000000000001</v>
      </c>
      <c r="ER207">
        <v>-0.90418181818176901</v>
      </c>
      <c r="ES207">
        <v>0</v>
      </c>
      <c r="ET207">
        <v>0</v>
      </c>
      <c r="EU207">
        <v>0</v>
      </c>
      <c r="EV207">
        <v>0.10966999999999801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1.6</v>
      </c>
      <c r="FE207">
        <v>1.3</v>
      </c>
      <c r="FF207">
        <v>2.1447799999999999</v>
      </c>
      <c r="FG207">
        <v>2.5878899999999998</v>
      </c>
      <c r="FH207">
        <v>2.19604</v>
      </c>
      <c r="FI207">
        <v>2.5793499999999998</v>
      </c>
      <c r="FJ207">
        <v>2.4462899999999999</v>
      </c>
      <c r="FK207">
        <v>2.2741699999999998</v>
      </c>
      <c r="FL207">
        <v>31.498799999999999</v>
      </c>
      <c r="FM207">
        <v>24.14</v>
      </c>
      <c r="FN207">
        <v>19</v>
      </c>
      <c r="FO207">
        <v>864.54100000000005</v>
      </c>
      <c r="FP207">
        <v>585.678</v>
      </c>
      <c r="FQ207">
        <v>17.926600000000001</v>
      </c>
      <c r="FR207">
        <v>25.373699999999999</v>
      </c>
      <c r="FS207">
        <v>30</v>
      </c>
      <c r="FT207">
        <v>25.347999999999999</v>
      </c>
      <c r="FU207">
        <v>25.348700000000001</v>
      </c>
      <c r="FV207">
        <v>43.027000000000001</v>
      </c>
      <c r="FW207">
        <v>27.5853</v>
      </c>
      <c r="FX207">
        <v>40.164099999999998</v>
      </c>
      <c r="FY207">
        <v>17.935400000000001</v>
      </c>
      <c r="FZ207">
        <v>800</v>
      </c>
      <c r="GA207">
        <v>14.306800000000001</v>
      </c>
      <c r="GB207">
        <v>99.887100000000004</v>
      </c>
      <c r="GC207">
        <v>99.739400000000003</v>
      </c>
    </row>
    <row r="208" spans="1:185" x14ac:dyDescent="0.2">
      <c r="A208">
        <v>193</v>
      </c>
      <c r="B208">
        <v>1771089281.0999999</v>
      </c>
      <c r="C208">
        <v>3961.0999999046298</v>
      </c>
      <c r="D208" t="s">
        <v>686</v>
      </c>
      <c r="E208" t="s">
        <v>687</v>
      </c>
      <c r="F208">
        <v>15</v>
      </c>
      <c r="G208">
        <v>1771089273.03333</v>
      </c>
      <c r="H208">
        <f t="shared" ref="H208:H271" si="39">AF208*Q208*(AB208-AC208)/(1000*X208*(1000-Q208*AB208))</f>
        <v>8.9479767778041406E-4</v>
      </c>
      <c r="I208">
        <v>0</v>
      </c>
      <c r="J208">
        <f t="shared" si="38"/>
        <v>8.8221944123454271E-3</v>
      </c>
      <c r="K208">
        <f t="shared" ref="K208:K271" si="40">AF208*Q208*(AA208-Z208*(1000-Q208*AC208)/(1000-Q208*AB208))/(1000*X208)</f>
        <v>0.23913382942476549</v>
      </c>
      <c r="L208">
        <f t="shared" ref="L208:L271" si="41">(M208/N208*100)</f>
        <v>69.631405218118431</v>
      </c>
      <c r="M208">
        <f t="shared" ref="M208:M271" si="42">AB208*(AG208+AH208)/1000</f>
        <v>1.5356438057338602</v>
      </c>
      <c r="N208">
        <f t="shared" ref="N208:N271" si="43">0.61365*EXP(17.502*AI208/(240.97+AI208))</f>
        <v>2.205389652734278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26247.665175650414</v>
      </c>
      <c r="T208">
        <f t="shared" ref="T208:T271" si="47">$B$11*AO208+$C$11*AP208+$D$11*BA208</f>
        <v>799.99993333333305</v>
      </c>
      <c r="U208">
        <f t="shared" ref="U208:U271" si="48">T208*V208</f>
        <v>674.39986348000639</v>
      </c>
      <c r="V208">
        <f t="shared" ref="V208:V271" si="49">($B$11*$D$9+$C$11*$D$9+$D$11*(BB208*$E$9+BC208*$F$9+BD208*$G$9+BE208*$H$9))/($B$11+$C$11+$D$11)</f>
        <v>0.84299989959999988</v>
      </c>
      <c r="W208">
        <f t="shared" ref="W208:W271" si="50">($B$11*$L$9+$C$11*$L$9+$D$11*(BB208*$M$9+BC208*$N$9+BD208*$O$9+BE208*$P$9))/($B$11+$C$11+$D$11)</f>
        <v>0.15869985293599997</v>
      </c>
      <c r="X208">
        <v>1</v>
      </c>
      <c r="Y208">
        <v>1771089273.03333</v>
      </c>
      <c r="Z208">
        <v>798.78073333333305</v>
      </c>
      <c r="AA208">
        <v>799.97306666666702</v>
      </c>
      <c r="AB208">
        <v>15.3604133333333</v>
      </c>
      <c r="AC208">
        <v>14.2591133333333</v>
      </c>
      <c r="AD208">
        <v>799.68486666666695</v>
      </c>
      <c r="AE208">
        <v>15.25074</v>
      </c>
      <c r="AF208">
        <v>800.01199999999994</v>
      </c>
      <c r="AG208">
        <v>99.909753333333299</v>
      </c>
      <c r="AH208">
        <v>6.4366660000000006E-2</v>
      </c>
      <c r="AI208">
        <v>19.001519999999999</v>
      </c>
      <c r="AJ208">
        <v>999.9</v>
      </c>
      <c r="AK208">
        <v>999.9</v>
      </c>
      <c r="AL208">
        <v>0</v>
      </c>
      <c r="AM208">
        <v>0</v>
      </c>
      <c r="AN208">
        <v>5008.1333333333296</v>
      </c>
      <c r="AO208">
        <v>0</v>
      </c>
      <c r="AP208">
        <v>2.2583899999999999</v>
      </c>
      <c r="AQ208">
        <v>-1.192288</v>
      </c>
      <c r="AR208">
        <v>811.24173333333295</v>
      </c>
      <c r="AS208">
        <v>811.54506666666703</v>
      </c>
      <c r="AT208">
        <v>1.10129266666667</v>
      </c>
      <c r="AU208">
        <v>799.97306666666702</v>
      </c>
      <c r="AV208">
        <v>14.2591133333333</v>
      </c>
      <c r="AW208">
        <v>1.5346553333333299</v>
      </c>
      <c r="AX208">
        <v>1.42462333333333</v>
      </c>
      <c r="AY208">
        <v>13.31786</v>
      </c>
      <c r="AZ208">
        <v>12.182313333333299</v>
      </c>
      <c r="BA208">
        <v>799.99993333333305</v>
      </c>
      <c r="BB208">
        <v>0.90000179999999996</v>
      </c>
      <c r="BC208">
        <v>0</v>
      </c>
      <c r="BD208">
        <v>9.9998146666666607E-2</v>
      </c>
      <c r="BE208">
        <v>0</v>
      </c>
      <c r="BF208">
        <v>25.406666666666698</v>
      </c>
      <c r="BG208">
        <v>13191.026666666699</v>
      </c>
      <c r="BH208">
        <v>1771089189.0999999</v>
      </c>
      <c r="BI208" t="s">
        <v>673</v>
      </c>
      <c r="BJ208">
        <v>1771089167.0999999</v>
      </c>
      <c r="BK208">
        <v>1771089189.0999999</v>
      </c>
      <c r="BL208">
        <v>8</v>
      </c>
      <c r="BM208">
        <v>-2.4E-2</v>
      </c>
      <c r="BN208">
        <v>1.4999999999999999E-2</v>
      </c>
      <c r="BO208">
        <v>-0.90400000000000003</v>
      </c>
      <c r="BP208">
        <v>0.11</v>
      </c>
      <c r="BQ208">
        <v>800</v>
      </c>
      <c r="BR208">
        <v>15</v>
      </c>
      <c r="BS208">
        <v>0.32</v>
      </c>
      <c r="BT208">
        <v>0.08</v>
      </c>
      <c r="BU208">
        <v>-1.2172728571428599</v>
      </c>
      <c r="BV208">
        <v>0.34995740259740199</v>
      </c>
      <c r="BW208">
        <v>4.8608027177848401E-2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1.1013457142857099</v>
      </c>
      <c r="CD208">
        <v>1.57254545454567E-2</v>
      </c>
      <c r="CE208">
        <v>5.2018976129399198E-3</v>
      </c>
      <c r="CF208">
        <v>1</v>
      </c>
      <c r="CG208">
        <v>2</v>
      </c>
      <c r="CH208">
        <v>2</v>
      </c>
      <c r="CI208" t="s">
        <v>310</v>
      </c>
      <c r="CJ208">
        <v>3.5325099999999998</v>
      </c>
      <c r="CK208">
        <v>2.70234</v>
      </c>
      <c r="CL208">
        <v>0.15704000000000001</v>
      </c>
      <c r="CM208">
        <v>0.154914</v>
      </c>
      <c r="CN208">
        <v>8.6749300000000001E-2</v>
      </c>
      <c r="CO208">
        <v>8.1189700000000004E-2</v>
      </c>
      <c r="CP208">
        <v>29565.5</v>
      </c>
      <c r="CQ208">
        <v>26026.5</v>
      </c>
      <c r="CR208">
        <v>32460.5</v>
      </c>
      <c r="CS208">
        <v>30723</v>
      </c>
      <c r="CT208">
        <v>40144.800000000003</v>
      </c>
      <c r="CU208">
        <v>39702.5</v>
      </c>
      <c r="CV208">
        <v>47403.3</v>
      </c>
      <c r="CW208">
        <v>46853.9</v>
      </c>
      <c r="CX208">
        <v>2.62466</v>
      </c>
      <c r="CY208">
        <v>2.14438</v>
      </c>
      <c r="CZ208">
        <v>0</v>
      </c>
      <c r="DA208">
        <v>0</v>
      </c>
      <c r="DB208">
        <v>999.9</v>
      </c>
      <c r="DC208">
        <v>999.9</v>
      </c>
      <c r="DD208">
        <v>53.582999999999998</v>
      </c>
      <c r="DE208">
        <v>26.545999999999999</v>
      </c>
      <c r="DF208">
        <v>18.689800000000002</v>
      </c>
      <c r="DG208">
        <v>30.061900000000001</v>
      </c>
      <c r="DH208">
        <v>15.3285</v>
      </c>
      <c r="DI208">
        <v>2</v>
      </c>
      <c r="DJ208">
        <v>-0.130776</v>
      </c>
      <c r="DK208">
        <v>2.4184299999999999</v>
      </c>
      <c r="DL208">
        <v>20.193100000000001</v>
      </c>
      <c r="DM208">
        <v>5.2472399999999997</v>
      </c>
      <c r="DN208">
        <v>12.033899999999999</v>
      </c>
      <c r="DO208">
        <v>4.9675599999999998</v>
      </c>
      <c r="DP208">
        <v>3.2909999999999999</v>
      </c>
      <c r="DQ208">
        <v>9999</v>
      </c>
      <c r="DR208">
        <v>9999</v>
      </c>
      <c r="DS208">
        <v>9999</v>
      </c>
      <c r="DT208">
        <v>604.9</v>
      </c>
      <c r="DU208">
        <v>1.87114</v>
      </c>
      <c r="DV208">
        <v>1.87618</v>
      </c>
      <c r="DW208">
        <v>1.87635</v>
      </c>
      <c r="DX208">
        <v>1.88283</v>
      </c>
      <c r="DY208">
        <v>1.87561</v>
      </c>
      <c r="DZ208">
        <v>1.8746799999999999</v>
      </c>
      <c r="EA208">
        <v>1.8708199999999999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-0.90400000000000003</v>
      </c>
      <c r="EQ208">
        <v>0.10970000000000001</v>
      </c>
      <c r="ER208">
        <v>-0.90418181818176901</v>
      </c>
      <c r="ES208">
        <v>0</v>
      </c>
      <c r="ET208">
        <v>0</v>
      </c>
      <c r="EU208">
        <v>0</v>
      </c>
      <c r="EV208">
        <v>0.10966999999999801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1.9</v>
      </c>
      <c r="FE208">
        <v>1.5</v>
      </c>
      <c r="FF208">
        <v>2.1447799999999999</v>
      </c>
      <c r="FG208">
        <v>2.5769000000000002</v>
      </c>
      <c r="FH208">
        <v>2.19604</v>
      </c>
      <c r="FI208">
        <v>2.5793499999999998</v>
      </c>
      <c r="FJ208">
        <v>2.4462899999999999</v>
      </c>
      <c r="FK208">
        <v>2.34009</v>
      </c>
      <c r="FL208">
        <v>31.498799999999999</v>
      </c>
      <c r="FM208">
        <v>24.148800000000001</v>
      </c>
      <c r="FN208">
        <v>19</v>
      </c>
      <c r="FO208">
        <v>864.6</v>
      </c>
      <c r="FP208">
        <v>585.64700000000005</v>
      </c>
      <c r="FQ208">
        <v>17.928699999999999</v>
      </c>
      <c r="FR208">
        <v>25.3767</v>
      </c>
      <c r="FS208">
        <v>30.0001</v>
      </c>
      <c r="FT208">
        <v>25.3505</v>
      </c>
      <c r="FU208">
        <v>25.351400000000002</v>
      </c>
      <c r="FV208">
        <v>43.029499999999999</v>
      </c>
      <c r="FW208">
        <v>27.5853</v>
      </c>
      <c r="FX208">
        <v>39.792400000000001</v>
      </c>
      <c r="FY208">
        <v>17.939699999999998</v>
      </c>
      <c r="FZ208">
        <v>800</v>
      </c>
      <c r="GA208">
        <v>14.313800000000001</v>
      </c>
      <c r="GB208">
        <v>99.887699999999995</v>
      </c>
      <c r="GC208">
        <v>99.741799999999998</v>
      </c>
    </row>
    <row r="209" spans="1:185" x14ac:dyDescent="0.2">
      <c r="A209">
        <v>194</v>
      </c>
      <c r="B209">
        <v>1771089296.0999999</v>
      </c>
      <c r="C209">
        <v>3976.0999999046298</v>
      </c>
      <c r="D209" t="s">
        <v>688</v>
      </c>
      <c r="E209" t="s">
        <v>689</v>
      </c>
      <c r="F209">
        <v>15</v>
      </c>
      <c r="G209">
        <v>1771089288.03333</v>
      </c>
      <c r="H209">
        <f t="shared" si="39"/>
        <v>8.9295725083626386E-4</v>
      </c>
      <c r="I209">
        <v>0</v>
      </c>
      <c r="J209">
        <f t="shared" ref="J209:J272" si="51">K209*(0.0002898/0.0078553)</f>
        <v>1.0085146322598017E-2</v>
      </c>
      <c r="K209">
        <f t="shared" si="40"/>
        <v>0.27336732197344449</v>
      </c>
      <c r="L209">
        <f t="shared" si="41"/>
        <v>69.628567384739213</v>
      </c>
      <c r="M209">
        <f t="shared" si="42"/>
        <v>1.5356853517183044</v>
      </c>
      <c r="N209">
        <f t="shared" si="43"/>
        <v>2.2055392052413345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26176.71162608737</v>
      </c>
      <c r="T209">
        <f t="shared" si="47"/>
        <v>799.99973333333298</v>
      </c>
      <c r="U209">
        <f t="shared" si="48"/>
        <v>674.39986527996962</v>
      </c>
      <c r="V209">
        <f t="shared" si="49"/>
        <v>0.84300011259999996</v>
      </c>
      <c r="W209">
        <f t="shared" si="50"/>
        <v>0.15870032047599997</v>
      </c>
      <c r="X209">
        <v>1</v>
      </c>
      <c r="Y209">
        <v>1771089288.03333</v>
      </c>
      <c r="Z209">
        <v>798.756933333333</v>
      </c>
      <c r="AA209">
        <v>799.99019999999996</v>
      </c>
      <c r="AB209">
        <v>15.3607933333333</v>
      </c>
      <c r="AC209">
        <v>14.261753333333299</v>
      </c>
      <c r="AD209">
        <v>799.66120000000001</v>
      </c>
      <c r="AE209">
        <v>15.25112</v>
      </c>
      <c r="AF209">
        <v>800.00793333333297</v>
      </c>
      <c r="AG209">
        <v>99.909806666666697</v>
      </c>
      <c r="AH209">
        <v>6.4544813333333298E-2</v>
      </c>
      <c r="AI209">
        <v>19.002606666666701</v>
      </c>
      <c r="AJ209">
        <v>999.9</v>
      </c>
      <c r="AK209">
        <v>999.9</v>
      </c>
      <c r="AL209">
        <v>0</v>
      </c>
      <c r="AM209">
        <v>0</v>
      </c>
      <c r="AN209">
        <v>4996.4333333333298</v>
      </c>
      <c r="AO209">
        <v>0</v>
      </c>
      <c r="AP209">
        <v>2.2583899999999999</v>
      </c>
      <c r="AQ209">
        <v>-1.23321066666667</v>
      </c>
      <c r="AR209">
        <v>811.21786666666696</v>
      </c>
      <c r="AS209">
        <v>811.56460000000004</v>
      </c>
      <c r="AT209">
        <v>1.0990279999999999</v>
      </c>
      <c r="AU209">
        <v>799.99019999999996</v>
      </c>
      <c r="AV209">
        <v>14.261753333333299</v>
      </c>
      <c r="AW209">
        <v>1.53469266666667</v>
      </c>
      <c r="AX209">
        <v>1.4248893333333299</v>
      </c>
      <c r="AY209">
        <v>13.31826</v>
      </c>
      <c r="AZ209">
        <v>12.1851066666667</v>
      </c>
      <c r="BA209">
        <v>799.99973333333298</v>
      </c>
      <c r="BB209">
        <v>0.89999566666666697</v>
      </c>
      <c r="BC209">
        <v>0</v>
      </c>
      <c r="BD209">
        <v>0.100004313333333</v>
      </c>
      <c r="BE209">
        <v>0</v>
      </c>
      <c r="BF209">
        <v>25.666699999999999</v>
      </c>
      <c r="BG209">
        <v>13191.006666666701</v>
      </c>
      <c r="BH209">
        <v>1771089189.0999999</v>
      </c>
      <c r="BI209" t="s">
        <v>673</v>
      </c>
      <c r="BJ209">
        <v>1771089167.0999999</v>
      </c>
      <c r="BK209">
        <v>1771089189.0999999</v>
      </c>
      <c r="BL209">
        <v>8</v>
      </c>
      <c r="BM209">
        <v>-2.4E-2</v>
      </c>
      <c r="BN209">
        <v>1.4999999999999999E-2</v>
      </c>
      <c r="BO209">
        <v>-0.90400000000000003</v>
      </c>
      <c r="BP209">
        <v>0.11</v>
      </c>
      <c r="BQ209">
        <v>800</v>
      </c>
      <c r="BR209">
        <v>15</v>
      </c>
      <c r="BS209">
        <v>0.32</v>
      </c>
      <c r="BT209">
        <v>0.08</v>
      </c>
      <c r="BU209">
        <v>-1.2207055</v>
      </c>
      <c r="BV209">
        <v>-0.16664165413533899</v>
      </c>
      <c r="BW209">
        <v>2.9567180027016401E-2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1.1012420000000001</v>
      </c>
      <c r="CD209">
        <v>-0.14717864661654201</v>
      </c>
      <c r="CE209">
        <v>2.21690625873085E-2</v>
      </c>
      <c r="CF209">
        <v>0</v>
      </c>
      <c r="CG209">
        <v>1</v>
      </c>
      <c r="CH209">
        <v>2</v>
      </c>
      <c r="CI209" t="s">
        <v>299</v>
      </c>
      <c r="CJ209">
        <v>3.5325199999999999</v>
      </c>
      <c r="CK209">
        <v>2.7023899999999998</v>
      </c>
      <c r="CL209">
        <v>0.15703500000000001</v>
      </c>
      <c r="CM209">
        <v>0.15490799999999999</v>
      </c>
      <c r="CN209">
        <v>8.6797799999999994E-2</v>
      </c>
      <c r="CO209">
        <v>8.1426899999999997E-2</v>
      </c>
      <c r="CP209">
        <v>29565.599999999999</v>
      </c>
      <c r="CQ209">
        <v>26026.6</v>
      </c>
      <c r="CR209">
        <v>32460.5</v>
      </c>
      <c r="CS209">
        <v>30722.9</v>
      </c>
      <c r="CT209">
        <v>40142.699999999997</v>
      </c>
      <c r="CU209">
        <v>39691.9</v>
      </c>
      <c r="CV209">
        <v>47403.5</v>
      </c>
      <c r="CW209">
        <v>46853.8</v>
      </c>
      <c r="CX209">
        <v>2.62466</v>
      </c>
      <c r="CY209">
        <v>2.1444000000000001</v>
      </c>
      <c r="CZ209">
        <v>0</v>
      </c>
      <c r="DA209">
        <v>0</v>
      </c>
      <c r="DB209">
        <v>999.9</v>
      </c>
      <c r="DC209">
        <v>999.9</v>
      </c>
      <c r="DD209">
        <v>53.448999999999998</v>
      </c>
      <c r="DE209">
        <v>26.556000000000001</v>
      </c>
      <c r="DF209">
        <v>18.654599999999999</v>
      </c>
      <c r="DG209">
        <v>29.972000000000001</v>
      </c>
      <c r="DH209">
        <v>15.4527</v>
      </c>
      <c r="DI209">
        <v>2</v>
      </c>
      <c r="DJ209">
        <v>-0.13038</v>
      </c>
      <c r="DK209">
        <v>2.44672</v>
      </c>
      <c r="DL209">
        <v>20.192900000000002</v>
      </c>
      <c r="DM209">
        <v>5.2472399999999997</v>
      </c>
      <c r="DN209">
        <v>12.033899999999999</v>
      </c>
      <c r="DO209">
        <v>4.9675200000000004</v>
      </c>
      <c r="DP209">
        <v>3.2909999999999999</v>
      </c>
      <c r="DQ209">
        <v>9999</v>
      </c>
      <c r="DR209">
        <v>9999</v>
      </c>
      <c r="DS209">
        <v>9999</v>
      </c>
      <c r="DT209">
        <v>604.9</v>
      </c>
      <c r="DU209">
        <v>1.8711</v>
      </c>
      <c r="DV209">
        <v>1.87615</v>
      </c>
      <c r="DW209">
        <v>1.87636</v>
      </c>
      <c r="DX209">
        <v>1.88283</v>
      </c>
      <c r="DY209">
        <v>1.87561</v>
      </c>
      <c r="DZ209">
        <v>1.8746799999999999</v>
      </c>
      <c r="EA209">
        <v>1.87079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-0.90400000000000003</v>
      </c>
      <c r="EQ209">
        <v>0.10970000000000001</v>
      </c>
      <c r="ER209">
        <v>-0.90418181818176901</v>
      </c>
      <c r="ES209">
        <v>0</v>
      </c>
      <c r="ET209">
        <v>0</v>
      </c>
      <c r="EU209">
        <v>0</v>
      </c>
      <c r="EV209">
        <v>0.10966999999999801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2.1</v>
      </c>
      <c r="FE209">
        <v>1.8</v>
      </c>
      <c r="FF209">
        <v>2.1447799999999999</v>
      </c>
      <c r="FG209">
        <v>2.5817899999999998</v>
      </c>
      <c r="FH209">
        <v>2.19604</v>
      </c>
      <c r="FI209">
        <v>2.5793499999999998</v>
      </c>
      <c r="FJ209">
        <v>2.4462899999999999</v>
      </c>
      <c r="FK209">
        <v>2.3022499999999999</v>
      </c>
      <c r="FL209">
        <v>31.520600000000002</v>
      </c>
      <c r="FM209">
        <v>24.14</v>
      </c>
      <c r="FN209">
        <v>19</v>
      </c>
      <c r="FO209">
        <v>864.66399999999999</v>
      </c>
      <c r="FP209">
        <v>585.71100000000001</v>
      </c>
      <c r="FQ209">
        <v>17.938300000000002</v>
      </c>
      <c r="FR209">
        <v>25.378900000000002</v>
      </c>
      <c r="FS209">
        <v>30.0001</v>
      </c>
      <c r="FT209">
        <v>25.354399999999998</v>
      </c>
      <c r="FU209">
        <v>25.355699999999999</v>
      </c>
      <c r="FV209">
        <v>43.032400000000003</v>
      </c>
      <c r="FW209">
        <v>27.2942</v>
      </c>
      <c r="FX209">
        <v>39.792400000000001</v>
      </c>
      <c r="FY209">
        <v>17.93</v>
      </c>
      <c r="FZ209">
        <v>800</v>
      </c>
      <c r="GA209">
        <v>14.312900000000001</v>
      </c>
      <c r="GB209">
        <v>99.887900000000002</v>
      </c>
      <c r="GC209">
        <v>99.741500000000002</v>
      </c>
    </row>
    <row r="210" spans="1:185" x14ac:dyDescent="0.2">
      <c r="A210">
        <v>195</v>
      </c>
      <c r="B210">
        <v>1771089311.0999999</v>
      </c>
      <c r="C210">
        <v>3991.0999999046298</v>
      </c>
      <c r="D210" t="s">
        <v>690</v>
      </c>
      <c r="E210" t="s">
        <v>691</v>
      </c>
      <c r="F210">
        <v>15</v>
      </c>
      <c r="G210">
        <v>1771089303.03333</v>
      </c>
      <c r="H210">
        <f t="shared" si="39"/>
        <v>8.8210482174107166E-4</v>
      </c>
      <c r="I210">
        <v>0</v>
      </c>
      <c r="J210">
        <f t="shared" si="51"/>
        <v>1.0042376908816108E-2</v>
      </c>
      <c r="K210">
        <f t="shared" si="40"/>
        <v>0.27220801701802338</v>
      </c>
      <c r="L210">
        <f t="shared" si="41"/>
        <v>69.706369359828287</v>
      </c>
      <c r="M210">
        <f t="shared" si="42"/>
        <v>1.5374332838219302</v>
      </c>
      <c r="N210">
        <f t="shared" si="43"/>
        <v>2.2055850820254475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26206.302484911277</v>
      </c>
      <c r="T210">
        <f t="shared" si="47"/>
        <v>799.99873333333301</v>
      </c>
      <c r="U210">
        <f t="shared" si="48"/>
        <v>674.39918819959507</v>
      </c>
      <c r="V210">
        <f t="shared" si="49"/>
        <v>0.8430003200000008</v>
      </c>
      <c r="W210">
        <f t="shared" si="50"/>
        <v>0.15870080000000017</v>
      </c>
      <c r="X210">
        <v>1</v>
      </c>
      <c r="Y210">
        <v>1771089303.03333</v>
      </c>
      <c r="Z210">
        <v>798.77686666666705</v>
      </c>
      <c r="AA210">
        <v>799.99786666666705</v>
      </c>
      <c r="AB210">
        <v>15.378346666666699</v>
      </c>
      <c r="AC210">
        <v>14.2926866666667</v>
      </c>
      <c r="AD210">
        <v>799.68100000000004</v>
      </c>
      <c r="AE210">
        <v>15.2686733333333</v>
      </c>
      <c r="AF210">
        <v>800.01059999999995</v>
      </c>
      <c r="AG210">
        <v>99.909566666666706</v>
      </c>
      <c r="AH210">
        <v>6.4332813333333294E-2</v>
      </c>
      <c r="AI210">
        <v>19.002939999999999</v>
      </c>
      <c r="AJ210">
        <v>999.9</v>
      </c>
      <c r="AK210">
        <v>999.9</v>
      </c>
      <c r="AL210">
        <v>0</v>
      </c>
      <c r="AM210">
        <v>0</v>
      </c>
      <c r="AN210">
        <v>5001.3333333333303</v>
      </c>
      <c r="AO210">
        <v>0</v>
      </c>
      <c r="AP210">
        <v>2.2583899999999999</v>
      </c>
      <c r="AQ210">
        <v>-1.2210160000000001</v>
      </c>
      <c r="AR210">
        <v>811.25246666666703</v>
      </c>
      <c r="AS210">
        <v>811.59786666666696</v>
      </c>
      <c r="AT210">
        <v>1.0856600000000001</v>
      </c>
      <c r="AU210">
        <v>799.99786666666705</v>
      </c>
      <c r="AV210">
        <v>14.2926866666667</v>
      </c>
      <c r="AW210">
        <v>1.5364439999999999</v>
      </c>
      <c r="AX210">
        <v>1.42797533333333</v>
      </c>
      <c r="AY210">
        <v>13.335739999999999</v>
      </c>
      <c r="AZ210">
        <v>12.218</v>
      </c>
      <c r="BA210">
        <v>799.99873333333301</v>
      </c>
      <c r="BB210">
        <v>0.89998933333333397</v>
      </c>
      <c r="BC210">
        <v>0</v>
      </c>
      <c r="BD210">
        <v>0.100010666666667</v>
      </c>
      <c r="BE210">
        <v>0</v>
      </c>
      <c r="BF210">
        <v>25.8</v>
      </c>
      <c r="BG210">
        <v>13190.973333333301</v>
      </c>
      <c r="BH210">
        <v>1771089189.0999999</v>
      </c>
      <c r="BI210" t="s">
        <v>673</v>
      </c>
      <c r="BJ210">
        <v>1771089167.0999999</v>
      </c>
      <c r="BK210">
        <v>1771089189.0999999</v>
      </c>
      <c r="BL210">
        <v>8</v>
      </c>
      <c r="BM210">
        <v>-2.4E-2</v>
      </c>
      <c r="BN210">
        <v>1.4999999999999999E-2</v>
      </c>
      <c r="BO210">
        <v>-0.90400000000000003</v>
      </c>
      <c r="BP210">
        <v>0.11</v>
      </c>
      <c r="BQ210">
        <v>800</v>
      </c>
      <c r="BR210">
        <v>15</v>
      </c>
      <c r="BS210">
        <v>0.32</v>
      </c>
      <c r="BT210">
        <v>0.08</v>
      </c>
      <c r="BU210">
        <v>-1.22167047619048</v>
      </c>
      <c r="BV210">
        <v>1.40540259740257E-2</v>
      </c>
      <c r="BW210">
        <v>1.38760126961844E-2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1.0833614285714299</v>
      </c>
      <c r="CD210">
        <v>3.6400519480520102E-2</v>
      </c>
      <c r="CE210">
        <v>4.3858313928835302E-3</v>
      </c>
      <c r="CF210">
        <v>1</v>
      </c>
      <c r="CG210">
        <v>2</v>
      </c>
      <c r="CH210">
        <v>2</v>
      </c>
      <c r="CI210" t="s">
        <v>310</v>
      </c>
      <c r="CJ210">
        <v>3.5325099999999998</v>
      </c>
      <c r="CK210">
        <v>2.7021799999999998</v>
      </c>
      <c r="CL210">
        <v>0.15703600000000001</v>
      </c>
      <c r="CM210">
        <v>0.154914</v>
      </c>
      <c r="CN210">
        <v>8.6833599999999997E-2</v>
      </c>
      <c r="CO210">
        <v>8.1449300000000002E-2</v>
      </c>
      <c r="CP210">
        <v>29565.200000000001</v>
      </c>
      <c r="CQ210">
        <v>26026.6</v>
      </c>
      <c r="CR210">
        <v>32460</v>
      </c>
      <c r="CS210">
        <v>30723.1</v>
      </c>
      <c r="CT210">
        <v>40140.400000000001</v>
      </c>
      <c r="CU210">
        <v>39690.9</v>
      </c>
      <c r="CV210">
        <v>47402.7</v>
      </c>
      <c r="CW210">
        <v>46853.9</v>
      </c>
      <c r="CX210">
        <v>2.6246</v>
      </c>
      <c r="CY210">
        <v>2.1443599999999998</v>
      </c>
      <c r="CZ210">
        <v>0</v>
      </c>
      <c r="DA210">
        <v>0</v>
      </c>
      <c r="DB210">
        <v>999.9</v>
      </c>
      <c r="DC210">
        <v>999.9</v>
      </c>
      <c r="DD210">
        <v>53.417999999999999</v>
      </c>
      <c r="DE210">
        <v>26.565999999999999</v>
      </c>
      <c r="DF210">
        <v>18.6538</v>
      </c>
      <c r="DG210">
        <v>30.062000000000001</v>
      </c>
      <c r="DH210">
        <v>15.2484</v>
      </c>
      <c r="DI210">
        <v>2</v>
      </c>
      <c r="DJ210">
        <v>-0.130028</v>
      </c>
      <c r="DK210">
        <v>2.4664700000000002</v>
      </c>
      <c r="DL210">
        <v>20.192599999999999</v>
      </c>
      <c r="DM210">
        <v>5.2473599999999996</v>
      </c>
      <c r="DN210">
        <v>12.033899999999999</v>
      </c>
      <c r="DO210">
        <v>4.9665600000000003</v>
      </c>
      <c r="DP210">
        <v>3.2909999999999999</v>
      </c>
      <c r="DQ210">
        <v>9999</v>
      </c>
      <c r="DR210">
        <v>9999</v>
      </c>
      <c r="DS210">
        <v>9999</v>
      </c>
      <c r="DT210">
        <v>604.9</v>
      </c>
      <c r="DU210">
        <v>1.8711500000000001</v>
      </c>
      <c r="DV210">
        <v>1.8762000000000001</v>
      </c>
      <c r="DW210">
        <v>1.8763700000000001</v>
      </c>
      <c r="DX210">
        <v>1.8828499999999999</v>
      </c>
      <c r="DY210">
        <v>1.87561</v>
      </c>
      <c r="DZ210">
        <v>1.8746799999999999</v>
      </c>
      <c r="EA210">
        <v>1.8708199999999999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-0.90400000000000003</v>
      </c>
      <c r="EQ210">
        <v>0.10970000000000001</v>
      </c>
      <c r="ER210">
        <v>-0.90418181818176901</v>
      </c>
      <c r="ES210">
        <v>0</v>
      </c>
      <c r="ET210">
        <v>0</v>
      </c>
      <c r="EU210">
        <v>0</v>
      </c>
      <c r="EV210">
        <v>0.10966999999999801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2.4</v>
      </c>
      <c r="FE210">
        <v>2</v>
      </c>
      <c r="FF210">
        <v>2.1447799999999999</v>
      </c>
      <c r="FG210">
        <v>2.5781200000000002</v>
      </c>
      <c r="FH210">
        <v>2.19604</v>
      </c>
      <c r="FI210">
        <v>2.5793499999999998</v>
      </c>
      <c r="FJ210">
        <v>2.4462899999999999</v>
      </c>
      <c r="FK210">
        <v>2.2888199999999999</v>
      </c>
      <c r="FL210">
        <v>31.520600000000002</v>
      </c>
      <c r="FM210">
        <v>24.14</v>
      </c>
      <c r="FN210">
        <v>19</v>
      </c>
      <c r="FO210">
        <v>864.67700000000002</v>
      </c>
      <c r="FP210">
        <v>585.72799999999995</v>
      </c>
      <c r="FQ210">
        <v>17.926600000000001</v>
      </c>
      <c r="FR210">
        <v>25.383199999999999</v>
      </c>
      <c r="FS210">
        <v>30.000299999999999</v>
      </c>
      <c r="FT210">
        <v>25.358699999999999</v>
      </c>
      <c r="FU210">
        <v>25.36</v>
      </c>
      <c r="FV210">
        <v>43.030799999999999</v>
      </c>
      <c r="FW210">
        <v>27.2942</v>
      </c>
      <c r="FX210">
        <v>39.792400000000001</v>
      </c>
      <c r="FY210">
        <v>17.9208</v>
      </c>
      <c r="FZ210">
        <v>800</v>
      </c>
      <c r="GA210">
        <v>14.312900000000001</v>
      </c>
      <c r="GB210">
        <v>99.886300000000006</v>
      </c>
      <c r="GC210">
        <v>99.741900000000001</v>
      </c>
    </row>
    <row r="211" spans="1:185" x14ac:dyDescent="0.2">
      <c r="A211">
        <v>196</v>
      </c>
      <c r="B211">
        <v>1771089326.0999999</v>
      </c>
      <c r="C211">
        <v>4006.0999999046298</v>
      </c>
      <c r="D211" t="s">
        <v>692</v>
      </c>
      <c r="E211" t="s">
        <v>693</v>
      </c>
      <c r="F211">
        <v>15</v>
      </c>
      <c r="G211">
        <v>1771089318.03333</v>
      </c>
      <c r="H211">
        <f t="shared" si="39"/>
        <v>8.8927678791277901E-4</v>
      </c>
      <c r="I211">
        <v>0</v>
      </c>
      <c r="J211">
        <f t="shared" si="51"/>
        <v>9.4603907893395858E-3</v>
      </c>
      <c r="K211">
        <f t="shared" si="40"/>
        <v>0.25643273901828589</v>
      </c>
      <c r="L211">
        <f t="shared" si="41"/>
        <v>69.722352329069551</v>
      </c>
      <c r="M211">
        <f t="shared" si="42"/>
        <v>1.537787081274232</v>
      </c>
      <c r="N211">
        <f t="shared" si="43"/>
        <v>2.2055869171142093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26191.389742387601</v>
      </c>
      <c r="T211">
        <f t="shared" si="47"/>
        <v>800.00006666666695</v>
      </c>
      <c r="U211">
        <f t="shared" si="48"/>
        <v>674.40026740001736</v>
      </c>
      <c r="V211">
        <f t="shared" si="49"/>
        <v>0.84300026399999939</v>
      </c>
      <c r="W211">
        <f t="shared" si="50"/>
        <v>0.15870053007999987</v>
      </c>
      <c r="X211">
        <v>1</v>
      </c>
      <c r="Y211">
        <v>1771089318.03333</v>
      </c>
      <c r="Z211">
        <v>798.78866666666704</v>
      </c>
      <c r="AA211">
        <v>799.99713333333295</v>
      </c>
      <c r="AB211">
        <v>15.38198</v>
      </c>
      <c r="AC211">
        <v>14.2874866666667</v>
      </c>
      <c r="AD211">
        <v>799.69293333333303</v>
      </c>
      <c r="AE211">
        <v>15.272313333333299</v>
      </c>
      <c r="AF211">
        <v>800.00300000000004</v>
      </c>
      <c r="AG211">
        <v>99.908913333333302</v>
      </c>
      <c r="AH211">
        <v>6.4372373333333302E-2</v>
      </c>
      <c r="AI211">
        <v>19.002953333333299</v>
      </c>
      <c r="AJ211">
        <v>999.9</v>
      </c>
      <c r="AK211">
        <v>999.9</v>
      </c>
      <c r="AL211">
        <v>0</v>
      </c>
      <c r="AM211">
        <v>0</v>
      </c>
      <c r="AN211">
        <v>4998.8999999999996</v>
      </c>
      <c r="AO211">
        <v>0</v>
      </c>
      <c r="AP211">
        <v>2.2583899999999999</v>
      </c>
      <c r="AQ211">
        <v>-1.20845133333333</v>
      </c>
      <c r="AR211">
        <v>811.26753333333295</v>
      </c>
      <c r="AS211">
        <v>811.59286666666696</v>
      </c>
      <c r="AT211">
        <v>1.094492</v>
      </c>
      <c r="AU211">
        <v>799.99713333333295</v>
      </c>
      <c r="AV211">
        <v>14.2874866666667</v>
      </c>
      <c r="AW211">
        <v>1.5367966666666699</v>
      </c>
      <c r="AX211">
        <v>1.42744733333333</v>
      </c>
      <c r="AY211">
        <v>13.339259999999999</v>
      </c>
      <c r="AZ211">
        <v>12.2123733333333</v>
      </c>
      <c r="BA211">
        <v>800.00006666666695</v>
      </c>
      <c r="BB211">
        <v>0.89999313333333297</v>
      </c>
      <c r="BC211">
        <v>0</v>
      </c>
      <c r="BD211">
        <v>0.10000693333333301</v>
      </c>
      <c r="BE211">
        <v>0</v>
      </c>
      <c r="BF211">
        <v>25.997779999999999</v>
      </c>
      <c r="BG211">
        <v>13191</v>
      </c>
      <c r="BH211">
        <v>1771089189.0999999</v>
      </c>
      <c r="BI211" t="s">
        <v>673</v>
      </c>
      <c r="BJ211">
        <v>1771089167.0999999</v>
      </c>
      <c r="BK211">
        <v>1771089189.0999999</v>
      </c>
      <c r="BL211">
        <v>8</v>
      </c>
      <c r="BM211">
        <v>-2.4E-2</v>
      </c>
      <c r="BN211">
        <v>1.4999999999999999E-2</v>
      </c>
      <c r="BO211">
        <v>-0.90400000000000003</v>
      </c>
      <c r="BP211">
        <v>0.11</v>
      </c>
      <c r="BQ211">
        <v>800</v>
      </c>
      <c r="BR211">
        <v>15</v>
      </c>
      <c r="BS211">
        <v>0.32</v>
      </c>
      <c r="BT211">
        <v>0.08</v>
      </c>
      <c r="BU211">
        <v>-1.20838857142857</v>
      </c>
      <c r="BV211">
        <v>4.2165194805195698E-2</v>
      </c>
      <c r="BW211">
        <v>3.6629906371929602E-2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1.09092476190476</v>
      </c>
      <c r="CD211">
        <v>5.71768831168857E-2</v>
      </c>
      <c r="CE211">
        <v>8.7718085332108599E-3</v>
      </c>
      <c r="CF211">
        <v>1</v>
      </c>
      <c r="CG211">
        <v>2</v>
      </c>
      <c r="CH211">
        <v>2</v>
      </c>
      <c r="CI211" t="s">
        <v>310</v>
      </c>
      <c r="CJ211">
        <v>3.53254</v>
      </c>
      <c r="CK211">
        <v>2.7021700000000002</v>
      </c>
      <c r="CL211">
        <v>0.157032</v>
      </c>
      <c r="CM211">
        <v>0.15491099999999999</v>
      </c>
      <c r="CN211">
        <v>8.6819800000000003E-2</v>
      </c>
      <c r="CO211">
        <v>8.1307099999999993E-2</v>
      </c>
      <c r="CP211">
        <v>29565.1</v>
      </c>
      <c r="CQ211">
        <v>26026.7</v>
      </c>
      <c r="CR211">
        <v>32459.8</v>
      </c>
      <c r="CS211">
        <v>30723.200000000001</v>
      </c>
      <c r="CT211">
        <v>40140.699999999997</v>
      </c>
      <c r="CU211">
        <v>39697.4</v>
      </c>
      <c r="CV211">
        <v>47402.3</v>
      </c>
      <c r="CW211">
        <v>46854.1</v>
      </c>
      <c r="CX211">
        <v>2.6246</v>
      </c>
      <c r="CY211">
        <v>2.1440399999999999</v>
      </c>
      <c r="CZ211">
        <v>0</v>
      </c>
      <c r="DA211">
        <v>0</v>
      </c>
      <c r="DB211">
        <v>999.9</v>
      </c>
      <c r="DC211">
        <v>999.9</v>
      </c>
      <c r="DD211">
        <v>53.344999999999999</v>
      </c>
      <c r="DE211">
        <v>26.585999999999999</v>
      </c>
      <c r="DF211">
        <v>18.650099999999998</v>
      </c>
      <c r="DG211">
        <v>30.001999999999999</v>
      </c>
      <c r="DH211">
        <v>15.4688</v>
      </c>
      <c r="DI211">
        <v>2</v>
      </c>
      <c r="DJ211">
        <v>-0.12967699999999999</v>
      </c>
      <c r="DK211">
        <v>2.4764200000000001</v>
      </c>
      <c r="DL211">
        <v>20.192299999999999</v>
      </c>
      <c r="DM211">
        <v>5.2472399999999997</v>
      </c>
      <c r="DN211">
        <v>12.033899999999999</v>
      </c>
      <c r="DO211">
        <v>4.9661200000000001</v>
      </c>
      <c r="DP211">
        <v>3.2909999999999999</v>
      </c>
      <c r="DQ211">
        <v>9999</v>
      </c>
      <c r="DR211">
        <v>9999</v>
      </c>
      <c r="DS211">
        <v>9999</v>
      </c>
      <c r="DT211">
        <v>604.9</v>
      </c>
      <c r="DU211">
        <v>1.87117</v>
      </c>
      <c r="DV211">
        <v>1.87619</v>
      </c>
      <c r="DW211">
        <v>1.8763700000000001</v>
      </c>
      <c r="DX211">
        <v>1.88287</v>
      </c>
      <c r="DY211">
        <v>1.8756200000000001</v>
      </c>
      <c r="DZ211">
        <v>1.87469</v>
      </c>
      <c r="EA211">
        <v>1.87083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-0.90400000000000003</v>
      </c>
      <c r="EQ211">
        <v>0.10970000000000001</v>
      </c>
      <c r="ER211">
        <v>-0.90418181818176901</v>
      </c>
      <c r="ES211">
        <v>0</v>
      </c>
      <c r="ET211">
        <v>0</v>
      </c>
      <c r="EU211">
        <v>0</v>
      </c>
      <c r="EV211">
        <v>0.10966999999999801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2.6</v>
      </c>
      <c r="FE211">
        <v>2.2999999999999998</v>
      </c>
      <c r="FF211">
        <v>2.1447799999999999</v>
      </c>
      <c r="FG211">
        <v>2.5817899999999998</v>
      </c>
      <c r="FH211">
        <v>2.19604</v>
      </c>
      <c r="FI211">
        <v>2.5793499999999998</v>
      </c>
      <c r="FJ211">
        <v>2.4462899999999999</v>
      </c>
      <c r="FK211">
        <v>2.2985799999999998</v>
      </c>
      <c r="FL211">
        <v>31.542400000000001</v>
      </c>
      <c r="FM211">
        <v>24.148800000000001</v>
      </c>
      <c r="FN211">
        <v>19</v>
      </c>
      <c r="FO211">
        <v>864.73699999999997</v>
      </c>
      <c r="FP211">
        <v>585.52499999999998</v>
      </c>
      <c r="FQ211">
        <v>17.915700000000001</v>
      </c>
      <c r="FR211">
        <v>25.387499999999999</v>
      </c>
      <c r="FS211">
        <v>30.0002</v>
      </c>
      <c r="FT211">
        <v>25.362500000000001</v>
      </c>
      <c r="FU211">
        <v>25.364000000000001</v>
      </c>
      <c r="FV211">
        <v>43.0319</v>
      </c>
      <c r="FW211">
        <v>27.2942</v>
      </c>
      <c r="FX211">
        <v>39.419400000000003</v>
      </c>
      <c r="FY211">
        <v>17.912400000000002</v>
      </c>
      <c r="FZ211">
        <v>800</v>
      </c>
      <c r="GA211">
        <v>14.312900000000001</v>
      </c>
      <c r="GB211">
        <v>99.885499999999993</v>
      </c>
      <c r="GC211">
        <v>99.742199999999997</v>
      </c>
    </row>
    <row r="212" spans="1:185" x14ac:dyDescent="0.2">
      <c r="A212">
        <v>197</v>
      </c>
      <c r="B212">
        <v>1771089341.0999999</v>
      </c>
      <c r="C212">
        <v>4021.0999999046298</v>
      </c>
      <c r="D212" t="s">
        <v>694</v>
      </c>
      <c r="E212" t="s">
        <v>695</v>
      </c>
      <c r="F212">
        <v>15</v>
      </c>
      <c r="G212">
        <v>1771089333.03333</v>
      </c>
      <c r="H212">
        <f t="shared" si="39"/>
        <v>9.0171580094190837E-4</v>
      </c>
      <c r="I212">
        <v>0</v>
      </c>
      <c r="J212">
        <f t="shared" si="51"/>
        <v>9.1195426486680407E-3</v>
      </c>
      <c r="K212">
        <f t="shared" si="40"/>
        <v>0.24719373142885462</v>
      </c>
      <c r="L212">
        <f t="shared" si="41"/>
        <v>69.690681648996957</v>
      </c>
      <c r="M212">
        <f t="shared" si="42"/>
        <v>1.5368865045005942</v>
      </c>
      <c r="N212">
        <f t="shared" si="43"/>
        <v>2.2052969896911812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26161.190892987459</v>
      </c>
      <c r="T212">
        <f t="shared" si="47"/>
        <v>799.99860000000001</v>
      </c>
      <c r="U212">
        <f t="shared" si="48"/>
        <v>674.39922539929069</v>
      </c>
      <c r="V212">
        <f t="shared" si="49"/>
        <v>0.84300050700000062</v>
      </c>
      <c r="W212">
        <f t="shared" si="50"/>
        <v>0.15870120254000011</v>
      </c>
      <c r="X212">
        <v>1</v>
      </c>
      <c r="Y212">
        <v>1771089333.03333</v>
      </c>
      <c r="Z212">
        <v>798.79053333333297</v>
      </c>
      <c r="AA212">
        <v>799.999866666667</v>
      </c>
      <c r="AB212">
        <v>15.3730333333333</v>
      </c>
      <c r="AC212">
        <v>14.2632266666667</v>
      </c>
      <c r="AD212">
        <v>799.69479999999999</v>
      </c>
      <c r="AE212">
        <v>15.2633666666667</v>
      </c>
      <c r="AF212">
        <v>800.00753333333296</v>
      </c>
      <c r="AG212">
        <v>99.908546666666695</v>
      </c>
      <c r="AH212">
        <v>6.4339046666666705E-2</v>
      </c>
      <c r="AI212">
        <v>19.0008466666667</v>
      </c>
      <c r="AJ212">
        <v>999.9</v>
      </c>
      <c r="AK212">
        <v>999.9</v>
      </c>
      <c r="AL212">
        <v>0</v>
      </c>
      <c r="AM212">
        <v>0</v>
      </c>
      <c r="AN212">
        <v>4993.8999999999996</v>
      </c>
      <c r="AO212">
        <v>0</v>
      </c>
      <c r="AP212">
        <v>2.2583899999999999</v>
      </c>
      <c r="AQ212">
        <v>-1.20941066666667</v>
      </c>
      <c r="AR212">
        <v>811.26220000000001</v>
      </c>
      <c r="AS212">
        <v>811.57579999999996</v>
      </c>
      <c r="AT212">
        <v>1.109804</v>
      </c>
      <c r="AU212">
        <v>799.999866666667</v>
      </c>
      <c r="AV212">
        <v>14.2632266666667</v>
      </c>
      <c r="AW212">
        <v>1.535898</v>
      </c>
      <c r="AX212">
        <v>1.42501733333333</v>
      </c>
      <c r="AY212">
        <v>13.3302866666667</v>
      </c>
      <c r="AZ212">
        <v>12.186500000000001</v>
      </c>
      <c r="BA212">
        <v>799.99860000000001</v>
      </c>
      <c r="BB212">
        <v>0.89998406666666697</v>
      </c>
      <c r="BC212">
        <v>0</v>
      </c>
      <c r="BD212">
        <v>0.100015966666667</v>
      </c>
      <c r="BE212">
        <v>0</v>
      </c>
      <c r="BF212">
        <v>26</v>
      </c>
      <c r="BG212">
        <v>13190.9333333333</v>
      </c>
      <c r="BH212">
        <v>1771089189.0999999</v>
      </c>
      <c r="BI212" t="s">
        <v>673</v>
      </c>
      <c r="BJ212">
        <v>1771089167.0999999</v>
      </c>
      <c r="BK212">
        <v>1771089189.0999999</v>
      </c>
      <c r="BL212">
        <v>8</v>
      </c>
      <c r="BM212">
        <v>-2.4E-2</v>
      </c>
      <c r="BN212">
        <v>1.4999999999999999E-2</v>
      </c>
      <c r="BO212">
        <v>-0.90400000000000003</v>
      </c>
      <c r="BP212">
        <v>0.11</v>
      </c>
      <c r="BQ212">
        <v>800</v>
      </c>
      <c r="BR212">
        <v>15</v>
      </c>
      <c r="BS212">
        <v>0.32</v>
      </c>
      <c r="BT212">
        <v>0.08</v>
      </c>
      <c r="BU212">
        <v>-1.2149766666666699</v>
      </c>
      <c r="BV212">
        <v>2.87345454545451E-2</v>
      </c>
      <c r="BW212">
        <v>3.3442568159149602E-2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1.1088342857142901</v>
      </c>
      <c r="CD212">
        <v>2.8223376623383802E-3</v>
      </c>
      <c r="CE212">
        <v>5.8280198151676203E-3</v>
      </c>
      <c r="CF212">
        <v>1</v>
      </c>
      <c r="CG212">
        <v>2</v>
      </c>
      <c r="CH212">
        <v>2</v>
      </c>
      <c r="CI212" t="s">
        <v>310</v>
      </c>
      <c r="CJ212">
        <v>3.5325899999999999</v>
      </c>
      <c r="CK212">
        <v>2.70208</v>
      </c>
      <c r="CL212">
        <v>0.15703300000000001</v>
      </c>
      <c r="CM212">
        <v>0.15490999999999999</v>
      </c>
      <c r="CN212">
        <v>8.6784899999999998E-2</v>
      </c>
      <c r="CO212">
        <v>8.1320299999999998E-2</v>
      </c>
      <c r="CP212">
        <v>29565.4</v>
      </c>
      <c r="CQ212">
        <v>26026.5</v>
      </c>
      <c r="CR212">
        <v>32460.2</v>
      </c>
      <c r="CS212">
        <v>30722.9</v>
      </c>
      <c r="CT212">
        <v>40142.9</v>
      </c>
      <c r="CU212">
        <v>39696.6</v>
      </c>
      <c r="CV212">
        <v>47402.9</v>
      </c>
      <c r="CW212">
        <v>46853.9</v>
      </c>
      <c r="CX212">
        <v>2.6245400000000001</v>
      </c>
      <c r="CY212">
        <v>2.1439599999999999</v>
      </c>
      <c r="CZ212">
        <v>0</v>
      </c>
      <c r="DA212">
        <v>0</v>
      </c>
      <c r="DB212">
        <v>999.9</v>
      </c>
      <c r="DC212">
        <v>999.9</v>
      </c>
      <c r="DD212">
        <v>53.271999999999998</v>
      </c>
      <c r="DE212">
        <v>26.596</v>
      </c>
      <c r="DF212">
        <v>18.635999999999999</v>
      </c>
      <c r="DG212">
        <v>30.452000000000002</v>
      </c>
      <c r="DH212">
        <v>15.276400000000001</v>
      </c>
      <c r="DI212">
        <v>2</v>
      </c>
      <c r="DJ212">
        <v>-0.12931100000000001</v>
      </c>
      <c r="DK212">
        <v>2.4195799999999998</v>
      </c>
      <c r="DL212">
        <v>20.1934</v>
      </c>
      <c r="DM212">
        <v>5.24796</v>
      </c>
      <c r="DN212">
        <v>12.033899999999999</v>
      </c>
      <c r="DO212">
        <v>4.9658800000000003</v>
      </c>
      <c r="DP212">
        <v>3.2909999999999999</v>
      </c>
      <c r="DQ212">
        <v>9999</v>
      </c>
      <c r="DR212">
        <v>9999</v>
      </c>
      <c r="DS212">
        <v>9999</v>
      </c>
      <c r="DT212">
        <v>605</v>
      </c>
      <c r="DU212">
        <v>1.8711599999999999</v>
      </c>
      <c r="DV212">
        <v>1.8762099999999999</v>
      </c>
      <c r="DW212">
        <v>1.8763700000000001</v>
      </c>
      <c r="DX212">
        <v>1.88287</v>
      </c>
      <c r="DY212">
        <v>1.8756299999999999</v>
      </c>
      <c r="DZ212">
        <v>1.8746799999999999</v>
      </c>
      <c r="EA212">
        <v>1.87083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-0.90400000000000003</v>
      </c>
      <c r="EQ212">
        <v>0.10970000000000001</v>
      </c>
      <c r="ER212">
        <v>-0.90418181818176901</v>
      </c>
      <c r="ES212">
        <v>0</v>
      </c>
      <c r="ET212">
        <v>0</v>
      </c>
      <c r="EU212">
        <v>0</v>
      </c>
      <c r="EV212">
        <v>0.10966999999999801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2.9</v>
      </c>
      <c r="FE212">
        <v>2.5</v>
      </c>
      <c r="FF212">
        <v>2.1447799999999999</v>
      </c>
      <c r="FG212">
        <v>2.5793499999999998</v>
      </c>
      <c r="FH212">
        <v>2.19604</v>
      </c>
      <c r="FI212">
        <v>2.5793499999999998</v>
      </c>
      <c r="FJ212">
        <v>2.4462899999999999</v>
      </c>
      <c r="FK212">
        <v>2.2790499999999998</v>
      </c>
      <c r="FL212">
        <v>31.542400000000001</v>
      </c>
      <c r="FM212">
        <v>24.14</v>
      </c>
      <c r="FN212">
        <v>19</v>
      </c>
      <c r="FO212">
        <v>864.75</v>
      </c>
      <c r="FP212">
        <v>585.51099999999997</v>
      </c>
      <c r="FQ212">
        <v>17.914899999999999</v>
      </c>
      <c r="FR212">
        <v>25.3918</v>
      </c>
      <c r="FS212">
        <v>30.0001</v>
      </c>
      <c r="FT212">
        <v>25.366700000000002</v>
      </c>
      <c r="FU212">
        <v>25.368200000000002</v>
      </c>
      <c r="FV212">
        <v>43.029899999999998</v>
      </c>
      <c r="FW212">
        <v>27.2942</v>
      </c>
      <c r="FX212">
        <v>39.419400000000003</v>
      </c>
      <c r="FY212">
        <v>17.924099999999999</v>
      </c>
      <c r="FZ212">
        <v>800</v>
      </c>
      <c r="GA212">
        <v>14.3172</v>
      </c>
      <c r="GB212">
        <v>99.886899999999997</v>
      </c>
      <c r="GC212">
        <v>99.741500000000002</v>
      </c>
    </row>
    <row r="213" spans="1:185" x14ac:dyDescent="0.2">
      <c r="A213">
        <v>198</v>
      </c>
      <c r="B213">
        <v>1771089356.0999999</v>
      </c>
      <c r="C213">
        <v>4036.0999999046298</v>
      </c>
      <c r="D213" t="s">
        <v>696</v>
      </c>
      <c r="E213" t="s">
        <v>697</v>
      </c>
      <c r="F213">
        <v>15</v>
      </c>
      <c r="G213">
        <v>1771089348.03333</v>
      </c>
      <c r="H213">
        <f t="shared" si="39"/>
        <v>8.9594832434437973E-4</v>
      </c>
      <c r="I213">
        <v>0</v>
      </c>
      <c r="J213">
        <f t="shared" si="51"/>
        <v>8.9661795799687392E-3</v>
      </c>
      <c r="K213">
        <f t="shared" si="40"/>
        <v>0.24303668203771028</v>
      </c>
      <c r="L213">
        <f t="shared" si="41"/>
        <v>69.669421386054381</v>
      </c>
      <c r="M213">
        <f t="shared" si="42"/>
        <v>1.5365474097736698</v>
      </c>
      <c r="N213">
        <f t="shared" si="43"/>
        <v>2.2054832366976398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26226.33304007597</v>
      </c>
      <c r="T213">
        <f t="shared" si="47"/>
        <v>799.99973333333401</v>
      </c>
      <c r="U213">
        <f t="shared" si="48"/>
        <v>674.40028399983089</v>
      </c>
      <c r="V213">
        <f t="shared" si="49"/>
        <v>0.84300063599999997</v>
      </c>
      <c r="W213">
        <f t="shared" si="50"/>
        <v>0.15870159</v>
      </c>
      <c r="X213">
        <v>1</v>
      </c>
      <c r="Y213">
        <v>1771089348.03333</v>
      </c>
      <c r="Z213">
        <v>798.80833333333305</v>
      </c>
      <c r="AA213">
        <v>800.00673333333305</v>
      </c>
      <c r="AB213">
        <v>15.369859999999999</v>
      </c>
      <c r="AC213">
        <v>14.267146666666701</v>
      </c>
      <c r="AD213">
        <v>799.71259999999995</v>
      </c>
      <c r="AE213">
        <v>15.260206666666701</v>
      </c>
      <c r="AF213">
        <v>800.00639999999999</v>
      </c>
      <c r="AG213">
        <v>99.907166666666697</v>
      </c>
      <c r="AH213">
        <v>6.4297599999999996E-2</v>
      </c>
      <c r="AI213">
        <v>19.002199999999998</v>
      </c>
      <c r="AJ213">
        <v>999.9</v>
      </c>
      <c r="AK213">
        <v>999.9</v>
      </c>
      <c r="AL213">
        <v>0</v>
      </c>
      <c r="AM213">
        <v>0</v>
      </c>
      <c r="AN213">
        <v>5004.7333333333299</v>
      </c>
      <c r="AO213">
        <v>0</v>
      </c>
      <c r="AP213">
        <v>2.2583899999999999</v>
      </c>
      <c r="AQ213">
        <v>-1.198286</v>
      </c>
      <c r="AR213">
        <v>811.27760000000001</v>
      </c>
      <c r="AS213">
        <v>811.58579999999995</v>
      </c>
      <c r="AT213">
        <v>1.102732</v>
      </c>
      <c r="AU213">
        <v>800.00673333333305</v>
      </c>
      <c r="AV213">
        <v>14.267146666666701</v>
      </c>
      <c r="AW213">
        <v>1.5355620000000001</v>
      </c>
      <c r="AX213">
        <v>1.42538866666667</v>
      </c>
      <c r="AY213">
        <v>13.326926666666701</v>
      </c>
      <c r="AZ213">
        <v>12.19046</v>
      </c>
      <c r="BA213">
        <v>799.99973333333401</v>
      </c>
      <c r="BB213">
        <v>0.89997879999999997</v>
      </c>
      <c r="BC213">
        <v>0</v>
      </c>
      <c r="BD213">
        <v>0.1000212</v>
      </c>
      <c r="BE213">
        <v>0</v>
      </c>
      <c r="BF213">
        <v>26</v>
      </c>
      <c r="BG213">
        <v>13190.9533333333</v>
      </c>
      <c r="BH213">
        <v>1771089189.0999999</v>
      </c>
      <c r="BI213" t="s">
        <v>673</v>
      </c>
      <c r="BJ213">
        <v>1771089167.0999999</v>
      </c>
      <c r="BK213">
        <v>1771089189.0999999</v>
      </c>
      <c r="BL213">
        <v>8</v>
      </c>
      <c r="BM213">
        <v>-2.4E-2</v>
      </c>
      <c r="BN213">
        <v>1.4999999999999999E-2</v>
      </c>
      <c r="BO213">
        <v>-0.90400000000000003</v>
      </c>
      <c r="BP213">
        <v>0.11</v>
      </c>
      <c r="BQ213">
        <v>800</v>
      </c>
      <c r="BR213">
        <v>15</v>
      </c>
      <c r="BS213">
        <v>0.32</v>
      </c>
      <c r="BT213">
        <v>0.08</v>
      </c>
      <c r="BU213">
        <v>-1.2059744999999999</v>
      </c>
      <c r="BV213">
        <v>8.4182706766919399E-2</v>
      </c>
      <c r="BW213">
        <v>2.3356967156503899E-2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1.1035855000000001</v>
      </c>
      <c r="CD213">
        <v>-1.17965413533848E-2</v>
      </c>
      <c r="CE213">
        <v>1.8429717170917099E-3</v>
      </c>
      <c r="CF213">
        <v>1</v>
      </c>
      <c r="CG213">
        <v>2</v>
      </c>
      <c r="CH213">
        <v>2</v>
      </c>
      <c r="CI213" t="s">
        <v>310</v>
      </c>
      <c r="CJ213">
        <v>3.5325099999999998</v>
      </c>
      <c r="CK213">
        <v>2.7021700000000002</v>
      </c>
      <c r="CL213">
        <v>0.157032</v>
      </c>
      <c r="CM213">
        <v>0.15490399999999999</v>
      </c>
      <c r="CN213">
        <v>8.6793099999999998E-2</v>
      </c>
      <c r="CO213">
        <v>8.1331399999999998E-2</v>
      </c>
      <c r="CP213">
        <v>29565.1</v>
      </c>
      <c r="CQ213">
        <v>26026.400000000001</v>
      </c>
      <c r="CR213">
        <v>32459.8</v>
      </c>
      <c r="CS213">
        <v>30722.7</v>
      </c>
      <c r="CT213">
        <v>40142.300000000003</v>
      </c>
      <c r="CU213">
        <v>39695.699999999997</v>
      </c>
      <c r="CV213">
        <v>47402.6</v>
      </c>
      <c r="CW213">
        <v>46853.4</v>
      </c>
      <c r="CX213">
        <v>2.6247199999999999</v>
      </c>
      <c r="CY213">
        <v>2.1435599999999999</v>
      </c>
      <c r="CZ213">
        <v>0</v>
      </c>
      <c r="DA213">
        <v>0</v>
      </c>
      <c r="DB213">
        <v>999.9</v>
      </c>
      <c r="DC213">
        <v>999.9</v>
      </c>
      <c r="DD213">
        <v>53.222999999999999</v>
      </c>
      <c r="DE213">
        <v>26.596</v>
      </c>
      <c r="DF213">
        <v>18.617999999999999</v>
      </c>
      <c r="DG213">
        <v>30.2119</v>
      </c>
      <c r="DH213">
        <v>15.460699999999999</v>
      </c>
      <c r="DI213">
        <v>2</v>
      </c>
      <c r="DJ213">
        <v>-0.12906100000000001</v>
      </c>
      <c r="DK213">
        <v>2.4706399999999999</v>
      </c>
      <c r="DL213">
        <v>20.192499999999999</v>
      </c>
      <c r="DM213">
        <v>5.2478400000000001</v>
      </c>
      <c r="DN213">
        <v>12.033899999999999</v>
      </c>
      <c r="DO213">
        <v>4.9657200000000001</v>
      </c>
      <c r="DP213">
        <v>3.2909999999999999</v>
      </c>
      <c r="DQ213">
        <v>9999</v>
      </c>
      <c r="DR213">
        <v>9999</v>
      </c>
      <c r="DS213">
        <v>9999</v>
      </c>
      <c r="DT213">
        <v>605</v>
      </c>
      <c r="DU213">
        <v>1.87117</v>
      </c>
      <c r="DV213">
        <v>1.8762000000000001</v>
      </c>
      <c r="DW213">
        <v>1.8763700000000001</v>
      </c>
      <c r="DX213">
        <v>1.8829</v>
      </c>
      <c r="DY213">
        <v>1.8756200000000001</v>
      </c>
      <c r="DZ213">
        <v>1.87469</v>
      </c>
      <c r="EA213">
        <v>1.8708400000000001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-0.90400000000000003</v>
      </c>
      <c r="EQ213">
        <v>0.10970000000000001</v>
      </c>
      <c r="ER213">
        <v>-0.90418181818176901</v>
      </c>
      <c r="ES213">
        <v>0</v>
      </c>
      <c r="ET213">
        <v>0</v>
      </c>
      <c r="EU213">
        <v>0</v>
      </c>
      <c r="EV213">
        <v>0.10966999999999801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3.1</v>
      </c>
      <c r="FE213">
        <v>2.8</v>
      </c>
      <c r="FF213">
        <v>2.1447799999999999</v>
      </c>
      <c r="FG213">
        <v>2.5793499999999998</v>
      </c>
      <c r="FH213">
        <v>2.19604</v>
      </c>
      <c r="FI213">
        <v>2.5793499999999998</v>
      </c>
      <c r="FJ213">
        <v>2.4462899999999999</v>
      </c>
      <c r="FK213">
        <v>2.3107899999999999</v>
      </c>
      <c r="FL213">
        <v>31.564299999999999</v>
      </c>
      <c r="FM213">
        <v>24.148800000000001</v>
      </c>
      <c r="FN213">
        <v>19</v>
      </c>
      <c r="FO213">
        <v>864.97900000000004</v>
      </c>
      <c r="FP213">
        <v>585.23900000000003</v>
      </c>
      <c r="FQ213">
        <v>17.9238</v>
      </c>
      <c r="FR213">
        <v>25.395900000000001</v>
      </c>
      <c r="FS213">
        <v>30.0002</v>
      </c>
      <c r="FT213">
        <v>25.3706</v>
      </c>
      <c r="FU213">
        <v>25.371600000000001</v>
      </c>
      <c r="FV213">
        <v>43.030099999999997</v>
      </c>
      <c r="FW213">
        <v>27.2942</v>
      </c>
      <c r="FX213">
        <v>39.419400000000003</v>
      </c>
      <c r="FY213">
        <v>17.918600000000001</v>
      </c>
      <c r="FZ213">
        <v>800</v>
      </c>
      <c r="GA213">
        <v>14.3178</v>
      </c>
      <c r="GB213">
        <v>99.885999999999996</v>
      </c>
      <c r="GC213">
        <v>99.740700000000004</v>
      </c>
    </row>
    <row r="214" spans="1:185" x14ac:dyDescent="0.2">
      <c r="A214">
        <v>199</v>
      </c>
      <c r="B214">
        <v>1771089371.0999999</v>
      </c>
      <c r="C214">
        <v>4051.0999999046298</v>
      </c>
      <c r="D214" t="s">
        <v>698</v>
      </c>
      <c r="E214" t="s">
        <v>699</v>
      </c>
      <c r="F214">
        <v>15</v>
      </c>
      <c r="G214">
        <v>1771089363.03333</v>
      </c>
      <c r="H214">
        <f t="shared" si="39"/>
        <v>9.040651363202691E-4</v>
      </c>
      <c r="I214">
        <v>0</v>
      </c>
      <c r="J214">
        <f t="shared" si="51"/>
        <v>8.8247864665286085E-3</v>
      </c>
      <c r="K214">
        <f t="shared" si="40"/>
        <v>0.23920408947730221</v>
      </c>
      <c r="L214">
        <f t="shared" si="41"/>
        <v>69.668009291660553</v>
      </c>
      <c r="M214">
        <f t="shared" si="42"/>
        <v>1.53672338215516</v>
      </c>
      <c r="N214">
        <f t="shared" si="43"/>
        <v>2.2057805264992836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26197.908701318574</v>
      </c>
      <c r="T214">
        <f t="shared" si="47"/>
        <v>799.999866666667</v>
      </c>
      <c r="U214">
        <f t="shared" si="48"/>
        <v>674.40035799992188</v>
      </c>
      <c r="V214">
        <f t="shared" si="49"/>
        <v>0.843000588</v>
      </c>
      <c r="W214">
        <f t="shared" si="50"/>
        <v>0.15870147000000001</v>
      </c>
      <c r="X214">
        <v>1</v>
      </c>
      <c r="Y214">
        <v>1771089363.03333</v>
      </c>
      <c r="Z214">
        <v>798.780666666667</v>
      </c>
      <c r="AA214">
        <v>799.98233333333303</v>
      </c>
      <c r="AB214">
        <v>15.3714733333333</v>
      </c>
      <c r="AC214">
        <v>14.258786666666699</v>
      </c>
      <c r="AD214">
        <v>799.68493333333299</v>
      </c>
      <c r="AE214">
        <v>15.2617933333333</v>
      </c>
      <c r="AF214">
        <v>800.01706666666701</v>
      </c>
      <c r="AG214">
        <v>99.908073333333306</v>
      </c>
      <c r="AH214">
        <v>6.4346280000000006E-2</v>
      </c>
      <c r="AI214">
        <v>19.004359999999998</v>
      </c>
      <c r="AJ214">
        <v>999.9</v>
      </c>
      <c r="AK214">
        <v>999.9</v>
      </c>
      <c r="AL214">
        <v>0</v>
      </c>
      <c r="AM214">
        <v>0</v>
      </c>
      <c r="AN214">
        <v>5000.0333333333301</v>
      </c>
      <c r="AO214">
        <v>0</v>
      </c>
      <c r="AP214">
        <v>2.2583899999999999</v>
      </c>
      <c r="AQ214">
        <v>-1.20159866666667</v>
      </c>
      <c r="AR214">
        <v>811.25086666666698</v>
      </c>
      <c r="AS214">
        <v>811.55413333333297</v>
      </c>
      <c r="AT214">
        <v>1.1126833333333299</v>
      </c>
      <c r="AU214">
        <v>799.98233333333303</v>
      </c>
      <c r="AV214">
        <v>14.258786666666699</v>
      </c>
      <c r="AW214">
        <v>1.5357333333333301</v>
      </c>
      <c r="AX214">
        <v>1.42456733333333</v>
      </c>
      <c r="AY214">
        <v>13.3286533333333</v>
      </c>
      <c r="AZ214">
        <v>12.181699999999999</v>
      </c>
      <c r="BA214">
        <v>799.999866666667</v>
      </c>
      <c r="BB214">
        <v>0.89998040000000001</v>
      </c>
      <c r="BC214">
        <v>0</v>
      </c>
      <c r="BD214">
        <v>0.1000196</v>
      </c>
      <c r="BE214">
        <v>0</v>
      </c>
      <c r="BF214">
        <v>26</v>
      </c>
      <c r="BG214">
        <v>13190.96</v>
      </c>
      <c r="BH214">
        <v>1771089189.0999999</v>
      </c>
      <c r="BI214" t="s">
        <v>673</v>
      </c>
      <c r="BJ214">
        <v>1771089167.0999999</v>
      </c>
      <c r="BK214">
        <v>1771089189.0999999</v>
      </c>
      <c r="BL214">
        <v>8</v>
      </c>
      <c r="BM214">
        <v>-2.4E-2</v>
      </c>
      <c r="BN214">
        <v>1.4999999999999999E-2</v>
      </c>
      <c r="BO214">
        <v>-0.90400000000000003</v>
      </c>
      <c r="BP214">
        <v>0.11</v>
      </c>
      <c r="BQ214">
        <v>800</v>
      </c>
      <c r="BR214">
        <v>15</v>
      </c>
      <c r="BS214">
        <v>0.32</v>
      </c>
      <c r="BT214">
        <v>0.08</v>
      </c>
      <c r="BU214">
        <v>-1.20251142857143</v>
      </c>
      <c r="BV214">
        <v>9.0539220779220206E-2</v>
      </c>
      <c r="BW214">
        <v>1.52603121373913E-2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1.1099071428571401</v>
      </c>
      <c r="CD214">
        <v>8.4630389610388407E-2</v>
      </c>
      <c r="CE214">
        <v>1.0184745429110201E-2</v>
      </c>
      <c r="CF214">
        <v>1</v>
      </c>
      <c r="CG214">
        <v>2</v>
      </c>
      <c r="CH214">
        <v>2</v>
      </c>
      <c r="CI214" t="s">
        <v>310</v>
      </c>
      <c r="CJ214">
        <v>3.5324900000000001</v>
      </c>
      <c r="CK214">
        <v>2.7020200000000001</v>
      </c>
      <c r="CL214">
        <v>0.157028</v>
      </c>
      <c r="CM214">
        <v>0.154895</v>
      </c>
      <c r="CN214">
        <v>8.6774900000000002E-2</v>
      </c>
      <c r="CO214">
        <v>8.1262200000000007E-2</v>
      </c>
      <c r="CP214">
        <v>29564.9</v>
      </c>
      <c r="CQ214">
        <v>26026.400000000001</v>
      </c>
      <c r="CR214">
        <v>32459.5</v>
      </c>
      <c r="CS214">
        <v>30722.3</v>
      </c>
      <c r="CT214">
        <v>40142.800000000003</v>
      </c>
      <c r="CU214">
        <v>39698.400000000001</v>
      </c>
      <c r="CV214">
        <v>47402.2</v>
      </c>
      <c r="CW214">
        <v>46852.9</v>
      </c>
      <c r="CX214">
        <v>2.6244999999999998</v>
      </c>
      <c r="CY214">
        <v>2.14358</v>
      </c>
      <c r="CZ214">
        <v>0</v>
      </c>
      <c r="DA214">
        <v>0</v>
      </c>
      <c r="DB214">
        <v>999.9</v>
      </c>
      <c r="DC214">
        <v>999.9</v>
      </c>
      <c r="DD214">
        <v>53.155999999999999</v>
      </c>
      <c r="DE214">
        <v>26.616</v>
      </c>
      <c r="DF214">
        <v>18.618099999999998</v>
      </c>
      <c r="DG214">
        <v>29.972000000000001</v>
      </c>
      <c r="DH214">
        <v>15.384600000000001</v>
      </c>
      <c r="DI214">
        <v>2</v>
      </c>
      <c r="DJ214">
        <v>-0.12873000000000001</v>
      </c>
      <c r="DK214">
        <v>2.5093299999999998</v>
      </c>
      <c r="DL214">
        <v>20.191700000000001</v>
      </c>
      <c r="DM214">
        <v>5.2480799999999999</v>
      </c>
      <c r="DN214">
        <v>12.033899999999999</v>
      </c>
      <c r="DO214">
        <v>4.9657999999999998</v>
      </c>
      <c r="DP214">
        <v>3.2909999999999999</v>
      </c>
      <c r="DQ214">
        <v>9999</v>
      </c>
      <c r="DR214">
        <v>9999</v>
      </c>
      <c r="DS214">
        <v>9999</v>
      </c>
      <c r="DT214">
        <v>605</v>
      </c>
      <c r="DU214">
        <v>1.8711899999999999</v>
      </c>
      <c r="DV214">
        <v>1.8762000000000001</v>
      </c>
      <c r="DW214">
        <v>1.8763700000000001</v>
      </c>
      <c r="DX214">
        <v>1.88287</v>
      </c>
      <c r="DY214">
        <v>1.8756200000000001</v>
      </c>
      <c r="DZ214">
        <v>1.87469</v>
      </c>
      <c r="EA214">
        <v>1.87086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-0.90500000000000003</v>
      </c>
      <c r="EQ214">
        <v>0.10970000000000001</v>
      </c>
      <c r="ER214">
        <v>-0.90418181818176901</v>
      </c>
      <c r="ES214">
        <v>0</v>
      </c>
      <c r="ET214">
        <v>0</v>
      </c>
      <c r="EU214">
        <v>0</v>
      </c>
      <c r="EV214">
        <v>0.10966999999999801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3.4</v>
      </c>
      <c r="FE214">
        <v>3</v>
      </c>
      <c r="FF214">
        <v>2.1447799999999999</v>
      </c>
      <c r="FG214">
        <v>2.5866699999999998</v>
      </c>
      <c r="FH214">
        <v>2.19604</v>
      </c>
      <c r="FI214">
        <v>2.5793499999999998</v>
      </c>
      <c r="FJ214">
        <v>2.4462899999999999</v>
      </c>
      <c r="FK214">
        <v>2.2497600000000002</v>
      </c>
      <c r="FL214">
        <v>31.564299999999999</v>
      </c>
      <c r="FM214">
        <v>24.14</v>
      </c>
      <c r="FN214">
        <v>19</v>
      </c>
      <c r="FO214">
        <v>864.82899999999995</v>
      </c>
      <c r="FP214">
        <v>585.29399999999998</v>
      </c>
      <c r="FQ214">
        <v>17.912500000000001</v>
      </c>
      <c r="FR214">
        <v>25.400200000000002</v>
      </c>
      <c r="FS214">
        <v>30.000299999999999</v>
      </c>
      <c r="FT214">
        <v>25.373999999999999</v>
      </c>
      <c r="FU214">
        <v>25.3751</v>
      </c>
      <c r="FV214">
        <v>43.035899999999998</v>
      </c>
      <c r="FW214">
        <v>27.0184</v>
      </c>
      <c r="FX214">
        <v>39.043199999999999</v>
      </c>
      <c r="FY214">
        <v>17.9053</v>
      </c>
      <c r="FZ214">
        <v>800</v>
      </c>
      <c r="GA214">
        <v>14.3231</v>
      </c>
      <c r="GB214">
        <v>99.885099999999994</v>
      </c>
      <c r="GC214">
        <v>99.739500000000007</v>
      </c>
    </row>
    <row r="215" spans="1:185" x14ac:dyDescent="0.2">
      <c r="A215">
        <v>200</v>
      </c>
      <c r="B215">
        <v>1771089386.0999999</v>
      </c>
      <c r="C215">
        <v>4066.0999999046298</v>
      </c>
      <c r="D215" t="s">
        <v>700</v>
      </c>
      <c r="E215" t="s">
        <v>701</v>
      </c>
      <c r="F215">
        <v>15</v>
      </c>
      <c r="G215">
        <v>1771089378.03333</v>
      </c>
      <c r="H215">
        <f t="shared" si="39"/>
        <v>8.7342397877247357E-4</v>
      </c>
      <c r="I215">
        <v>0</v>
      </c>
      <c r="J215">
        <f t="shared" si="51"/>
        <v>9.6565538355643313E-3</v>
      </c>
      <c r="K215">
        <f t="shared" si="40"/>
        <v>0.26174992182370083</v>
      </c>
      <c r="L215">
        <f t="shared" si="41"/>
        <v>69.688007428237142</v>
      </c>
      <c r="M215">
        <f t="shared" si="42"/>
        <v>1.5371587419563151</v>
      </c>
      <c r="N215">
        <f t="shared" si="43"/>
        <v>2.2057722679748597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26209.97379500555</v>
      </c>
      <c r="T215">
        <f t="shared" si="47"/>
        <v>799.99940000000004</v>
      </c>
      <c r="U215">
        <f t="shared" si="48"/>
        <v>674.39997099964239</v>
      </c>
      <c r="V215">
        <f t="shared" si="49"/>
        <v>0.84300059599999999</v>
      </c>
      <c r="W215">
        <f t="shared" si="50"/>
        <v>0.15870149000000003</v>
      </c>
      <c r="X215">
        <v>1</v>
      </c>
      <c r="Y215">
        <v>1771089378.03333</v>
      </c>
      <c r="Z215">
        <v>798.78846666666698</v>
      </c>
      <c r="AA215">
        <v>799.98773333333304</v>
      </c>
      <c r="AB215">
        <v>15.3757466666667</v>
      </c>
      <c r="AC215">
        <v>14.3007733333333</v>
      </c>
      <c r="AD215">
        <v>799.69273333333297</v>
      </c>
      <c r="AE215">
        <v>15.2660866666667</v>
      </c>
      <c r="AF215">
        <v>800.01466666666704</v>
      </c>
      <c r="AG215">
        <v>99.908633333333398</v>
      </c>
      <c r="AH215">
        <v>6.4315966666666696E-2</v>
      </c>
      <c r="AI215">
        <v>19.004300000000001</v>
      </c>
      <c r="AJ215">
        <v>999.9</v>
      </c>
      <c r="AK215">
        <v>999.9</v>
      </c>
      <c r="AL215">
        <v>0</v>
      </c>
      <c r="AM215">
        <v>0</v>
      </c>
      <c r="AN215">
        <v>5002</v>
      </c>
      <c r="AO215">
        <v>0</v>
      </c>
      <c r="AP215">
        <v>2.2583899999999999</v>
      </c>
      <c r="AQ215">
        <v>-1.1993100000000001</v>
      </c>
      <c r="AR215">
        <v>811.262333333333</v>
      </c>
      <c r="AS215">
        <v>811.59413333333396</v>
      </c>
      <c r="AT215">
        <v>1.0749726666666699</v>
      </c>
      <c r="AU215">
        <v>799.98773333333304</v>
      </c>
      <c r="AV215">
        <v>14.3007733333333</v>
      </c>
      <c r="AW215">
        <v>1.53617</v>
      </c>
      <c r="AX215">
        <v>1.42877266666667</v>
      </c>
      <c r="AY215">
        <v>13.3330066666667</v>
      </c>
      <c r="AZ215">
        <v>12.226459999999999</v>
      </c>
      <c r="BA215">
        <v>799.99940000000004</v>
      </c>
      <c r="BB215">
        <v>0.89998013333333304</v>
      </c>
      <c r="BC215">
        <v>0</v>
      </c>
      <c r="BD215">
        <v>0.100019866666667</v>
      </c>
      <c r="BE215">
        <v>0</v>
      </c>
      <c r="BF215">
        <v>26</v>
      </c>
      <c r="BG215">
        <v>13190.926666666701</v>
      </c>
      <c r="BH215">
        <v>1771089189.0999999</v>
      </c>
      <c r="BI215" t="s">
        <v>673</v>
      </c>
      <c r="BJ215">
        <v>1771089167.0999999</v>
      </c>
      <c r="BK215">
        <v>1771089189.0999999</v>
      </c>
      <c r="BL215">
        <v>8</v>
      </c>
      <c r="BM215">
        <v>-2.4E-2</v>
      </c>
      <c r="BN215">
        <v>1.4999999999999999E-2</v>
      </c>
      <c r="BO215">
        <v>-0.90400000000000003</v>
      </c>
      <c r="BP215">
        <v>0.11</v>
      </c>
      <c r="BQ215">
        <v>800</v>
      </c>
      <c r="BR215">
        <v>15</v>
      </c>
      <c r="BS215">
        <v>0.32</v>
      </c>
      <c r="BT215">
        <v>0.08</v>
      </c>
      <c r="BU215">
        <v>-1.1948315</v>
      </c>
      <c r="BV215">
        <v>-0.123691578947367</v>
      </c>
      <c r="BW215">
        <v>2.2924607799262298E-2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1.0873839999999999</v>
      </c>
      <c r="CD215">
        <v>-0.24205894736842301</v>
      </c>
      <c r="CE215">
        <v>2.6485141192751801E-2</v>
      </c>
      <c r="CF215">
        <v>0</v>
      </c>
      <c r="CG215">
        <v>1</v>
      </c>
      <c r="CH215">
        <v>2</v>
      </c>
      <c r="CI215" t="s">
        <v>299</v>
      </c>
      <c r="CJ215">
        <v>3.5325899999999999</v>
      </c>
      <c r="CK215">
        <v>2.7021199999999999</v>
      </c>
      <c r="CL215">
        <v>0.157029</v>
      </c>
      <c r="CM215">
        <v>0.15490100000000001</v>
      </c>
      <c r="CN215">
        <v>8.68506E-2</v>
      </c>
      <c r="CO215">
        <v>8.1534800000000004E-2</v>
      </c>
      <c r="CP215">
        <v>29564.3</v>
      </c>
      <c r="CQ215">
        <v>26026.5</v>
      </c>
      <c r="CR215">
        <v>32458.9</v>
      </c>
      <c r="CS215">
        <v>30722.7</v>
      </c>
      <c r="CT215">
        <v>40138.6</v>
      </c>
      <c r="CU215">
        <v>39686.699999999997</v>
      </c>
      <c r="CV215">
        <v>47401.3</v>
      </c>
      <c r="CW215">
        <v>46853.4</v>
      </c>
      <c r="CX215">
        <v>2.62446</v>
      </c>
      <c r="CY215">
        <v>2.14364</v>
      </c>
      <c r="CZ215">
        <v>0</v>
      </c>
      <c r="DA215">
        <v>0</v>
      </c>
      <c r="DB215">
        <v>999.9</v>
      </c>
      <c r="DC215">
        <v>999.9</v>
      </c>
      <c r="DD215">
        <v>53.106999999999999</v>
      </c>
      <c r="DE215">
        <v>26.626000000000001</v>
      </c>
      <c r="DF215">
        <v>18.611000000000001</v>
      </c>
      <c r="DG215">
        <v>30.091999999999999</v>
      </c>
      <c r="DH215">
        <v>15.368600000000001</v>
      </c>
      <c r="DI215">
        <v>2</v>
      </c>
      <c r="DJ215">
        <v>-0.128272</v>
      </c>
      <c r="DK215">
        <v>2.5144600000000001</v>
      </c>
      <c r="DL215">
        <v>20.191500000000001</v>
      </c>
      <c r="DM215">
        <v>5.2488000000000001</v>
      </c>
      <c r="DN215">
        <v>12.033899999999999</v>
      </c>
      <c r="DO215">
        <v>4.9657600000000004</v>
      </c>
      <c r="DP215">
        <v>3.2909999999999999</v>
      </c>
      <c r="DQ215">
        <v>9999</v>
      </c>
      <c r="DR215">
        <v>9999</v>
      </c>
      <c r="DS215">
        <v>9999</v>
      </c>
      <c r="DT215">
        <v>605</v>
      </c>
      <c r="DU215">
        <v>1.8711899999999999</v>
      </c>
      <c r="DV215">
        <v>1.8762099999999999</v>
      </c>
      <c r="DW215">
        <v>1.8763700000000001</v>
      </c>
      <c r="DX215">
        <v>1.8828800000000001</v>
      </c>
      <c r="DY215">
        <v>1.87561</v>
      </c>
      <c r="DZ215">
        <v>1.87469</v>
      </c>
      <c r="EA215">
        <v>1.87086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-0.90500000000000003</v>
      </c>
      <c r="EQ215">
        <v>0.10970000000000001</v>
      </c>
      <c r="ER215">
        <v>-0.90418181818176901</v>
      </c>
      <c r="ES215">
        <v>0</v>
      </c>
      <c r="ET215">
        <v>0</v>
      </c>
      <c r="EU215">
        <v>0</v>
      </c>
      <c r="EV215">
        <v>0.10966999999999801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3.6</v>
      </c>
      <c r="FE215">
        <v>3.3</v>
      </c>
      <c r="FF215">
        <v>2.1447799999999999</v>
      </c>
      <c r="FG215">
        <v>2.5756800000000002</v>
      </c>
      <c r="FH215">
        <v>2.19604</v>
      </c>
      <c r="FI215">
        <v>2.5793499999999998</v>
      </c>
      <c r="FJ215">
        <v>2.4462899999999999</v>
      </c>
      <c r="FK215">
        <v>2.3095699999999999</v>
      </c>
      <c r="FL215">
        <v>31.564299999999999</v>
      </c>
      <c r="FM215">
        <v>24.148800000000001</v>
      </c>
      <c r="FN215">
        <v>19</v>
      </c>
      <c r="FO215">
        <v>864.85500000000002</v>
      </c>
      <c r="FP215">
        <v>585.38900000000001</v>
      </c>
      <c r="FQ215">
        <v>17.898</v>
      </c>
      <c r="FR215">
        <v>25.403199999999998</v>
      </c>
      <c r="FS215">
        <v>30.0002</v>
      </c>
      <c r="FT215">
        <v>25.3779</v>
      </c>
      <c r="FU215">
        <v>25.379300000000001</v>
      </c>
      <c r="FV215">
        <v>43.036299999999997</v>
      </c>
      <c r="FW215">
        <v>27.0184</v>
      </c>
      <c r="FX215">
        <v>39.043199999999999</v>
      </c>
      <c r="FY215">
        <v>17.892600000000002</v>
      </c>
      <c r="FZ215">
        <v>800</v>
      </c>
      <c r="GA215">
        <v>14.3186</v>
      </c>
      <c r="GB215">
        <v>99.883200000000002</v>
      </c>
      <c r="GC215">
        <v>99.740700000000004</v>
      </c>
    </row>
    <row r="216" spans="1:185" x14ac:dyDescent="0.2">
      <c r="A216">
        <v>201</v>
      </c>
      <c r="B216">
        <v>1771089401.0999999</v>
      </c>
      <c r="C216">
        <v>4081.0999999046298</v>
      </c>
      <c r="D216" t="s">
        <v>702</v>
      </c>
      <c r="E216" t="s">
        <v>703</v>
      </c>
      <c r="F216">
        <v>15</v>
      </c>
      <c r="G216">
        <v>1771089393.03333</v>
      </c>
      <c r="H216">
        <f t="shared" si="39"/>
        <v>8.7057508111637453E-4</v>
      </c>
      <c r="I216">
        <v>0</v>
      </c>
      <c r="J216">
        <f t="shared" si="51"/>
        <v>9.6691787870268279E-3</v>
      </c>
      <c r="K216">
        <f t="shared" si="40"/>
        <v>0.26209213293903327</v>
      </c>
      <c r="L216">
        <f t="shared" si="41"/>
        <v>69.759442878618287</v>
      </c>
      <c r="M216">
        <f t="shared" si="42"/>
        <v>1.5385789027413654</v>
      </c>
      <c r="N216">
        <f t="shared" si="43"/>
        <v>2.2055492980620541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26191.431736078848</v>
      </c>
      <c r="T216">
        <f t="shared" si="47"/>
        <v>800.00026666666702</v>
      </c>
      <c r="U216">
        <f t="shared" si="48"/>
        <v>674.4006936001565</v>
      </c>
      <c r="V216">
        <f t="shared" si="49"/>
        <v>0.84300058599999994</v>
      </c>
      <c r="W216">
        <f t="shared" si="50"/>
        <v>0.15870146499999999</v>
      </c>
      <c r="X216">
        <v>1</v>
      </c>
      <c r="Y216">
        <v>1771089393.03333</v>
      </c>
      <c r="Z216">
        <v>798.79526666666698</v>
      </c>
      <c r="AA216">
        <v>799.99213333333296</v>
      </c>
      <c r="AB216">
        <v>15.38992</v>
      </c>
      <c r="AC216">
        <v>14.31846</v>
      </c>
      <c r="AD216">
        <v>799.69939999999997</v>
      </c>
      <c r="AE216">
        <v>15.280246666666701</v>
      </c>
      <c r="AF216">
        <v>800.00840000000005</v>
      </c>
      <c r="AG216">
        <v>99.90898</v>
      </c>
      <c r="AH216">
        <v>6.4177933333333395E-2</v>
      </c>
      <c r="AI216">
        <v>19.002680000000002</v>
      </c>
      <c r="AJ216">
        <v>999.9</v>
      </c>
      <c r="AK216">
        <v>999.9</v>
      </c>
      <c r="AL216">
        <v>0</v>
      </c>
      <c r="AM216">
        <v>0</v>
      </c>
      <c r="AN216">
        <v>4998.8999999999996</v>
      </c>
      <c r="AO216">
        <v>0</v>
      </c>
      <c r="AP216">
        <v>2.2583899999999999</v>
      </c>
      <c r="AQ216">
        <v>-1.1970466666666699</v>
      </c>
      <c r="AR216">
        <v>811.28073333333305</v>
      </c>
      <c r="AS216">
        <v>811.613333333333</v>
      </c>
      <c r="AT216">
        <v>1.0714520000000001</v>
      </c>
      <c r="AU216">
        <v>799.99213333333296</v>
      </c>
      <c r="AV216">
        <v>14.31846</v>
      </c>
      <c r="AW216">
        <v>1.53759133333333</v>
      </c>
      <c r="AX216">
        <v>1.4305433333333299</v>
      </c>
      <c r="AY216">
        <v>13.347186666666699</v>
      </c>
      <c r="AZ216">
        <v>12.245333333333299</v>
      </c>
      <c r="BA216">
        <v>800.00026666666702</v>
      </c>
      <c r="BB216">
        <v>0.89998046666666698</v>
      </c>
      <c r="BC216">
        <v>0</v>
      </c>
      <c r="BD216">
        <v>0.10001953333333299</v>
      </c>
      <c r="BE216">
        <v>0</v>
      </c>
      <c r="BF216">
        <v>26</v>
      </c>
      <c r="BG216">
        <v>13190.96</v>
      </c>
      <c r="BH216">
        <v>1771089189.0999999</v>
      </c>
      <c r="BI216" t="s">
        <v>673</v>
      </c>
      <c r="BJ216">
        <v>1771089167.0999999</v>
      </c>
      <c r="BK216">
        <v>1771089189.0999999</v>
      </c>
      <c r="BL216">
        <v>8</v>
      </c>
      <c r="BM216">
        <v>-2.4E-2</v>
      </c>
      <c r="BN216">
        <v>1.4999999999999999E-2</v>
      </c>
      <c r="BO216">
        <v>-0.90400000000000003</v>
      </c>
      <c r="BP216">
        <v>0.11</v>
      </c>
      <c r="BQ216">
        <v>800</v>
      </c>
      <c r="BR216">
        <v>15</v>
      </c>
      <c r="BS216">
        <v>0.32</v>
      </c>
      <c r="BT216">
        <v>0.08</v>
      </c>
      <c r="BU216">
        <v>-1.1984490476190499</v>
      </c>
      <c r="BV216">
        <v>-6.0537662337645003E-3</v>
      </c>
      <c r="BW216">
        <v>2.0343852448007599E-2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1.0700871428571399</v>
      </c>
      <c r="CD216">
        <v>2.6111688311689502E-2</v>
      </c>
      <c r="CE216">
        <v>2.7907297950743302E-3</v>
      </c>
      <c r="CF216">
        <v>1</v>
      </c>
      <c r="CG216">
        <v>2</v>
      </c>
      <c r="CH216">
        <v>2</v>
      </c>
      <c r="CI216" t="s">
        <v>310</v>
      </c>
      <c r="CJ216">
        <v>3.5324900000000001</v>
      </c>
      <c r="CK216">
        <v>2.7021999999999999</v>
      </c>
      <c r="CL216">
        <v>0.157031</v>
      </c>
      <c r="CM216">
        <v>0.15490399999999999</v>
      </c>
      <c r="CN216">
        <v>8.6888300000000002E-2</v>
      </c>
      <c r="CO216">
        <v>8.1550300000000006E-2</v>
      </c>
      <c r="CP216">
        <v>29563.599999999999</v>
      </c>
      <c r="CQ216">
        <v>26026.1</v>
      </c>
      <c r="CR216">
        <v>32458.2</v>
      </c>
      <c r="CS216">
        <v>30722.2</v>
      </c>
      <c r="CT216">
        <v>40136</v>
      </c>
      <c r="CU216">
        <v>39685.599999999999</v>
      </c>
      <c r="CV216">
        <v>47400.3</v>
      </c>
      <c r="CW216">
        <v>46853</v>
      </c>
      <c r="CX216">
        <v>2.62446</v>
      </c>
      <c r="CY216">
        <v>2.1432799999999999</v>
      </c>
      <c r="CZ216">
        <v>0</v>
      </c>
      <c r="DA216">
        <v>0</v>
      </c>
      <c r="DB216">
        <v>999.9</v>
      </c>
      <c r="DC216">
        <v>999.9</v>
      </c>
      <c r="DD216">
        <v>53.058</v>
      </c>
      <c r="DE216">
        <v>26.637</v>
      </c>
      <c r="DF216">
        <v>18.605499999999999</v>
      </c>
      <c r="DG216">
        <v>30.152000000000001</v>
      </c>
      <c r="DH216">
        <v>15.472799999999999</v>
      </c>
      <c r="DI216">
        <v>2</v>
      </c>
      <c r="DJ216">
        <v>-0.12797800000000001</v>
      </c>
      <c r="DK216">
        <v>2.5091299999999999</v>
      </c>
      <c r="DL216">
        <v>20.191600000000001</v>
      </c>
      <c r="DM216">
        <v>5.2492799999999997</v>
      </c>
      <c r="DN216">
        <v>12.033899999999999</v>
      </c>
      <c r="DO216">
        <v>4.96584</v>
      </c>
      <c r="DP216">
        <v>3.2909999999999999</v>
      </c>
      <c r="DQ216">
        <v>9999</v>
      </c>
      <c r="DR216">
        <v>9999</v>
      </c>
      <c r="DS216">
        <v>9999</v>
      </c>
      <c r="DT216">
        <v>605</v>
      </c>
      <c r="DU216">
        <v>1.87117</v>
      </c>
      <c r="DV216">
        <v>1.8762000000000001</v>
      </c>
      <c r="DW216">
        <v>1.8763700000000001</v>
      </c>
      <c r="DX216">
        <v>1.88286</v>
      </c>
      <c r="DY216">
        <v>1.8756200000000001</v>
      </c>
      <c r="DZ216">
        <v>1.8746799999999999</v>
      </c>
      <c r="EA216">
        <v>1.8708100000000001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-0.90400000000000003</v>
      </c>
      <c r="EQ216">
        <v>0.1096</v>
      </c>
      <c r="ER216">
        <v>-0.90418181818176901</v>
      </c>
      <c r="ES216">
        <v>0</v>
      </c>
      <c r="ET216">
        <v>0</v>
      </c>
      <c r="EU216">
        <v>0</v>
      </c>
      <c r="EV216">
        <v>0.10966999999999801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3.9</v>
      </c>
      <c r="FE216">
        <v>3.5</v>
      </c>
      <c r="FF216">
        <v>2.1447799999999999</v>
      </c>
      <c r="FG216">
        <v>2.5842299999999998</v>
      </c>
      <c r="FH216">
        <v>2.19604</v>
      </c>
      <c r="FI216">
        <v>2.5793499999999998</v>
      </c>
      <c r="FJ216">
        <v>2.4462899999999999</v>
      </c>
      <c r="FK216">
        <v>2.2778299999999998</v>
      </c>
      <c r="FL216">
        <v>31.586099999999998</v>
      </c>
      <c r="FM216">
        <v>24.14</v>
      </c>
      <c r="FN216">
        <v>19</v>
      </c>
      <c r="FO216">
        <v>864.92399999999998</v>
      </c>
      <c r="FP216">
        <v>585.15499999999997</v>
      </c>
      <c r="FQ216">
        <v>17.887799999999999</v>
      </c>
      <c r="FR216">
        <v>25.406700000000001</v>
      </c>
      <c r="FS216">
        <v>30</v>
      </c>
      <c r="FT216">
        <v>25.382200000000001</v>
      </c>
      <c r="FU216">
        <v>25.383299999999998</v>
      </c>
      <c r="FV216">
        <v>43.034700000000001</v>
      </c>
      <c r="FW216">
        <v>27.0184</v>
      </c>
      <c r="FX216">
        <v>39.043199999999999</v>
      </c>
      <c r="FY216">
        <v>17.884699999999999</v>
      </c>
      <c r="FZ216">
        <v>800</v>
      </c>
      <c r="GA216">
        <v>14.3186</v>
      </c>
      <c r="GB216">
        <v>99.881100000000004</v>
      </c>
      <c r="GC216">
        <v>99.739500000000007</v>
      </c>
    </row>
    <row r="217" spans="1:185" x14ac:dyDescent="0.2">
      <c r="A217">
        <v>202</v>
      </c>
      <c r="B217">
        <v>1771089416.0999999</v>
      </c>
      <c r="C217">
        <v>4096.0999999046298</v>
      </c>
      <c r="D217" t="s">
        <v>704</v>
      </c>
      <c r="E217" t="s">
        <v>705</v>
      </c>
      <c r="F217">
        <v>15</v>
      </c>
      <c r="G217">
        <v>1771089408.03333</v>
      </c>
      <c r="H217">
        <f t="shared" si="39"/>
        <v>8.8253005240849754E-4</v>
      </c>
      <c r="I217">
        <v>0</v>
      </c>
      <c r="J217">
        <f t="shared" si="51"/>
        <v>8.8099846886594037E-3</v>
      </c>
      <c r="K217">
        <f t="shared" si="40"/>
        <v>0.23880287344660528</v>
      </c>
      <c r="L217">
        <f t="shared" si="41"/>
        <v>69.792378326261129</v>
      </c>
      <c r="M217">
        <f t="shared" si="42"/>
        <v>1.5392066965725737</v>
      </c>
      <c r="N217">
        <f t="shared" si="43"/>
        <v>2.2054080022566143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26186.021981397225</v>
      </c>
      <c r="T217">
        <f t="shared" si="47"/>
        <v>799.99953333333303</v>
      </c>
      <c r="U217">
        <f t="shared" si="48"/>
        <v>674.40008339972155</v>
      </c>
      <c r="V217">
        <f t="shared" si="49"/>
        <v>0.84300059599999999</v>
      </c>
      <c r="W217">
        <f t="shared" si="50"/>
        <v>0.15870149000000003</v>
      </c>
      <c r="X217">
        <v>1</v>
      </c>
      <c r="Y217">
        <v>1771089408.03333</v>
      </c>
      <c r="Z217">
        <v>798.83893333333299</v>
      </c>
      <c r="AA217">
        <v>800.01866666666695</v>
      </c>
      <c r="AB217">
        <v>15.396319999999999</v>
      </c>
      <c r="AC217">
        <v>14.31016</v>
      </c>
      <c r="AD217">
        <v>799.74313333333305</v>
      </c>
      <c r="AE217">
        <v>15.286633333333301</v>
      </c>
      <c r="AF217">
        <v>800.01319999999998</v>
      </c>
      <c r="AG217">
        <v>99.908019999999993</v>
      </c>
      <c r="AH217">
        <v>6.43562933333333E-2</v>
      </c>
      <c r="AI217">
        <v>19.001653333333302</v>
      </c>
      <c r="AJ217">
        <v>999.9</v>
      </c>
      <c r="AK217">
        <v>999.9</v>
      </c>
      <c r="AL217">
        <v>0</v>
      </c>
      <c r="AM217">
        <v>0</v>
      </c>
      <c r="AN217">
        <v>4998.0333333333301</v>
      </c>
      <c r="AO217">
        <v>0</v>
      </c>
      <c r="AP217">
        <v>2.2583899999999999</v>
      </c>
      <c r="AQ217">
        <v>-1.17966666666667</v>
      </c>
      <c r="AR217">
        <v>811.33053333333305</v>
      </c>
      <c r="AS217">
        <v>811.63313333333303</v>
      </c>
      <c r="AT217">
        <v>1.08615333333333</v>
      </c>
      <c r="AU217">
        <v>800.01866666666695</v>
      </c>
      <c r="AV217">
        <v>14.31016</v>
      </c>
      <c r="AW217">
        <v>1.538214</v>
      </c>
      <c r="AX217">
        <v>1.4297006666666701</v>
      </c>
      <c r="AY217">
        <v>13.35342</v>
      </c>
      <c r="AZ217">
        <v>12.2363466666667</v>
      </c>
      <c r="BA217">
        <v>799.99953333333303</v>
      </c>
      <c r="BB217">
        <v>0.89998013333333304</v>
      </c>
      <c r="BC217">
        <v>0</v>
      </c>
      <c r="BD217">
        <v>0.100019866666667</v>
      </c>
      <c r="BE217">
        <v>0</v>
      </c>
      <c r="BF217">
        <v>26</v>
      </c>
      <c r="BG217">
        <v>13190.926666666701</v>
      </c>
      <c r="BH217">
        <v>1771089189.0999999</v>
      </c>
      <c r="BI217" t="s">
        <v>673</v>
      </c>
      <c r="BJ217">
        <v>1771089167.0999999</v>
      </c>
      <c r="BK217">
        <v>1771089189.0999999</v>
      </c>
      <c r="BL217">
        <v>8</v>
      </c>
      <c r="BM217">
        <v>-2.4E-2</v>
      </c>
      <c r="BN217">
        <v>1.4999999999999999E-2</v>
      </c>
      <c r="BO217">
        <v>-0.90400000000000003</v>
      </c>
      <c r="BP217">
        <v>0.11</v>
      </c>
      <c r="BQ217">
        <v>800</v>
      </c>
      <c r="BR217">
        <v>15</v>
      </c>
      <c r="BS217">
        <v>0.32</v>
      </c>
      <c r="BT217">
        <v>0.08</v>
      </c>
      <c r="BU217">
        <v>-1.1883055</v>
      </c>
      <c r="BV217">
        <v>2.09187969924963E-3</v>
      </c>
      <c r="BW217">
        <v>4.6874339619348199E-2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1.0829545</v>
      </c>
      <c r="CD217">
        <v>9.5935488721806197E-2</v>
      </c>
      <c r="CE217">
        <v>9.9850165122547206E-3</v>
      </c>
      <c r="CF217">
        <v>1</v>
      </c>
      <c r="CG217">
        <v>2</v>
      </c>
      <c r="CH217">
        <v>2</v>
      </c>
      <c r="CI217" t="s">
        <v>310</v>
      </c>
      <c r="CJ217">
        <v>3.5325199999999999</v>
      </c>
      <c r="CK217">
        <v>2.7023700000000002</v>
      </c>
      <c r="CL217">
        <v>0.15703</v>
      </c>
      <c r="CM217">
        <v>0.15489800000000001</v>
      </c>
      <c r="CN217">
        <v>8.6875999999999995E-2</v>
      </c>
      <c r="CO217">
        <v>8.1462900000000005E-2</v>
      </c>
      <c r="CP217">
        <v>29564.1</v>
      </c>
      <c r="CQ217">
        <v>26026</v>
      </c>
      <c r="CR217">
        <v>32458.7</v>
      </c>
      <c r="CS217">
        <v>30721.9</v>
      </c>
      <c r="CT217">
        <v>40137.5</v>
      </c>
      <c r="CU217">
        <v>39689</v>
      </c>
      <c r="CV217">
        <v>47401.3</v>
      </c>
      <c r="CW217">
        <v>46852.4</v>
      </c>
      <c r="CX217">
        <v>2.62412</v>
      </c>
      <c r="CY217">
        <v>2.14324</v>
      </c>
      <c r="CZ217">
        <v>0</v>
      </c>
      <c r="DA217">
        <v>0</v>
      </c>
      <c r="DB217">
        <v>999.9</v>
      </c>
      <c r="DC217">
        <v>999.9</v>
      </c>
      <c r="DD217">
        <v>52.984999999999999</v>
      </c>
      <c r="DE217">
        <v>26.657</v>
      </c>
      <c r="DF217">
        <v>18.601500000000001</v>
      </c>
      <c r="DG217">
        <v>30.122</v>
      </c>
      <c r="DH217">
        <v>15.3606</v>
      </c>
      <c r="DI217">
        <v>2</v>
      </c>
      <c r="DJ217">
        <v>-0.12778900000000001</v>
      </c>
      <c r="DK217">
        <v>2.50197</v>
      </c>
      <c r="DL217">
        <v>20.191700000000001</v>
      </c>
      <c r="DM217">
        <v>5.2496400000000003</v>
      </c>
      <c r="DN217">
        <v>12.033899999999999</v>
      </c>
      <c r="DO217">
        <v>4.9659199999999997</v>
      </c>
      <c r="DP217">
        <v>3.2909999999999999</v>
      </c>
      <c r="DQ217">
        <v>9999</v>
      </c>
      <c r="DR217">
        <v>9999</v>
      </c>
      <c r="DS217">
        <v>9999</v>
      </c>
      <c r="DT217">
        <v>605</v>
      </c>
      <c r="DU217">
        <v>1.87114</v>
      </c>
      <c r="DV217">
        <v>1.87618</v>
      </c>
      <c r="DW217">
        <v>1.8763700000000001</v>
      </c>
      <c r="DX217">
        <v>1.88283</v>
      </c>
      <c r="DY217">
        <v>1.87561</v>
      </c>
      <c r="DZ217">
        <v>1.8746799999999999</v>
      </c>
      <c r="EA217">
        <v>1.8708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-0.90400000000000003</v>
      </c>
      <c r="EQ217">
        <v>0.1096</v>
      </c>
      <c r="ER217">
        <v>-0.90418181818176901</v>
      </c>
      <c r="ES217">
        <v>0</v>
      </c>
      <c r="ET217">
        <v>0</v>
      </c>
      <c r="EU217">
        <v>0</v>
      </c>
      <c r="EV217">
        <v>0.10966999999999801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4.2</v>
      </c>
      <c r="FE217">
        <v>3.8</v>
      </c>
      <c r="FF217">
        <v>2.1447799999999999</v>
      </c>
      <c r="FG217">
        <v>2.5842299999999998</v>
      </c>
      <c r="FH217">
        <v>2.19604</v>
      </c>
      <c r="FI217">
        <v>2.5781200000000002</v>
      </c>
      <c r="FJ217">
        <v>2.4462899999999999</v>
      </c>
      <c r="FK217">
        <v>2.2753899999999998</v>
      </c>
      <c r="FL217">
        <v>31.564299999999999</v>
      </c>
      <c r="FM217">
        <v>24.14</v>
      </c>
      <c r="FN217">
        <v>19</v>
      </c>
      <c r="FO217">
        <v>864.654</v>
      </c>
      <c r="FP217">
        <v>585.15099999999995</v>
      </c>
      <c r="FQ217">
        <v>17.880700000000001</v>
      </c>
      <c r="FR217">
        <v>25.411000000000001</v>
      </c>
      <c r="FS217">
        <v>30.0001</v>
      </c>
      <c r="FT217">
        <v>25.385100000000001</v>
      </c>
      <c r="FU217">
        <v>25.3857</v>
      </c>
      <c r="FV217">
        <v>43.034999999999997</v>
      </c>
      <c r="FW217">
        <v>27.0184</v>
      </c>
      <c r="FX217">
        <v>38.668999999999997</v>
      </c>
      <c r="FY217">
        <v>17.880199999999999</v>
      </c>
      <c r="FZ217">
        <v>800</v>
      </c>
      <c r="GA217">
        <v>14.3186</v>
      </c>
      <c r="GB217">
        <v>99.882999999999996</v>
      </c>
      <c r="GC217">
        <v>99.738399999999999</v>
      </c>
    </row>
    <row r="218" spans="1:185" x14ac:dyDescent="0.2">
      <c r="A218">
        <v>203</v>
      </c>
      <c r="B218">
        <v>1771089431.0999999</v>
      </c>
      <c r="C218">
        <v>4111.0999999046298</v>
      </c>
      <c r="D218" t="s">
        <v>706</v>
      </c>
      <c r="E218" t="s">
        <v>707</v>
      </c>
      <c r="F218">
        <v>15</v>
      </c>
      <c r="G218">
        <v>1771089423.03333</v>
      </c>
      <c r="H218">
        <f t="shared" si="39"/>
        <v>8.8250269195704197E-4</v>
      </c>
      <c r="I218">
        <v>0</v>
      </c>
      <c r="J218">
        <f t="shared" si="51"/>
        <v>7.96278009133051E-3</v>
      </c>
      <c r="K218">
        <f t="shared" si="40"/>
        <v>0.21583860059154092</v>
      </c>
      <c r="L218">
        <f t="shared" si="41"/>
        <v>69.771448465568994</v>
      </c>
      <c r="M218">
        <f t="shared" si="42"/>
        <v>1.538373866565846</v>
      </c>
      <c r="N218">
        <f t="shared" si="43"/>
        <v>2.2048759204490458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26192.874253614107</v>
      </c>
      <c r="T218">
        <f t="shared" si="47"/>
        <v>800.00006666666695</v>
      </c>
      <c r="U218">
        <f t="shared" si="48"/>
        <v>674.40049140003646</v>
      </c>
      <c r="V218">
        <f t="shared" si="49"/>
        <v>0.84300054399999991</v>
      </c>
      <c r="W218">
        <f t="shared" si="50"/>
        <v>0.15870135999999999</v>
      </c>
      <c r="X218">
        <v>1</v>
      </c>
      <c r="Y218">
        <v>1771089423.03333</v>
      </c>
      <c r="Z218">
        <v>798.82719999999995</v>
      </c>
      <c r="AA218">
        <v>799.97820000000002</v>
      </c>
      <c r="AB218">
        <v>15.387973333333299</v>
      </c>
      <c r="AC218">
        <v>14.301826666666701</v>
      </c>
      <c r="AD218">
        <v>799.73140000000001</v>
      </c>
      <c r="AE218">
        <v>15.2783</v>
      </c>
      <c r="AF218">
        <v>800.005</v>
      </c>
      <c r="AG218">
        <v>99.908186666666694</v>
      </c>
      <c r="AH218">
        <v>6.4294000000000004E-2</v>
      </c>
      <c r="AI218">
        <v>18.997786666666698</v>
      </c>
      <c r="AJ218">
        <v>999.9</v>
      </c>
      <c r="AK218">
        <v>999.9</v>
      </c>
      <c r="AL218">
        <v>0</v>
      </c>
      <c r="AM218">
        <v>0</v>
      </c>
      <c r="AN218">
        <v>4999.1000000000004</v>
      </c>
      <c r="AO218">
        <v>0</v>
      </c>
      <c r="AP218">
        <v>2.2583899999999999</v>
      </c>
      <c r="AQ218">
        <v>-1.1511026666666699</v>
      </c>
      <c r="AR218">
        <v>811.31166666666604</v>
      </c>
      <c r="AS218">
        <v>811.58533333333298</v>
      </c>
      <c r="AT218">
        <v>1.0861460000000001</v>
      </c>
      <c r="AU218">
        <v>799.97820000000002</v>
      </c>
      <c r="AV218">
        <v>14.301826666666701</v>
      </c>
      <c r="AW218">
        <v>1.53738466666667</v>
      </c>
      <c r="AX218">
        <v>1.42886933333333</v>
      </c>
      <c r="AY218">
        <v>13.345133333333299</v>
      </c>
      <c r="AZ218">
        <v>12.22752</v>
      </c>
      <c r="BA218">
        <v>800.00006666666695</v>
      </c>
      <c r="BB218">
        <v>0.89998186666666702</v>
      </c>
      <c r="BC218">
        <v>0</v>
      </c>
      <c r="BD218">
        <v>0.100018133333333</v>
      </c>
      <c r="BE218">
        <v>0</v>
      </c>
      <c r="BF218">
        <v>26</v>
      </c>
      <c r="BG218">
        <v>13190.9533333333</v>
      </c>
      <c r="BH218">
        <v>1771089189.0999999</v>
      </c>
      <c r="BI218" t="s">
        <v>673</v>
      </c>
      <c r="BJ218">
        <v>1771089167.0999999</v>
      </c>
      <c r="BK218">
        <v>1771089189.0999999</v>
      </c>
      <c r="BL218">
        <v>8</v>
      </c>
      <c r="BM218">
        <v>-2.4E-2</v>
      </c>
      <c r="BN218">
        <v>1.4999999999999999E-2</v>
      </c>
      <c r="BO218">
        <v>-0.90400000000000003</v>
      </c>
      <c r="BP218">
        <v>0.11</v>
      </c>
      <c r="BQ218">
        <v>800</v>
      </c>
      <c r="BR218">
        <v>15</v>
      </c>
      <c r="BS218">
        <v>0.32</v>
      </c>
      <c r="BT218">
        <v>0.08</v>
      </c>
      <c r="BU218">
        <v>-1.1641090476190501</v>
      </c>
      <c r="BV218">
        <v>0.13740623376623201</v>
      </c>
      <c r="BW218">
        <v>3.9394912036087401E-2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1.08901</v>
      </c>
      <c r="CD218">
        <v>-5.2840519480519897E-2</v>
      </c>
      <c r="CE218">
        <v>5.4892535705599E-3</v>
      </c>
      <c r="CF218">
        <v>1</v>
      </c>
      <c r="CG218">
        <v>2</v>
      </c>
      <c r="CH218">
        <v>2</v>
      </c>
      <c r="CI218" t="s">
        <v>310</v>
      </c>
      <c r="CJ218">
        <v>3.5326</v>
      </c>
      <c r="CK218">
        <v>2.70207</v>
      </c>
      <c r="CL218">
        <v>0.15703</v>
      </c>
      <c r="CM218">
        <v>0.15489700000000001</v>
      </c>
      <c r="CN218">
        <v>8.6839100000000002E-2</v>
      </c>
      <c r="CO218">
        <v>8.1474599999999994E-2</v>
      </c>
      <c r="CP218">
        <v>29564.1</v>
      </c>
      <c r="CQ218">
        <v>26026.3</v>
      </c>
      <c r="CR218">
        <v>32458.799999999999</v>
      </c>
      <c r="CS218">
        <v>30722.3</v>
      </c>
      <c r="CT218">
        <v>40139.199999999997</v>
      </c>
      <c r="CU218">
        <v>39689.1</v>
      </c>
      <c r="CV218">
        <v>47401.4</v>
      </c>
      <c r="CW218">
        <v>46853.1</v>
      </c>
      <c r="CX218">
        <v>2.6241599999999998</v>
      </c>
      <c r="CY218">
        <v>2.14296</v>
      </c>
      <c r="CZ218">
        <v>0</v>
      </c>
      <c r="DA218">
        <v>0</v>
      </c>
      <c r="DB218">
        <v>999.9</v>
      </c>
      <c r="DC218">
        <v>999.9</v>
      </c>
      <c r="DD218">
        <v>52.936</v>
      </c>
      <c r="DE218">
        <v>26.657</v>
      </c>
      <c r="DF218">
        <v>18.585799999999999</v>
      </c>
      <c r="DG218">
        <v>29.972000000000001</v>
      </c>
      <c r="DH218">
        <v>15.3325</v>
      </c>
      <c r="DI218">
        <v>2</v>
      </c>
      <c r="DJ218">
        <v>-0.12782499999999999</v>
      </c>
      <c r="DK218">
        <v>2.43458</v>
      </c>
      <c r="DL218">
        <v>20.192799999999998</v>
      </c>
      <c r="DM218">
        <v>5.2483199999999997</v>
      </c>
      <c r="DN218">
        <v>12.033899999999999</v>
      </c>
      <c r="DO218">
        <v>4.96624</v>
      </c>
      <c r="DP218">
        <v>3.2909999999999999</v>
      </c>
      <c r="DQ218">
        <v>9999</v>
      </c>
      <c r="DR218">
        <v>9999</v>
      </c>
      <c r="DS218">
        <v>9999</v>
      </c>
      <c r="DT218">
        <v>605</v>
      </c>
      <c r="DU218">
        <v>1.87114</v>
      </c>
      <c r="DV218">
        <v>1.87618</v>
      </c>
      <c r="DW218">
        <v>1.8763700000000001</v>
      </c>
      <c r="DX218">
        <v>1.88287</v>
      </c>
      <c r="DY218">
        <v>1.87561</v>
      </c>
      <c r="DZ218">
        <v>1.87466</v>
      </c>
      <c r="EA218">
        <v>1.8708100000000001</v>
      </c>
      <c r="EB218">
        <v>1.8746799999999999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-0.90400000000000003</v>
      </c>
      <c r="EQ218">
        <v>0.10970000000000001</v>
      </c>
      <c r="ER218">
        <v>-0.90418181818176901</v>
      </c>
      <c r="ES218">
        <v>0</v>
      </c>
      <c r="ET218">
        <v>0</v>
      </c>
      <c r="EU218">
        <v>0</v>
      </c>
      <c r="EV218">
        <v>0.10966999999999801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4.4000000000000004</v>
      </c>
      <c r="FE218">
        <v>4</v>
      </c>
      <c r="FF218">
        <v>2.1447799999999999</v>
      </c>
      <c r="FG218">
        <v>2.5756800000000002</v>
      </c>
      <c r="FH218">
        <v>2.19604</v>
      </c>
      <c r="FI218">
        <v>2.5781200000000002</v>
      </c>
      <c r="FJ218">
        <v>2.4462899999999999</v>
      </c>
      <c r="FK218">
        <v>2.2875999999999999</v>
      </c>
      <c r="FL218">
        <v>31.586099999999998</v>
      </c>
      <c r="FM218">
        <v>24.148800000000001</v>
      </c>
      <c r="FN218">
        <v>19</v>
      </c>
      <c r="FO218">
        <v>864.74800000000005</v>
      </c>
      <c r="FP218">
        <v>584.97900000000004</v>
      </c>
      <c r="FQ218">
        <v>17.9023</v>
      </c>
      <c r="FR218">
        <v>25.4131</v>
      </c>
      <c r="FS218">
        <v>30.0001</v>
      </c>
      <c r="FT218">
        <v>25.3886</v>
      </c>
      <c r="FU218">
        <v>25.389700000000001</v>
      </c>
      <c r="FV218">
        <v>43.036700000000003</v>
      </c>
      <c r="FW218">
        <v>27.0184</v>
      </c>
      <c r="FX218">
        <v>38.668999999999997</v>
      </c>
      <c r="FY218">
        <v>17.906700000000001</v>
      </c>
      <c r="FZ218">
        <v>800</v>
      </c>
      <c r="GA218">
        <v>14.3186</v>
      </c>
      <c r="GB218">
        <v>99.883200000000002</v>
      </c>
      <c r="GC218">
        <v>99.739800000000002</v>
      </c>
    </row>
    <row r="219" spans="1:185" x14ac:dyDescent="0.2">
      <c r="A219">
        <v>204</v>
      </c>
      <c r="B219">
        <v>1771089446.0999999</v>
      </c>
      <c r="C219">
        <v>4126.0999999046298</v>
      </c>
      <c r="D219" t="s">
        <v>708</v>
      </c>
      <c r="E219" t="s">
        <v>709</v>
      </c>
      <c r="F219">
        <v>15</v>
      </c>
      <c r="G219">
        <v>1771089438.03333</v>
      </c>
      <c r="H219">
        <f t="shared" si="39"/>
        <v>8.8047777317880446E-4</v>
      </c>
      <c r="I219">
        <v>0</v>
      </c>
      <c r="J219">
        <f t="shared" si="51"/>
        <v>8.104827366619648E-3</v>
      </c>
      <c r="K219">
        <f t="shared" si="40"/>
        <v>0.21968892482059119</v>
      </c>
      <c r="L219">
        <f t="shared" si="41"/>
        <v>69.786339403844892</v>
      </c>
      <c r="M219">
        <f t="shared" si="42"/>
        <v>1.5385204029622657</v>
      </c>
      <c r="N219">
        <f t="shared" si="43"/>
        <v>2.2046154248885861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26172.87668190787</v>
      </c>
      <c r="T219">
        <f t="shared" si="47"/>
        <v>800.00040000000001</v>
      </c>
      <c r="U219">
        <f t="shared" si="48"/>
        <v>674.40083480024884</v>
      </c>
      <c r="V219">
        <f t="shared" si="49"/>
        <v>0.84300062200000003</v>
      </c>
      <c r="W219">
        <f t="shared" si="50"/>
        <v>0.15870155499999999</v>
      </c>
      <c r="X219">
        <v>1</v>
      </c>
      <c r="Y219">
        <v>1771089438.03333</v>
      </c>
      <c r="Z219">
        <v>798.84119999999996</v>
      </c>
      <c r="AA219">
        <v>799.995</v>
      </c>
      <c r="AB219">
        <v>15.389659999999999</v>
      </c>
      <c r="AC219">
        <v>14.306013333333301</v>
      </c>
      <c r="AD219">
        <v>799.74526666666702</v>
      </c>
      <c r="AE219">
        <v>15.2799866666667</v>
      </c>
      <c r="AF219">
        <v>800.00940000000003</v>
      </c>
      <c r="AG219">
        <v>99.906746666666606</v>
      </c>
      <c r="AH219">
        <v>6.4299019999999998E-2</v>
      </c>
      <c r="AI219">
        <v>18.995893333333299</v>
      </c>
      <c r="AJ219">
        <v>999.9</v>
      </c>
      <c r="AK219">
        <v>999.9</v>
      </c>
      <c r="AL219">
        <v>0</v>
      </c>
      <c r="AM219">
        <v>0</v>
      </c>
      <c r="AN219">
        <v>4995.8333333333303</v>
      </c>
      <c r="AO219">
        <v>0</v>
      </c>
      <c r="AP219">
        <v>2.2583899999999999</v>
      </c>
      <c r="AQ219">
        <v>-1.1538946666666701</v>
      </c>
      <c r="AR219">
        <v>811.32726666666701</v>
      </c>
      <c r="AS219">
        <v>811.60599999999999</v>
      </c>
      <c r="AT219">
        <v>1.0836493333333299</v>
      </c>
      <c r="AU219">
        <v>799.995</v>
      </c>
      <c r="AV219">
        <v>14.306013333333301</v>
      </c>
      <c r="AW219">
        <v>1.5375306666666699</v>
      </c>
      <c r="AX219">
        <v>1.4292659999999999</v>
      </c>
      <c r="AY219">
        <v>13.346586666666701</v>
      </c>
      <c r="AZ219">
        <v>12.2317533333333</v>
      </c>
      <c r="BA219">
        <v>800.00040000000001</v>
      </c>
      <c r="BB219">
        <v>0.89997926666666705</v>
      </c>
      <c r="BC219">
        <v>0</v>
      </c>
      <c r="BD219">
        <v>0.100020733333333</v>
      </c>
      <c r="BE219">
        <v>0</v>
      </c>
      <c r="BF219">
        <v>26</v>
      </c>
      <c r="BG219">
        <v>13190.946666666699</v>
      </c>
      <c r="BH219">
        <v>1771089189.0999999</v>
      </c>
      <c r="BI219" t="s">
        <v>673</v>
      </c>
      <c r="BJ219">
        <v>1771089167.0999999</v>
      </c>
      <c r="BK219">
        <v>1771089189.0999999</v>
      </c>
      <c r="BL219">
        <v>8</v>
      </c>
      <c r="BM219">
        <v>-2.4E-2</v>
      </c>
      <c r="BN219">
        <v>1.4999999999999999E-2</v>
      </c>
      <c r="BO219">
        <v>-0.90400000000000003</v>
      </c>
      <c r="BP219">
        <v>0.11</v>
      </c>
      <c r="BQ219">
        <v>800</v>
      </c>
      <c r="BR219">
        <v>15</v>
      </c>
      <c r="BS219">
        <v>0.32</v>
      </c>
      <c r="BT219">
        <v>0.08</v>
      </c>
      <c r="BU219">
        <v>-1.1552404999999999</v>
      </c>
      <c r="BV219">
        <v>-4.14437593984976E-2</v>
      </c>
      <c r="BW219">
        <v>2.2722147890329399E-2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1.0833714999999999</v>
      </c>
      <c r="CD219">
        <v>1.5669924812031801E-2</v>
      </c>
      <c r="CE219">
        <v>2.1050232183992398E-3</v>
      </c>
      <c r="CF219">
        <v>1</v>
      </c>
      <c r="CG219">
        <v>2</v>
      </c>
      <c r="CH219">
        <v>2</v>
      </c>
      <c r="CI219" t="s">
        <v>310</v>
      </c>
      <c r="CJ219">
        <v>3.5324900000000001</v>
      </c>
      <c r="CK219">
        <v>2.70228</v>
      </c>
      <c r="CL219">
        <v>0.157027</v>
      </c>
      <c r="CM219">
        <v>0.15489800000000001</v>
      </c>
      <c r="CN219">
        <v>8.6884299999999998E-2</v>
      </c>
      <c r="CO219">
        <v>8.14941E-2</v>
      </c>
      <c r="CP219">
        <v>29564</v>
      </c>
      <c r="CQ219">
        <v>26025.9</v>
      </c>
      <c r="CR219">
        <v>32458.6</v>
      </c>
      <c r="CS219">
        <v>30721.8</v>
      </c>
      <c r="CT219">
        <v>40136.9</v>
      </c>
      <c r="CU219">
        <v>39687.9</v>
      </c>
      <c r="CV219">
        <v>47401.1</v>
      </c>
      <c r="CW219">
        <v>46852.7</v>
      </c>
      <c r="CX219">
        <v>2.6241599999999998</v>
      </c>
      <c r="CY219">
        <v>2.14276</v>
      </c>
      <c r="CZ219">
        <v>0</v>
      </c>
      <c r="DA219">
        <v>0</v>
      </c>
      <c r="DB219">
        <v>999.9</v>
      </c>
      <c r="DC219">
        <v>999.9</v>
      </c>
      <c r="DD219">
        <v>52.887</v>
      </c>
      <c r="DE219">
        <v>26.667000000000002</v>
      </c>
      <c r="DF219">
        <v>18.580100000000002</v>
      </c>
      <c r="DG219">
        <v>30.601900000000001</v>
      </c>
      <c r="DH219">
        <v>15.5008</v>
      </c>
      <c r="DI219">
        <v>2</v>
      </c>
      <c r="DJ219">
        <v>-0.127697</v>
      </c>
      <c r="DK219">
        <v>2.4424600000000001</v>
      </c>
      <c r="DL219">
        <v>20.192599999999999</v>
      </c>
      <c r="DM219">
        <v>5.2477200000000002</v>
      </c>
      <c r="DN219">
        <v>12.033899999999999</v>
      </c>
      <c r="DO219">
        <v>4.9661600000000004</v>
      </c>
      <c r="DP219">
        <v>3.2909999999999999</v>
      </c>
      <c r="DQ219">
        <v>9999</v>
      </c>
      <c r="DR219">
        <v>9999</v>
      </c>
      <c r="DS219">
        <v>9999</v>
      </c>
      <c r="DT219">
        <v>605</v>
      </c>
      <c r="DU219">
        <v>1.8711599999999999</v>
      </c>
      <c r="DV219">
        <v>1.8762099999999999</v>
      </c>
      <c r="DW219">
        <v>1.8763700000000001</v>
      </c>
      <c r="DX219">
        <v>1.8828800000000001</v>
      </c>
      <c r="DY219">
        <v>1.8756200000000001</v>
      </c>
      <c r="DZ219">
        <v>1.87469</v>
      </c>
      <c r="EA219">
        <v>1.8708400000000001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-0.90400000000000003</v>
      </c>
      <c r="EQ219">
        <v>0.10970000000000001</v>
      </c>
      <c r="ER219">
        <v>-0.90418181818176901</v>
      </c>
      <c r="ES219">
        <v>0</v>
      </c>
      <c r="ET219">
        <v>0</v>
      </c>
      <c r="EU219">
        <v>0</v>
      </c>
      <c r="EV219">
        <v>0.10966999999999801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4.7</v>
      </c>
      <c r="FE219">
        <v>4.3</v>
      </c>
      <c r="FF219">
        <v>2.1447799999999999</v>
      </c>
      <c r="FG219">
        <v>2.5878899999999998</v>
      </c>
      <c r="FH219">
        <v>2.19604</v>
      </c>
      <c r="FI219">
        <v>2.5793499999999998</v>
      </c>
      <c r="FJ219">
        <v>2.4462899999999999</v>
      </c>
      <c r="FK219">
        <v>2.3132299999999999</v>
      </c>
      <c r="FL219">
        <v>31.586099999999998</v>
      </c>
      <c r="FM219">
        <v>24.14</v>
      </c>
      <c r="FN219">
        <v>19</v>
      </c>
      <c r="FO219">
        <v>864.78300000000002</v>
      </c>
      <c r="FP219">
        <v>584.84799999999996</v>
      </c>
      <c r="FQ219">
        <v>17.912199999999999</v>
      </c>
      <c r="FR219">
        <v>25.415299999999998</v>
      </c>
      <c r="FS219">
        <v>30.0002</v>
      </c>
      <c r="FT219">
        <v>25.390699999999999</v>
      </c>
      <c r="FU219">
        <v>25.3918</v>
      </c>
      <c r="FV219">
        <v>43.036000000000001</v>
      </c>
      <c r="FW219">
        <v>27.0184</v>
      </c>
      <c r="FX219">
        <v>38.668999999999997</v>
      </c>
      <c r="FY219">
        <v>17.915099999999999</v>
      </c>
      <c r="FZ219">
        <v>800</v>
      </c>
      <c r="GA219">
        <v>14.3186</v>
      </c>
      <c r="GB219">
        <v>99.882499999999993</v>
      </c>
      <c r="GC219">
        <v>99.738600000000005</v>
      </c>
    </row>
    <row r="220" spans="1:185" x14ac:dyDescent="0.2">
      <c r="A220">
        <v>205</v>
      </c>
      <c r="B220">
        <v>1771089461.0999999</v>
      </c>
      <c r="C220">
        <v>4141.0999999046298</v>
      </c>
      <c r="D220" t="s">
        <v>710</v>
      </c>
      <c r="E220" t="s">
        <v>711</v>
      </c>
      <c r="F220">
        <v>15</v>
      </c>
      <c r="G220">
        <v>1771089453.03333</v>
      </c>
      <c r="H220">
        <f t="shared" si="39"/>
        <v>8.9563322629061652E-4</v>
      </c>
      <c r="I220">
        <v>0</v>
      </c>
      <c r="J220">
        <f t="shared" si="51"/>
        <v>8.8022013360001504E-3</v>
      </c>
      <c r="K220">
        <f t="shared" si="40"/>
        <v>0.23859189839434777</v>
      </c>
      <c r="L220">
        <f t="shared" si="41"/>
        <v>69.797191261419087</v>
      </c>
      <c r="M220">
        <f t="shared" si="42"/>
        <v>1.5391860517785003</v>
      </c>
      <c r="N220">
        <f t="shared" si="43"/>
        <v>2.2052263478821343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26193.58479022071</v>
      </c>
      <c r="T220">
        <f t="shared" si="47"/>
        <v>800.00019999999995</v>
      </c>
      <c r="U220">
        <f t="shared" si="48"/>
        <v>674.40067580012669</v>
      </c>
      <c r="V220">
        <f t="shared" si="49"/>
        <v>0.84300063399999992</v>
      </c>
      <c r="W220">
        <f t="shared" si="50"/>
        <v>0.15870158499999998</v>
      </c>
      <c r="X220">
        <v>1</v>
      </c>
      <c r="Y220">
        <v>1771089453.03333</v>
      </c>
      <c r="Z220">
        <v>798.82060000000001</v>
      </c>
      <c r="AA220">
        <v>800.01313333333303</v>
      </c>
      <c r="AB220">
        <v>15.39644</v>
      </c>
      <c r="AC220">
        <v>14.2941533333333</v>
      </c>
      <c r="AD220">
        <v>799.72460000000001</v>
      </c>
      <c r="AE220">
        <v>15.286759999999999</v>
      </c>
      <c r="AF220">
        <v>800.01300000000003</v>
      </c>
      <c r="AG220">
        <v>99.905606666666699</v>
      </c>
      <c r="AH220">
        <v>6.4649559999999995E-2</v>
      </c>
      <c r="AI220">
        <v>19.000333333333302</v>
      </c>
      <c r="AJ220">
        <v>999.9</v>
      </c>
      <c r="AK220">
        <v>999.9</v>
      </c>
      <c r="AL220">
        <v>0</v>
      </c>
      <c r="AM220">
        <v>0</v>
      </c>
      <c r="AN220">
        <v>4999.3666666666704</v>
      </c>
      <c r="AO220">
        <v>0</v>
      </c>
      <c r="AP220">
        <v>2.2583899999999999</v>
      </c>
      <c r="AQ220">
        <v>-1.19254866666667</v>
      </c>
      <c r="AR220">
        <v>811.311733333333</v>
      </c>
      <c r="AS220">
        <v>811.61453333333304</v>
      </c>
      <c r="AT220">
        <v>1.1022846666666699</v>
      </c>
      <c r="AU220">
        <v>800.01313333333303</v>
      </c>
      <c r="AV220">
        <v>14.2941533333333</v>
      </c>
      <c r="AW220">
        <v>1.53818866666667</v>
      </c>
      <c r="AX220">
        <v>1.42806533333333</v>
      </c>
      <c r="AY220">
        <v>13.3531666666667</v>
      </c>
      <c r="AZ220">
        <v>12.218966666666701</v>
      </c>
      <c r="BA220">
        <v>800.00019999999995</v>
      </c>
      <c r="BB220">
        <v>0.89997886666666704</v>
      </c>
      <c r="BC220">
        <v>0</v>
      </c>
      <c r="BD220">
        <v>0.100021133333333</v>
      </c>
      <c r="BE220">
        <v>0</v>
      </c>
      <c r="BF220">
        <v>26</v>
      </c>
      <c r="BG220">
        <v>13190.946666666699</v>
      </c>
      <c r="BH220">
        <v>1771089189.0999999</v>
      </c>
      <c r="BI220" t="s">
        <v>673</v>
      </c>
      <c r="BJ220">
        <v>1771089167.0999999</v>
      </c>
      <c r="BK220">
        <v>1771089189.0999999</v>
      </c>
      <c r="BL220">
        <v>8</v>
      </c>
      <c r="BM220">
        <v>-2.4E-2</v>
      </c>
      <c r="BN220">
        <v>1.4999999999999999E-2</v>
      </c>
      <c r="BO220">
        <v>-0.90400000000000003</v>
      </c>
      <c r="BP220">
        <v>0.11</v>
      </c>
      <c r="BQ220">
        <v>800</v>
      </c>
      <c r="BR220">
        <v>15</v>
      </c>
      <c r="BS220">
        <v>0.32</v>
      </c>
      <c r="BT220">
        <v>0.08</v>
      </c>
      <c r="BU220">
        <v>-1.1882200000000001</v>
      </c>
      <c r="BV220">
        <v>-3.7270909090907502E-2</v>
      </c>
      <c r="BW220">
        <v>2.6633549018734499E-2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1.0976295238095199</v>
      </c>
      <c r="CD220">
        <v>0.10642675324675301</v>
      </c>
      <c r="CE220">
        <v>1.1897902766850699E-2</v>
      </c>
      <c r="CF220">
        <v>0</v>
      </c>
      <c r="CG220">
        <v>1</v>
      </c>
      <c r="CH220">
        <v>2</v>
      </c>
      <c r="CI220" t="s">
        <v>299</v>
      </c>
      <c r="CJ220">
        <v>3.5325299999999999</v>
      </c>
      <c r="CK220">
        <v>2.7025399999999999</v>
      </c>
      <c r="CL220">
        <v>0.15701999999999999</v>
      </c>
      <c r="CM220">
        <v>0.154888</v>
      </c>
      <c r="CN220">
        <v>8.6861900000000006E-2</v>
      </c>
      <c r="CO220">
        <v>8.1393699999999999E-2</v>
      </c>
      <c r="CP220">
        <v>29564.6</v>
      </c>
      <c r="CQ220">
        <v>26026.3</v>
      </c>
      <c r="CR220">
        <v>32458.9</v>
      </c>
      <c r="CS220">
        <v>30721.9</v>
      </c>
      <c r="CT220">
        <v>40138.300000000003</v>
      </c>
      <c r="CU220">
        <v>39692.400000000001</v>
      </c>
      <c r="CV220">
        <v>47401.5</v>
      </c>
      <c r="CW220">
        <v>46852.7</v>
      </c>
      <c r="CX220">
        <v>2.6242999999999999</v>
      </c>
      <c r="CY220">
        <v>2.1427</v>
      </c>
      <c r="CZ220">
        <v>0</v>
      </c>
      <c r="DA220">
        <v>0</v>
      </c>
      <c r="DB220">
        <v>999.9</v>
      </c>
      <c r="DC220">
        <v>999.9</v>
      </c>
      <c r="DD220">
        <v>52.82</v>
      </c>
      <c r="DE220">
        <v>26.687000000000001</v>
      </c>
      <c r="DF220">
        <v>18.578800000000001</v>
      </c>
      <c r="DG220">
        <v>30.271899999999999</v>
      </c>
      <c r="DH220">
        <v>15.3325</v>
      </c>
      <c r="DI220">
        <v>2</v>
      </c>
      <c r="DJ220">
        <v>-0.12726399999999999</v>
      </c>
      <c r="DK220">
        <v>2.4725899999999998</v>
      </c>
      <c r="DL220">
        <v>20.192299999999999</v>
      </c>
      <c r="DM220">
        <v>5.2474800000000004</v>
      </c>
      <c r="DN220">
        <v>12.033899999999999</v>
      </c>
      <c r="DO220">
        <v>4.9668799999999997</v>
      </c>
      <c r="DP220">
        <v>3.2909999999999999</v>
      </c>
      <c r="DQ220">
        <v>9999</v>
      </c>
      <c r="DR220">
        <v>9999</v>
      </c>
      <c r="DS220">
        <v>9999</v>
      </c>
      <c r="DT220">
        <v>605</v>
      </c>
      <c r="DU220">
        <v>1.8711899999999999</v>
      </c>
      <c r="DV220">
        <v>1.87622</v>
      </c>
      <c r="DW220">
        <v>1.8763700000000001</v>
      </c>
      <c r="DX220">
        <v>1.8829199999999999</v>
      </c>
      <c r="DY220">
        <v>1.87564</v>
      </c>
      <c r="DZ220">
        <v>1.87469</v>
      </c>
      <c r="EA220">
        <v>1.87087</v>
      </c>
      <c r="EB220">
        <v>1.8747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-0.90400000000000003</v>
      </c>
      <c r="EQ220">
        <v>0.10970000000000001</v>
      </c>
      <c r="ER220">
        <v>-0.90418181818176901</v>
      </c>
      <c r="ES220">
        <v>0</v>
      </c>
      <c r="ET220">
        <v>0</v>
      </c>
      <c r="EU220">
        <v>0</v>
      </c>
      <c r="EV220">
        <v>0.10966999999999801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4.9000000000000004</v>
      </c>
      <c r="FE220">
        <v>4.5</v>
      </c>
      <c r="FF220">
        <v>2.1447799999999999</v>
      </c>
      <c r="FG220">
        <v>2.5854499999999998</v>
      </c>
      <c r="FH220">
        <v>2.19604</v>
      </c>
      <c r="FI220">
        <v>2.5781200000000002</v>
      </c>
      <c r="FJ220">
        <v>2.4462899999999999</v>
      </c>
      <c r="FK220">
        <v>2.2595200000000002</v>
      </c>
      <c r="FL220">
        <v>31.608000000000001</v>
      </c>
      <c r="FM220">
        <v>24.1313</v>
      </c>
      <c r="FN220">
        <v>19</v>
      </c>
      <c r="FO220">
        <v>864.95899999999995</v>
      </c>
      <c r="FP220">
        <v>584.82799999999997</v>
      </c>
      <c r="FQ220">
        <v>17.907499999999999</v>
      </c>
      <c r="FR220">
        <v>25.4178</v>
      </c>
      <c r="FS220">
        <v>30.0002</v>
      </c>
      <c r="FT220">
        <v>25.393599999999999</v>
      </c>
      <c r="FU220">
        <v>25.394200000000001</v>
      </c>
      <c r="FV220">
        <v>43.037799999999997</v>
      </c>
      <c r="FW220">
        <v>27.0184</v>
      </c>
      <c r="FX220">
        <v>38.293999999999997</v>
      </c>
      <c r="FY220">
        <v>17.907699999999998</v>
      </c>
      <c r="FZ220">
        <v>800</v>
      </c>
      <c r="GA220">
        <v>14.3186</v>
      </c>
      <c r="GB220">
        <v>99.883499999999998</v>
      </c>
      <c r="GC220">
        <v>99.738900000000001</v>
      </c>
    </row>
    <row r="221" spans="1:185" x14ac:dyDescent="0.2">
      <c r="A221">
        <v>206</v>
      </c>
      <c r="B221">
        <v>1771089476.0999999</v>
      </c>
      <c r="C221">
        <v>4156.0999999046298</v>
      </c>
      <c r="D221" t="s">
        <v>712</v>
      </c>
      <c r="E221" t="s">
        <v>713</v>
      </c>
      <c r="F221">
        <v>15</v>
      </c>
      <c r="G221">
        <v>1771089468.03333</v>
      </c>
      <c r="H221">
        <f t="shared" si="39"/>
        <v>8.9417740767467669E-4</v>
      </c>
      <c r="I221">
        <v>0</v>
      </c>
      <c r="J221">
        <f t="shared" si="51"/>
        <v>8.3184097157940149E-3</v>
      </c>
      <c r="K221">
        <f t="shared" si="40"/>
        <v>0.22547827412172783</v>
      </c>
      <c r="L221">
        <f t="shared" si="41"/>
        <v>69.759586359303768</v>
      </c>
      <c r="M221">
        <f t="shared" si="42"/>
        <v>1.5382319861931404</v>
      </c>
      <c r="N221">
        <f t="shared" si="43"/>
        <v>2.2050474586680053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26204.402922341764</v>
      </c>
      <c r="T221">
        <f t="shared" si="47"/>
        <v>799.99966666666705</v>
      </c>
      <c r="U221">
        <f t="shared" si="48"/>
        <v>674.40019259980295</v>
      </c>
      <c r="V221">
        <f t="shared" si="49"/>
        <v>0.84300059199999988</v>
      </c>
      <c r="W221">
        <f t="shared" si="50"/>
        <v>0.15870147999999998</v>
      </c>
      <c r="X221">
        <v>1</v>
      </c>
      <c r="Y221">
        <v>1771089468.03333</v>
      </c>
      <c r="Z221">
        <v>798.80053333333296</v>
      </c>
      <c r="AA221">
        <v>799.97519999999997</v>
      </c>
      <c r="AB221">
        <v>15.3869333333333</v>
      </c>
      <c r="AC221">
        <v>14.286426666666699</v>
      </c>
      <c r="AD221">
        <v>799.70466666666698</v>
      </c>
      <c r="AE221">
        <v>15.2772666666667</v>
      </c>
      <c r="AF221">
        <v>800.01220000000001</v>
      </c>
      <c r="AG221">
        <v>99.905606666666699</v>
      </c>
      <c r="AH221">
        <v>6.4410286666666705E-2</v>
      </c>
      <c r="AI221">
        <v>18.999033333333301</v>
      </c>
      <c r="AJ221">
        <v>999.9</v>
      </c>
      <c r="AK221">
        <v>999.9</v>
      </c>
      <c r="AL221">
        <v>0</v>
      </c>
      <c r="AM221">
        <v>0</v>
      </c>
      <c r="AN221">
        <v>5001.1333333333296</v>
      </c>
      <c r="AO221">
        <v>0</v>
      </c>
      <c r="AP221">
        <v>2.2583899999999999</v>
      </c>
      <c r="AQ221">
        <v>-1.17463933333333</v>
      </c>
      <c r="AR221">
        <v>811.28366666666705</v>
      </c>
      <c r="AS221">
        <v>811.56960000000004</v>
      </c>
      <c r="AT221">
        <v>1.1004893333333301</v>
      </c>
      <c r="AU221">
        <v>799.97519999999997</v>
      </c>
      <c r="AV221">
        <v>14.286426666666699</v>
      </c>
      <c r="AW221">
        <v>1.5372399999999999</v>
      </c>
      <c r="AX221">
        <v>1.42729533333333</v>
      </c>
      <c r="AY221">
        <v>13.3436866666667</v>
      </c>
      <c r="AZ221">
        <v>12.2107666666667</v>
      </c>
      <c r="BA221">
        <v>799.99966666666705</v>
      </c>
      <c r="BB221">
        <v>0.89998026666666697</v>
      </c>
      <c r="BC221">
        <v>0</v>
      </c>
      <c r="BD221">
        <v>0.100019733333333</v>
      </c>
      <c r="BE221">
        <v>0</v>
      </c>
      <c r="BF221">
        <v>26</v>
      </c>
      <c r="BG221">
        <v>13190.94</v>
      </c>
      <c r="BH221">
        <v>1771089189.0999999</v>
      </c>
      <c r="BI221" t="s">
        <v>673</v>
      </c>
      <c r="BJ221">
        <v>1771089167.0999999</v>
      </c>
      <c r="BK221">
        <v>1771089189.0999999</v>
      </c>
      <c r="BL221">
        <v>8</v>
      </c>
      <c r="BM221">
        <v>-2.4E-2</v>
      </c>
      <c r="BN221">
        <v>1.4999999999999999E-2</v>
      </c>
      <c r="BO221">
        <v>-0.90400000000000003</v>
      </c>
      <c r="BP221">
        <v>0.11</v>
      </c>
      <c r="BQ221">
        <v>800</v>
      </c>
      <c r="BR221">
        <v>15</v>
      </c>
      <c r="BS221">
        <v>0.32</v>
      </c>
      <c r="BT221">
        <v>0.08</v>
      </c>
      <c r="BU221">
        <v>-1.1788734999999999</v>
      </c>
      <c r="BV221">
        <v>-4.6050676691728402E-2</v>
      </c>
      <c r="BW221">
        <v>3.0909761771162201E-2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1.1030679999999999</v>
      </c>
      <c r="CD221">
        <v>-5.0562406015035699E-2</v>
      </c>
      <c r="CE221">
        <v>5.2605737329686703E-3</v>
      </c>
      <c r="CF221">
        <v>1</v>
      </c>
      <c r="CG221">
        <v>2</v>
      </c>
      <c r="CH221">
        <v>2</v>
      </c>
      <c r="CI221" t="s">
        <v>310</v>
      </c>
      <c r="CJ221">
        <v>3.5325500000000001</v>
      </c>
      <c r="CK221">
        <v>2.7022200000000001</v>
      </c>
      <c r="CL221">
        <v>0.15702099999999999</v>
      </c>
      <c r="CM221">
        <v>0.15489800000000001</v>
      </c>
      <c r="CN221">
        <v>8.6840299999999995E-2</v>
      </c>
      <c r="CO221">
        <v>8.1409899999999993E-2</v>
      </c>
      <c r="CP221">
        <v>29564.9</v>
      </c>
      <c r="CQ221">
        <v>26026.3</v>
      </c>
      <c r="CR221">
        <v>32459.3</v>
      </c>
      <c r="CS221">
        <v>30722.3</v>
      </c>
      <c r="CT221">
        <v>40139.599999999999</v>
      </c>
      <c r="CU221">
        <v>39692.1</v>
      </c>
      <c r="CV221">
        <v>47401.9</v>
      </c>
      <c r="CW221">
        <v>46853.2</v>
      </c>
      <c r="CX221">
        <v>2.6240399999999999</v>
      </c>
      <c r="CY221">
        <v>2.1428199999999999</v>
      </c>
      <c r="CZ221">
        <v>0</v>
      </c>
      <c r="DA221">
        <v>0</v>
      </c>
      <c r="DB221">
        <v>999.9</v>
      </c>
      <c r="DC221">
        <v>999.9</v>
      </c>
      <c r="DD221">
        <v>52.771000000000001</v>
      </c>
      <c r="DE221">
        <v>26.696999999999999</v>
      </c>
      <c r="DF221">
        <v>18.5731</v>
      </c>
      <c r="DG221">
        <v>30.241900000000001</v>
      </c>
      <c r="DH221">
        <v>15.336499999999999</v>
      </c>
      <c r="DI221">
        <v>2</v>
      </c>
      <c r="DJ221">
        <v>-0.12745500000000001</v>
      </c>
      <c r="DK221">
        <v>2.45173</v>
      </c>
      <c r="DL221">
        <v>20.192399999999999</v>
      </c>
      <c r="DM221">
        <v>5.2472399999999997</v>
      </c>
      <c r="DN221">
        <v>12.033899999999999</v>
      </c>
      <c r="DO221">
        <v>4.9667199999999996</v>
      </c>
      <c r="DP221">
        <v>3.2909999999999999</v>
      </c>
      <c r="DQ221">
        <v>9999</v>
      </c>
      <c r="DR221">
        <v>9999</v>
      </c>
      <c r="DS221">
        <v>9999</v>
      </c>
      <c r="DT221">
        <v>605</v>
      </c>
      <c r="DU221">
        <v>1.87117</v>
      </c>
      <c r="DV221">
        <v>1.87622</v>
      </c>
      <c r="DW221">
        <v>1.8763700000000001</v>
      </c>
      <c r="DX221">
        <v>1.8829199999999999</v>
      </c>
      <c r="DY221">
        <v>1.8756299999999999</v>
      </c>
      <c r="DZ221">
        <v>1.87469</v>
      </c>
      <c r="EA221">
        <v>1.8708499999999999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-0.90400000000000003</v>
      </c>
      <c r="EQ221">
        <v>0.10970000000000001</v>
      </c>
      <c r="ER221">
        <v>-0.90418181818176901</v>
      </c>
      <c r="ES221">
        <v>0</v>
      </c>
      <c r="ET221">
        <v>0</v>
      </c>
      <c r="EU221">
        <v>0</v>
      </c>
      <c r="EV221">
        <v>0.10966999999999801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5.2</v>
      </c>
      <c r="FE221">
        <v>4.8</v>
      </c>
      <c r="FF221">
        <v>2.1447799999999999</v>
      </c>
      <c r="FG221">
        <v>2.5793499999999998</v>
      </c>
      <c r="FH221">
        <v>2.19604</v>
      </c>
      <c r="FI221">
        <v>2.5781200000000002</v>
      </c>
      <c r="FJ221">
        <v>2.4462899999999999</v>
      </c>
      <c r="FK221">
        <v>2.3010299999999999</v>
      </c>
      <c r="FL221">
        <v>31.608000000000001</v>
      </c>
      <c r="FM221">
        <v>24.148800000000001</v>
      </c>
      <c r="FN221">
        <v>19</v>
      </c>
      <c r="FO221">
        <v>864.76499999999999</v>
      </c>
      <c r="FP221">
        <v>584.95000000000005</v>
      </c>
      <c r="FQ221">
        <v>17.909600000000001</v>
      </c>
      <c r="FR221">
        <v>25.42</v>
      </c>
      <c r="FS221">
        <v>30.0001</v>
      </c>
      <c r="FT221">
        <v>25.396599999999999</v>
      </c>
      <c r="FU221">
        <v>25.396799999999999</v>
      </c>
      <c r="FV221">
        <v>43.038499999999999</v>
      </c>
      <c r="FW221">
        <v>27.0184</v>
      </c>
      <c r="FX221">
        <v>38.293999999999997</v>
      </c>
      <c r="FY221">
        <v>17.909800000000001</v>
      </c>
      <c r="FZ221">
        <v>800</v>
      </c>
      <c r="GA221">
        <v>14.3186</v>
      </c>
      <c r="GB221">
        <v>99.884500000000003</v>
      </c>
      <c r="GC221">
        <v>99.74</v>
      </c>
    </row>
    <row r="222" spans="1:185" x14ac:dyDescent="0.2">
      <c r="A222">
        <v>207</v>
      </c>
      <c r="B222">
        <v>1771089491.0999999</v>
      </c>
      <c r="C222">
        <v>4171.0999999046298</v>
      </c>
      <c r="D222" t="s">
        <v>714</v>
      </c>
      <c r="E222" t="s">
        <v>715</v>
      </c>
      <c r="F222">
        <v>15</v>
      </c>
      <c r="G222">
        <v>1771089483.03333</v>
      </c>
      <c r="H222">
        <f t="shared" si="39"/>
        <v>8.876409123442212E-4</v>
      </c>
      <c r="I222">
        <v>0</v>
      </c>
      <c r="J222">
        <f t="shared" si="51"/>
        <v>9.4278015066038782E-3</v>
      </c>
      <c r="K222">
        <f t="shared" si="40"/>
        <v>0.25554937603459438</v>
      </c>
      <c r="L222">
        <f t="shared" si="41"/>
        <v>69.744501059092869</v>
      </c>
      <c r="M222">
        <f t="shared" si="42"/>
        <v>1.5378449660276667</v>
      </c>
      <c r="N222">
        <f t="shared" si="43"/>
        <v>2.2049694852999049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26229.746345121774</v>
      </c>
      <c r="T222">
        <f t="shared" si="47"/>
        <v>800.00146666666706</v>
      </c>
      <c r="U222">
        <f t="shared" si="48"/>
        <v>674.40174520093308</v>
      </c>
      <c r="V222">
        <f t="shared" si="49"/>
        <v>0.84300063599999997</v>
      </c>
      <c r="W222">
        <f t="shared" si="50"/>
        <v>0.15870159</v>
      </c>
      <c r="X222">
        <v>1</v>
      </c>
      <c r="Y222">
        <v>1771089483.03333</v>
      </c>
      <c r="Z222">
        <v>798.79766666666706</v>
      </c>
      <c r="AA222">
        <v>800.00340000000006</v>
      </c>
      <c r="AB222">
        <v>15.3832666666667</v>
      </c>
      <c r="AC222">
        <v>14.290793333333299</v>
      </c>
      <c r="AD222">
        <v>799.702</v>
      </c>
      <c r="AE222">
        <v>15.2736133333333</v>
      </c>
      <c r="AF222">
        <v>800.0068</v>
      </c>
      <c r="AG222">
        <v>99.90428</v>
      </c>
      <c r="AH222">
        <v>6.4406713333333296E-2</v>
      </c>
      <c r="AI222">
        <v>18.998466666666701</v>
      </c>
      <c r="AJ222">
        <v>999.9</v>
      </c>
      <c r="AK222">
        <v>999.9</v>
      </c>
      <c r="AL222">
        <v>0</v>
      </c>
      <c r="AM222">
        <v>0</v>
      </c>
      <c r="AN222">
        <v>5005.3666666666704</v>
      </c>
      <c r="AO222">
        <v>0</v>
      </c>
      <c r="AP222">
        <v>2.2583899999999999</v>
      </c>
      <c r="AQ222">
        <v>-1.205498</v>
      </c>
      <c r="AR222">
        <v>811.27786666666702</v>
      </c>
      <c r="AS222">
        <v>811.60180000000003</v>
      </c>
      <c r="AT222">
        <v>1.0924860000000001</v>
      </c>
      <c r="AU222">
        <v>800.00340000000006</v>
      </c>
      <c r="AV222">
        <v>14.290793333333299</v>
      </c>
      <c r="AW222">
        <v>1.53685466666667</v>
      </c>
      <c r="AX222">
        <v>1.4277120000000001</v>
      </c>
      <c r="AY222">
        <v>13.3398466666667</v>
      </c>
      <c r="AZ222">
        <v>12.2151933333333</v>
      </c>
      <c r="BA222">
        <v>800.00146666666706</v>
      </c>
      <c r="BB222">
        <v>0.89997879999999997</v>
      </c>
      <c r="BC222">
        <v>0</v>
      </c>
      <c r="BD222">
        <v>0.1000212</v>
      </c>
      <c r="BE222">
        <v>0</v>
      </c>
      <c r="BF222">
        <v>26</v>
      </c>
      <c r="BG222">
        <v>13190.9666666667</v>
      </c>
      <c r="BH222">
        <v>1771089189.0999999</v>
      </c>
      <c r="BI222" t="s">
        <v>673</v>
      </c>
      <c r="BJ222">
        <v>1771089167.0999999</v>
      </c>
      <c r="BK222">
        <v>1771089189.0999999</v>
      </c>
      <c r="BL222">
        <v>8</v>
      </c>
      <c r="BM222">
        <v>-2.4E-2</v>
      </c>
      <c r="BN222">
        <v>1.4999999999999999E-2</v>
      </c>
      <c r="BO222">
        <v>-0.90400000000000003</v>
      </c>
      <c r="BP222">
        <v>0.11</v>
      </c>
      <c r="BQ222">
        <v>800</v>
      </c>
      <c r="BR222">
        <v>15</v>
      </c>
      <c r="BS222">
        <v>0.32</v>
      </c>
      <c r="BT222">
        <v>0.08</v>
      </c>
      <c r="BU222">
        <v>-1.2004809523809501</v>
      </c>
      <c r="BV222">
        <v>-0.14171688311688499</v>
      </c>
      <c r="BW222">
        <v>2.78134652050409E-2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1.0941976190476199</v>
      </c>
      <c r="CD222">
        <v>-2.3715584415583701E-2</v>
      </c>
      <c r="CE222">
        <v>3.2248660433779799E-3</v>
      </c>
      <c r="CF222">
        <v>1</v>
      </c>
      <c r="CG222">
        <v>2</v>
      </c>
      <c r="CH222">
        <v>2</v>
      </c>
      <c r="CI222" t="s">
        <v>310</v>
      </c>
      <c r="CJ222">
        <v>3.5325000000000002</v>
      </c>
      <c r="CK222">
        <v>2.7023799999999998</v>
      </c>
      <c r="CL222">
        <v>0.15701799999999999</v>
      </c>
      <c r="CM222">
        <v>0.154894</v>
      </c>
      <c r="CN222">
        <v>8.6823600000000001E-2</v>
      </c>
      <c r="CO222">
        <v>8.1426499999999999E-2</v>
      </c>
      <c r="CP222">
        <v>29565.1</v>
      </c>
      <c r="CQ222">
        <v>26025.7</v>
      </c>
      <c r="CR222">
        <v>32459.4</v>
      </c>
      <c r="CS222">
        <v>30721.599999999999</v>
      </c>
      <c r="CT222">
        <v>40140.699999999997</v>
      </c>
      <c r="CU222">
        <v>39690.6</v>
      </c>
      <c r="CV222">
        <v>47402.3</v>
      </c>
      <c r="CW222">
        <v>46852.4</v>
      </c>
      <c r="CX222">
        <v>2.6240000000000001</v>
      </c>
      <c r="CY222">
        <v>2.1424799999999999</v>
      </c>
      <c r="CZ222">
        <v>0</v>
      </c>
      <c r="DA222">
        <v>0</v>
      </c>
      <c r="DB222">
        <v>999.9</v>
      </c>
      <c r="DC222">
        <v>999.9</v>
      </c>
      <c r="DD222">
        <v>52.747</v>
      </c>
      <c r="DE222">
        <v>26.696999999999999</v>
      </c>
      <c r="DF222">
        <v>18.564900000000002</v>
      </c>
      <c r="DG222">
        <v>29.762</v>
      </c>
      <c r="DH222">
        <v>15.5008</v>
      </c>
      <c r="DI222">
        <v>2</v>
      </c>
      <c r="DJ222">
        <v>-0.12715000000000001</v>
      </c>
      <c r="DK222">
        <v>2.45486</v>
      </c>
      <c r="DL222">
        <v>20.192599999999999</v>
      </c>
      <c r="DM222">
        <v>5.2473599999999996</v>
      </c>
      <c r="DN222">
        <v>12.033899999999999</v>
      </c>
      <c r="DO222">
        <v>4.9668400000000004</v>
      </c>
      <c r="DP222">
        <v>3.2909999999999999</v>
      </c>
      <c r="DQ222">
        <v>9999</v>
      </c>
      <c r="DR222">
        <v>9999</v>
      </c>
      <c r="DS222">
        <v>9999</v>
      </c>
      <c r="DT222">
        <v>605</v>
      </c>
      <c r="DU222">
        <v>1.8711800000000001</v>
      </c>
      <c r="DV222">
        <v>1.8762000000000001</v>
      </c>
      <c r="DW222">
        <v>1.8763700000000001</v>
      </c>
      <c r="DX222">
        <v>1.8829100000000001</v>
      </c>
      <c r="DY222">
        <v>1.8756200000000001</v>
      </c>
      <c r="DZ222">
        <v>1.87469</v>
      </c>
      <c r="EA222">
        <v>1.8708400000000001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-0.90400000000000003</v>
      </c>
      <c r="EQ222">
        <v>0.10970000000000001</v>
      </c>
      <c r="ER222">
        <v>-0.90418181818176901</v>
      </c>
      <c r="ES222">
        <v>0</v>
      </c>
      <c r="ET222">
        <v>0</v>
      </c>
      <c r="EU222">
        <v>0</v>
      </c>
      <c r="EV222">
        <v>0.10966999999999801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5.4</v>
      </c>
      <c r="FE222">
        <v>5</v>
      </c>
      <c r="FF222">
        <v>2.1447799999999999</v>
      </c>
      <c r="FG222">
        <v>2.5781200000000002</v>
      </c>
      <c r="FH222">
        <v>2.19604</v>
      </c>
      <c r="FI222">
        <v>2.5781200000000002</v>
      </c>
      <c r="FJ222">
        <v>2.4462899999999999</v>
      </c>
      <c r="FK222">
        <v>2.323</v>
      </c>
      <c r="FL222">
        <v>31.608000000000001</v>
      </c>
      <c r="FM222">
        <v>24.14</v>
      </c>
      <c r="FN222">
        <v>19</v>
      </c>
      <c r="FO222">
        <v>864.77200000000005</v>
      </c>
      <c r="FP222">
        <v>584.72</v>
      </c>
      <c r="FQ222">
        <v>17.911999999999999</v>
      </c>
      <c r="FR222">
        <v>25.421700000000001</v>
      </c>
      <c r="FS222">
        <v>30.0001</v>
      </c>
      <c r="FT222">
        <v>25.3993</v>
      </c>
      <c r="FU222">
        <v>25.399799999999999</v>
      </c>
      <c r="FV222">
        <v>43.036999999999999</v>
      </c>
      <c r="FW222">
        <v>27.0184</v>
      </c>
      <c r="FX222">
        <v>38.293999999999997</v>
      </c>
      <c r="FY222">
        <v>17.9129</v>
      </c>
      <c r="FZ222">
        <v>800</v>
      </c>
      <c r="GA222">
        <v>14.3186</v>
      </c>
      <c r="GB222">
        <v>99.885099999999994</v>
      </c>
      <c r="GC222">
        <v>99.737899999999996</v>
      </c>
    </row>
    <row r="223" spans="1:185" x14ac:dyDescent="0.2">
      <c r="A223">
        <v>208</v>
      </c>
      <c r="B223">
        <v>1771089506.0999999</v>
      </c>
      <c r="C223">
        <v>4186.0999999046298</v>
      </c>
      <c r="D223" t="s">
        <v>716</v>
      </c>
      <c r="E223" t="s">
        <v>717</v>
      </c>
      <c r="F223">
        <v>15</v>
      </c>
      <c r="G223">
        <v>1771089498.03333</v>
      </c>
      <c r="H223">
        <f t="shared" si="39"/>
        <v>8.9600256836413073E-4</v>
      </c>
      <c r="I223">
        <v>0</v>
      </c>
      <c r="J223">
        <f t="shared" si="51"/>
        <v>8.6829075490144451E-3</v>
      </c>
      <c r="K223">
        <f t="shared" si="40"/>
        <v>0.23535832874317866</v>
      </c>
      <c r="L223">
        <f t="shared" si="41"/>
        <v>69.715910597330549</v>
      </c>
      <c r="M223">
        <f t="shared" si="42"/>
        <v>1.5374492737597325</v>
      </c>
      <c r="N223">
        <f t="shared" si="43"/>
        <v>2.2053061640976428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26191.553859733995</v>
      </c>
      <c r="T223">
        <f t="shared" si="47"/>
        <v>799.99833333333299</v>
      </c>
      <c r="U223">
        <f t="shared" si="48"/>
        <v>674.39915019884302</v>
      </c>
      <c r="V223">
        <f t="shared" si="49"/>
        <v>0.84300069399999999</v>
      </c>
      <c r="W223">
        <f t="shared" si="50"/>
        <v>0.15870173499999995</v>
      </c>
      <c r="X223">
        <v>1</v>
      </c>
      <c r="Y223">
        <v>1771089498.03333</v>
      </c>
      <c r="Z223">
        <v>798.820333333333</v>
      </c>
      <c r="AA223">
        <v>800.00919999999996</v>
      </c>
      <c r="AB223">
        <v>15.3793066666667</v>
      </c>
      <c r="AC223">
        <v>14.276540000000001</v>
      </c>
      <c r="AD223">
        <v>799.72439999999995</v>
      </c>
      <c r="AE223">
        <v>15.2696133333333</v>
      </c>
      <c r="AF223">
        <v>800.008466666667</v>
      </c>
      <c r="AG223">
        <v>99.904219999999995</v>
      </c>
      <c r="AH223">
        <v>6.4478659999999993E-2</v>
      </c>
      <c r="AI223">
        <v>19.000913333333301</v>
      </c>
      <c r="AJ223">
        <v>999.9</v>
      </c>
      <c r="AK223">
        <v>999.9</v>
      </c>
      <c r="AL223">
        <v>0</v>
      </c>
      <c r="AM223">
        <v>0</v>
      </c>
      <c r="AN223">
        <v>4999.1000000000004</v>
      </c>
      <c r="AO223">
        <v>0</v>
      </c>
      <c r="AP223">
        <v>2.25462733333333</v>
      </c>
      <c r="AQ223">
        <v>-1.18894533333333</v>
      </c>
      <c r="AR223">
        <v>811.29746666666699</v>
      </c>
      <c r="AS223">
        <v>811.596</v>
      </c>
      <c r="AT223">
        <v>1.1027593333333301</v>
      </c>
      <c r="AU223">
        <v>800.00919999999996</v>
      </c>
      <c r="AV223">
        <v>14.276540000000001</v>
      </c>
      <c r="AW223">
        <v>1.5364566666666699</v>
      </c>
      <c r="AX223">
        <v>1.4262873333333299</v>
      </c>
      <c r="AY223">
        <v>13.3358666666667</v>
      </c>
      <c r="AZ223">
        <v>12.200013333333301</v>
      </c>
      <c r="BA223">
        <v>799.99833333333299</v>
      </c>
      <c r="BB223">
        <v>0.89997686666666699</v>
      </c>
      <c r="BC223">
        <v>0</v>
      </c>
      <c r="BD223">
        <v>0.100023133333333</v>
      </c>
      <c r="BE223">
        <v>0</v>
      </c>
      <c r="BF223">
        <v>26</v>
      </c>
      <c r="BG223">
        <v>13190.9066666667</v>
      </c>
      <c r="BH223">
        <v>1771089189.0999999</v>
      </c>
      <c r="BI223" t="s">
        <v>673</v>
      </c>
      <c r="BJ223">
        <v>1771089167.0999999</v>
      </c>
      <c r="BK223">
        <v>1771089189.0999999</v>
      </c>
      <c r="BL223">
        <v>8</v>
      </c>
      <c r="BM223">
        <v>-2.4E-2</v>
      </c>
      <c r="BN223">
        <v>1.4999999999999999E-2</v>
      </c>
      <c r="BO223">
        <v>-0.90400000000000003</v>
      </c>
      <c r="BP223">
        <v>0.11</v>
      </c>
      <c r="BQ223">
        <v>800</v>
      </c>
      <c r="BR223">
        <v>15</v>
      </c>
      <c r="BS223">
        <v>0.32</v>
      </c>
      <c r="BT223">
        <v>0.08</v>
      </c>
      <c r="BU223">
        <v>-1.200501</v>
      </c>
      <c r="BV223">
        <v>0.13322075187969901</v>
      </c>
      <c r="BW223">
        <v>2.8200968759955699E-2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1.1001675</v>
      </c>
      <c r="CD223">
        <v>8.5529774436088196E-2</v>
      </c>
      <c r="CE223">
        <v>9.8649956284835895E-3</v>
      </c>
      <c r="CF223">
        <v>1</v>
      </c>
      <c r="CG223">
        <v>2</v>
      </c>
      <c r="CH223">
        <v>2</v>
      </c>
      <c r="CI223" t="s">
        <v>310</v>
      </c>
      <c r="CJ223">
        <v>3.5325199999999999</v>
      </c>
      <c r="CK223">
        <v>2.7023199999999998</v>
      </c>
      <c r="CL223">
        <v>0.15701599999999999</v>
      </c>
      <c r="CM223">
        <v>0.154891</v>
      </c>
      <c r="CN223">
        <v>8.6788799999999999E-2</v>
      </c>
      <c r="CO223">
        <v>8.1312200000000001E-2</v>
      </c>
      <c r="CP223">
        <v>29564.6</v>
      </c>
      <c r="CQ223">
        <v>26026.1</v>
      </c>
      <c r="CR223">
        <v>32458.799999999999</v>
      </c>
      <c r="CS223">
        <v>30721.9</v>
      </c>
      <c r="CT223">
        <v>40141.599999999999</v>
      </c>
      <c r="CU223">
        <v>39696</v>
      </c>
      <c r="CV223">
        <v>47401.5</v>
      </c>
      <c r="CW223">
        <v>46852.800000000003</v>
      </c>
      <c r="CX223">
        <v>2.6238199999999998</v>
      </c>
      <c r="CY223">
        <v>2.1421999999999999</v>
      </c>
      <c r="CZ223">
        <v>0</v>
      </c>
      <c r="DA223">
        <v>0</v>
      </c>
      <c r="DB223">
        <v>999.9</v>
      </c>
      <c r="DC223">
        <v>999.9</v>
      </c>
      <c r="DD223">
        <v>52.661000000000001</v>
      </c>
      <c r="DE223">
        <v>26.707000000000001</v>
      </c>
      <c r="DF223">
        <v>18.5456</v>
      </c>
      <c r="DG223">
        <v>30.302</v>
      </c>
      <c r="DH223">
        <v>15.4688</v>
      </c>
      <c r="DI223">
        <v>2</v>
      </c>
      <c r="DJ223">
        <v>-0.12686</v>
      </c>
      <c r="DK223">
        <v>2.4608400000000001</v>
      </c>
      <c r="DL223">
        <v>20.192299999999999</v>
      </c>
      <c r="DM223">
        <v>5.2502399999999998</v>
      </c>
      <c r="DN223">
        <v>12.033899999999999</v>
      </c>
      <c r="DO223">
        <v>4.9673999999999996</v>
      </c>
      <c r="DP223">
        <v>3.2909999999999999</v>
      </c>
      <c r="DQ223">
        <v>9999</v>
      </c>
      <c r="DR223">
        <v>9999</v>
      </c>
      <c r="DS223">
        <v>9999</v>
      </c>
      <c r="DT223">
        <v>605</v>
      </c>
      <c r="DU223">
        <v>1.8711199999999999</v>
      </c>
      <c r="DV223">
        <v>1.8761699999999999</v>
      </c>
      <c r="DW223">
        <v>1.87636</v>
      </c>
      <c r="DX223">
        <v>1.88287</v>
      </c>
      <c r="DY223">
        <v>1.87561</v>
      </c>
      <c r="DZ223">
        <v>1.8746799999999999</v>
      </c>
      <c r="EA223">
        <v>1.8708100000000001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-0.90500000000000003</v>
      </c>
      <c r="EQ223">
        <v>0.10970000000000001</v>
      </c>
      <c r="ER223">
        <v>-0.90418181818176901</v>
      </c>
      <c r="ES223">
        <v>0</v>
      </c>
      <c r="ET223">
        <v>0</v>
      </c>
      <c r="EU223">
        <v>0</v>
      </c>
      <c r="EV223">
        <v>0.10966999999999801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5.7</v>
      </c>
      <c r="FE223">
        <v>5.3</v>
      </c>
      <c r="FF223">
        <v>2.1447799999999999</v>
      </c>
      <c r="FG223">
        <v>2.5830099999999998</v>
      </c>
      <c r="FH223">
        <v>2.19604</v>
      </c>
      <c r="FI223">
        <v>2.5781200000000002</v>
      </c>
      <c r="FJ223">
        <v>2.4462899999999999</v>
      </c>
      <c r="FK223">
        <v>2.2778299999999998</v>
      </c>
      <c r="FL223">
        <v>31.608000000000001</v>
      </c>
      <c r="FM223">
        <v>24.14</v>
      </c>
      <c r="FN223">
        <v>19</v>
      </c>
      <c r="FO223">
        <v>864.63900000000001</v>
      </c>
      <c r="FP223">
        <v>584.53499999999997</v>
      </c>
      <c r="FQ223">
        <v>17.9099</v>
      </c>
      <c r="FR223">
        <v>25.4238</v>
      </c>
      <c r="FS223">
        <v>30.0002</v>
      </c>
      <c r="FT223">
        <v>25.401399999999999</v>
      </c>
      <c r="FU223">
        <v>25.4025</v>
      </c>
      <c r="FV223">
        <v>43.037100000000002</v>
      </c>
      <c r="FW223">
        <v>27.0184</v>
      </c>
      <c r="FX223">
        <v>37.921999999999997</v>
      </c>
      <c r="FY223">
        <v>17.908000000000001</v>
      </c>
      <c r="FZ223">
        <v>800</v>
      </c>
      <c r="GA223">
        <v>14.3187</v>
      </c>
      <c r="GB223">
        <v>99.883399999999995</v>
      </c>
      <c r="GC223">
        <v>99.738799999999998</v>
      </c>
    </row>
    <row r="224" spans="1:185" x14ac:dyDescent="0.2">
      <c r="A224">
        <v>209</v>
      </c>
      <c r="B224">
        <v>1771089521.0999999</v>
      </c>
      <c r="C224">
        <v>4201.0999999046298</v>
      </c>
      <c r="D224" t="s">
        <v>718</v>
      </c>
      <c r="E224" t="s">
        <v>719</v>
      </c>
      <c r="F224">
        <v>15</v>
      </c>
      <c r="G224">
        <v>1771089513.03333</v>
      </c>
      <c r="H224">
        <f t="shared" si="39"/>
        <v>8.9528708274677464E-4</v>
      </c>
      <c r="I224">
        <v>0</v>
      </c>
      <c r="J224">
        <f t="shared" si="51"/>
        <v>8.3618629737128008E-3</v>
      </c>
      <c r="K224">
        <f t="shared" si="40"/>
        <v>0.22665611531196056</v>
      </c>
      <c r="L224">
        <f t="shared" si="41"/>
        <v>69.664210945678988</v>
      </c>
      <c r="M224">
        <f t="shared" si="42"/>
        <v>1.5364459170888702</v>
      </c>
      <c r="N224">
        <f t="shared" si="43"/>
        <v>2.2055025044163945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26187.992467516597</v>
      </c>
      <c r="T224">
        <f t="shared" si="47"/>
        <v>800.00093333333302</v>
      </c>
      <c r="U224">
        <f t="shared" si="48"/>
        <v>674.40122520051113</v>
      </c>
      <c r="V224">
        <f t="shared" si="49"/>
        <v>0.84300054799999991</v>
      </c>
      <c r="W224">
        <f t="shared" si="50"/>
        <v>0.15870137000000001</v>
      </c>
      <c r="X224">
        <v>1</v>
      </c>
      <c r="Y224">
        <v>1771089513.03333</v>
      </c>
      <c r="Z224">
        <v>798.81693333333305</v>
      </c>
      <c r="AA224">
        <v>799.99419999999998</v>
      </c>
      <c r="AB224">
        <v>15.3693733333333</v>
      </c>
      <c r="AC224">
        <v>14.267480000000001</v>
      </c>
      <c r="AD224">
        <v>799.721133333333</v>
      </c>
      <c r="AE224">
        <v>15.259686666666701</v>
      </c>
      <c r="AF224">
        <v>800.01126666666698</v>
      </c>
      <c r="AG224">
        <v>99.903446666666696</v>
      </c>
      <c r="AH224">
        <v>6.4579600000000001E-2</v>
      </c>
      <c r="AI224">
        <v>19.00234</v>
      </c>
      <c r="AJ224">
        <v>999.9</v>
      </c>
      <c r="AK224">
        <v>999.9</v>
      </c>
      <c r="AL224">
        <v>0</v>
      </c>
      <c r="AM224">
        <v>0</v>
      </c>
      <c r="AN224">
        <v>4998.5666666666702</v>
      </c>
      <c r="AO224">
        <v>0</v>
      </c>
      <c r="AP224">
        <v>2.2583899999999999</v>
      </c>
      <c r="AQ224">
        <v>-1.1772466666666701</v>
      </c>
      <c r="AR224">
        <v>811.28593333333299</v>
      </c>
      <c r="AS224">
        <v>811.57339999999999</v>
      </c>
      <c r="AT224">
        <v>1.1018853333333301</v>
      </c>
      <c r="AU224">
        <v>799.99419999999998</v>
      </c>
      <c r="AV224">
        <v>14.267480000000001</v>
      </c>
      <c r="AW224">
        <v>1.535452</v>
      </c>
      <c r="AX224">
        <v>1.4253706666666699</v>
      </c>
      <c r="AY224">
        <v>13.325839999999999</v>
      </c>
      <c r="AZ224">
        <v>12.19026</v>
      </c>
      <c r="BA224">
        <v>800.00093333333302</v>
      </c>
      <c r="BB224">
        <v>0.89998173333333298</v>
      </c>
      <c r="BC224">
        <v>0</v>
      </c>
      <c r="BD224">
        <v>0.10001826666666699</v>
      </c>
      <c r="BE224">
        <v>0</v>
      </c>
      <c r="BF224">
        <v>26</v>
      </c>
      <c r="BG224">
        <v>13190.9666666667</v>
      </c>
      <c r="BH224">
        <v>1771089189.0999999</v>
      </c>
      <c r="BI224" t="s">
        <v>673</v>
      </c>
      <c r="BJ224">
        <v>1771089167.0999999</v>
      </c>
      <c r="BK224">
        <v>1771089189.0999999</v>
      </c>
      <c r="BL224">
        <v>8</v>
      </c>
      <c r="BM224">
        <v>-2.4E-2</v>
      </c>
      <c r="BN224">
        <v>1.4999999999999999E-2</v>
      </c>
      <c r="BO224">
        <v>-0.90400000000000003</v>
      </c>
      <c r="BP224">
        <v>0.11</v>
      </c>
      <c r="BQ224">
        <v>800</v>
      </c>
      <c r="BR224">
        <v>15</v>
      </c>
      <c r="BS224">
        <v>0.32</v>
      </c>
      <c r="BT224">
        <v>0.08</v>
      </c>
      <c r="BU224">
        <v>-1.1821614285714299</v>
      </c>
      <c r="BV224">
        <v>2.4610129870130001E-2</v>
      </c>
      <c r="BW224">
        <v>1.9463110475660201E-2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1.1045957142857099</v>
      </c>
      <c r="CD224">
        <v>-5.1519740259741001E-2</v>
      </c>
      <c r="CE224">
        <v>5.2757139633541096E-3</v>
      </c>
      <c r="CF224">
        <v>1</v>
      </c>
      <c r="CG224">
        <v>2</v>
      </c>
      <c r="CH224">
        <v>2</v>
      </c>
      <c r="CI224" t="s">
        <v>310</v>
      </c>
      <c r="CJ224">
        <v>3.5325199999999999</v>
      </c>
      <c r="CK224">
        <v>2.7023700000000002</v>
      </c>
      <c r="CL224">
        <v>0.15701599999999999</v>
      </c>
      <c r="CM224">
        <v>0.15488499999999999</v>
      </c>
      <c r="CN224">
        <v>8.6757000000000001E-2</v>
      </c>
      <c r="CO224">
        <v>8.1331600000000004E-2</v>
      </c>
      <c r="CP224">
        <v>29564.9</v>
      </c>
      <c r="CQ224">
        <v>26026.799999999999</v>
      </c>
      <c r="CR224">
        <v>32459.1</v>
      </c>
      <c r="CS224">
        <v>30722.6</v>
      </c>
      <c r="CT224">
        <v>40143.5</v>
      </c>
      <c r="CU224">
        <v>39696</v>
      </c>
      <c r="CV224">
        <v>47402</v>
      </c>
      <c r="CW224">
        <v>46853.8</v>
      </c>
      <c r="CX224">
        <v>2.6239400000000002</v>
      </c>
      <c r="CY224">
        <v>2.1419600000000001</v>
      </c>
      <c r="CZ224">
        <v>0</v>
      </c>
      <c r="DA224">
        <v>0</v>
      </c>
      <c r="DB224">
        <v>999.9</v>
      </c>
      <c r="DC224">
        <v>999.9</v>
      </c>
      <c r="DD224">
        <v>52.637</v>
      </c>
      <c r="DE224">
        <v>26.727</v>
      </c>
      <c r="DF224">
        <v>18.558199999999999</v>
      </c>
      <c r="DG224">
        <v>30.361999999999998</v>
      </c>
      <c r="DH224">
        <v>15.368600000000001</v>
      </c>
      <c r="DI224">
        <v>2</v>
      </c>
      <c r="DJ224">
        <v>-0.12678300000000001</v>
      </c>
      <c r="DK224">
        <v>2.47505</v>
      </c>
      <c r="DL224">
        <v>20.1922</v>
      </c>
      <c r="DM224">
        <v>5.2516699999999998</v>
      </c>
      <c r="DN224">
        <v>12.033899999999999</v>
      </c>
      <c r="DO224">
        <v>4.9674800000000001</v>
      </c>
      <c r="DP224">
        <v>3.2910200000000001</v>
      </c>
      <c r="DQ224">
        <v>9999</v>
      </c>
      <c r="DR224">
        <v>9999</v>
      </c>
      <c r="DS224">
        <v>9999</v>
      </c>
      <c r="DT224">
        <v>605</v>
      </c>
      <c r="DU224">
        <v>1.8711800000000001</v>
      </c>
      <c r="DV224">
        <v>1.8762099999999999</v>
      </c>
      <c r="DW224">
        <v>1.87636</v>
      </c>
      <c r="DX224">
        <v>1.88287</v>
      </c>
      <c r="DY224">
        <v>1.8756200000000001</v>
      </c>
      <c r="DZ224">
        <v>1.87469</v>
      </c>
      <c r="EA224">
        <v>1.8708499999999999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-0.90500000000000003</v>
      </c>
      <c r="EQ224">
        <v>0.10970000000000001</v>
      </c>
      <c r="ER224">
        <v>-0.90418181818176901</v>
      </c>
      <c r="ES224">
        <v>0</v>
      </c>
      <c r="ET224">
        <v>0</v>
      </c>
      <c r="EU224">
        <v>0</v>
      </c>
      <c r="EV224">
        <v>0.10966999999999801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5.9</v>
      </c>
      <c r="FE224">
        <v>5.5</v>
      </c>
      <c r="FF224">
        <v>2.1447799999999999</v>
      </c>
      <c r="FG224">
        <v>2.5878899999999998</v>
      </c>
      <c r="FH224">
        <v>2.19604</v>
      </c>
      <c r="FI224">
        <v>2.5781200000000002</v>
      </c>
      <c r="FJ224">
        <v>2.4462899999999999</v>
      </c>
      <c r="FK224">
        <v>2.2363300000000002</v>
      </c>
      <c r="FL224">
        <v>31.629799999999999</v>
      </c>
      <c r="FM224">
        <v>24.1313</v>
      </c>
      <c r="FN224">
        <v>19</v>
      </c>
      <c r="FO224">
        <v>864.79600000000005</v>
      </c>
      <c r="FP224">
        <v>584.39</v>
      </c>
      <c r="FQ224">
        <v>17.904199999999999</v>
      </c>
      <c r="FR224">
        <v>25.426300000000001</v>
      </c>
      <c r="FS224">
        <v>30.0002</v>
      </c>
      <c r="FT224">
        <v>25.404299999999999</v>
      </c>
      <c r="FU224">
        <v>25.406199999999998</v>
      </c>
      <c r="FV224">
        <v>43.0396</v>
      </c>
      <c r="FW224">
        <v>27.0184</v>
      </c>
      <c r="FX224">
        <v>37.921999999999997</v>
      </c>
      <c r="FY224">
        <v>17.900400000000001</v>
      </c>
      <c r="FZ224">
        <v>800</v>
      </c>
      <c r="GA224">
        <v>14.3253</v>
      </c>
      <c r="GB224">
        <v>99.884299999999996</v>
      </c>
      <c r="GC224">
        <v>99.741</v>
      </c>
    </row>
    <row r="225" spans="1:185" x14ac:dyDescent="0.2">
      <c r="A225">
        <v>210</v>
      </c>
      <c r="B225">
        <v>1771089536.0999999</v>
      </c>
      <c r="C225">
        <v>4216.0999999046298</v>
      </c>
      <c r="D225" t="s">
        <v>720</v>
      </c>
      <c r="E225" t="s">
        <v>721</v>
      </c>
      <c r="F225">
        <v>15</v>
      </c>
      <c r="G225">
        <v>1771089528.03333</v>
      </c>
      <c r="H225">
        <f t="shared" si="39"/>
        <v>8.877466943520352E-4</v>
      </c>
      <c r="I225">
        <v>0</v>
      </c>
      <c r="J225">
        <f t="shared" si="51"/>
        <v>8.1883690596313667E-3</v>
      </c>
      <c r="K225">
        <f t="shared" si="40"/>
        <v>0.22195340053182291</v>
      </c>
      <c r="L225">
        <f t="shared" si="41"/>
        <v>69.641770392577484</v>
      </c>
      <c r="M225">
        <f t="shared" si="42"/>
        <v>1.5359618527019463</v>
      </c>
      <c r="N225">
        <f t="shared" si="43"/>
        <v>2.2055181022015651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26229.179355153909</v>
      </c>
      <c r="T225">
        <f t="shared" si="47"/>
        <v>800.00113333333297</v>
      </c>
      <c r="U225">
        <f t="shared" si="48"/>
        <v>674.4013922006186</v>
      </c>
      <c r="V225">
        <f t="shared" si="49"/>
        <v>0.84300054600000007</v>
      </c>
      <c r="W225">
        <f t="shared" si="50"/>
        <v>0.15870136500000001</v>
      </c>
      <c r="X225">
        <v>1</v>
      </c>
      <c r="Y225">
        <v>1771089528.03333</v>
      </c>
      <c r="Z225">
        <v>798.82206666666696</v>
      </c>
      <c r="AA225">
        <v>799.98593333333304</v>
      </c>
      <c r="AB225">
        <v>15.3644</v>
      </c>
      <c r="AC225">
        <v>14.27178</v>
      </c>
      <c r="AD225">
        <v>799.72633333333295</v>
      </c>
      <c r="AE225">
        <v>15.254713333333299</v>
      </c>
      <c r="AF225">
        <v>800.01006666666603</v>
      </c>
      <c r="AG225">
        <v>99.904253333333301</v>
      </c>
      <c r="AH225">
        <v>6.4626199999999995E-2</v>
      </c>
      <c r="AI225">
        <v>19.0024533333333</v>
      </c>
      <c r="AJ225">
        <v>999.9</v>
      </c>
      <c r="AK225">
        <v>999.9</v>
      </c>
      <c r="AL225">
        <v>0</v>
      </c>
      <c r="AM225">
        <v>0</v>
      </c>
      <c r="AN225">
        <v>5005.3333333333303</v>
      </c>
      <c r="AO225">
        <v>0</v>
      </c>
      <c r="AP225">
        <v>2.2583899999999999</v>
      </c>
      <c r="AQ225">
        <v>-1.1638839999999999</v>
      </c>
      <c r="AR225">
        <v>811.28706666666699</v>
      </c>
      <c r="AS225">
        <v>811.56859999999995</v>
      </c>
      <c r="AT225">
        <v>1.0926166666666699</v>
      </c>
      <c r="AU225">
        <v>799.98593333333304</v>
      </c>
      <c r="AV225">
        <v>14.27178</v>
      </c>
      <c r="AW225">
        <v>1.5349680000000001</v>
      </c>
      <c r="AX225">
        <v>1.4258093333333299</v>
      </c>
      <c r="AY225">
        <v>13.3209933333333</v>
      </c>
      <c r="AZ225">
        <v>12.1949533333333</v>
      </c>
      <c r="BA225">
        <v>800.00113333333297</v>
      </c>
      <c r="BB225">
        <v>0.89998180000000005</v>
      </c>
      <c r="BC225">
        <v>0</v>
      </c>
      <c r="BD225">
        <v>0.1000182</v>
      </c>
      <c r="BE225">
        <v>0</v>
      </c>
      <c r="BF225">
        <v>26</v>
      </c>
      <c r="BG225">
        <v>13190.973333333301</v>
      </c>
      <c r="BH225">
        <v>1771089189.0999999</v>
      </c>
      <c r="BI225" t="s">
        <v>673</v>
      </c>
      <c r="BJ225">
        <v>1771089167.0999999</v>
      </c>
      <c r="BK225">
        <v>1771089189.0999999</v>
      </c>
      <c r="BL225">
        <v>8</v>
      </c>
      <c r="BM225">
        <v>-2.4E-2</v>
      </c>
      <c r="BN225">
        <v>1.4999999999999999E-2</v>
      </c>
      <c r="BO225">
        <v>-0.90400000000000003</v>
      </c>
      <c r="BP225">
        <v>0.11</v>
      </c>
      <c r="BQ225">
        <v>800</v>
      </c>
      <c r="BR225">
        <v>15</v>
      </c>
      <c r="BS225">
        <v>0.32</v>
      </c>
      <c r="BT225">
        <v>0.08</v>
      </c>
      <c r="BU225">
        <v>-1.168363</v>
      </c>
      <c r="BV225">
        <v>-4.32721804511264E-2</v>
      </c>
      <c r="BW225">
        <v>3.8296246565427301E-2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1.0940080000000001</v>
      </c>
      <c r="CD225">
        <v>-3.9832781954887299E-2</v>
      </c>
      <c r="CE225">
        <v>3.9519876011951099E-3</v>
      </c>
      <c r="CF225">
        <v>1</v>
      </c>
      <c r="CG225">
        <v>2</v>
      </c>
      <c r="CH225">
        <v>2</v>
      </c>
      <c r="CI225" t="s">
        <v>310</v>
      </c>
      <c r="CJ225">
        <v>3.5325299999999999</v>
      </c>
      <c r="CK225">
        <v>2.7024699999999999</v>
      </c>
      <c r="CL225">
        <v>0.15701899999999999</v>
      </c>
      <c r="CM225">
        <v>0.154886</v>
      </c>
      <c r="CN225">
        <v>8.6731000000000003E-2</v>
      </c>
      <c r="CO225">
        <v>8.1363599999999994E-2</v>
      </c>
      <c r="CP225">
        <v>29564.400000000001</v>
      </c>
      <c r="CQ225">
        <v>26026.799999999999</v>
      </c>
      <c r="CR225">
        <v>32458.7</v>
      </c>
      <c r="CS225">
        <v>30722.5</v>
      </c>
      <c r="CT225">
        <v>40144.400000000001</v>
      </c>
      <c r="CU225">
        <v>39694.800000000003</v>
      </c>
      <c r="CV225">
        <v>47401.7</v>
      </c>
      <c r="CW225">
        <v>46854</v>
      </c>
      <c r="CX225">
        <v>2.6240600000000001</v>
      </c>
      <c r="CY225">
        <v>2.1421000000000001</v>
      </c>
      <c r="CZ225">
        <v>0</v>
      </c>
      <c r="DA225">
        <v>0</v>
      </c>
      <c r="DB225">
        <v>999.9</v>
      </c>
      <c r="DC225">
        <v>999.9</v>
      </c>
      <c r="DD225">
        <v>52.576000000000001</v>
      </c>
      <c r="DE225">
        <v>26.736999999999998</v>
      </c>
      <c r="DF225">
        <v>18.547899999999998</v>
      </c>
      <c r="DG225">
        <v>30.332000000000001</v>
      </c>
      <c r="DH225">
        <v>15.380599999999999</v>
      </c>
      <c r="DI225">
        <v>2</v>
      </c>
      <c r="DJ225">
        <v>-0.12639400000000001</v>
      </c>
      <c r="DK225">
        <v>2.4751500000000002</v>
      </c>
      <c r="DL225">
        <v>20.1921</v>
      </c>
      <c r="DM225">
        <v>5.2515499999999999</v>
      </c>
      <c r="DN225">
        <v>12.033899999999999</v>
      </c>
      <c r="DO225">
        <v>4.9672799999999997</v>
      </c>
      <c r="DP225">
        <v>3.2909999999999999</v>
      </c>
      <c r="DQ225">
        <v>9999</v>
      </c>
      <c r="DR225">
        <v>9999</v>
      </c>
      <c r="DS225">
        <v>9999</v>
      </c>
      <c r="DT225">
        <v>605</v>
      </c>
      <c r="DU225">
        <v>1.8711800000000001</v>
      </c>
      <c r="DV225">
        <v>1.8762099999999999</v>
      </c>
      <c r="DW225">
        <v>1.87636</v>
      </c>
      <c r="DX225">
        <v>1.88289</v>
      </c>
      <c r="DY225">
        <v>1.8756200000000001</v>
      </c>
      <c r="DZ225">
        <v>1.87469</v>
      </c>
      <c r="EA225">
        <v>1.87087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-0.90400000000000003</v>
      </c>
      <c r="EQ225">
        <v>0.10970000000000001</v>
      </c>
      <c r="ER225">
        <v>-0.90418181818176901</v>
      </c>
      <c r="ES225">
        <v>0</v>
      </c>
      <c r="ET225">
        <v>0</v>
      </c>
      <c r="EU225">
        <v>0</v>
      </c>
      <c r="EV225">
        <v>0.10966999999999801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6.2</v>
      </c>
      <c r="FE225">
        <v>5.8</v>
      </c>
      <c r="FF225">
        <v>2.1447799999999999</v>
      </c>
      <c r="FG225">
        <v>2.5781200000000002</v>
      </c>
      <c r="FH225">
        <v>2.19604</v>
      </c>
      <c r="FI225">
        <v>2.5781200000000002</v>
      </c>
      <c r="FJ225">
        <v>2.4462899999999999</v>
      </c>
      <c r="FK225">
        <v>2.3010299999999999</v>
      </c>
      <c r="FL225">
        <v>31.629799999999999</v>
      </c>
      <c r="FM225">
        <v>24.14</v>
      </c>
      <c r="FN225">
        <v>19</v>
      </c>
      <c r="FO225">
        <v>864.96500000000003</v>
      </c>
      <c r="FP225">
        <v>584.529</v>
      </c>
      <c r="FQ225">
        <v>17.8964</v>
      </c>
      <c r="FR225">
        <v>25.428899999999999</v>
      </c>
      <c r="FS225">
        <v>30.0002</v>
      </c>
      <c r="FT225">
        <v>25.407800000000002</v>
      </c>
      <c r="FU225">
        <v>25.408899999999999</v>
      </c>
      <c r="FV225">
        <v>43.0413</v>
      </c>
      <c r="FW225">
        <v>26.746300000000002</v>
      </c>
      <c r="FX225">
        <v>37.921999999999997</v>
      </c>
      <c r="FY225">
        <v>17.892900000000001</v>
      </c>
      <c r="FZ225">
        <v>800</v>
      </c>
      <c r="GA225">
        <v>14.338100000000001</v>
      </c>
      <c r="GB225">
        <v>99.883300000000006</v>
      </c>
      <c r="GC225">
        <v>99.741200000000006</v>
      </c>
    </row>
    <row r="226" spans="1:185" x14ac:dyDescent="0.2">
      <c r="A226">
        <v>211</v>
      </c>
      <c r="B226">
        <v>1771089551.0999999</v>
      </c>
      <c r="C226">
        <v>4231.0999999046298</v>
      </c>
      <c r="D226" t="s">
        <v>722</v>
      </c>
      <c r="E226" t="s">
        <v>723</v>
      </c>
      <c r="F226">
        <v>15</v>
      </c>
      <c r="G226">
        <v>1771089543.03333</v>
      </c>
      <c r="H226">
        <f t="shared" si="39"/>
        <v>8.7509131989779547E-4</v>
      </c>
      <c r="I226">
        <v>0</v>
      </c>
      <c r="J226">
        <f t="shared" si="51"/>
        <v>9.2144016911379512E-3</v>
      </c>
      <c r="K226">
        <f t="shared" si="40"/>
        <v>0.24976497448031729</v>
      </c>
      <c r="L226">
        <f t="shared" si="41"/>
        <v>69.635027673469168</v>
      </c>
      <c r="M226">
        <f t="shared" si="42"/>
        <v>1.5361032322564665</v>
      </c>
      <c r="N226">
        <f t="shared" si="43"/>
        <v>2.2059346905978456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26148.906137085913</v>
      </c>
      <c r="T226">
        <f t="shared" si="47"/>
        <v>799.99966666666705</v>
      </c>
      <c r="U226">
        <f t="shared" si="48"/>
        <v>674.40017499981025</v>
      </c>
      <c r="V226">
        <f t="shared" si="49"/>
        <v>0.84300056999999995</v>
      </c>
      <c r="W226">
        <f t="shared" si="50"/>
        <v>0.15870142500000001</v>
      </c>
      <c r="X226">
        <v>1</v>
      </c>
      <c r="Y226">
        <v>1771089543.03333</v>
      </c>
      <c r="Z226">
        <v>798.82320000000004</v>
      </c>
      <c r="AA226">
        <v>800.00919999999996</v>
      </c>
      <c r="AB226">
        <v>15.3658466666667</v>
      </c>
      <c r="AC226">
        <v>14.2888</v>
      </c>
      <c r="AD226">
        <v>799.72733333333304</v>
      </c>
      <c r="AE226">
        <v>15.2561866666667</v>
      </c>
      <c r="AF226">
        <v>800.006933333333</v>
      </c>
      <c r="AG226">
        <v>99.904093333333293</v>
      </c>
      <c r="AH226">
        <v>6.4575206666666704E-2</v>
      </c>
      <c r="AI226">
        <v>19.005479999999999</v>
      </c>
      <c r="AJ226">
        <v>999.9</v>
      </c>
      <c r="AK226">
        <v>999.9</v>
      </c>
      <c r="AL226">
        <v>0</v>
      </c>
      <c r="AM226">
        <v>0</v>
      </c>
      <c r="AN226">
        <v>4992.1333333333296</v>
      </c>
      <c r="AO226">
        <v>0</v>
      </c>
      <c r="AP226">
        <v>2.2583899999999999</v>
      </c>
      <c r="AQ226">
        <v>-1.18614466666667</v>
      </c>
      <c r="AR226">
        <v>811.28933333333305</v>
      </c>
      <c r="AS226">
        <v>811.60626666666701</v>
      </c>
      <c r="AT226">
        <v>1.0770519999999999</v>
      </c>
      <c r="AU226">
        <v>800.00919999999996</v>
      </c>
      <c r="AV226">
        <v>14.2888</v>
      </c>
      <c r="AW226">
        <v>1.5351113333333299</v>
      </c>
      <c r="AX226">
        <v>1.42750933333333</v>
      </c>
      <c r="AY226">
        <v>13.322433333333301</v>
      </c>
      <c r="AZ226">
        <v>12.213039999999999</v>
      </c>
      <c r="BA226">
        <v>799.99966666666705</v>
      </c>
      <c r="BB226">
        <v>0.89998100000000003</v>
      </c>
      <c r="BC226">
        <v>0</v>
      </c>
      <c r="BD226">
        <v>0.100019</v>
      </c>
      <c r="BE226">
        <v>0</v>
      </c>
      <c r="BF226">
        <v>26</v>
      </c>
      <c r="BG226">
        <v>13190.946666666699</v>
      </c>
      <c r="BH226">
        <v>1771089189.0999999</v>
      </c>
      <c r="BI226" t="s">
        <v>673</v>
      </c>
      <c r="BJ226">
        <v>1771089167.0999999</v>
      </c>
      <c r="BK226">
        <v>1771089189.0999999</v>
      </c>
      <c r="BL226">
        <v>8</v>
      </c>
      <c r="BM226">
        <v>-2.4E-2</v>
      </c>
      <c r="BN226">
        <v>1.4999999999999999E-2</v>
      </c>
      <c r="BO226">
        <v>-0.90400000000000003</v>
      </c>
      <c r="BP226">
        <v>0.11</v>
      </c>
      <c r="BQ226">
        <v>800</v>
      </c>
      <c r="BR226">
        <v>15</v>
      </c>
      <c r="BS226">
        <v>0.32</v>
      </c>
      <c r="BT226">
        <v>0.08</v>
      </c>
      <c r="BU226">
        <v>-1.1869623809523799</v>
      </c>
      <c r="BV226">
        <v>-0.11815402597402599</v>
      </c>
      <c r="BW226">
        <v>4.1844826147128998E-2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1.08022333333333</v>
      </c>
      <c r="CD226">
        <v>-7.3449350649351201E-3</v>
      </c>
      <c r="CE226">
        <v>1.10325243553229E-2</v>
      </c>
      <c r="CF226">
        <v>1</v>
      </c>
      <c r="CG226">
        <v>2</v>
      </c>
      <c r="CH226">
        <v>2</v>
      </c>
      <c r="CI226" t="s">
        <v>310</v>
      </c>
      <c r="CJ226">
        <v>3.53254</v>
      </c>
      <c r="CK226">
        <v>2.7022900000000001</v>
      </c>
      <c r="CL226">
        <v>0.15701799999999999</v>
      </c>
      <c r="CM226">
        <v>0.15488399999999999</v>
      </c>
      <c r="CN226">
        <v>8.6758500000000002E-2</v>
      </c>
      <c r="CO226">
        <v>8.1372399999999998E-2</v>
      </c>
      <c r="CP226">
        <v>29564.3</v>
      </c>
      <c r="CQ226">
        <v>26026.6</v>
      </c>
      <c r="CR226">
        <v>32458.6</v>
      </c>
      <c r="CS226">
        <v>30722.2</v>
      </c>
      <c r="CT226">
        <v>40143</v>
      </c>
      <c r="CU226">
        <v>39693.699999999997</v>
      </c>
      <c r="CV226">
        <v>47401.5</v>
      </c>
      <c r="CW226">
        <v>46853.1</v>
      </c>
      <c r="CX226">
        <v>2.62392</v>
      </c>
      <c r="CY226">
        <v>2.1415000000000002</v>
      </c>
      <c r="CZ226">
        <v>0</v>
      </c>
      <c r="DA226">
        <v>0</v>
      </c>
      <c r="DB226">
        <v>999.9</v>
      </c>
      <c r="DC226">
        <v>999.9</v>
      </c>
      <c r="DD226">
        <v>52.503</v>
      </c>
      <c r="DE226">
        <v>26.736999999999998</v>
      </c>
      <c r="DF226">
        <v>18.522200000000002</v>
      </c>
      <c r="DG226">
        <v>30.542000000000002</v>
      </c>
      <c r="DH226">
        <v>15.416700000000001</v>
      </c>
      <c r="DI226">
        <v>2</v>
      </c>
      <c r="DJ226">
        <v>-0.125972</v>
      </c>
      <c r="DK226">
        <v>2.5301300000000002</v>
      </c>
      <c r="DL226">
        <v>20.191199999999998</v>
      </c>
      <c r="DM226">
        <v>5.2513100000000001</v>
      </c>
      <c r="DN226">
        <v>12.033899999999999</v>
      </c>
      <c r="DO226">
        <v>4.9673600000000002</v>
      </c>
      <c r="DP226">
        <v>3.2909999999999999</v>
      </c>
      <c r="DQ226">
        <v>9999</v>
      </c>
      <c r="DR226">
        <v>9999</v>
      </c>
      <c r="DS226">
        <v>9999</v>
      </c>
      <c r="DT226">
        <v>605</v>
      </c>
      <c r="DU226">
        <v>1.8711800000000001</v>
      </c>
      <c r="DV226">
        <v>1.87622</v>
      </c>
      <c r="DW226">
        <v>1.8763700000000001</v>
      </c>
      <c r="DX226">
        <v>1.8829199999999999</v>
      </c>
      <c r="DY226">
        <v>1.87561</v>
      </c>
      <c r="DZ226">
        <v>1.87469</v>
      </c>
      <c r="EA226">
        <v>1.87087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-0.90500000000000003</v>
      </c>
      <c r="EQ226">
        <v>0.10970000000000001</v>
      </c>
      <c r="ER226">
        <v>-0.90418181818176901</v>
      </c>
      <c r="ES226">
        <v>0</v>
      </c>
      <c r="ET226">
        <v>0</v>
      </c>
      <c r="EU226">
        <v>0</v>
      </c>
      <c r="EV226">
        <v>0.10966999999999801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6.4</v>
      </c>
      <c r="FE226">
        <v>6</v>
      </c>
      <c r="FF226">
        <v>2.1447799999999999</v>
      </c>
      <c r="FG226">
        <v>2.5756800000000002</v>
      </c>
      <c r="FH226">
        <v>2.19604</v>
      </c>
      <c r="FI226">
        <v>2.5781200000000002</v>
      </c>
      <c r="FJ226">
        <v>2.4462899999999999</v>
      </c>
      <c r="FK226">
        <v>2.32544</v>
      </c>
      <c r="FL226">
        <v>31.651700000000002</v>
      </c>
      <c r="FM226">
        <v>24.148800000000001</v>
      </c>
      <c r="FN226">
        <v>19</v>
      </c>
      <c r="FO226">
        <v>864.88699999999994</v>
      </c>
      <c r="FP226">
        <v>584.11300000000006</v>
      </c>
      <c r="FQ226">
        <v>17.884899999999998</v>
      </c>
      <c r="FR226">
        <v>25.432400000000001</v>
      </c>
      <c r="FS226">
        <v>30.0002</v>
      </c>
      <c r="FT226">
        <v>25.411100000000001</v>
      </c>
      <c r="FU226">
        <v>25.4132</v>
      </c>
      <c r="FV226">
        <v>43.038699999999999</v>
      </c>
      <c r="FW226">
        <v>26.746300000000002</v>
      </c>
      <c r="FX226">
        <v>37.550800000000002</v>
      </c>
      <c r="FY226">
        <v>17.8764</v>
      </c>
      <c r="FZ226">
        <v>800</v>
      </c>
      <c r="GA226">
        <v>14.3407</v>
      </c>
      <c r="GB226">
        <v>99.883099999999999</v>
      </c>
      <c r="GC226">
        <v>99.739800000000002</v>
      </c>
    </row>
    <row r="227" spans="1:185" x14ac:dyDescent="0.2">
      <c r="A227">
        <v>212</v>
      </c>
      <c r="B227">
        <v>1771089566.0999999</v>
      </c>
      <c r="C227">
        <v>4246.0999999046298</v>
      </c>
      <c r="D227" t="s">
        <v>724</v>
      </c>
      <c r="E227" t="s">
        <v>725</v>
      </c>
      <c r="F227">
        <v>15</v>
      </c>
      <c r="G227">
        <v>1771089558.03333</v>
      </c>
      <c r="H227">
        <f t="shared" si="39"/>
        <v>8.8318333218871496E-4</v>
      </c>
      <c r="I227">
        <v>0</v>
      </c>
      <c r="J227">
        <f t="shared" si="51"/>
        <v>9.0570784000259582E-3</v>
      </c>
      <c r="K227">
        <f t="shared" si="40"/>
        <v>0.24550057955736337</v>
      </c>
      <c r="L227">
        <f t="shared" si="41"/>
        <v>69.651108515683475</v>
      </c>
      <c r="M227">
        <f t="shared" si="42"/>
        <v>1.5364643568291916</v>
      </c>
      <c r="N227">
        <f t="shared" si="43"/>
        <v>2.2059438673301557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26246.885125066819</v>
      </c>
      <c r="T227">
        <f t="shared" si="47"/>
        <v>799.99919999999997</v>
      </c>
      <c r="U227">
        <f t="shared" si="48"/>
        <v>674.39977519955039</v>
      </c>
      <c r="V227">
        <f t="shared" si="49"/>
        <v>0.84300056200000006</v>
      </c>
      <c r="W227">
        <f t="shared" si="50"/>
        <v>0.15870140499999996</v>
      </c>
      <c r="X227">
        <v>1</v>
      </c>
      <c r="Y227">
        <v>1771089558.03333</v>
      </c>
      <c r="Z227">
        <v>798.81726666666702</v>
      </c>
      <c r="AA227">
        <v>800.00599999999997</v>
      </c>
      <c r="AB227">
        <v>15.3694333333333</v>
      </c>
      <c r="AC227">
        <v>14.282439999999999</v>
      </c>
      <c r="AD227">
        <v>799.72133333333295</v>
      </c>
      <c r="AE227">
        <v>15.2597666666667</v>
      </c>
      <c r="AF227">
        <v>800.013466666667</v>
      </c>
      <c r="AG227">
        <v>99.904319999999998</v>
      </c>
      <c r="AH227">
        <v>6.4515773333333304E-2</v>
      </c>
      <c r="AI227">
        <v>19.005546666666699</v>
      </c>
      <c r="AJ227">
        <v>999.9</v>
      </c>
      <c r="AK227">
        <v>999.9</v>
      </c>
      <c r="AL227">
        <v>0</v>
      </c>
      <c r="AM227">
        <v>0</v>
      </c>
      <c r="AN227">
        <v>5008.3</v>
      </c>
      <c r="AO227">
        <v>0</v>
      </c>
      <c r="AP227">
        <v>2.2583899999999999</v>
      </c>
      <c r="AQ227">
        <v>-1.1887413333333301</v>
      </c>
      <c r="AR227">
        <v>811.28620000000001</v>
      </c>
      <c r="AS227">
        <v>811.59766666666701</v>
      </c>
      <c r="AT227">
        <v>1.0869913333333301</v>
      </c>
      <c r="AU227">
        <v>800.00599999999997</v>
      </c>
      <c r="AV227">
        <v>14.282439999999999</v>
      </c>
      <c r="AW227">
        <v>1.53547266666667</v>
      </c>
      <c r="AX227">
        <v>1.4268766666666699</v>
      </c>
      <c r="AY227">
        <v>13.3260533333333</v>
      </c>
      <c r="AZ227">
        <v>12.2063066666667</v>
      </c>
      <c r="BA227">
        <v>799.99919999999997</v>
      </c>
      <c r="BB227">
        <v>0.899981266666667</v>
      </c>
      <c r="BC227">
        <v>0</v>
      </c>
      <c r="BD227">
        <v>0.100018733333333</v>
      </c>
      <c r="BE227">
        <v>0</v>
      </c>
      <c r="BF227">
        <v>26</v>
      </c>
      <c r="BG227">
        <v>13190.9533333333</v>
      </c>
      <c r="BH227">
        <v>1771089189.0999999</v>
      </c>
      <c r="BI227" t="s">
        <v>673</v>
      </c>
      <c r="BJ227">
        <v>1771089167.0999999</v>
      </c>
      <c r="BK227">
        <v>1771089189.0999999</v>
      </c>
      <c r="BL227">
        <v>8</v>
      </c>
      <c r="BM227">
        <v>-2.4E-2</v>
      </c>
      <c r="BN227">
        <v>1.4999999999999999E-2</v>
      </c>
      <c r="BO227">
        <v>-0.90400000000000003</v>
      </c>
      <c r="BP227">
        <v>0.11</v>
      </c>
      <c r="BQ227">
        <v>800</v>
      </c>
      <c r="BR227">
        <v>15</v>
      </c>
      <c r="BS227">
        <v>0.32</v>
      </c>
      <c r="BT227">
        <v>0.08</v>
      </c>
      <c r="BU227">
        <v>-1.1941345000000001</v>
      </c>
      <c r="BV227">
        <v>-1.5906315789471E-2</v>
      </c>
      <c r="BW227">
        <v>3.1904372345338501E-2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1.087321</v>
      </c>
      <c r="CD227">
        <v>2.9702255639101499E-3</v>
      </c>
      <c r="CE227">
        <v>1.6934783730535199E-3</v>
      </c>
      <c r="CF227">
        <v>1</v>
      </c>
      <c r="CG227">
        <v>2</v>
      </c>
      <c r="CH227">
        <v>2</v>
      </c>
      <c r="CI227" t="s">
        <v>310</v>
      </c>
      <c r="CJ227">
        <v>3.5325199999999999</v>
      </c>
      <c r="CK227">
        <v>2.7019700000000002</v>
      </c>
      <c r="CL227">
        <v>0.15701100000000001</v>
      </c>
      <c r="CM227">
        <v>0.15487799999999999</v>
      </c>
      <c r="CN227">
        <v>8.6775699999999997E-2</v>
      </c>
      <c r="CO227">
        <v>8.1387699999999993E-2</v>
      </c>
      <c r="CP227">
        <v>29564.799999999999</v>
      </c>
      <c r="CQ227">
        <v>26026.799999999999</v>
      </c>
      <c r="CR227">
        <v>32458.9</v>
      </c>
      <c r="CS227">
        <v>30722.2</v>
      </c>
      <c r="CT227">
        <v>40142.5</v>
      </c>
      <c r="CU227">
        <v>39693.1</v>
      </c>
      <c r="CV227">
        <v>47401.8</v>
      </c>
      <c r="CW227">
        <v>46853.3</v>
      </c>
      <c r="CX227">
        <v>2.6238000000000001</v>
      </c>
      <c r="CY227">
        <v>2.1414800000000001</v>
      </c>
      <c r="CZ227">
        <v>0</v>
      </c>
      <c r="DA227">
        <v>0</v>
      </c>
      <c r="DB227">
        <v>999.9</v>
      </c>
      <c r="DC227">
        <v>999.9</v>
      </c>
      <c r="DD227">
        <v>52.454000000000001</v>
      </c>
      <c r="DE227">
        <v>26.757000000000001</v>
      </c>
      <c r="DF227">
        <v>18.525300000000001</v>
      </c>
      <c r="DG227">
        <v>30.032</v>
      </c>
      <c r="DH227">
        <v>15.488799999999999</v>
      </c>
      <c r="DI227">
        <v>2</v>
      </c>
      <c r="DJ227">
        <v>-0.12540200000000001</v>
      </c>
      <c r="DK227">
        <v>2.5740799999999999</v>
      </c>
      <c r="DL227">
        <v>20.1906</v>
      </c>
      <c r="DM227">
        <v>5.2510700000000003</v>
      </c>
      <c r="DN227">
        <v>12.033899999999999</v>
      </c>
      <c r="DO227">
        <v>4.9671599999999998</v>
      </c>
      <c r="DP227">
        <v>3.2909999999999999</v>
      </c>
      <c r="DQ227">
        <v>9999</v>
      </c>
      <c r="DR227">
        <v>9999</v>
      </c>
      <c r="DS227">
        <v>9999</v>
      </c>
      <c r="DT227">
        <v>605</v>
      </c>
      <c r="DU227">
        <v>1.8711800000000001</v>
      </c>
      <c r="DV227">
        <v>1.8762000000000001</v>
      </c>
      <c r="DW227">
        <v>1.8763700000000001</v>
      </c>
      <c r="DX227">
        <v>1.88289</v>
      </c>
      <c r="DY227">
        <v>1.87561</v>
      </c>
      <c r="DZ227">
        <v>1.8746799999999999</v>
      </c>
      <c r="EA227">
        <v>1.8708100000000001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-0.90500000000000003</v>
      </c>
      <c r="EQ227">
        <v>0.1096</v>
      </c>
      <c r="ER227">
        <v>-0.90418181818176901</v>
      </c>
      <c r="ES227">
        <v>0</v>
      </c>
      <c r="ET227">
        <v>0</v>
      </c>
      <c r="EU227">
        <v>0</v>
      </c>
      <c r="EV227">
        <v>0.10966999999999801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6.7</v>
      </c>
      <c r="FE227">
        <v>6.3</v>
      </c>
      <c r="FF227">
        <v>2.1447799999999999</v>
      </c>
      <c r="FG227">
        <v>2.5817899999999998</v>
      </c>
      <c r="FH227">
        <v>2.19604</v>
      </c>
      <c r="FI227">
        <v>2.5781200000000002</v>
      </c>
      <c r="FJ227">
        <v>2.4462899999999999</v>
      </c>
      <c r="FK227">
        <v>2.3156699999999999</v>
      </c>
      <c r="FL227">
        <v>31.651700000000002</v>
      </c>
      <c r="FM227">
        <v>24.148800000000001</v>
      </c>
      <c r="FN227">
        <v>19</v>
      </c>
      <c r="FO227">
        <v>864.82600000000002</v>
      </c>
      <c r="FP227">
        <v>584.12400000000002</v>
      </c>
      <c r="FQ227">
        <v>17.868600000000001</v>
      </c>
      <c r="FR227">
        <v>25.436599999999999</v>
      </c>
      <c r="FS227">
        <v>30.0002</v>
      </c>
      <c r="FT227">
        <v>25.414200000000001</v>
      </c>
      <c r="FU227">
        <v>25.415600000000001</v>
      </c>
      <c r="FV227">
        <v>43.040399999999998</v>
      </c>
      <c r="FW227">
        <v>26.746300000000002</v>
      </c>
      <c r="FX227">
        <v>37.550800000000002</v>
      </c>
      <c r="FY227">
        <v>17.859400000000001</v>
      </c>
      <c r="FZ227">
        <v>800</v>
      </c>
      <c r="GA227">
        <v>14.3393</v>
      </c>
      <c r="GB227">
        <v>99.883799999999994</v>
      </c>
      <c r="GC227">
        <v>99.74</v>
      </c>
    </row>
    <row r="228" spans="1:185" x14ac:dyDescent="0.2">
      <c r="A228">
        <v>213</v>
      </c>
      <c r="B228">
        <v>1771089581.0999999</v>
      </c>
      <c r="C228">
        <v>4261.0999999046298</v>
      </c>
      <c r="D228" t="s">
        <v>726</v>
      </c>
      <c r="E228" t="s">
        <v>727</v>
      </c>
      <c r="F228">
        <v>15</v>
      </c>
      <c r="G228">
        <v>1771089573.03333</v>
      </c>
      <c r="H228">
        <f t="shared" si="39"/>
        <v>8.836320168939568E-4</v>
      </c>
      <c r="I228">
        <v>0</v>
      </c>
      <c r="J228">
        <f t="shared" si="51"/>
        <v>8.5542316575301629E-3</v>
      </c>
      <c r="K228">
        <f t="shared" si="40"/>
        <v>0.23187044837611007</v>
      </c>
      <c r="L228">
        <f t="shared" si="41"/>
        <v>69.669218810592284</v>
      </c>
      <c r="M228">
        <f t="shared" si="42"/>
        <v>1.536900302353283</v>
      </c>
      <c r="N228">
        <f t="shared" si="43"/>
        <v>2.2059961753433894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26171.7211029969</v>
      </c>
      <c r="T228">
        <f t="shared" si="47"/>
        <v>799.99940000000004</v>
      </c>
      <c r="U228">
        <f t="shared" si="48"/>
        <v>674.39997899963635</v>
      </c>
      <c r="V228">
        <f t="shared" si="49"/>
        <v>0.84300060599999993</v>
      </c>
      <c r="W228">
        <f t="shared" si="50"/>
        <v>0.15870151500000002</v>
      </c>
      <c r="X228">
        <v>1</v>
      </c>
      <c r="Y228">
        <v>1771089573.03333</v>
      </c>
      <c r="Z228">
        <v>798.80179999999996</v>
      </c>
      <c r="AA228">
        <v>799.97393333333298</v>
      </c>
      <c r="AB228">
        <v>15.373846666666701</v>
      </c>
      <c r="AC228">
        <v>14.286300000000001</v>
      </c>
      <c r="AD228">
        <v>799.70600000000002</v>
      </c>
      <c r="AE228">
        <v>15.264186666666699</v>
      </c>
      <c r="AF228">
        <v>800.00906666666697</v>
      </c>
      <c r="AG228">
        <v>99.904226666666702</v>
      </c>
      <c r="AH228">
        <v>6.4267599999999994E-2</v>
      </c>
      <c r="AI228">
        <v>19.005926666666699</v>
      </c>
      <c r="AJ228">
        <v>999.9</v>
      </c>
      <c r="AK228">
        <v>999.9</v>
      </c>
      <c r="AL228">
        <v>0</v>
      </c>
      <c r="AM228">
        <v>0</v>
      </c>
      <c r="AN228">
        <v>4995.8999999999996</v>
      </c>
      <c r="AO228">
        <v>0</v>
      </c>
      <c r="AP228">
        <v>2.2583899999999999</v>
      </c>
      <c r="AQ228">
        <v>-1.1720553333333299</v>
      </c>
      <c r="AR228">
        <v>811.27426666666702</v>
      </c>
      <c r="AS228">
        <v>811.56813333333298</v>
      </c>
      <c r="AT228">
        <v>1.0875426666666701</v>
      </c>
      <c r="AU228">
        <v>799.97393333333298</v>
      </c>
      <c r="AV228">
        <v>14.286300000000001</v>
      </c>
      <c r="AW228">
        <v>1.53591266666667</v>
      </c>
      <c r="AX228">
        <v>1.427262</v>
      </c>
      <c r="AY228">
        <v>13.3304266666667</v>
      </c>
      <c r="AZ228">
        <v>12.210426666666701</v>
      </c>
      <c r="BA228">
        <v>799.99940000000004</v>
      </c>
      <c r="BB228">
        <v>0.8999798</v>
      </c>
      <c r="BC228">
        <v>0</v>
      </c>
      <c r="BD228">
        <v>0.1000202</v>
      </c>
      <c r="BE228">
        <v>0</v>
      </c>
      <c r="BF228">
        <v>26</v>
      </c>
      <c r="BG228">
        <v>13190.94</v>
      </c>
      <c r="BH228">
        <v>1771089189.0999999</v>
      </c>
      <c r="BI228" t="s">
        <v>673</v>
      </c>
      <c r="BJ228">
        <v>1771089167.0999999</v>
      </c>
      <c r="BK228">
        <v>1771089189.0999999</v>
      </c>
      <c r="BL228">
        <v>8</v>
      </c>
      <c r="BM228">
        <v>-2.4E-2</v>
      </c>
      <c r="BN228">
        <v>1.4999999999999999E-2</v>
      </c>
      <c r="BO228">
        <v>-0.90400000000000003</v>
      </c>
      <c r="BP228">
        <v>0.11</v>
      </c>
      <c r="BQ228">
        <v>800</v>
      </c>
      <c r="BR228">
        <v>15</v>
      </c>
      <c r="BS228">
        <v>0.32</v>
      </c>
      <c r="BT228">
        <v>0.08</v>
      </c>
      <c r="BU228">
        <v>-1.1794619047618999</v>
      </c>
      <c r="BV228">
        <v>6.6783896103895596E-2</v>
      </c>
      <c r="BW228">
        <v>2.2803849846033699E-2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1.0877347619047599</v>
      </c>
      <c r="CD228">
        <v>4.4438961038957003E-3</v>
      </c>
      <c r="CE228">
        <v>1.8809435804495701E-3</v>
      </c>
      <c r="CF228">
        <v>1</v>
      </c>
      <c r="CG228">
        <v>2</v>
      </c>
      <c r="CH228">
        <v>2</v>
      </c>
      <c r="CI228" t="s">
        <v>310</v>
      </c>
      <c r="CJ228">
        <v>3.5325199999999999</v>
      </c>
      <c r="CK228">
        <v>2.7021799999999998</v>
      </c>
      <c r="CL228">
        <v>0.15700800000000001</v>
      </c>
      <c r="CM228">
        <v>0.15488399999999999</v>
      </c>
      <c r="CN228">
        <v>8.6791199999999999E-2</v>
      </c>
      <c r="CO228">
        <v>8.1403299999999998E-2</v>
      </c>
      <c r="CP228">
        <v>29563.7</v>
      </c>
      <c r="CQ228">
        <v>26025.8</v>
      </c>
      <c r="CR228">
        <v>32457.5</v>
      </c>
      <c r="CS228">
        <v>30721.4</v>
      </c>
      <c r="CT228">
        <v>40140.1</v>
      </c>
      <c r="CU228">
        <v>39691.699999999997</v>
      </c>
      <c r="CV228">
        <v>47399.8</v>
      </c>
      <c r="CW228">
        <v>46852.5</v>
      </c>
      <c r="CX228">
        <v>2.62378</v>
      </c>
      <c r="CY228">
        <v>2.1414399999999998</v>
      </c>
      <c r="CZ228">
        <v>0</v>
      </c>
      <c r="DA228">
        <v>0</v>
      </c>
      <c r="DB228">
        <v>999.9</v>
      </c>
      <c r="DC228">
        <v>999.9</v>
      </c>
      <c r="DD228">
        <v>52.405000000000001</v>
      </c>
      <c r="DE228">
        <v>26.766999999999999</v>
      </c>
      <c r="DF228">
        <v>18.519300000000001</v>
      </c>
      <c r="DG228">
        <v>30.091999999999999</v>
      </c>
      <c r="DH228">
        <v>15.5128</v>
      </c>
      <c r="DI228">
        <v>2</v>
      </c>
      <c r="DJ228">
        <v>-0.12514400000000001</v>
      </c>
      <c r="DK228">
        <v>2.6033400000000002</v>
      </c>
      <c r="DL228">
        <v>20.190200000000001</v>
      </c>
      <c r="DM228">
        <v>5.2513100000000001</v>
      </c>
      <c r="DN228">
        <v>12.033899999999999</v>
      </c>
      <c r="DO228">
        <v>4.9674800000000001</v>
      </c>
      <c r="DP228">
        <v>3.2909999999999999</v>
      </c>
      <c r="DQ228">
        <v>9999</v>
      </c>
      <c r="DR228">
        <v>9999</v>
      </c>
      <c r="DS228">
        <v>9999</v>
      </c>
      <c r="DT228">
        <v>605</v>
      </c>
      <c r="DU228">
        <v>1.8711899999999999</v>
      </c>
      <c r="DV228">
        <v>1.87622</v>
      </c>
      <c r="DW228">
        <v>1.8763700000000001</v>
      </c>
      <c r="DX228">
        <v>1.8829199999999999</v>
      </c>
      <c r="DY228">
        <v>1.8756299999999999</v>
      </c>
      <c r="DZ228">
        <v>1.87469</v>
      </c>
      <c r="EA228">
        <v>1.8708800000000001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-0.90400000000000003</v>
      </c>
      <c r="EQ228">
        <v>0.10970000000000001</v>
      </c>
      <c r="ER228">
        <v>-0.90418181818176901</v>
      </c>
      <c r="ES228">
        <v>0</v>
      </c>
      <c r="ET228">
        <v>0</v>
      </c>
      <c r="EU228">
        <v>0</v>
      </c>
      <c r="EV228">
        <v>0.10966999999999801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6.9</v>
      </c>
      <c r="FE228">
        <v>6.5</v>
      </c>
      <c r="FF228">
        <v>2.1447799999999999</v>
      </c>
      <c r="FG228">
        <v>2.5805699999999998</v>
      </c>
      <c r="FH228">
        <v>2.19604</v>
      </c>
      <c r="FI228">
        <v>2.5781200000000002</v>
      </c>
      <c r="FJ228">
        <v>2.4462899999999999</v>
      </c>
      <c r="FK228">
        <v>2.3156699999999999</v>
      </c>
      <c r="FL228">
        <v>31.651700000000002</v>
      </c>
      <c r="FM228">
        <v>24.14</v>
      </c>
      <c r="FN228">
        <v>19</v>
      </c>
      <c r="FO228">
        <v>864.87400000000002</v>
      </c>
      <c r="FP228">
        <v>584.13800000000003</v>
      </c>
      <c r="FQ228">
        <v>17.848700000000001</v>
      </c>
      <c r="FR228">
        <v>25.440999999999999</v>
      </c>
      <c r="FS228">
        <v>30.0002</v>
      </c>
      <c r="FT228">
        <v>25.418399999999998</v>
      </c>
      <c r="FU228">
        <v>25.419499999999999</v>
      </c>
      <c r="FV228">
        <v>43.039200000000001</v>
      </c>
      <c r="FW228">
        <v>26.746300000000002</v>
      </c>
      <c r="FX228">
        <v>37.550800000000002</v>
      </c>
      <c r="FY228">
        <v>17.842500000000001</v>
      </c>
      <c r="FZ228">
        <v>800</v>
      </c>
      <c r="GA228">
        <v>14.3367</v>
      </c>
      <c r="GB228">
        <v>99.879599999999996</v>
      </c>
      <c r="GC228">
        <v>99.737899999999996</v>
      </c>
    </row>
    <row r="229" spans="1:185" x14ac:dyDescent="0.2">
      <c r="A229">
        <v>214</v>
      </c>
      <c r="B229">
        <v>1771089596.0999999</v>
      </c>
      <c r="C229">
        <v>4276.0999999046298</v>
      </c>
      <c r="D229" t="s">
        <v>728</v>
      </c>
      <c r="E229" t="s">
        <v>729</v>
      </c>
      <c r="F229">
        <v>15</v>
      </c>
      <c r="G229">
        <v>1771089588.03333</v>
      </c>
      <c r="H229">
        <f t="shared" si="39"/>
        <v>8.8930071625681676E-4</v>
      </c>
      <c r="I229">
        <v>0</v>
      </c>
      <c r="J229">
        <f t="shared" si="51"/>
        <v>9.5857649165318609E-3</v>
      </c>
      <c r="K229">
        <f t="shared" si="40"/>
        <v>0.25983112197664848</v>
      </c>
      <c r="L229">
        <f t="shared" si="41"/>
        <v>69.687743710584186</v>
      </c>
      <c r="M229">
        <f t="shared" si="42"/>
        <v>1.5368798953681322</v>
      </c>
      <c r="N229">
        <f t="shared" si="43"/>
        <v>2.2053804780232977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26229.214921555951</v>
      </c>
      <c r="T229">
        <f t="shared" si="47"/>
        <v>799.99993333333305</v>
      </c>
      <c r="U229">
        <f t="shared" si="48"/>
        <v>674.40037419996384</v>
      </c>
      <c r="V229">
        <f t="shared" si="49"/>
        <v>0.84300053799999997</v>
      </c>
      <c r="W229">
        <f t="shared" si="50"/>
        <v>0.15870134499999999</v>
      </c>
      <c r="X229">
        <v>1</v>
      </c>
      <c r="Y229">
        <v>1771089588.03333</v>
      </c>
      <c r="Z229">
        <v>798.79600000000005</v>
      </c>
      <c r="AA229">
        <v>800.008733333333</v>
      </c>
      <c r="AB229">
        <v>15.3736533333333</v>
      </c>
      <c r="AC229">
        <v>14.2791333333333</v>
      </c>
      <c r="AD229">
        <v>799.70026666666695</v>
      </c>
      <c r="AE229">
        <v>15.26398</v>
      </c>
      <c r="AF229">
        <v>800.01179999999999</v>
      </c>
      <c r="AG229">
        <v>99.904046666666702</v>
      </c>
      <c r="AH229">
        <v>6.4377366666666699E-2</v>
      </c>
      <c r="AI229">
        <v>19.001453333333298</v>
      </c>
      <c r="AJ229">
        <v>999.9</v>
      </c>
      <c r="AK229">
        <v>999.9</v>
      </c>
      <c r="AL229">
        <v>0</v>
      </c>
      <c r="AM229">
        <v>0</v>
      </c>
      <c r="AN229">
        <v>5005.3333333333303</v>
      </c>
      <c r="AO229">
        <v>0</v>
      </c>
      <c r="AP229">
        <v>2.2583899999999999</v>
      </c>
      <c r="AQ229">
        <v>-1.2126473333333301</v>
      </c>
      <c r="AR229">
        <v>811.26813333333303</v>
      </c>
      <c r="AS229">
        <v>811.59766666666701</v>
      </c>
      <c r="AT229">
        <v>1.0945146666666701</v>
      </c>
      <c r="AU229">
        <v>800.008733333333</v>
      </c>
      <c r="AV229">
        <v>14.2791333333333</v>
      </c>
      <c r="AW229">
        <v>1.53588866666667</v>
      </c>
      <c r="AX229">
        <v>1.4265426666666701</v>
      </c>
      <c r="AY229">
        <v>13.3302</v>
      </c>
      <c r="AZ229">
        <v>12.20274</v>
      </c>
      <c r="BA229">
        <v>799.99993333333305</v>
      </c>
      <c r="BB229">
        <v>0.89998206666666702</v>
      </c>
      <c r="BC229">
        <v>0</v>
      </c>
      <c r="BD229">
        <v>0.100017933333333</v>
      </c>
      <c r="BE229">
        <v>0</v>
      </c>
      <c r="BF229">
        <v>26</v>
      </c>
      <c r="BG229">
        <v>13190.96</v>
      </c>
      <c r="BH229">
        <v>1771089189.0999999</v>
      </c>
      <c r="BI229" t="s">
        <v>673</v>
      </c>
      <c r="BJ229">
        <v>1771089167.0999999</v>
      </c>
      <c r="BK229">
        <v>1771089189.0999999</v>
      </c>
      <c r="BL229">
        <v>8</v>
      </c>
      <c r="BM229">
        <v>-2.4E-2</v>
      </c>
      <c r="BN229">
        <v>1.4999999999999999E-2</v>
      </c>
      <c r="BO229">
        <v>-0.90400000000000003</v>
      </c>
      <c r="BP229">
        <v>0.11</v>
      </c>
      <c r="BQ229">
        <v>800</v>
      </c>
      <c r="BR229">
        <v>15</v>
      </c>
      <c r="BS229">
        <v>0.32</v>
      </c>
      <c r="BT229">
        <v>0.08</v>
      </c>
      <c r="BU229">
        <v>-1.2065619999999999</v>
      </c>
      <c r="BV229">
        <v>-8.84003007518777E-2</v>
      </c>
      <c r="BW229">
        <v>3.8598184879602801E-2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1.0931070000000001</v>
      </c>
      <c r="CD229">
        <v>6.47458646616558E-2</v>
      </c>
      <c r="CE229">
        <v>8.6933653437549704E-3</v>
      </c>
      <c r="CF229">
        <v>1</v>
      </c>
      <c r="CG229">
        <v>2</v>
      </c>
      <c r="CH229">
        <v>2</v>
      </c>
      <c r="CI229" t="s">
        <v>310</v>
      </c>
      <c r="CJ229">
        <v>3.5325000000000002</v>
      </c>
      <c r="CK229">
        <v>2.7023199999999998</v>
      </c>
      <c r="CL229">
        <v>0.15700600000000001</v>
      </c>
      <c r="CM229">
        <v>0.15487500000000001</v>
      </c>
      <c r="CN229">
        <v>8.6757600000000004E-2</v>
      </c>
      <c r="CO229">
        <v>8.1340599999999999E-2</v>
      </c>
      <c r="CP229">
        <v>29564.5</v>
      </c>
      <c r="CQ229">
        <v>26026.400000000001</v>
      </c>
      <c r="CR229">
        <v>32458.3</v>
      </c>
      <c r="CS229">
        <v>30721.8</v>
      </c>
      <c r="CT229">
        <v>40142.6</v>
      </c>
      <c r="CU229">
        <v>39695</v>
      </c>
      <c r="CV229">
        <v>47401</v>
      </c>
      <c r="CW229">
        <v>46853.1</v>
      </c>
      <c r="CX229">
        <v>2.6238000000000001</v>
      </c>
      <c r="CY229">
        <v>2.1412200000000001</v>
      </c>
      <c r="CZ229">
        <v>0</v>
      </c>
      <c r="DA229">
        <v>0</v>
      </c>
      <c r="DB229">
        <v>999.9</v>
      </c>
      <c r="DC229">
        <v>999.9</v>
      </c>
      <c r="DD229">
        <v>52.332000000000001</v>
      </c>
      <c r="DE229">
        <v>26.777999999999999</v>
      </c>
      <c r="DF229">
        <v>18.505299999999998</v>
      </c>
      <c r="DG229">
        <v>30.152000000000001</v>
      </c>
      <c r="DH229">
        <v>15.536899999999999</v>
      </c>
      <c r="DI229">
        <v>2</v>
      </c>
      <c r="DJ229">
        <v>-0.12481299999999999</v>
      </c>
      <c r="DK229">
        <v>2.5901000000000001</v>
      </c>
      <c r="DL229">
        <v>20.1904</v>
      </c>
      <c r="DM229">
        <v>5.2515499999999999</v>
      </c>
      <c r="DN229">
        <v>12.033899999999999</v>
      </c>
      <c r="DO229">
        <v>4.9674399999999999</v>
      </c>
      <c r="DP229">
        <v>3.2909999999999999</v>
      </c>
      <c r="DQ229">
        <v>9999</v>
      </c>
      <c r="DR229">
        <v>9999</v>
      </c>
      <c r="DS229">
        <v>9999</v>
      </c>
      <c r="DT229">
        <v>605</v>
      </c>
      <c r="DU229">
        <v>1.8711800000000001</v>
      </c>
      <c r="DV229">
        <v>1.87622</v>
      </c>
      <c r="DW229">
        <v>1.8763700000000001</v>
      </c>
      <c r="DX229">
        <v>1.8829199999999999</v>
      </c>
      <c r="DY229">
        <v>1.87561</v>
      </c>
      <c r="DZ229">
        <v>1.87469</v>
      </c>
      <c r="EA229">
        <v>1.87086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-0.90400000000000003</v>
      </c>
      <c r="EQ229">
        <v>0.10970000000000001</v>
      </c>
      <c r="ER229">
        <v>-0.90418181818176901</v>
      </c>
      <c r="ES229">
        <v>0</v>
      </c>
      <c r="ET229">
        <v>0</v>
      </c>
      <c r="EU229">
        <v>0</v>
      </c>
      <c r="EV229">
        <v>0.10966999999999801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7.2</v>
      </c>
      <c r="FE229">
        <v>6.8</v>
      </c>
      <c r="FF229">
        <v>2.1447799999999999</v>
      </c>
      <c r="FG229">
        <v>2.5866699999999998</v>
      </c>
      <c r="FH229">
        <v>2.19604</v>
      </c>
      <c r="FI229">
        <v>2.5781200000000002</v>
      </c>
      <c r="FJ229">
        <v>2.4462899999999999</v>
      </c>
      <c r="FK229">
        <v>2.3120099999999999</v>
      </c>
      <c r="FL229">
        <v>31.651700000000002</v>
      </c>
      <c r="FM229">
        <v>24.14</v>
      </c>
      <c r="FN229">
        <v>19</v>
      </c>
      <c r="FO229">
        <v>864.93399999999997</v>
      </c>
      <c r="FP229">
        <v>584.005</v>
      </c>
      <c r="FQ229">
        <v>17.8399</v>
      </c>
      <c r="FR229">
        <v>25.4452</v>
      </c>
      <c r="FS229">
        <v>30.0002</v>
      </c>
      <c r="FT229">
        <v>25.420999999999999</v>
      </c>
      <c r="FU229">
        <v>25.422799999999999</v>
      </c>
      <c r="FV229">
        <v>43.042900000000003</v>
      </c>
      <c r="FW229">
        <v>26.465499999999999</v>
      </c>
      <c r="FX229">
        <v>37.177199999999999</v>
      </c>
      <c r="FY229">
        <v>17.8385</v>
      </c>
      <c r="FZ229">
        <v>800</v>
      </c>
      <c r="GA229">
        <v>14.3428</v>
      </c>
      <c r="GB229">
        <v>99.882099999999994</v>
      </c>
      <c r="GC229">
        <v>99.739099999999993</v>
      </c>
    </row>
    <row r="230" spans="1:185" x14ac:dyDescent="0.2">
      <c r="A230">
        <v>215</v>
      </c>
      <c r="B230">
        <v>1771089611.0999999</v>
      </c>
      <c r="C230">
        <v>4291.0999999046298</v>
      </c>
      <c r="D230" t="s">
        <v>730</v>
      </c>
      <c r="E230" t="s">
        <v>731</v>
      </c>
      <c r="F230">
        <v>15</v>
      </c>
      <c r="G230">
        <v>1771089603.03333</v>
      </c>
      <c r="H230">
        <f t="shared" si="39"/>
        <v>8.8317261705505743E-4</v>
      </c>
      <c r="I230">
        <v>0</v>
      </c>
      <c r="J230">
        <f t="shared" si="51"/>
        <v>9.7059267211359167E-3</v>
      </c>
      <c r="K230">
        <f t="shared" si="40"/>
        <v>0.26308822005707028</v>
      </c>
      <c r="L230">
        <f t="shared" si="41"/>
        <v>69.68953803364974</v>
      </c>
      <c r="M230">
        <f t="shared" si="42"/>
        <v>1.5364975268716545</v>
      </c>
      <c r="N230">
        <f t="shared" si="43"/>
        <v>2.204775021079568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26173.927593064691</v>
      </c>
      <c r="T230">
        <f t="shared" si="47"/>
        <v>800.00073333333296</v>
      </c>
      <c r="U230">
        <f t="shared" si="48"/>
        <v>674.40109180043373</v>
      </c>
      <c r="V230">
        <f t="shared" si="49"/>
        <v>0.84300059199999988</v>
      </c>
      <c r="W230">
        <f t="shared" si="50"/>
        <v>0.15870147999999998</v>
      </c>
      <c r="X230">
        <v>1</v>
      </c>
      <c r="Y230">
        <v>1771089603.03333</v>
      </c>
      <c r="Z230">
        <v>798.78053333333298</v>
      </c>
      <c r="AA230">
        <v>799.99120000000005</v>
      </c>
      <c r="AB230">
        <v>15.3698933333333</v>
      </c>
      <c r="AC230">
        <v>14.282913333333299</v>
      </c>
      <c r="AD230">
        <v>799.68473333333304</v>
      </c>
      <c r="AE230">
        <v>15.2601933333333</v>
      </c>
      <c r="AF230">
        <v>800.01319999999998</v>
      </c>
      <c r="AG230">
        <v>99.903446666666696</v>
      </c>
      <c r="AH230">
        <v>6.4555293333333305E-2</v>
      </c>
      <c r="AI230">
        <v>18.997053333333302</v>
      </c>
      <c r="AJ230">
        <v>999.9</v>
      </c>
      <c r="AK230">
        <v>999.9</v>
      </c>
      <c r="AL230">
        <v>0</v>
      </c>
      <c r="AM230">
        <v>0</v>
      </c>
      <c r="AN230">
        <v>4996.1666666666697</v>
      </c>
      <c r="AO230">
        <v>0</v>
      </c>
      <c r="AP230">
        <v>2.2583899999999999</v>
      </c>
      <c r="AQ230">
        <v>-1.2106760000000001</v>
      </c>
      <c r="AR230">
        <v>811.24940000000004</v>
      </c>
      <c r="AS230">
        <v>811.58293333333302</v>
      </c>
      <c r="AT230">
        <v>1.08696533333333</v>
      </c>
      <c r="AU230">
        <v>799.99120000000005</v>
      </c>
      <c r="AV230">
        <v>14.282913333333299</v>
      </c>
      <c r="AW230">
        <v>1.5355033333333299</v>
      </c>
      <c r="AX230">
        <v>1.426912</v>
      </c>
      <c r="AY230">
        <v>13.3263466666667</v>
      </c>
      <c r="AZ230">
        <v>12.20668</v>
      </c>
      <c r="BA230">
        <v>800.00073333333296</v>
      </c>
      <c r="BB230">
        <v>0.89998026666666697</v>
      </c>
      <c r="BC230">
        <v>0</v>
      </c>
      <c r="BD230">
        <v>0.100019733333333</v>
      </c>
      <c r="BE230">
        <v>0</v>
      </c>
      <c r="BF230">
        <v>26</v>
      </c>
      <c r="BG230">
        <v>13190.9666666667</v>
      </c>
      <c r="BH230">
        <v>1771089189.0999999</v>
      </c>
      <c r="BI230" t="s">
        <v>673</v>
      </c>
      <c r="BJ230">
        <v>1771089167.0999999</v>
      </c>
      <c r="BK230">
        <v>1771089189.0999999</v>
      </c>
      <c r="BL230">
        <v>8</v>
      </c>
      <c r="BM230">
        <v>-2.4E-2</v>
      </c>
      <c r="BN230">
        <v>1.4999999999999999E-2</v>
      </c>
      <c r="BO230">
        <v>-0.90400000000000003</v>
      </c>
      <c r="BP230">
        <v>0.11</v>
      </c>
      <c r="BQ230">
        <v>800</v>
      </c>
      <c r="BR230">
        <v>15</v>
      </c>
      <c r="BS230">
        <v>0.32</v>
      </c>
      <c r="BT230">
        <v>0.08</v>
      </c>
      <c r="BU230">
        <v>-1.2133814285714299</v>
      </c>
      <c r="BV230">
        <v>-7.5148051948051202E-3</v>
      </c>
      <c r="BW230">
        <v>2.8769872847711198E-2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1.09195714285714</v>
      </c>
      <c r="CD230">
        <v>-6.9931168831165902E-2</v>
      </c>
      <c r="CE230">
        <v>9.1576978510962397E-3</v>
      </c>
      <c r="CF230">
        <v>1</v>
      </c>
      <c r="CG230">
        <v>2</v>
      </c>
      <c r="CH230">
        <v>2</v>
      </c>
      <c r="CI230" t="s">
        <v>310</v>
      </c>
      <c r="CJ230">
        <v>3.5325199999999999</v>
      </c>
      <c r="CK230">
        <v>2.70234</v>
      </c>
      <c r="CL230">
        <v>0.15700500000000001</v>
      </c>
      <c r="CM230">
        <v>0.15487899999999999</v>
      </c>
      <c r="CN230">
        <v>8.6770399999999998E-2</v>
      </c>
      <c r="CO230">
        <v>8.1393099999999996E-2</v>
      </c>
      <c r="CP230">
        <v>29563.9</v>
      </c>
      <c r="CQ230">
        <v>26025.9</v>
      </c>
      <c r="CR230">
        <v>32457.7</v>
      </c>
      <c r="CS230">
        <v>30721.4</v>
      </c>
      <c r="CT230">
        <v>40141.199999999997</v>
      </c>
      <c r="CU230">
        <v>39691.9</v>
      </c>
      <c r="CV230">
        <v>47400</v>
      </c>
      <c r="CW230">
        <v>46852.2</v>
      </c>
      <c r="CX230">
        <v>2.62358</v>
      </c>
      <c r="CY230">
        <v>2.1411799999999999</v>
      </c>
      <c r="CZ230">
        <v>0</v>
      </c>
      <c r="DA230">
        <v>0</v>
      </c>
      <c r="DB230">
        <v>999.9</v>
      </c>
      <c r="DC230">
        <v>999.9</v>
      </c>
      <c r="DD230">
        <v>52.265000000000001</v>
      </c>
      <c r="DE230">
        <v>26.797999999999998</v>
      </c>
      <c r="DF230">
        <v>18.503699999999998</v>
      </c>
      <c r="DG230">
        <v>29.792000000000002</v>
      </c>
      <c r="DH230">
        <v>15.464700000000001</v>
      </c>
      <c r="DI230">
        <v>2</v>
      </c>
      <c r="DJ230">
        <v>-0.12501200000000001</v>
      </c>
      <c r="DK230">
        <v>2.4894500000000002</v>
      </c>
      <c r="DL230">
        <v>20.1922</v>
      </c>
      <c r="DM230">
        <v>5.25143</v>
      </c>
      <c r="DN230">
        <v>12.033899999999999</v>
      </c>
      <c r="DO230">
        <v>4.9672799999999997</v>
      </c>
      <c r="DP230">
        <v>3.2909999999999999</v>
      </c>
      <c r="DQ230">
        <v>9999</v>
      </c>
      <c r="DR230">
        <v>9999</v>
      </c>
      <c r="DS230">
        <v>9999</v>
      </c>
      <c r="DT230">
        <v>605</v>
      </c>
      <c r="DU230">
        <v>1.8711899999999999</v>
      </c>
      <c r="DV230">
        <v>1.87622</v>
      </c>
      <c r="DW230">
        <v>1.8763700000000001</v>
      </c>
      <c r="DX230">
        <v>1.88293</v>
      </c>
      <c r="DY230">
        <v>1.8756299999999999</v>
      </c>
      <c r="DZ230">
        <v>1.87469</v>
      </c>
      <c r="EA230">
        <v>1.87087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-0.90400000000000003</v>
      </c>
      <c r="EQ230">
        <v>0.10970000000000001</v>
      </c>
      <c r="ER230">
        <v>-0.90418181818176901</v>
      </c>
      <c r="ES230">
        <v>0</v>
      </c>
      <c r="ET230">
        <v>0</v>
      </c>
      <c r="EU230">
        <v>0</v>
      </c>
      <c r="EV230">
        <v>0.10966999999999801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7.4</v>
      </c>
      <c r="FE230">
        <v>7</v>
      </c>
      <c r="FF230">
        <v>2.1447799999999999</v>
      </c>
      <c r="FG230">
        <v>2.5854499999999998</v>
      </c>
      <c r="FH230">
        <v>2.19604</v>
      </c>
      <c r="FI230">
        <v>2.5781200000000002</v>
      </c>
      <c r="FJ230">
        <v>2.4462899999999999</v>
      </c>
      <c r="FK230">
        <v>2.2814899999999998</v>
      </c>
      <c r="FL230">
        <v>31.651700000000002</v>
      </c>
      <c r="FM230">
        <v>24.14</v>
      </c>
      <c r="FN230">
        <v>19</v>
      </c>
      <c r="FO230">
        <v>864.79300000000001</v>
      </c>
      <c r="FP230">
        <v>584.01</v>
      </c>
      <c r="FQ230">
        <v>17.876100000000001</v>
      </c>
      <c r="FR230">
        <v>25.4495</v>
      </c>
      <c r="FS230">
        <v>30.0001</v>
      </c>
      <c r="FT230">
        <v>25.424900000000001</v>
      </c>
      <c r="FU230">
        <v>25.425999999999998</v>
      </c>
      <c r="FV230">
        <v>43.043300000000002</v>
      </c>
      <c r="FW230">
        <v>26.465499999999999</v>
      </c>
      <c r="FX230">
        <v>37.177199999999999</v>
      </c>
      <c r="FY230">
        <v>17.881</v>
      </c>
      <c r="FZ230">
        <v>800</v>
      </c>
      <c r="GA230">
        <v>14.3405</v>
      </c>
      <c r="GB230">
        <v>99.88</v>
      </c>
      <c r="GC230">
        <v>99.737399999999994</v>
      </c>
    </row>
    <row r="231" spans="1:185" x14ac:dyDescent="0.2">
      <c r="A231">
        <v>216</v>
      </c>
      <c r="B231">
        <v>1771089626.0999999</v>
      </c>
      <c r="C231">
        <v>4306.0999999046298</v>
      </c>
      <c r="D231" t="s">
        <v>732</v>
      </c>
      <c r="E231" t="s">
        <v>733</v>
      </c>
      <c r="F231">
        <v>15</v>
      </c>
      <c r="G231">
        <v>1771089618.03333</v>
      </c>
      <c r="H231">
        <f t="shared" si="39"/>
        <v>8.8236159971185875E-4</v>
      </c>
      <c r="I231">
        <v>0</v>
      </c>
      <c r="J231">
        <f t="shared" si="51"/>
        <v>8.8020972101168111E-3</v>
      </c>
      <c r="K231">
        <f t="shared" si="40"/>
        <v>0.23858907596490889</v>
      </c>
      <c r="L231">
        <f t="shared" si="41"/>
        <v>69.698932442684907</v>
      </c>
      <c r="M231">
        <f t="shared" si="42"/>
        <v>1.5368855872246991</v>
      </c>
      <c r="N231">
        <f t="shared" si="43"/>
        <v>2.2050346158293266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26205.175892196617</v>
      </c>
      <c r="T231">
        <f t="shared" si="47"/>
        <v>800.00006666666695</v>
      </c>
      <c r="U231">
        <f t="shared" si="48"/>
        <v>674.40050260003738</v>
      </c>
      <c r="V231">
        <f t="shared" si="49"/>
        <v>0.84300055799999996</v>
      </c>
      <c r="W231">
        <f t="shared" si="50"/>
        <v>0.15870139500000002</v>
      </c>
      <c r="X231">
        <v>1</v>
      </c>
      <c r="Y231">
        <v>1771089618.03333</v>
      </c>
      <c r="Z231">
        <v>798.80813333333299</v>
      </c>
      <c r="AA231">
        <v>799.98739999999998</v>
      </c>
      <c r="AB231">
        <v>15.373846666666701</v>
      </c>
      <c r="AC231">
        <v>14.2878666666667</v>
      </c>
      <c r="AD231">
        <v>799.71233333333305</v>
      </c>
      <c r="AE231">
        <v>15.2641666666667</v>
      </c>
      <c r="AF231">
        <v>800.01133333333303</v>
      </c>
      <c r="AG231">
        <v>99.903133333333301</v>
      </c>
      <c r="AH231">
        <v>6.4403779999999994E-2</v>
      </c>
      <c r="AI231">
        <v>18.998940000000001</v>
      </c>
      <c r="AJ231">
        <v>999.9</v>
      </c>
      <c r="AK231">
        <v>999.9</v>
      </c>
      <c r="AL231">
        <v>0</v>
      </c>
      <c r="AM231">
        <v>0</v>
      </c>
      <c r="AN231">
        <v>5001.3666666666704</v>
      </c>
      <c r="AO231">
        <v>0</v>
      </c>
      <c r="AP231">
        <v>2.2583899999999999</v>
      </c>
      <c r="AQ231">
        <v>-1.1790733333333301</v>
      </c>
      <c r="AR231">
        <v>811.28086666666695</v>
      </c>
      <c r="AS231">
        <v>811.58299999999997</v>
      </c>
      <c r="AT231">
        <v>1.085966</v>
      </c>
      <c r="AU231">
        <v>799.98739999999998</v>
      </c>
      <c r="AV231">
        <v>14.2878666666667</v>
      </c>
      <c r="AW231">
        <v>1.5358940000000001</v>
      </c>
      <c r="AX231">
        <v>1.4274039999999999</v>
      </c>
      <c r="AY231">
        <v>13.330260000000001</v>
      </c>
      <c r="AZ231">
        <v>12.211919999999999</v>
      </c>
      <c r="BA231">
        <v>800.00006666666695</v>
      </c>
      <c r="BB231">
        <v>0.89998140000000004</v>
      </c>
      <c r="BC231">
        <v>0</v>
      </c>
      <c r="BD231">
        <v>0.1000186</v>
      </c>
      <c r="BE231">
        <v>0</v>
      </c>
      <c r="BF231">
        <v>26</v>
      </c>
      <c r="BG231">
        <v>13190.96</v>
      </c>
      <c r="BH231">
        <v>1771089189.0999999</v>
      </c>
      <c r="BI231" t="s">
        <v>673</v>
      </c>
      <c r="BJ231">
        <v>1771089167.0999999</v>
      </c>
      <c r="BK231">
        <v>1771089189.0999999</v>
      </c>
      <c r="BL231">
        <v>8</v>
      </c>
      <c r="BM231">
        <v>-2.4E-2</v>
      </c>
      <c r="BN231">
        <v>1.4999999999999999E-2</v>
      </c>
      <c r="BO231">
        <v>-0.90400000000000003</v>
      </c>
      <c r="BP231">
        <v>0.11</v>
      </c>
      <c r="BQ231">
        <v>800</v>
      </c>
      <c r="BR231">
        <v>15</v>
      </c>
      <c r="BS231">
        <v>0.32</v>
      </c>
      <c r="BT231">
        <v>0.08</v>
      </c>
      <c r="BU231">
        <v>-1.1856935</v>
      </c>
      <c r="BV231">
        <v>0.19815744360902299</v>
      </c>
      <c r="BW231">
        <v>2.67692527491897E-2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1.085982</v>
      </c>
      <c r="CD231">
        <v>1.5067669172972301E-4</v>
      </c>
      <c r="CE231">
        <v>1.1569814173097201E-3</v>
      </c>
      <c r="CF231">
        <v>1</v>
      </c>
      <c r="CG231">
        <v>2</v>
      </c>
      <c r="CH231">
        <v>2</v>
      </c>
      <c r="CI231" t="s">
        <v>310</v>
      </c>
      <c r="CJ231">
        <v>3.5325299999999999</v>
      </c>
      <c r="CK231">
        <v>2.70221</v>
      </c>
      <c r="CL231">
        <v>0.157003</v>
      </c>
      <c r="CM231">
        <v>0.15487699999999999</v>
      </c>
      <c r="CN231">
        <v>8.6789900000000003E-2</v>
      </c>
      <c r="CO231">
        <v>8.1406300000000001E-2</v>
      </c>
      <c r="CP231">
        <v>29563.7</v>
      </c>
      <c r="CQ231">
        <v>26026.5</v>
      </c>
      <c r="CR231">
        <v>32457.4</v>
      </c>
      <c r="CS231">
        <v>30722</v>
      </c>
      <c r="CT231">
        <v>40140.199999999997</v>
      </c>
      <c r="CU231">
        <v>39692.5</v>
      </c>
      <c r="CV231">
        <v>47399.8</v>
      </c>
      <c r="CW231">
        <v>46853.599999999999</v>
      </c>
      <c r="CX231">
        <v>2.6234799999999998</v>
      </c>
      <c r="CY231">
        <v>2.1410200000000001</v>
      </c>
      <c r="CZ231">
        <v>0</v>
      </c>
      <c r="DA231">
        <v>0</v>
      </c>
      <c r="DB231">
        <v>999.9</v>
      </c>
      <c r="DC231">
        <v>999.9</v>
      </c>
      <c r="DD231">
        <v>52.24</v>
      </c>
      <c r="DE231">
        <v>26.797999999999998</v>
      </c>
      <c r="DF231">
        <v>18.4939</v>
      </c>
      <c r="DG231">
        <v>30.062000000000001</v>
      </c>
      <c r="DH231">
        <v>15.448700000000001</v>
      </c>
      <c r="DI231">
        <v>2</v>
      </c>
      <c r="DJ231">
        <v>-0.124547</v>
      </c>
      <c r="DK231">
        <v>2.5342199999999999</v>
      </c>
      <c r="DL231">
        <v>20.191400000000002</v>
      </c>
      <c r="DM231">
        <v>5.2515499999999999</v>
      </c>
      <c r="DN231">
        <v>12.033899999999999</v>
      </c>
      <c r="DO231">
        <v>4.9674800000000001</v>
      </c>
      <c r="DP231">
        <v>3.2909999999999999</v>
      </c>
      <c r="DQ231">
        <v>9999</v>
      </c>
      <c r="DR231">
        <v>9999</v>
      </c>
      <c r="DS231">
        <v>9999</v>
      </c>
      <c r="DT231">
        <v>605</v>
      </c>
      <c r="DU231">
        <v>1.8711899999999999</v>
      </c>
      <c r="DV231">
        <v>1.87622</v>
      </c>
      <c r="DW231">
        <v>1.8763700000000001</v>
      </c>
      <c r="DX231">
        <v>1.8829100000000001</v>
      </c>
      <c r="DY231">
        <v>1.8756200000000001</v>
      </c>
      <c r="DZ231">
        <v>1.87469</v>
      </c>
      <c r="EA231">
        <v>1.87086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-0.90400000000000003</v>
      </c>
      <c r="EQ231">
        <v>0.1096</v>
      </c>
      <c r="ER231">
        <v>-0.90418181818176901</v>
      </c>
      <c r="ES231">
        <v>0</v>
      </c>
      <c r="ET231">
        <v>0</v>
      </c>
      <c r="EU231">
        <v>0</v>
      </c>
      <c r="EV231">
        <v>0.10966999999999801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7.7</v>
      </c>
      <c r="FE231">
        <v>7.3</v>
      </c>
      <c r="FF231">
        <v>2.1447799999999999</v>
      </c>
      <c r="FG231">
        <v>2.5842299999999998</v>
      </c>
      <c r="FH231">
        <v>2.19604</v>
      </c>
      <c r="FI231">
        <v>2.5781200000000002</v>
      </c>
      <c r="FJ231">
        <v>2.4462899999999999</v>
      </c>
      <c r="FK231">
        <v>2.2607400000000002</v>
      </c>
      <c r="FL231">
        <v>31.6736</v>
      </c>
      <c r="FM231">
        <v>24.14</v>
      </c>
      <c r="FN231">
        <v>19</v>
      </c>
      <c r="FO231">
        <v>864.76</v>
      </c>
      <c r="FP231">
        <v>583.93100000000004</v>
      </c>
      <c r="FQ231">
        <v>17.884799999999998</v>
      </c>
      <c r="FR231">
        <v>25.453800000000001</v>
      </c>
      <c r="FS231">
        <v>30.0002</v>
      </c>
      <c r="FT231">
        <v>25.428699999999999</v>
      </c>
      <c r="FU231">
        <v>25.430099999999999</v>
      </c>
      <c r="FV231">
        <v>43.042200000000001</v>
      </c>
      <c r="FW231">
        <v>26.465499999999999</v>
      </c>
      <c r="FX231">
        <v>37.177199999999999</v>
      </c>
      <c r="FY231">
        <v>17.8795</v>
      </c>
      <c r="FZ231">
        <v>800</v>
      </c>
      <c r="GA231">
        <v>14.3405</v>
      </c>
      <c r="GB231">
        <v>99.879400000000004</v>
      </c>
      <c r="GC231">
        <v>99.740099999999998</v>
      </c>
    </row>
    <row r="232" spans="1:185" x14ac:dyDescent="0.2">
      <c r="A232">
        <v>217</v>
      </c>
      <c r="B232">
        <v>1771089641.0999999</v>
      </c>
      <c r="C232">
        <v>4321.0999999046298</v>
      </c>
      <c r="D232" t="s">
        <v>734</v>
      </c>
      <c r="E232" t="s">
        <v>735</v>
      </c>
      <c r="F232">
        <v>15</v>
      </c>
      <c r="G232">
        <v>1771089633.03333</v>
      </c>
      <c r="H232">
        <f t="shared" si="39"/>
        <v>8.8278476676447587E-4</v>
      </c>
      <c r="I232">
        <v>0</v>
      </c>
      <c r="J232">
        <f t="shared" si="51"/>
        <v>8.3134332367274591E-3</v>
      </c>
      <c r="K232">
        <f t="shared" si="40"/>
        <v>0.22534338200298556</v>
      </c>
      <c r="L232">
        <f t="shared" si="41"/>
        <v>69.699288472917971</v>
      </c>
      <c r="M232">
        <f t="shared" si="42"/>
        <v>1.5371345013028757</v>
      </c>
      <c r="N232">
        <f t="shared" si="43"/>
        <v>2.2053804780232977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26172.470030741391</v>
      </c>
      <c r="T232">
        <f t="shared" si="47"/>
        <v>799.99980000000005</v>
      </c>
      <c r="U232">
        <f t="shared" si="48"/>
        <v>674.4002921998848</v>
      </c>
      <c r="V232">
        <f t="shared" si="49"/>
        <v>0.84300057599999989</v>
      </c>
      <c r="W232">
        <f t="shared" si="50"/>
        <v>0.15870144</v>
      </c>
      <c r="X232">
        <v>1</v>
      </c>
      <c r="Y232">
        <v>1771089633.03333</v>
      </c>
      <c r="Z232">
        <v>798.81380000000001</v>
      </c>
      <c r="AA232">
        <v>799.97693333333302</v>
      </c>
      <c r="AB232">
        <v>15.376200000000001</v>
      </c>
      <c r="AC232">
        <v>14.289706666666699</v>
      </c>
      <c r="AD232">
        <v>799.71806666666703</v>
      </c>
      <c r="AE232">
        <v>15.2665333333333</v>
      </c>
      <c r="AF232">
        <v>800.01493333333303</v>
      </c>
      <c r="AG232">
        <v>99.904013333333296</v>
      </c>
      <c r="AH232">
        <v>6.4411979999999994E-2</v>
      </c>
      <c r="AI232">
        <v>19.001453333333298</v>
      </c>
      <c r="AJ232">
        <v>999.9</v>
      </c>
      <c r="AK232">
        <v>999.9</v>
      </c>
      <c r="AL232">
        <v>0</v>
      </c>
      <c r="AM232">
        <v>0</v>
      </c>
      <c r="AN232">
        <v>4995.9666666666699</v>
      </c>
      <c r="AO232">
        <v>0</v>
      </c>
      <c r="AP232">
        <v>2.2583899999999999</v>
      </c>
      <c r="AQ232">
        <v>-1.1630499999999999</v>
      </c>
      <c r="AR232">
        <v>811.28853333333302</v>
      </c>
      <c r="AS232">
        <v>811.57399999999996</v>
      </c>
      <c r="AT232">
        <v>1.086498</v>
      </c>
      <c r="AU232">
        <v>799.97693333333302</v>
      </c>
      <c r="AV232">
        <v>14.289706666666699</v>
      </c>
      <c r="AW232">
        <v>1.536144</v>
      </c>
      <c r="AX232">
        <v>1.42759866666667</v>
      </c>
      <c r="AY232">
        <v>13.332739999999999</v>
      </c>
      <c r="AZ232">
        <v>12.2140066666667</v>
      </c>
      <c r="BA232">
        <v>799.99980000000005</v>
      </c>
      <c r="BB232">
        <v>0.89998080000000003</v>
      </c>
      <c r="BC232">
        <v>0</v>
      </c>
      <c r="BD232">
        <v>0.1000192</v>
      </c>
      <c r="BE232">
        <v>0</v>
      </c>
      <c r="BF232">
        <v>26</v>
      </c>
      <c r="BG232">
        <v>13190.9533333333</v>
      </c>
      <c r="BH232">
        <v>1771089189.0999999</v>
      </c>
      <c r="BI232" t="s">
        <v>673</v>
      </c>
      <c r="BJ232">
        <v>1771089167.0999999</v>
      </c>
      <c r="BK232">
        <v>1771089189.0999999</v>
      </c>
      <c r="BL232">
        <v>8</v>
      </c>
      <c r="BM232">
        <v>-2.4E-2</v>
      </c>
      <c r="BN232">
        <v>1.4999999999999999E-2</v>
      </c>
      <c r="BO232">
        <v>-0.90400000000000003</v>
      </c>
      <c r="BP232">
        <v>0.11</v>
      </c>
      <c r="BQ232">
        <v>800</v>
      </c>
      <c r="BR232">
        <v>15</v>
      </c>
      <c r="BS232">
        <v>0.32</v>
      </c>
      <c r="BT232">
        <v>0.08</v>
      </c>
      <c r="BU232">
        <v>-1.16395523809524</v>
      </c>
      <c r="BV232">
        <v>0.103414285714285</v>
      </c>
      <c r="BW232">
        <v>2.7823861225838901E-2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1.0863085714285701</v>
      </c>
      <c r="CD232">
        <v>-1.12987012988694E-4</v>
      </c>
      <c r="CE232">
        <v>3.2959763142270098E-3</v>
      </c>
      <c r="CF232">
        <v>1</v>
      </c>
      <c r="CG232">
        <v>2</v>
      </c>
      <c r="CH232">
        <v>2</v>
      </c>
      <c r="CI232" t="s">
        <v>310</v>
      </c>
      <c r="CJ232">
        <v>3.5324800000000001</v>
      </c>
      <c r="CK232">
        <v>2.7022499999999998</v>
      </c>
      <c r="CL232">
        <v>0.15700600000000001</v>
      </c>
      <c r="CM232">
        <v>0.15487200000000001</v>
      </c>
      <c r="CN232">
        <v>8.6771899999999999E-2</v>
      </c>
      <c r="CO232">
        <v>8.1327899999999995E-2</v>
      </c>
      <c r="CP232">
        <v>29564.2</v>
      </c>
      <c r="CQ232">
        <v>26026.7</v>
      </c>
      <c r="CR232">
        <v>32458.1</v>
      </c>
      <c r="CS232">
        <v>30722</v>
      </c>
      <c r="CT232">
        <v>40141.800000000003</v>
      </c>
      <c r="CU232">
        <v>39696</v>
      </c>
      <c r="CV232">
        <v>47400.7</v>
      </c>
      <c r="CW232">
        <v>46853.7</v>
      </c>
      <c r="CX232">
        <v>2.6234999999999999</v>
      </c>
      <c r="CY232">
        <v>2.1408399999999999</v>
      </c>
      <c r="CZ232">
        <v>0</v>
      </c>
      <c r="DA232">
        <v>0</v>
      </c>
      <c r="DB232">
        <v>999.9</v>
      </c>
      <c r="DC232">
        <v>999.9</v>
      </c>
      <c r="DD232">
        <v>52.167000000000002</v>
      </c>
      <c r="DE232">
        <v>26.797999999999998</v>
      </c>
      <c r="DF232">
        <v>18.469000000000001</v>
      </c>
      <c r="DG232">
        <v>30.391999999999999</v>
      </c>
      <c r="DH232">
        <v>15.472799999999999</v>
      </c>
      <c r="DI232">
        <v>2</v>
      </c>
      <c r="DJ232">
        <v>-0.124205</v>
      </c>
      <c r="DK232">
        <v>2.5556000000000001</v>
      </c>
      <c r="DL232">
        <v>20.191299999999998</v>
      </c>
      <c r="DM232">
        <v>5.25143</v>
      </c>
      <c r="DN232">
        <v>12.033899999999999</v>
      </c>
      <c r="DO232">
        <v>4.9674800000000001</v>
      </c>
      <c r="DP232">
        <v>3.2909999999999999</v>
      </c>
      <c r="DQ232">
        <v>9999</v>
      </c>
      <c r="DR232">
        <v>9999</v>
      </c>
      <c r="DS232">
        <v>9999</v>
      </c>
      <c r="DT232">
        <v>605</v>
      </c>
      <c r="DU232">
        <v>1.8711899999999999</v>
      </c>
      <c r="DV232">
        <v>1.87622</v>
      </c>
      <c r="DW232">
        <v>1.8763799999999999</v>
      </c>
      <c r="DX232">
        <v>1.88293</v>
      </c>
      <c r="DY232">
        <v>1.8756900000000001</v>
      </c>
      <c r="DZ232">
        <v>1.87469</v>
      </c>
      <c r="EA232">
        <v>1.87087</v>
      </c>
      <c r="EB232">
        <v>1.8747199999999999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-0.90500000000000003</v>
      </c>
      <c r="EQ232">
        <v>0.10970000000000001</v>
      </c>
      <c r="ER232">
        <v>-0.90418181818176901</v>
      </c>
      <c r="ES232">
        <v>0</v>
      </c>
      <c r="ET232">
        <v>0</v>
      </c>
      <c r="EU232">
        <v>0</v>
      </c>
      <c r="EV232">
        <v>0.10966999999999801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7.9</v>
      </c>
      <c r="FE232">
        <v>7.5</v>
      </c>
      <c r="FF232">
        <v>2.1447799999999999</v>
      </c>
      <c r="FG232">
        <v>2.5866699999999998</v>
      </c>
      <c r="FH232">
        <v>2.19604</v>
      </c>
      <c r="FI232">
        <v>2.5781200000000002</v>
      </c>
      <c r="FJ232">
        <v>2.4462899999999999</v>
      </c>
      <c r="FK232">
        <v>2.2509800000000002</v>
      </c>
      <c r="FL232">
        <v>31.695499999999999</v>
      </c>
      <c r="FM232">
        <v>24.1313</v>
      </c>
      <c r="FN232">
        <v>19</v>
      </c>
      <c r="FO232">
        <v>864.822</v>
      </c>
      <c r="FP232">
        <v>583.82100000000003</v>
      </c>
      <c r="FQ232">
        <v>17.8766</v>
      </c>
      <c r="FR232">
        <v>25.457599999999999</v>
      </c>
      <c r="FS232">
        <v>30.0001</v>
      </c>
      <c r="FT232">
        <v>25.4313</v>
      </c>
      <c r="FU232">
        <v>25.432600000000001</v>
      </c>
      <c r="FV232">
        <v>43.048099999999998</v>
      </c>
      <c r="FW232">
        <v>26.165800000000001</v>
      </c>
      <c r="FX232">
        <v>36.802199999999999</v>
      </c>
      <c r="FY232">
        <v>17.8749</v>
      </c>
      <c r="FZ232">
        <v>800</v>
      </c>
      <c r="GA232">
        <v>14.343299999999999</v>
      </c>
      <c r="GB232">
        <v>99.881399999999999</v>
      </c>
      <c r="GC232">
        <v>99.740099999999998</v>
      </c>
    </row>
    <row r="233" spans="1:185" x14ac:dyDescent="0.2">
      <c r="A233">
        <v>218</v>
      </c>
      <c r="B233">
        <v>1771089656.0999999</v>
      </c>
      <c r="C233">
        <v>4336.0999999046298</v>
      </c>
      <c r="D233" t="s">
        <v>736</v>
      </c>
      <c r="E233" t="s">
        <v>737</v>
      </c>
      <c r="F233">
        <v>15</v>
      </c>
      <c r="G233">
        <v>1771089648.03333</v>
      </c>
      <c r="H233">
        <f t="shared" si="39"/>
        <v>8.722774855989485E-4</v>
      </c>
      <c r="I233">
        <v>0</v>
      </c>
      <c r="J233">
        <f t="shared" si="51"/>
        <v>9.9679349623279356E-3</v>
      </c>
      <c r="K233">
        <f t="shared" si="40"/>
        <v>0.27019019844573716</v>
      </c>
      <c r="L233">
        <f t="shared" si="41"/>
        <v>69.666953469090558</v>
      </c>
      <c r="M233">
        <f t="shared" si="42"/>
        <v>1.53688357445247</v>
      </c>
      <c r="N233">
        <f t="shared" si="43"/>
        <v>2.2060438958829254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26158.557345757596</v>
      </c>
      <c r="T233">
        <f t="shared" si="47"/>
        <v>799.99966666666705</v>
      </c>
      <c r="U233">
        <f t="shared" si="48"/>
        <v>674.40016059981633</v>
      </c>
      <c r="V233">
        <f t="shared" si="49"/>
        <v>0.84300055200000001</v>
      </c>
      <c r="W233">
        <f t="shared" si="50"/>
        <v>0.15870138000000003</v>
      </c>
      <c r="X233">
        <v>1</v>
      </c>
      <c r="Y233">
        <v>1771089648.03333</v>
      </c>
      <c r="Z233">
        <v>798.78146666666703</v>
      </c>
      <c r="AA233">
        <v>799.99013333333301</v>
      </c>
      <c r="AB233">
        <v>15.373526666666701</v>
      </c>
      <c r="AC233">
        <v>14.29996</v>
      </c>
      <c r="AD233">
        <v>799.68553333333296</v>
      </c>
      <c r="AE233">
        <v>15.263859999999999</v>
      </c>
      <c r="AF233">
        <v>800.01319999999998</v>
      </c>
      <c r="AG233">
        <v>99.904973333333302</v>
      </c>
      <c r="AH233">
        <v>6.4513680000000004E-2</v>
      </c>
      <c r="AI233">
        <v>19.006273333333301</v>
      </c>
      <c r="AJ233">
        <v>999.9</v>
      </c>
      <c r="AK233">
        <v>999.9</v>
      </c>
      <c r="AL233">
        <v>0</v>
      </c>
      <c r="AM233">
        <v>0</v>
      </c>
      <c r="AN233">
        <v>4993.7</v>
      </c>
      <c r="AO233">
        <v>0</v>
      </c>
      <c r="AP233">
        <v>2.2583899999999999</v>
      </c>
      <c r="AQ233">
        <v>-1.2084666666666699</v>
      </c>
      <c r="AR233">
        <v>811.25319999999999</v>
      </c>
      <c r="AS233">
        <v>811.59573333333299</v>
      </c>
      <c r="AT233">
        <v>1.07356266666667</v>
      </c>
      <c r="AU233">
        <v>799.99013333333301</v>
      </c>
      <c r="AV233">
        <v>14.29996</v>
      </c>
      <c r="AW233">
        <v>1.535892</v>
      </c>
      <c r="AX233">
        <v>1.428636</v>
      </c>
      <c r="AY233">
        <v>13.33024</v>
      </c>
      <c r="AZ233">
        <v>12.22504</v>
      </c>
      <c r="BA233">
        <v>799.99966666666705</v>
      </c>
      <c r="BB233">
        <v>0.89998160000000005</v>
      </c>
      <c r="BC233">
        <v>0</v>
      </c>
      <c r="BD233">
        <v>0.10001839999999999</v>
      </c>
      <c r="BE233">
        <v>0</v>
      </c>
      <c r="BF233">
        <v>26</v>
      </c>
      <c r="BG233">
        <v>13190.946666666699</v>
      </c>
      <c r="BH233">
        <v>1771089189.0999999</v>
      </c>
      <c r="BI233" t="s">
        <v>673</v>
      </c>
      <c r="BJ233">
        <v>1771089167.0999999</v>
      </c>
      <c r="BK233">
        <v>1771089189.0999999</v>
      </c>
      <c r="BL233">
        <v>8</v>
      </c>
      <c r="BM233">
        <v>-2.4E-2</v>
      </c>
      <c r="BN233">
        <v>1.4999999999999999E-2</v>
      </c>
      <c r="BO233">
        <v>-0.90400000000000003</v>
      </c>
      <c r="BP233">
        <v>0.11</v>
      </c>
      <c r="BQ233">
        <v>800</v>
      </c>
      <c r="BR233">
        <v>15</v>
      </c>
      <c r="BS233">
        <v>0.32</v>
      </c>
      <c r="BT233">
        <v>0.08</v>
      </c>
      <c r="BU233">
        <v>-1.1912104999999999</v>
      </c>
      <c r="BV233">
        <v>-0.28609849624060202</v>
      </c>
      <c r="BW233">
        <v>3.5733307917823698E-2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1.0767439999999999</v>
      </c>
      <c r="CD233">
        <v>-8.60084210526329E-2</v>
      </c>
      <c r="CE233">
        <v>1.25379050881716E-2</v>
      </c>
      <c r="CF233">
        <v>1</v>
      </c>
      <c r="CG233">
        <v>2</v>
      </c>
      <c r="CH233">
        <v>2</v>
      </c>
      <c r="CI233" t="s">
        <v>310</v>
      </c>
      <c r="CJ233">
        <v>3.53254</v>
      </c>
      <c r="CK233">
        <v>2.7024699999999999</v>
      </c>
      <c r="CL233">
        <v>0.157002</v>
      </c>
      <c r="CM233">
        <v>0.15488099999999999</v>
      </c>
      <c r="CN233">
        <v>8.6826899999999999E-2</v>
      </c>
      <c r="CO233">
        <v>8.1501299999999999E-2</v>
      </c>
      <c r="CP233">
        <v>29564.1</v>
      </c>
      <c r="CQ233">
        <v>26026.3</v>
      </c>
      <c r="CR233">
        <v>32457.8</v>
      </c>
      <c r="CS233">
        <v>30722</v>
      </c>
      <c r="CT233">
        <v>40138.800000000003</v>
      </c>
      <c r="CU233">
        <v>39688.300000000003</v>
      </c>
      <c r="CV233">
        <v>47400.1</v>
      </c>
      <c r="CW233">
        <v>46853.599999999999</v>
      </c>
      <c r="CX233">
        <v>2.6233200000000001</v>
      </c>
      <c r="CY233">
        <v>2.1407600000000002</v>
      </c>
      <c r="CZ233">
        <v>0</v>
      </c>
      <c r="DA233">
        <v>0</v>
      </c>
      <c r="DB233">
        <v>999.9</v>
      </c>
      <c r="DC233">
        <v>999.9</v>
      </c>
      <c r="DD233">
        <v>52.069000000000003</v>
      </c>
      <c r="DE233">
        <v>26.808</v>
      </c>
      <c r="DF233">
        <v>18.443300000000001</v>
      </c>
      <c r="DG233">
        <v>30.271999999999998</v>
      </c>
      <c r="DH233">
        <v>15.3405</v>
      </c>
      <c r="DI233">
        <v>2</v>
      </c>
      <c r="DJ233">
        <v>-0.123506</v>
      </c>
      <c r="DK233">
        <v>2.6166900000000002</v>
      </c>
      <c r="DL233">
        <v>20.190100000000001</v>
      </c>
      <c r="DM233">
        <v>5.2511900000000002</v>
      </c>
      <c r="DN233">
        <v>12.033899999999999</v>
      </c>
      <c r="DO233">
        <v>4.9672799999999997</v>
      </c>
      <c r="DP233">
        <v>3.2909999999999999</v>
      </c>
      <c r="DQ233">
        <v>9999</v>
      </c>
      <c r="DR233">
        <v>9999</v>
      </c>
      <c r="DS233">
        <v>9999</v>
      </c>
      <c r="DT233">
        <v>605</v>
      </c>
      <c r="DU233">
        <v>1.8711899999999999</v>
      </c>
      <c r="DV233">
        <v>1.87622</v>
      </c>
      <c r="DW233">
        <v>1.8763700000000001</v>
      </c>
      <c r="DX233">
        <v>1.88293</v>
      </c>
      <c r="DY233">
        <v>1.8756200000000001</v>
      </c>
      <c r="DZ233">
        <v>1.87469</v>
      </c>
      <c r="EA233">
        <v>1.8708499999999999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-0.90400000000000003</v>
      </c>
      <c r="EQ233">
        <v>0.10970000000000001</v>
      </c>
      <c r="ER233">
        <v>-0.90418181818176901</v>
      </c>
      <c r="ES233">
        <v>0</v>
      </c>
      <c r="ET233">
        <v>0</v>
      </c>
      <c r="EU233">
        <v>0</v>
      </c>
      <c r="EV233">
        <v>0.10966999999999801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8.1999999999999993</v>
      </c>
      <c r="FE233">
        <v>7.8</v>
      </c>
      <c r="FF233">
        <v>2.1447799999999999</v>
      </c>
      <c r="FG233">
        <v>2.5854499999999998</v>
      </c>
      <c r="FH233">
        <v>2.19604</v>
      </c>
      <c r="FI233">
        <v>2.5781200000000002</v>
      </c>
      <c r="FJ233">
        <v>2.4462899999999999</v>
      </c>
      <c r="FK233">
        <v>2.2509800000000002</v>
      </c>
      <c r="FL233">
        <v>31.695499999999999</v>
      </c>
      <c r="FM233">
        <v>24.1313</v>
      </c>
      <c r="FN233">
        <v>19</v>
      </c>
      <c r="FO233">
        <v>864.73500000000001</v>
      </c>
      <c r="FP233">
        <v>583.82600000000002</v>
      </c>
      <c r="FQ233">
        <v>17.867000000000001</v>
      </c>
      <c r="FR233">
        <v>25.462299999999999</v>
      </c>
      <c r="FS233">
        <v>30.0002</v>
      </c>
      <c r="FT233">
        <v>25.436299999999999</v>
      </c>
      <c r="FU233">
        <v>25.438600000000001</v>
      </c>
      <c r="FV233">
        <v>43.045200000000001</v>
      </c>
      <c r="FW233">
        <v>26.165800000000001</v>
      </c>
      <c r="FX233">
        <v>36.802199999999999</v>
      </c>
      <c r="FY233">
        <v>17.8551</v>
      </c>
      <c r="FZ233">
        <v>800</v>
      </c>
      <c r="GA233">
        <v>14.342499999999999</v>
      </c>
      <c r="GB233">
        <v>99.880399999999995</v>
      </c>
      <c r="GC233">
        <v>99.740099999999998</v>
      </c>
    </row>
    <row r="234" spans="1:185" x14ac:dyDescent="0.2">
      <c r="A234">
        <v>219</v>
      </c>
      <c r="B234">
        <v>1771089671.0999999</v>
      </c>
      <c r="C234">
        <v>4351.0999999046298</v>
      </c>
      <c r="D234" t="s">
        <v>738</v>
      </c>
      <c r="E234" t="s">
        <v>739</v>
      </c>
      <c r="F234">
        <v>15</v>
      </c>
      <c r="G234">
        <v>1771089663.03333</v>
      </c>
      <c r="H234">
        <f t="shared" si="39"/>
        <v>8.7148739765568453E-4</v>
      </c>
      <c r="I234">
        <v>0</v>
      </c>
      <c r="J234">
        <f t="shared" si="51"/>
        <v>9.3707907639067993E-3</v>
      </c>
      <c r="K234">
        <f t="shared" si="40"/>
        <v>0.2540040465414668</v>
      </c>
      <c r="L234">
        <f t="shared" si="41"/>
        <v>69.722029541478008</v>
      </c>
      <c r="M234">
        <f t="shared" si="42"/>
        <v>1.5382015951775398</v>
      </c>
      <c r="N234">
        <f t="shared" si="43"/>
        <v>2.2061916517539917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26226.754924655306</v>
      </c>
      <c r="T234">
        <f t="shared" si="47"/>
        <v>800.00033333333397</v>
      </c>
      <c r="U234">
        <f t="shared" si="48"/>
        <v>674.40063780014896</v>
      </c>
      <c r="V234">
        <f t="shared" si="49"/>
        <v>0.84300044599999968</v>
      </c>
      <c r="W234">
        <f t="shared" si="50"/>
        <v>0.15870124491999993</v>
      </c>
      <c r="X234">
        <v>1</v>
      </c>
      <c r="Y234">
        <v>1771089663.03333</v>
      </c>
      <c r="Z234">
        <v>798.79386666666699</v>
      </c>
      <c r="AA234">
        <v>799.981533333333</v>
      </c>
      <c r="AB234">
        <v>15.386893333333299</v>
      </c>
      <c r="AC234">
        <v>14.314306666666701</v>
      </c>
      <c r="AD234">
        <v>799.69799999999998</v>
      </c>
      <c r="AE234">
        <v>15.277226666666699</v>
      </c>
      <c r="AF234">
        <v>800.00800000000004</v>
      </c>
      <c r="AG234">
        <v>99.903613333333297</v>
      </c>
      <c r="AH234">
        <v>6.4688380000000004E-2</v>
      </c>
      <c r="AI234">
        <v>19.007346666666699</v>
      </c>
      <c r="AJ234">
        <v>999.9</v>
      </c>
      <c r="AK234">
        <v>999.9</v>
      </c>
      <c r="AL234">
        <v>0</v>
      </c>
      <c r="AM234">
        <v>0</v>
      </c>
      <c r="AN234">
        <v>5005.0333333333301</v>
      </c>
      <c r="AO234">
        <v>0</v>
      </c>
      <c r="AP234">
        <v>2.2583899999999999</v>
      </c>
      <c r="AQ234">
        <v>-1.187654</v>
      </c>
      <c r="AR234">
        <v>811.27700000000004</v>
      </c>
      <c r="AS234">
        <v>811.599066666667</v>
      </c>
      <c r="AT234">
        <v>1.07258866666667</v>
      </c>
      <c r="AU234">
        <v>799.981533333333</v>
      </c>
      <c r="AV234">
        <v>14.314306666666701</v>
      </c>
      <c r="AW234">
        <v>1.5372066666666699</v>
      </c>
      <c r="AX234">
        <v>1.43005133333333</v>
      </c>
      <c r="AY234">
        <v>13.343360000000001</v>
      </c>
      <c r="AZ234">
        <v>12.2401</v>
      </c>
      <c r="BA234">
        <v>800.00033333333397</v>
      </c>
      <c r="BB234">
        <v>0.89998319999999998</v>
      </c>
      <c r="BC234">
        <v>0</v>
      </c>
      <c r="BD234">
        <v>0.100016733333333</v>
      </c>
      <c r="BE234">
        <v>0</v>
      </c>
      <c r="BF234">
        <v>26</v>
      </c>
      <c r="BG234">
        <v>13190.9666666667</v>
      </c>
      <c r="BH234">
        <v>1771089189.0999999</v>
      </c>
      <c r="BI234" t="s">
        <v>673</v>
      </c>
      <c r="BJ234">
        <v>1771089167.0999999</v>
      </c>
      <c r="BK234">
        <v>1771089189.0999999</v>
      </c>
      <c r="BL234">
        <v>8</v>
      </c>
      <c r="BM234">
        <v>-2.4E-2</v>
      </c>
      <c r="BN234">
        <v>1.4999999999999999E-2</v>
      </c>
      <c r="BO234">
        <v>-0.90400000000000003</v>
      </c>
      <c r="BP234">
        <v>0.11</v>
      </c>
      <c r="BQ234">
        <v>800</v>
      </c>
      <c r="BR234">
        <v>15</v>
      </c>
      <c r="BS234">
        <v>0.32</v>
      </c>
      <c r="BT234">
        <v>0.08</v>
      </c>
      <c r="BU234">
        <v>-1.1964595238095199</v>
      </c>
      <c r="BV234">
        <v>0.27021818181817903</v>
      </c>
      <c r="BW234">
        <v>3.5862312686186497E-2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1.07146238095238</v>
      </c>
      <c r="CD234">
        <v>2.0314285714287499E-2</v>
      </c>
      <c r="CE234">
        <v>2.3449721386545001E-3</v>
      </c>
      <c r="CF234">
        <v>1</v>
      </c>
      <c r="CG234">
        <v>2</v>
      </c>
      <c r="CH234">
        <v>2</v>
      </c>
      <c r="CI234" t="s">
        <v>310</v>
      </c>
      <c r="CJ234">
        <v>3.5325299999999999</v>
      </c>
      <c r="CK234">
        <v>2.7023199999999998</v>
      </c>
      <c r="CL234">
        <v>0.157004</v>
      </c>
      <c r="CM234">
        <v>0.15487100000000001</v>
      </c>
      <c r="CN234">
        <v>8.68564E-2</v>
      </c>
      <c r="CO234">
        <v>8.1518400000000005E-2</v>
      </c>
      <c r="CP234">
        <v>29563.7</v>
      </c>
      <c r="CQ234">
        <v>26026.2</v>
      </c>
      <c r="CR234">
        <v>32457.5</v>
      </c>
      <c r="CS234">
        <v>30721.5</v>
      </c>
      <c r="CT234">
        <v>40137.300000000003</v>
      </c>
      <c r="CU234">
        <v>39687</v>
      </c>
      <c r="CV234">
        <v>47399.9</v>
      </c>
      <c r="CW234">
        <v>46853</v>
      </c>
      <c r="CX234">
        <v>2.6234000000000002</v>
      </c>
      <c r="CY234">
        <v>2.1405400000000001</v>
      </c>
      <c r="CZ234">
        <v>0</v>
      </c>
      <c r="DA234">
        <v>0</v>
      </c>
      <c r="DB234">
        <v>999.9</v>
      </c>
      <c r="DC234">
        <v>999.9</v>
      </c>
      <c r="DD234">
        <v>52.021000000000001</v>
      </c>
      <c r="DE234">
        <v>26.827999999999999</v>
      </c>
      <c r="DF234">
        <v>18.450399999999998</v>
      </c>
      <c r="DG234">
        <v>30.242000000000001</v>
      </c>
      <c r="DH234">
        <v>15.3566</v>
      </c>
      <c r="DI234">
        <v>2</v>
      </c>
      <c r="DJ234">
        <v>-0.122892</v>
      </c>
      <c r="DK234">
        <v>2.64405</v>
      </c>
      <c r="DL234">
        <v>20.189499999999999</v>
      </c>
      <c r="DM234">
        <v>5.2516699999999998</v>
      </c>
      <c r="DN234">
        <v>12.033899999999999</v>
      </c>
      <c r="DO234">
        <v>4.9676799999999997</v>
      </c>
      <c r="DP234">
        <v>3.2909999999999999</v>
      </c>
      <c r="DQ234">
        <v>9999</v>
      </c>
      <c r="DR234">
        <v>9999</v>
      </c>
      <c r="DS234">
        <v>9999</v>
      </c>
      <c r="DT234">
        <v>605</v>
      </c>
      <c r="DU234">
        <v>1.8711899999999999</v>
      </c>
      <c r="DV234">
        <v>1.87622</v>
      </c>
      <c r="DW234">
        <v>1.8763700000000001</v>
      </c>
      <c r="DX234">
        <v>1.88293</v>
      </c>
      <c r="DY234">
        <v>1.8756200000000001</v>
      </c>
      <c r="DZ234">
        <v>1.87469</v>
      </c>
      <c r="EA234">
        <v>1.87086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-0.90400000000000003</v>
      </c>
      <c r="EQ234">
        <v>0.10970000000000001</v>
      </c>
      <c r="ER234">
        <v>-0.90418181818176901</v>
      </c>
      <c r="ES234">
        <v>0</v>
      </c>
      <c r="ET234">
        <v>0</v>
      </c>
      <c r="EU234">
        <v>0</v>
      </c>
      <c r="EV234">
        <v>0.10966999999999801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8.4</v>
      </c>
      <c r="FE234">
        <v>8</v>
      </c>
      <c r="FF234">
        <v>2.1447799999999999</v>
      </c>
      <c r="FG234">
        <v>2.5769000000000002</v>
      </c>
      <c r="FH234">
        <v>2.19604</v>
      </c>
      <c r="FI234">
        <v>2.5781200000000002</v>
      </c>
      <c r="FJ234">
        <v>2.4462899999999999</v>
      </c>
      <c r="FK234">
        <v>2.3010299999999999</v>
      </c>
      <c r="FL234">
        <v>31.695499999999999</v>
      </c>
      <c r="FM234">
        <v>24.14</v>
      </c>
      <c r="FN234">
        <v>19</v>
      </c>
      <c r="FO234">
        <v>864.89200000000005</v>
      </c>
      <c r="FP234">
        <v>583.70899999999995</v>
      </c>
      <c r="FQ234">
        <v>17.8428</v>
      </c>
      <c r="FR234">
        <v>25.4678</v>
      </c>
      <c r="FS234">
        <v>30.000299999999999</v>
      </c>
      <c r="FT234">
        <v>25.441500000000001</v>
      </c>
      <c r="FU234">
        <v>25.443300000000001</v>
      </c>
      <c r="FV234">
        <v>43.046300000000002</v>
      </c>
      <c r="FW234">
        <v>26.165800000000001</v>
      </c>
      <c r="FX234">
        <v>36.802199999999999</v>
      </c>
      <c r="FY234">
        <v>17.833100000000002</v>
      </c>
      <c r="FZ234">
        <v>800</v>
      </c>
      <c r="GA234">
        <v>14.342499999999999</v>
      </c>
      <c r="GB234">
        <v>99.8797</v>
      </c>
      <c r="GC234">
        <v>99.738699999999994</v>
      </c>
    </row>
    <row r="235" spans="1:185" x14ac:dyDescent="0.2">
      <c r="A235">
        <v>220</v>
      </c>
      <c r="B235">
        <v>1771089686.0999999</v>
      </c>
      <c r="C235">
        <v>4366.0999999046298</v>
      </c>
      <c r="D235" t="s">
        <v>740</v>
      </c>
      <c r="E235" t="s">
        <v>741</v>
      </c>
      <c r="F235">
        <v>15</v>
      </c>
      <c r="G235">
        <v>1771089678.03333</v>
      </c>
      <c r="H235">
        <f t="shared" si="39"/>
        <v>8.7600263166570571E-4</v>
      </c>
      <c r="I235">
        <v>0</v>
      </c>
      <c r="J235">
        <f t="shared" si="51"/>
        <v>8.8885538656774381E-3</v>
      </c>
      <c r="K235">
        <f t="shared" si="40"/>
        <v>0.2409325644618909</v>
      </c>
      <c r="L235">
        <f t="shared" si="41"/>
        <v>69.764967881114288</v>
      </c>
      <c r="M235">
        <f t="shared" si="42"/>
        <v>1.5391719474246621</v>
      </c>
      <c r="N235">
        <f t="shared" si="43"/>
        <v>2.2062246915207471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26143.385847688514</v>
      </c>
      <c r="T235">
        <f t="shared" si="47"/>
        <v>800.00059999999996</v>
      </c>
      <c r="U235">
        <f t="shared" si="48"/>
        <v>674.40085620026309</v>
      </c>
      <c r="V235">
        <f t="shared" si="49"/>
        <v>0.84300043800000046</v>
      </c>
      <c r="W235">
        <f t="shared" si="50"/>
        <v>0.15870122492000011</v>
      </c>
      <c r="X235">
        <v>1</v>
      </c>
      <c r="Y235">
        <v>1771089678.03333</v>
      </c>
      <c r="Z235">
        <v>798.82173333333299</v>
      </c>
      <c r="AA235">
        <v>799.99760000000003</v>
      </c>
      <c r="AB235">
        <v>15.396706666666701</v>
      </c>
      <c r="AC235">
        <v>14.318573333333299</v>
      </c>
      <c r="AD235">
        <v>799.72593333333305</v>
      </c>
      <c r="AE235">
        <v>15.287046666666701</v>
      </c>
      <c r="AF235">
        <v>800.00779999999997</v>
      </c>
      <c r="AG235">
        <v>99.903013333333305</v>
      </c>
      <c r="AH235">
        <v>6.4595373333333303E-2</v>
      </c>
      <c r="AI235">
        <v>19.0075866666667</v>
      </c>
      <c r="AJ235">
        <v>999.9</v>
      </c>
      <c r="AK235">
        <v>999.9</v>
      </c>
      <c r="AL235">
        <v>0</v>
      </c>
      <c r="AM235">
        <v>0</v>
      </c>
      <c r="AN235">
        <v>4991.3</v>
      </c>
      <c r="AO235">
        <v>0</v>
      </c>
      <c r="AP235">
        <v>2.2583899999999999</v>
      </c>
      <c r="AQ235">
        <v>-1.1757580000000001</v>
      </c>
      <c r="AR235">
        <v>811.3134</v>
      </c>
      <c r="AS235">
        <v>811.61893333333296</v>
      </c>
      <c r="AT235">
        <v>1.07814533333333</v>
      </c>
      <c r="AU235">
        <v>799.99760000000003</v>
      </c>
      <c r="AV235">
        <v>14.318573333333299</v>
      </c>
      <c r="AW235">
        <v>1.53817933333333</v>
      </c>
      <c r="AX235">
        <v>1.4304686666666699</v>
      </c>
      <c r="AY235">
        <v>13.35304</v>
      </c>
      <c r="AZ235">
        <v>12.2445133333333</v>
      </c>
      <c r="BA235">
        <v>800.00059999999996</v>
      </c>
      <c r="BB235">
        <v>0.89998346666666695</v>
      </c>
      <c r="BC235">
        <v>0</v>
      </c>
      <c r="BD235">
        <v>0.100016466666667</v>
      </c>
      <c r="BE235">
        <v>0</v>
      </c>
      <c r="BF235">
        <v>26</v>
      </c>
      <c r="BG235">
        <v>13190.98</v>
      </c>
      <c r="BH235">
        <v>1771089189.0999999</v>
      </c>
      <c r="BI235" t="s">
        <v>673</v>
      </c>
      <c r="BJ235">
        <v>1771089167.0999999</v>
      </c>
      <c r="BK235">
        <v>1771089189.0999999</v>
      </c>
      <c r="BL235">
        <v>8</v>
      </c>
      <c r="BM235">
        <v>-2.4E-2</v>
      </c>
      <c r="BN235">
        <v>1.4999999999999999E-2</v>
      </c>
      <c r="BO235">
        <v>-0.90400000000000003</v>
      </c>
      <c r="BP235">
        <v>0.11</v>
      </c>
      <c r="BQ235">
        <v>800</v>
      </c>
      <c r="BR235">
        <v>15</v>
      </c>
      <c r="BS235">
        <v>0.32</v>
      </c>
      <c r="BT235">
        <v>0.08</v>
      </c>
      <c r="BU235">
        <v>-1.1684909999999999</v>
      </c>
      <c r="BV235">
        <v>-0.126824661654135</v>
      </c>
      <c r="BW235">
        <v>3.08024156357906E-2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1.077118</v>
      </c>
      <c r="CD235">
        <v>1.80306766917291E-2</v>
      </c>
      <c r="CE235">
        <v>2.3016898140279301E-3</v>
      </c>
      <c r="CF235">
        <v>1</v>
      </c>
      <c r="CG235">
        <v>2</v>
      </c>
      <c r="CH235">
        <v>2</v>
      </c>
      <c r="CI235" t="s">
        <v>310</v>
      </c>
      <c r="CJ235">
        <v>3.53254</v>
      </c>
      <c r="CK235">
        <v>2.7025100000000002</v>
      </c>
      <c r="CL235">
        <v>0.15700600000000001</v>
      </c>
      <c r="CM235">
        <v>0.15487799999999999</v>
      </c>
      <c r="CN235">
        <v>8.6872599999999994E-2</v>
      </c>
      <c r="CO235">
        <v>8.1530199999999997E-2</v>
      </c>
      <c r="CP235">
        <v>29563</v>
      </c>
      <c r="CQ235">
        <v>26026.1</v>
      </c>
      <c r="CR235">
        <v>32456.9</v>
      </c>
      <c r="CS235">
        <v>30721.7</v>
      </c>
      <c r="CT235">
        <v>40135.800000000003</v>
      </c>
      <c r="CU235">
        <v>39686.6</v>
      </c>
      <c r="CV235">
        <v>47399</v>
      </c>
      <c r="CW235">
        <v>46853.1</v>
      </c>
      <c r="CX235">
        <v>2.6231399999999998</v>
      </c>
      <c r="CY235">
        <v>2.1402399999999999</v>
      </c>
      <c r="CZ235">
        <v>0</v>
      </c>
      <c r="DA235">
        <v>0</v>
      </c>
      <c r="DB235">
        <v>999.9</v>
      </c>
      <c r="DC235">
        <v>999.9</v>
      </c>
      <c r="DD235">
        <v>51.984000000000002</v>
      </c>
      <c r="DE235">
        <v>26.847999999999999</v>
      </c>
      <c r="DF235">
        <v>18.457599999999999</v>
      </c>
      <c r="DG235">
        <v>30.302</v>
      </c>
      <c r="DH235">
        <v>15.3285</v>
      </c>
      <c r="DI235">
        <v>2</v>
      </c>
      <c r="DJ235">
        <v>-0.12203</v>
      </c>
      <c r="DK235">
        <v>2.6852</v>
      </c>
      <c r="DL235">
        <v>20.188600000000001</v>
      </c>
      <c r="DM235">
        <v>5.2513100000000001</v>
      </c>
      <c r="DN235">
        <v>12.033899999999999</v>
      </c>
      <c r="DO235">
        <v>4.9673600000000002</v>
      </c>
      <c r="DP235">
        <v>3.2910200000000001</v>
      </c>
      <c r="DQ235">
        <v>9999</v>
      </c>
      <c r="DR235">
        <v>9999</v>
      </c>
      <c r="DS235">
        <v>9999</v>
      </c>
      <c r="DT235">
        <v>605</v>
      </c>
      <c r="DU235">
        <v>1.8711899999999999</v>
      </c>
      <c r="DV235">
        <v>1.8762099999999999</v>
      </c>
      <c r="DW235">
        <v>1.8763799999999999</v>
      </c>
      <c r="DX235">
        <v>1.8829199999999999</v>
      </c>
      <c r="DY235">
        <v>1.8756200000000001</v>
      </c>
      <c r="DZ235">
        <v>1.87469</v>
      </c>
      <c r="EA235">
        <v>1.87086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-0.90400000000000003</v>
      </c>
      <c r="EQ235">
        <v>0.10970000000000001</v>
      </c>
      <c r="ER235">
        <v>-0.90418181818176901</v>
      </c>
      <c r="ES235">
        <v>0</v>
      </c>
      <c r="ET235">
        <v>0</v>
      </c>
      <c r="EU235">
        <v>0</v>
      </c>
      <c r="EV235">
        <v>0.10966999999999801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8.6999999999999993</v>
      </c>
      <c r="FE235">
        <v>8.3000000000000007</v>
      </c>
      <c r="FF235">
        <v>2.1447799999999999</v>
      </c>
      <c r="FG235">
        <v>2.5817899999999998</v>
      </c>
      <c r="FH235">
        <v>2.19604</v>
      </c>
      <c r="FI235">
        <v>2.5781200000000002</v>
      </c>
      <c r="FJ235">
        <v>2.4462899999999999</v>
      </c>
      <c r="FK235">
        <v>2.3034699999999999</v>
      </c>
      <c r="FL235">
        <v>31.695499999999999</v>
      </c>
      <c r="FM235">
        <v>24.14</v>
      </c>
      <c r="FN235">
        <v>19</v>
      </c>
      <c r="FO235">
        <v>864.73900000000003</v>
      </c>
      <c r="FP235">
        <v>583.54899999999998</v>
      </c>
      <c r="FQ235">
        <v>17.820699999999999</v>
      </c>
      <c r="FR235">
        <v>25.474299999999999</v>
      </c>
      <c r="FS235">
        <v>30.000399999999999</v>
      </c>
      <c r="FT235">
        <v>25.446999999999999</v>
      </c>
      <c r="FU235">
        <v>25.4497</v>
      </c>
      <c r="FV235">
        <v>43.046300000000002</v>
      </c>
      <c r="FW235">
        <v>26.165800000000001</v>
      </c>
      <c r="FX235">
        <v>36.802199999999999</v>
      </c>
      <c r="FY235">
        <v>17.810300000000002</v>
      </c>
      <c r="FZ235">
        <v>800</v>
      </c>
      <c r="GA235">
        <v>14.342499999999999</v>
      </c>
      <c r="GB235">
        <v>99.877799999999993</v>
      </c>
      <c r="GC235">
        <v>99.739000000000004</v>
      </c>
    </row>
    <row r="236" spans="1:185" x14ac:dyDescent="0.2">
      <c r="A236">
        <v>221</v>
      </c>
      <c r="B236">
        <v>1771089701.0999999</v>
      </c>
      <c r="C236">
        <v>4381.0999999046298</v>
      </c>
      <c r="D236" t="s">
        <v>742</v>
      </c>
      <c r="E236" t="s">
        <v>743</v>
      </c>
      <c r="F236">
        <v>15</v>
      </c>
      <c r="G236">
        <v>1771089693.03333</v>
      </c>
      <c r="H236">
        <f t="shared" si="39"/>
        <v>8.8688053562462803E-4</v>
      </c>
      <c r="I236">
        <v>0</v>
      </c>
      <c r="J236">
        <f t="shared" si="51"/>
        <v>9.1076587552287817E-3</v>
      </c>
      <c r="K236">
        <f t="shared" si="40"/>
        <v>0.24687160738422587</v>
      </c>
      <c r="L236">
        <f t="shared" si="41"/>
        <v>69.771557713538527</v>
      </c>
      <c r="M236">
        <f t="shared" si="42"/>
        <v>1.5389017975647805</v>
      </c>
      <c r="N236">
        <f t="shared" si="43"/>
        <v>2.2056291245252946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26240.063243861234</v>
      </c>
      <c r="T236">
        <f t="shared" si="47"/>
        <v>799.99926666666704</v>
      </c>
      <c r="U236">
        <f t="shared" si="48"/>
        <v>674.39974659966583</v>
      </c>
      <c r="V236">
        <f t="shared" si="49"/>
        <v>0.84300045599999995</v>
      </c>
      <c r="W236">
        <f t="shared" si="50"/>
        <v>0.15870114000000002</v>
      </c>
      <c r="X236">
        <v>1</v>
      </c>
      <c r="Y236">
        <v>1771089693.03333</v>
      </c>
      <c r="Z236">
        <v>798.80886666666697</v>
      </c>
      <c r="AA236">
        <v>800.00300000000004</v>
      </c>
      <c r="AB236">
        <v>15.39404</v>
      </c>
      <c r="AC236">
        <v>14.302519999999999</v>
      </c>
      <c r="AD236">
        <v>799.71313333333296</v>
      </c>
      <c r="AE236">
        <v>15.284373333333299</v>
      </c>
      <c r="AF236">
        <v>800.01086666666697</v>
      </c>
      <c r="AG236">
        <v>99.902926666666701</v>
      </c>
      <c r="AH236">
        <v>6.4450160000000006E-2</v>
      </c>
      <c r="AI236">
        <v>19.003260000000001</v>
      </c>
      <c r="AJ236">
        <v>999.9</v>
      </c>
      <c r="AK236">
        <v>999.9</v>
      </c>
      <c r="AL236">
        <v>0</v>
      </c>
      <c r="AM236">
        <v>0</v>
      </c>
      <c r="AN236">
        <v>5007.2</v>
      </c>
      <c r="AO236">
        <v>0</v>
      </c>
      <c r="AP236">
        <v>2.2583899999999999</v>
      </c>
      <c r="AQ236">
        <v>-1.1940633333333299</v>
      </c>
      <c r="AR236">
        <v>811.29819999999995</v>
      </c>
      <c r="AS236">
        <v>811.61093333333304</v>
      </c>
      <c r="AT236">
        <v>1.091512</v>
      </c>
      <c r="AU236">
        <v>800.00300000000004</v>
      </c>
      <c r="AV236">
        <v>14.302519999999999</v>
      </c>
      <c r="AW236">
        <v>1.53790933333333</v>
      </c>
      <c r="AX236">
        <v>1.42886466666667</v>
      </c>
      <c r="AY236">
        <v>13.350339999999999</v>
      </c>
      <c r="AZ236">
        <v>12.227460000000001</v>
      </c>
      <c r="BA236">
        <v>799.99926666666704</v>
      </c>
      <c r="BB236">
        <v>0.89998480000000003</v>
      </c>
      <c r="BC236">
        <v>0</v>
      </c>
      <c r="BD236">
        <v>0.1000152</v>
      </c>
      <c r="BE236">
        <v>0</v>
      </c>
      <c r="BF236">
        <v>26</v>
      </c>
      <c r="BG236">
        <v>13190.946666666699</v>
      </c>
      <c r="BH236">
        <v>1771089189.0999999</v>
      </c>
      <c r="BI236" t="s">
        <v>673</v>
      </c>
      <c r="BJ236">
        <v>1771089167.0999999</v>
      </c>
      <c r="BK236">
        <v>1771089189.0999999</v>
      </c>
      <c r="BL236">
        <v>8</v>
      </c>
      <c r="BM236">
        <v>-2.4E-2</v>
      </c>
      <c r="BN236">
        <v>1.4999999999999999E-2</v>
      </c>
      <c r="BO236">
        <v>-0.90400000000000003</v>
      </c>
      <c r="BP236">
        <v>0.11</v>
      </c>
      <c r="BQ236">
        <v>800</v>
      </c>
      <c r="BR236">
        <v>15</v>
      </c>
      <c r="BS236">
        <v>0.32</v>
      </c>
      <c r="BT236">
        <v>0.08</v>
      </c>
      <c r="BU236">
        <v>-1.18753523809524</v>
      </c>
      <c r="BV236">
        <v>-0.12722805194805301</v>
      </c>
      <c r="BW236">
        <v>3.4318412747601501E-2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1.0877123809523801</v>
      </c>
      <c r="CD236">
        <v>0.10299584415584501</v>
      </c>
      <c r="CE236">
        <v>1.2202419317012899E-2</v>
      </c>
      <c r="CF236">
        <v>0</v>
      </c>
      <c r="CG236">
        <v>1</v>
      </c>
      <c r="CH236">
        <v>2</v>
      </c>
      <c r="CI236" t="s">
        <v>299</v>
      </c>
      <c r="CJ236">
        <v>3.5325600000000001</v>
      </c>
      <c r="CK236">
        <v>2.7021099999999998</v>
      </c>
      <c r="CL236">
        <v>0.157</v>
      </c>
      <c r="CM236">
        <v>0.15486900000000001</v>
      </c>
      <c r="CN236">
        <v>8.6820499999999995E-2</v>
      </c>
      <c r="CO236">
        <v>8.1382399999999994E-2</v>
      </c>
      <c r="CP236">
        <v>29563.200000000001</v>
      </c>
      <c r="CQ236">
        <v>26025.4</v>
      </c>
      <c r="CR236">
        <v>32456.9</v>
      </c>
      <c r="CS236">
        <v>30720.5</v>
      </c>
      <c r="CT236">
        <v>40138.5</v>
      </c>
      <c r="CU236">
        <v>39691.699999999997</v>
      </c>
      <c r="CV236">
        <v>47399.3</v>
      </c>
      <c r="CW236">
        <v>46851.4</v>
      </c>
      <c r="CX236">
        <v>2.6231599999999999</v>
      </c>
      <c r="CY236">
        <v>2.14018</v>
      </c>
      <c r="CZ236">
        <v>0</v>
      </c>
      <c r="DA236">
        <v>0</v>
      </c>
      <c r="DB236">
        <v>999.9</v>
      </c>
      <c r="DC236">
        <v>999.9</v>
      </c>
      <c r="DD236">
        <v>51.911000000000001</v>
      </c>
      <c r="DE236">
        <v>26.867999999999999</v>
      </c>
      <c r="DF236">
        <v>18.4527</v>
      </c>
      <c r="DG236">
        <v>30.271999999999998</v>
      </c>
      <c r="DH236">
        <v>15.3726</v>
      </c>
      <c r="DI236">
        <v>2</v>
      </c>
      <c r="DJ236">
        <v>-0.121486</v>
      </c>
      <c r="DK236">
        <v>2.6666099999999999</v>
      </c>
      <c r="DL236">
        <v>20.188800000000001</v>
      </c>
      <c r="DM236">
        <v>5.2510700000000003</v>
      </c>
      <c r="DN236">
        <v>12.033899999999999</v>
      </c>
      <c r="DO236">
        <v>4.9675200000000004</v>
      </c>
      <c r="DP236">
        <v>3.2909999999999999</v>
      </c>
      <c r="DQ236">
        <v>9999</v>
      </c>
      <c r="DR236">
        <v>9999</v>
      </c>
      <c r="DS236">
        <v>9999</v>
      </c>
      <c r="DT236">
        <v>605.1</v>
      </c>
      <c r="DU236">
        <v>1.8711899999999999</v>
      </c>
      <c r="DV236">
        <v>1.87622</v>
      </c>
      <c r="DW236">
        <v>1.8763799999999999</v>
      </c>
      <c r="DX236">
        <v>1.88293</v>
      </c>
      <c r="DY236">
        <v>1.8756299999999999</v>
      </c>
      <c r="DZ236">
        <v>1.87469</v>
      </c>
      <c r="EA236">
        <v>1.87087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-0.90400000000000003</v>
      </c>
      <c r="EQ236">
        <v>0.10970000000000001</v>
      </c>
      <c r="ER236">
        <v>-0.90418181818176901</v>
      </c>
      <c r="ES236">
        <v>0</v>
      </c>
      <c r="ET236">
        <v>0</v>
      </c>
      <c r="EU236">
        <v>0</v>
      </c>
      <c r="EV236">
        <v>0.10966999999999801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8.9</v>
      </c>
      <c r="FE236">
        <v>8.5</v>
      </c>
      <c r="FF236">
        <v>2.1447799999999999</v>
      </c>
      <c r="FG236">
        <v>2.5756800000000002</v>
      </c>
      <c r="FH236">
        <v>2.19604</v>
      </c>
      <c r="FI236">
        <v>2.5781200000000002</v>
      </c>
      <c r="FJ236">
        <v>2.4462899999999999</v>
      </c>
      <c r="FK236">
        <v>2.3083499999999999</v>
      </c>
      <c r="FL236">
        <v>31.717300000000002</v>
      </c>
      <c r="FM236">
        <v>24.14</v>
      </c>
      <c r="FN236">
        <v>19</v>
      </c>
      <c r="FO236">
        <v>864.85</v>
      </c>
      <c r="FP236">
        <v>583.55999999999995</v>
      </c>
      <c r="FQ236">
        <v>17.8004</v>
      </c>
      <c r="FR236">
        <v>25.4816</v>
      </c>
      <c r="FS236">
        <v>30.0002</v>
      </c>
      <c r="FT236">
        <v>25.4527</v>
      </c>
      <c r="FU236">
        <v>25.454799999999999</v>
      </c>
      <c r="FV236">
        <v>43.048400000000001</v>
      </c>
      <c r="FW236">
        <v>26.165800000000001</v>
      </c>
      <c r="FX236">
        <v>36.430999999999997</v>
      </c>
      <c r="FY236">
        <v>17.802</v>
      </c>
      <c r="FZ236">
        <v>800</v>
      </c>
      <c r="GA236">
        <v>14.342499999999999</v>
      </c>
      <c r="GB236">
        <v>99.878200000000007</v>
      </c>
      <c r="GC236">
        <v>99.735299999999995</v>
      </c>
    </row>
    <row r="237" spans="1:185" x14ac:dyDescent="0.2">
      <c r="A237">
        <v>222</v>
      </c>
      <c r="B237">
        <v>1771089716.0999999</v>
      </c>
      <c r="C237">
        <v>4396.0999999046298</v>
      </c>
      <c r="D237" t="s">
        <v>744</v>
      </c>
      <c r="E237" t="s">
        <v>745</v>
      </c>
      <c r="F237">
        <v>15</v>
      </c>
      <c r="G237">
        <v>1771089708.03333</v>
      </c>
      <c r="H237">
        <f t="shared" si="39"/>
        <v>8.8970017319544333E-4</v>
      </c>
      <c r="I237">
        <v>0</v>
      </c>
      <c r="J237">
        <f t="shared" si="51"/>
        <v>8.637106978043662E-3</v>
      </c>
      <c r="K237">
        <f t="shared" si="40"/>
        <v>0.23411686143763416</v>
      </c>
      <c r="L237">
        <f t="shared" si="41"/>
        <v>69.740360466217908</v>
      </c>
      <c r="M237">
        <f t="shared" si="42"/>
        <v>1.5375668725185627</v>
      </c>
      <c r="N237">
        <f t="shared" si="43"/>
        <v>2.2047016422625991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26214.727714678193</v>
      </c>
      <c r="T237">
        <f t="shared" si="47"/>
        <v>800.00026666666702</v>
      </c>
      <c r="U237">
        <f t="shared" si="48"/>
        <v>674.40052080009923</v>
      </c>
      <c r="V237">
        <f t="shared" si="49"/>
        <v>0.84300037000000028</v>
      </c>
      <c r="W237">
        <f t="shared" si="50"/>
        <v>0.15870118484000009</v>
      </c>
      <c r="X237">
        <v>1</v>
      </c>
      <c r="Y237">
        <v>1771089708.03333</v>
      </c>
      <c r="Z237">
        <v>798.80240000000003</v>
      </c>
      <c r="AA237">
        <v>799.98339999999996</v>
      </c>
      <c r="AB237">
        <v>15.3806666666667</v>
      </c>
      <c r="AC237">
        <v>14.28566</v>
      </c>
      <c r="AD237">
        <v>799.70659999999998</v>
      </c>
      <c r="AE237">
        <v>15.270986666666699</v>
      </c>
      <c r="AF237">
        <v>800.00973333333297</v>
      </c>
      <c r="AG237">
        <v>99.903313333333301</v>
      </c>
      <c r="AH237">
        <v>6.4191706666666695E-2</v>
      </c>
      <c r="AI237">
        <v>18.99652</v>
      </c>
      <c r="AJ237">
        <v>999.9</v>
      </c>
      <c r="AK237">
        <v>999.9</v>
      </c>
      <c r="AL237">
        <v>0</v>
      </c>
      <c r="AM237">
        <v>0</v>
      </c>
      <c r="AN237">
        <v>5002.8999999999996</v>
      </c>
      <c r="AO237">
        <v>0</v>
      </c>
      <c r="AP237">
        <v>2.2583899999999999</v>
      </c>
      <c r="AQ237">
        <v>-1.1809226666666699</v>
      </c>
      <c r="AR237">
        <v>811.28046666666705</v>
      </c>
      <c r="AS237">
        <v>811.57719999999995</v>
      </c>
      <c r="AT237">
        <v>1.09499733333333</v>
      </c>
      <c r="AU237">
        <v>799.98339999999996</v>
      </c>
      <c r="AV237">
        <v>14.28566</v>
      </c>
      <c r="AW237">
        <v>1.5365786666666701</v>
      </c>
      <c r="AX237">
        <v>1.427184</v>
      </c>
      <c r="AY237">
        <v>13.3370866666667</v>
      </c>
      <c r="AZ237">
        <v>12.2095866666667</v>
      </c>
      <c r="BA237">
        <v>800.00026666666702</v>
      </c>
      <c r="BB237">
        <v>0.8999838</v>
      </c>
      <c r="BC237">
        <v>0</v>
      </c>
      <c r="BD237">
        <v>0.100016066666667</v>
      </c>
      <c r="BE237">
        <v>0</v>
      </c>
      <c r="BF237">
        <v>26</v>
      </c>
      <c r="BG237">
        <v>13190.96</v>
      </c>
      <c r="BH237">
        <v>1771089189.0999999</v>
      </c>
      <c r="BI237" t="s">
        <v>673</v>
      </c>
      <c r="BJ237">
        <v>1771089167.0999999</v>
      </c>
      <c r="BK237">
        <v>1771089189.0999999</v>
      </c>
      <c r="BL237">
        <v>8</v>
      </c>
      <c r="BM237">
        <v>-2.4E-2</v>
      </c>
      <c r="BN237">
        <v>1.4999999999999999E-2</v>
      </c>
      <c r="BO237">
        <v>-0.90400000000000003</v>
      </c>
      <c r="BP237">
        <v>0.11</v>
      </c>
      <c r="BQ237">
        <v>800</v>
      </c>
      <c r="BR237">
        <v>15</v>
      </c>
      <c r="BS237">
        <v>0.32</v>
      </c>
      <c r="BT237">
        <v>0.08</v>
      </c>
      <c r="BU237">
        <v>-1.1888810000000001</v>
      </c>
      <c r="BV237">
        <v>7.2993383458645394E-2</v>
      </c>
      <c r="BW237">
        <v>2.5509123446328E-2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1.0971065</v>
      </c>
      <c r="CD237">
        <v>-4.8943308270676202E-2</v>
      </c>
      <c r="CE237">
        <v>4.82698795834423E-3</v>
      </c>
      <c r="CF237">
        <v>1</v>
      </c>
      <c r="CG237">
        <v>2</v>
      </c>
      <c r="CH237">
        <v>2</v>
      </c>
      <c r="CI237" t="s">
        <v>310</v>
      </c>
      <c r="CJ237">
        <v>3.5325299999999999</v>
      </c>
      <c r="CK237">
        <v>2.7019299999999999</v>
      </c>
      <c r="CL237">
        <v>0.15699399999999999</v>
      </c>
      <c r="CM237">
        <v>0.15486800000000001</v>
      </c>
      <c r="CN237">
        <v>8.6795200000000003E-2</v>
      </c>
      <c r="CO237">
        <v>8.1392699999999998E-2</v>
      </c>
      <c r="CP237">
        <v>29562.6</v>
      </c>
      <c r="CQ237">
        <v>26025.1</v>
      </c>
      <c r="CR237">
        <v>32456</v>
      </c>
      <c r="CS237">
        <v>30720.1</v>
      </c>
      <c r="CT237">
        <v>40138.6</v>
      </c>
      <c r="CU237">
        <v>39690.9</v>
      </c>
      <c r="CV237">
        <v>47398.1</v>
      </c>
      <c r="CW237">
        <v>46851</v>
      </c>
      <c r="CX237">
        <v>2.6231200000000001</v>
      </c>
      <c r="CY237">
        <v>2.1402000000000001</v>
      </c>
      <c r="CZ237">
        <v>0</v>
      </c>
      <c r="DA237">
        <v>0</v>
      </c>
      <c r="DB237">
        <v>999.9</v>
      </c>
      <c r="DC237">
        <v>999.9</v>
      </c>
      <c r="DD237">
        <v>51.862000000000002</v>
      </c>
      <c r="DE237">
        <v>26.867999999999999</v>
      </c>
      <c r="DF237">
        <v>18.437100000000001</v>
      </c>
      <c r="DG237">
        <v>30.032</v>
      </c>
      <c r="DH237">
        <v>15.4367</v>
      </c>
      <c r="DI237">
        <v>2</v>
      </c>
      <c r="DJ237">
        <v>-0.12162000000000001</v>
      </c>
      <c r="DK237">
        <v>2.54786</v>
      </c>
      <c r="DL237">
        <v>20.191400000000002</v>
      </c>
      <c r="DM237">
        <v>5.25143</v>
      </c>
      <c r="DN237">
        <v>12.033899999999999</v>
      </c>
      <c r="DO237">
        <v>4.9674399999999999</v>
      </c>
      <c r="DP237">
        <v>3.2909999999999999</v>
      </c>
      <c r="DQ237">
        <v>9999</v>
      </c>
      <c r="DR237">
        <v>9999</v>
      </c>
      <c r="DS237">
        <v>9999</v>
      </c>
      <c r="DT237">
        <v>605.1</v>
      </c>
      <c r="DU237">
        <v>1.8711800000000001</v>
      </c>
      <c r="DV237">
        <v>1.87622</v>
      </c>
      <c r="DW237">
        <v>1.8763799999999999</v>
      </c>
      <c r="DX237">
        <v>1.8829199999999999</v>
      </c>
      <c r="DY237">
        <v>1.8756200000000001</v>
      </c>
      <c r="DZ237">
        <v>1.8747</v>
      </c>
      <c r="EA237">
        <v>1.87087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-0.90400000000000003</v>
      </c>
      <c r="EQ237">
        <v>0.1096</v>
      </c>
      <c r="ER237">
        <v>-0.90418181818176901</v>
      </c>
      <c r="ES237">
        <v>0</v>
      </c>
      <c r="ET237">
        <v>0</v>
      </c>
      <c r="EU237">
        <v>0</v>
      </c>
      <c r="EV237">
        <v>0.10966999999999801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9.1999999999999993</v>
      </c>
      <c r="FE237">
        <v>8.8000000000000007</v>
      </c>
      <c r="FF237">
        <v>2.1459999999999999</v>
      </c>
      <c r="FG237">
        <v>2.5793499999999998</v>
      </c>
      <c r="FH237">
        <v>2.19604</v>
      </c>
      <c r="FI237">
        <v>2.5781200000000002</v>
      </c>
      <c r="FJ237">
        <v>2.4462899999999999</v>
      </c>
      <c r="FK237">
        <v>2.3034699999999999</v>
      </c>
      <c r="FL237">
        <v>31.695499999999999</v>
      </c>
      <c r="FM237">
        <v>24.148800000000001</v>
      </c>
      <c r="FN237">
        <v>19</v>
      </c>
      <c r="FO237">
        <v>864.89300000000003</v>
      </c>
      <c r="FP237">
        <v>583.62900000000002</v>
      </c>
      <c r="FQ237">
        <v>17.841899999999999</v>
      </c>
      <c r="FR237">
        <v>25.488</v>
      </c>
      <c r="FS237">
        <v>30.0002</v>
      </c>
      <c r="FT237">
        <v>25.457799999999999</v>
      </c>
      <c r="FU237">
        <v>25.459499999999998</v>
      </c>
      <c r="FV237">
        <v>43.049900000000001</v>
      </c>
      <c r="FW237">
        <v>26.165800000000001</v>
      </c>
      <c r="FX237">
        <v>36.430999999999997</v>
      </c>
      <c r="FY237">
        <v>17.8459</v>
      </c>
      <c r="FZ237">
        <v>800</v>
      </c>
      <c r="GA237">
        <v>14.342499999999999</v>
      </c>
      <c r="GB237">
        <v>99.875500000000002</v>
      </c>
      <c r="GC237">
        <v>99.734300000000005</v>
      </c>
    </row>
    <row r="238" spans="1:185" x14ac:dyDescent="0.2">
      <c r="A238">
        <v>223</v>
      </c>
      <c r="B238">
        <v>1771089731.0999999</v>
      </c>
      <c r="C238">
        <v>4411.0999999046298</v>
      </c>
      <c r="D238" t="s">
        <v>746</v>
      </c>
      <c r="E238" t="s">
        <v>747</v>
      </c>
      <c r="F238">
        <v>15</v>
      </c>
      <c r="G238">
        <v>1771089723.03333</v>
      </c>
      <c r="H238">
        <f t="shared" si="39"/>
        <v>8.8415144102538257E-4</v>
      </c>
      <c r="I238">
        <v>0</v>
      </c>
      <c r="J238">
        <f t="shared" si="51"/>
        <v>1.0046565771089153E-2</v>
      </c>
      <c r="K238">
        <f t="shared" si="40"/>
        <v>0.27232156004705532</v>
      </c>
      <c r="L238">
        <f t="shared" si="41"/>
        <v>69.73592554498444</v>
      </c>
      <c r="M238">
        <f t="shared" si="42"/>
        <v>1.5372970428653454</v>
      </c>
      <c r="N238">
        <f t="shared" si="43"/>
        <v>2.2044549216941038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26173.376207370758</v>
      </c>
      <c r="T238">
        <f t="shared" si="47"/>
        <v>799.9982</v>
      </c>
      <c r="U238">
        <f t="shared" si="48"/>
        <v>674.39875619938482</v>
      </c>
      <c r="V238">
        <f t="shared" si="49"/>
        <v>0.84300034200000051</v>
      </c>
      <c r="W238">
        <f t="shared" si="50"/>
        <v>0.15870098492000015</v>
      </c>
      <c r="X238">
        <v>1</v>
      </c>
      <c r="Y238">
        <v>1771089723.03333</v>
      </c>
      <c r="Z238">
        <v>798.78279999999995</v>
      </c>
      <c r="AA238">
        <v>800.00599999999997</v>
      </c>
      <c r="AB238">
        <v>15.377800000000001</v>
      </c>
      <c r="AC238">
        <v>14.2896133333333</v>
      </c>
      <c r="AD238">
        <v>799.68700000000001</v>
      </c>
      <c r="AE238">
        <v>15.2681466666667</v>
      </c>
      <c r="AF238">
        <v>800.00533333333306</v>
      </c>
      <c r="AG238">
        <v>99.904399999999995</v>
      </c>
      <c r="AH238">
        <v>6.4193873333333304E-2</v>
      </c>
      <c r="AI238">
        <v>18.994726666666701</v>
      </c>
      <c r="AJ238">
        <v>999.9</v>
      </c>
      <c r="AK238">
        <v>999.9</v>
      </c>
      <c r="AL238">
        <v>0</v>
      </c>
      <c r="AM238">
        <v>0</v>
      </c>
      <c r="AN238">
        <v>4996</v>
      </c>
      <c r="AO238">
        <v>0</v>
      </c>
      <c r="AP238">
        <v>2.2583899999999999</v>
      </c>
      <c r="AQ238">
        <v>-1.22324266666667</v>
      </c>
      <c r="AR238">
        <v>811.25806666666699</v>
      </c>
      <c r="AS238">
        <v>811.60360000000003</v>
      </c>
      <c r="AT238">
        <v>1.0882033333333301</v>
      </c>
      <c r="AU238">
        <v>800.00599999999997</v>
      </c>
      <c r="AV238">
        <v>14.2896133333333</v>
      </c>
      <c r="AW238">
        <v>1.5363106666666699</v>
      </c>
      <c r="AX238">
        <v>1.4275960000000001</v>
      </c>
      <c r="AY238">
        <v>13.3344066666667</v>
      </c>
      <c r="AZ238">
        <v>12.2139466666667</v>
      </c>
      <c r="BA238">
        <v>799.9982</v>
      </c>
      <c r="BB238">
        <v>0.89998666666666705</v>
      </c>
      <c r="BC238">
        <v>0</v>
      </c>
      <c r="BD238">
        <v>0.100013266666667</v>
      </c>
      <c r="BE238">
        <v>0</v>
      </c>
      <c r="BF238">
        <v>26</v>
      </c>
      <c r="BG238">
        <v>13190.94</v>
      </c>
      <c r="BH238">
        <v>1771089189.0999999</v>
      </c>
      <c r="BI238" t="s">
        <v>673</v>
      </c>
      <c r="BJ238">
        <v>1771089167.0999999</v>
      </c>
      <c r="BK238">
        <v>1771089189.0999999</v>
      </c>
      <c r="BL238">
        <v>8</v>
      </c>
      <c r="BM238">
        <v>-2.4E-2</v>
      </c>
      <c r="BN238">
        <v>1.4999999999999999E-2</v>
      </c>
      <c r="BO238">
        <v>-0.90400000000000003</v>
      </c>
      <c r="BP238">
        <v>0.11</v>
      </c>
      <c r="BQ238">
        <v>800</v>
      </c>
      <c r="BR238">
        <v>15</v>
      </c>
      <c r="BS238">
        <v>0.32</v>
      </c>
      <c r="BT238">
        <v>0.08</v>
      </c>
      <c r="BU238">
        <v>-1.2122771428571399</v>
      </c>
      <c r="BV238">
        <v>-5.89083116883111E-2</v>
      </c>
      <c r="BW238">
        <v>3.4818831404976297E-2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1.08907714285714</v>
      </c>
      <c r="CD238">
        <v>-2.2934025974027598E-2</v>
      </c>
      <c r="CE238">
        <v>2.53981090945413E-3</v>
      </c>
      <c r="CF238">
        <v>1</v>
      </c>
      <c r="CG238">
        <v>2</v>
      </c>
      <c r="CH238">
        <v>2</v>
      </c>
      <c r="CI238" t="s">
        <v>310</v>
      </c>
      <c r="CJ238">
        <v>3.53254</v>
      </c>
      <c r="CK238">
        <v>2.70208</v>
      </c>
      <c r="CL238">
        <v>0.15699299999999999</v>
      </c>
      <c r="CM238">
        <v>0.154867</v>
      </c>
      <c r="CN238">
        <v>8.6772699999999994E-2</v>
      </c>
      <c r="CO238">
        <v>8.1408900000000006E-2</v>
      </c>
      <c r="CP238">
        <v>29562.400000000001</v>
      </c>
      <c r="CQ238">
        <v>26025</v>
      </c>
      <c r="CR238">
        <v>32455.8</v>
      </c>
      <c r="CS238">
        <v>30720</v>
      </c>
      <c r="CT238">
        <v>40139.4</v>
      </c>
      <c r="CU238">
        <v>39690.1</v>
      </c>
      <c r="CV238">
        <v>47397.8</v>
      </c>
      <c r="CW238">
        <v>46850.9</v>
      </c>
      <c r="CX238">
        <v>2.6230000000000002</v>
      </c>
      <c r="CY238">
        <v>2.1398199999999998</v>
      </c>
      <c r="CZ238">
        <v>0</v>
      </c>
      <c r="DA238">
        <v>0</v>
      </c>
      <c r="DB238">
        <v>999.9</v>
      </c>
      <c r="DC238">
        <v>999.9</v>
      </c>
      <c r="DD238">
        <v>51.813000000000002</v>
      </c>
      <c r="DE238">
        <v>26.867999999999999</v>
      </c>
      <c r="DF238">
        <v>18.420100000000001</v>
      </c>
      <c r="DG238">
        <v>30.302</v>
      </c>
      <c r="DH238">
        <v>15.4367</v>
      </c>
      <c r="DI238">
        <v>2</v>
      </c>
      <c r="DJ238">
        <v>-0.120909</v>
      </c>
      <c r="DK238">
        <v>2.5693700000000002</v>
      </c>
      <c r="DL238">
        <v>20.1907</v>
      </c>
      <c r="DM238">
        <v>5.2519099999999996</v>
      </c>
      <c r="DN238">
        <v>12.033899999999999</v>
      </c>
      <c r="DO238">
        <v>4.9676</v>
      </c>
      <c r="DP238">
        <v>3.2909999999999999</v>
      </c>
      <c r="DQ238">
        <v>9999</v>
      </c>
      <c r="DR238">
        <v>9999</v>
      </c>
      <c r="DS238">
        <v>9999</v>
      </c>
      <c r="DT238">
        <v>605.1</v>
      </c>
      <c r="DU238">
        <v>1.8711899999999999</v>
      </c>
      <c r="DV238">
        <v>1.8762099999999999</v>
      </c>
      <c r="DW238">
        <v>1.8763799999999999</v>
      </c>
      <c r="DX238">
        <v>1.8829199999999999</v>
      </c>
      <c r="DY238">
        <v>1.87561</v>
      </c>
      <c r="DZ238">
        <v>1.8747</v>
      </c>
      <c r="EA238">
        <v>1.87086</v>
      </c>
      <c r="EB238">
        <v>1.8747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-0.90400000000000003</v>
      </c>
      <c r="EQ238">
        <v>0.10970000000000001</v>
      </c>
      <c r="ER238">
        <v>-0.90418181818176901</v>
      </c>
      <c r="ES238">
        <v>0</v>
      </c>
      <c r="ET238">
        <v>0</v>
      </c>
      <c r="EU238">
        <v>0</v>
      </c>
      <c r="EV238">
        <v>0.10966999999999801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9.4</v>
      </c>
      <c r="FE238">
        <v>9</v>
      </c>
      <c r="FF238">
        <v>2.1459999999999999</v>
      </c>
      <c r="FG238">
        <v>2.5793499999999998</v>
      </c>
      <c r="FH238">
        <v>2.19604</v>
      </c>
      <c r="FI238">
        <v>2.5781200000000002</v>
      </c>
      <c r="FJ238">
        <v>2.4462899999999999</v>
      </c>
      <c r="FK238">
        <v>2.3071299999999999</v>
      </c>
      <c r="FL238">
        <v>31.717300000000002</v>
      </c>
      <c r="FM238">
        <v>24.148800000000001</v>
      </c>
      <c r="FN238">
        <v>19</v>
      </c>
      <c r="FO238">
        <v>864.86300000000006</v>
      </c>
      <c r="FP238">
        <v>583.39</v>
      </c>
      <c r="FQ238">
        <v>17.853100000000001</v>
      </c>
      <c r="FR238">
        <v>25.494</v>
      </c>
      <c r="FS238">
        <v>30.000299999999999</v>
      </c>
      <c r="FT238">
        <v>25.462900000000001</v>
      </c>
      <c r="FU238">
        <v>25.464400000000001</v>
      </c>
      <c r="FV238">
        <v>43.05</v>
      </c>
      <c r="FW238">
        <v>26.165800000000001</v>
      </c>
      <c r="FX238">
        <v>36.430999999999997</v>
      </c>
      <c r="FY238">
        <v>17.857199999999999</v>
      </c>
      <c r="FZ238">
        <v>800</v>
      </c>
      <c r="GA238">
        <v>14.342700000000001</v>
      </c>
      <c r="GB238">
        <v>99.875</v>
      </c>
      <c r="GC238">
        <v>99.733999999999995</v>
      </c>
    </row>
    <row r="239" spans="1:185" x14ac:dyDescent="0.2">
      <c r="A239">
        <v>224</v>
      </c>
      <c r="B239">
        <v>1771089928.0999999</v>
      </c>
      <c r="C239">
        <v>4608.0999999046298</v>
      </c>
      <c r="D239" t="s">
        <v>748</v>
      </c>
      <c r="E239" t="s">
        <v>749</v>
      </c>
      <c r="F239">
        <v>15</v>
      </c>
      <c r="G239">
        <v>1771089919.5999999</v>
      </c>
      <c r="H239">
        <f t="shared" si="39"/>
        <v>6.9315736660190716E-4</v>
      </c>
      <c r="I239">
        <v>0</v>
      </c>
      <c r="J239">
        <f t="shared" si="51"/>
        <v>0.12879266596035269</v>
      </c>
      <c r="K239">
        <f t="shared" si="40"/>
        <v>3.4910456484415406</v>
      </c>
      <c r="L239">
        <f t="shared" si="41"/>
        <v>72.884947574350434</v>
      </c>
      <c r="M239">
        <f t="shared" si="42"/>
        <v>1.5987910092864599</v>
      </c>
      <c r="N239">
        <f t="shared" si="43"/>
        <v>2.1935818882980223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26208.065724176227</v>
      </c>
      <c r="T239">
        <f t="shared" si="47"/>
        <v>800.00162499999999</v>
      </c>
      <c r="U239">
        <f t="shared" si="48"/>
        <v>674.40157837542347</v>
      </c>
      <c r="V239">
        <f t="shared" si="49"/>
        <v>0.843000260625</v>
      </c>
      <c r="W239">
        <f t="shared" si="50"/>
        <v>0.15870065156249999</v>
      </c>
      <c r="X239">
        <v>1</v>
      </c>
      <c r="Y239">
        <v>1771089919.5999999</v>
      </c>
      <c r="Z239">
        <v>994.87981249999996</v>
      </c>
      <c r="AA239">
        <v>1000.105625</v>
      </c>
      <c r="AB239">
        <v>15.99453125</v>
      </c>
      <c r="AC239">
        <v>15.141943749999999</v>
      </c>
      <c r="AD239">
        <v>995.85481249999998</v>
      </c>
      <c r="AE239">
        <v>15.88553125</v>
      </c>
      <c r="AF239">
        <v>800.00075000000004</v>
      </c>
      <c r="AG239">
        <v>99.894793750000005</v>
      </c>
      <c r="AH239">
        <v>6.3809868749999998E-2</v>
      </c>
      <c r="AI239">
        <v>18.91551875</v>
      </c>
      <c r="AJ239">
        <v>999.9</v>
      </c>
      <c r="AK239">
        <v>999.9</v>
      </c>
      <c r="AL239">
        <v>0</v>
      </c>
      <c r="AM239">
        <v>0</v>
      </c>
      <c r="AN239">
        <v>5000.96875</v>
      </c>
      <c r="AO239">
        <v>0</v>
      </c>
      <c r="AP239">
        <v>2.1797712499999999</v>
      </c>
      <c r="AQ239">
        <v>-5.1554081250000001</v>
      </c>
      <c r="AR239">
        <v>1011.12375</v>
      </c>
      <c r="AS239">
        <v>1015.4825</v>
      </c>
      <c r="AT239">
        <v>0.853242375</v>
      </c>
      <c r="AU239">
        <v>1000.105625</v>
      </c>
      <c r="AV239">
        <v>15.141943749999999</v>
      </c>
      <c r="AW239">
        <v>1.5978362500000001</v>
      </c>
      <c r="AX239">
        <v>1.512603125</v>
      </c>
      <c r="AY239">
        <v>13.937925</v>
      </c>
      <c r="AZ239">
        <v>13.095775</v>
      </c>
      <c r="BA239">
        <v>800.00162499999999</v>
      </c>
      <c r="BB239">
        <v>0.89999131249999997</v>
      </c>
      <c r="BC239">
        <v>0</v>
      </c>
      <c r="BD239">
        <v>0.1000086875</v>
      </c>
      <c r="BE239">
        <v>0</v>
      </c>
      <c r="BF239">
        <v>26</v>
      </c>
      <c r="BG239">
        <v>13191.012500000001</v>
      </c>
      <c r="BH239">
        <v>1771089957.0999999</v>
      </c>
      <c r="BI239" t="s">
        <v>750</v>
      </c>
      <c r="BJ239">
        <v>1771089957.0999999</v>
      </c>
      <c r="BK239">
        <v>1771089951.0999999</v>
      </c>
      <c r="BL239">
        <v>9</v>
      </c>
      <c r="BM239">
        <v>-7.1999999999999995E-2</v>
      </c>
      <c r="BN239">
        <v>0</v>
      </c>
      <c r="BO239">
        <v>-0.97499999999999998</v>
      </c>
      <c r="BP239">
        <v>0.109</v>
      </c>
      <c r="BQ239">
        <v>1000</v>
      </c>
      <c r="BR239">
        <v>15</v>
      </c>
      <c r="BS239">
        <v>0.28999999999999998</v>
      </c>
      <c r="BT239">
        <v>0.06</v>
      </c>
      <c r="BU239">
        <v>-6.7034228571428596</v>
      </c>
      <c r="BV239">
        <v>25.245038181818199</v>
      </c>
      <c r="BW239">
        <v>2.6183816822576298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0.77158385714285704</v>
      </c>
      <c r="CD239">
        <v>1.34552657142857</v>
      </c>
      <c r="CE239">
        <v>0.13728908235034101</v>
      </c>
      <c r="CF239">
        <v>0</v>
      </c>
      <c r="CG239">
        <v>0</v>
      </c>
      <c r="CH239">
        <v>2</v>
      </c>
      <c r="CI239" t="s">
        <v>290</v>
      </c>
      <c r="CJ239">
        <v>3.5325000000000002</v>
      </c>
      <c r="CK239">
        <v>2.70173</v>
      </c>
      <c r="CL239">
        <v>0.18140800000000001</v>
      </c>
      <c r="CM239">
        <v>0.179114</v>
      </c>
      <c r="CN239">
        <v>8.9130600000000004E-2</v>
      </c>
      <c r="CO239">
        <v>8.4083099999999994E-2</v>
      </c>
      <c r="CP239">
        <v>28705.3</v>
      </c>
      <c r="CQ239">
        <v>25277.9</v>
      </c>
      <c r="CR239">
        <v>32454.3</v>
      </c>
      <c r="CS239">
        <v>30719.1</v>
      </c>
      <c r="CT239">
        <v>40034</v>
      </c>
      <c r="CU239">
        <v>39572.9</v>
      </c>
      <c r="CV239">
        <v>47396.6</v>
      </c>
      <c r="CW239">
        <v>46850.400000000001</v>
      </c>
      <c r="CX239">
        <v>2.6223399999999999</v>
      </c>
      <c r="CY239">
        <v>2.1411600000000002</v>
      </c>
      <c r="CZ239">
        <v>0</v>
      </c>
      <c r="DA239">
        <v>0</v>
      </c>
      <c r="DB239">
        <v>999.9</v>
      </c>
      <c r="DC239">
        <v>999.9</v>
      </c>
      <c r="DD239">
        <v>52.033000000000001</v>
      </c>
      <c r="DE239">
        <v>26.978999999999999</v>
      </c>
      <c r="DF239">
        <v>18.6204</v>
      </c>
      <c r="DG239">
        <v>30.411999999999999</v>
      </c>
      <c r="DH239">
        <v>15.5008</v>
      </c>
      <c r="DI239">
        <v>2</v>
      </c>
      <c r="DJ239">
        <v>-0.118329</v>
      </c>
      <c r="DK239">
        <v>2.3146100000000001</v>
      </c>
      <c r="DL239">
        <v>20.195</v>
      </c>
      <c r="DM239">
        <v>5.25143</v>
      </c>
      <c r="DN239">
        <v>12.033899999999999</v>
      </c>
      <c r="DO239">
        <v>4.96732</v>
      </c>
      <c r="DP239">
        <v>3.2909999999999999</v>
      </c>
      <c r="DQ239">
        <v>9999</v>
      </c>
      <c r="DR239">
        <v>9999</v>
      </c>
      <c r="DS239">
        <v>9999</v>
      </c>
      <c r="DT239">
        <v>605.1</v>
      </c>
      <c r="DU239">
        <v>1.87117</v>
      </c>
      <c r="DV239">
        <v>1.87622</v>
      </c>
      <c r="DW239">
        <v>1.8763700000000001</v>
      </c>
      <c r="DX239">
        <v>1.8829199999999999</v>
      </c>
      <c r="DY239">
        <v>1.8756299999999999</v>
      </c>
      <c r="DZ239">
        <v>1.87469</v>
      </c>
      <c r="EA239">
        <v>1.87087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-0.97499999999999998</v>
      </c>
      <c r="EQ239">
        <v>0.109</v>
      </c>
      <c r="ER239">
        <v>-0.90418181818176901</v>
      </c>
      <c r="ES239">
        <v>0</v>
      </c>
      <c r="ET239">
        <v>0</v>
      </c>
      <c r="EU239">
        <v>0</v>
      </c>
      <c r="EV239">
        <v>0.10966999999999801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12.7</v>
      </c>
      <c r="FE239">
        <v>12.3</v>
      </c>
      <c r="FF239">
        <v>2.5756800000000002</v>
      </c>
      <c r="FG239">
        <v>2.5781200000000002</v>
      </c>
      <c r="FH239">
        <v>2.19604</v>
      </c>
      <c r="FI239">
        <v>2.5781200000000002</v>
      </c>
      <c r="FJ239">
        <v>2.4462899999999999</v>
      </c>
      <c r="FK239">
        <v>2.33521</v>
      </c>
      <c r="FL239">
        <v>31.783000000000001</v>
      </c>
      <c r="FM239">
        <v>24.148800000000001</v>
      </c>
      <c r="FN239">
        <v>19</v>
      </c>
      <c r="FO239">
        <v>865.01599999999996</v>
      </c>
      <c r="FP239">
        <v>584.91099999999994</v>
      </c>
      <c r="FQ239">
        <v>17.770900000000001</v>
      </c>
      <c r="FR239">
        <v>25.545100000000001</v>
      </c>
      <c r="FS239">
        <v>29.9999</v>
      </c>
      <c r="FT239">
        <v>25.5106</v>
      </c>
      <c r="FU239">
        <v>25.507100000000001</v>
      </c>
      <c r="FV239">
        <v>51.656700000000001</v>
      </c>
      <c r="FW239">
        <v>25.090399999999999</v>
      </c>
      <c r="FX239">
        <v>38.503300000000003</v>
      </c>
      <c r="FY239">
        <v>17.819400000000002</v>
      </c>
      <c r="FZ239">
        <v>1000</v>
      </c>
      <c r="GA239">
        <v>14.756</v>
      </c>
      <c r="GB239">
        <v>99.871600000000001</v>
      </c>
      <c r="GC239">
        <v>99.732100000000003</v>
      </c>
    </row>
    <row r="240" spans="1:185" x14ac:dyDescent="0.2">
      <c r="A240">
        <v>225</v>
      </c>
      <c r="B240">
        <v>1771089959.0999999</v>
      </c>
      <c r="C240">
        <v>4639.0999999046298</v>
      </c>
      <c r="D240" t="s">
        <v>751</v>
      </c>
      <c r="E240" t="s">
        <v>752</v>
      </c>
      <c r="F240">
        <v>15</v>
      </c>
      <c r="G240">
        <v>1771089958.0999999</v>
      </c>
      <c r="H240">
        <f t="shared" si="39"/>
        <v>-8.9331160765063116E-7</v>
      </c>
      <c r="I240">
        <v>0</v>
      </c>
      <c r="J240">
        <f t="shared" si="51"/>
        <v>-1.1462807206071537E-4</v>
      </c>
      <c r="K240">
        <f t="shared" si="40"/>
        <v>-3.1071010850881211E-3</v>
      </c>
      <c r="L240">
        <f t="shared" si="41"/>
        <v>67.28829102875396</v>
      </c>
      <c r="M240">
        <f t="shared" si="42"/>
        <v>1.4802116605939797</v>
      </c>
      <c r="N240">
        <f t="shared" si="43"/>
        <v>2.1998056986786132</v>
      </c>
      <c r="O240">
        <v>477</v>
      </c>
      <c r="P240">
        <v>60</v>
      </c>
      <c r="Q240">
        <f t="shared" si="44"/>
        <v>1</v>
      </c>
      <c r="R240">
        <f t="shared" si="45"/>
        <v>0</v>
      </c>
      <c r="S240">
        <f t="shared" si="46"/>
        <v>26212.980299132043</v>
      </c>
      <c r="T240">
        <f t="shared" si="47"/>
        <v>800.00300000000004</v>
      </c>
      <c r="U240">
        <f t="shared" si="48"/>
        <v>674.4030090018</v>
      </c>
      <c r="V240">
        <f t="shared" si="49"/>
        <v>0.84300059999999999</v>
      </c>
      <c r="W240">
        <f t="shared" si="50"/>
        <v>0.1587015</v>
      </c>
      <c r="X240">
        <v>1</v>
      </c>
      <c r="Y240">
        <v>1771089958.0999999</v>
      </c>
      <c r="Z240">
        <v>999.96900000000005</v>
      </c>
      <c r="AA240">
        <v>999.96400000000006</v>
      </c>
      <c r="AB240">
        <v>14.8066</v>
      </c>
      <c r="AC240">
        <v>14.807700000000001</v>
      </c>
      <c r="AD240">
        <v>1000.94</v>
      </c>
      <c r="AE240">
        <v>14.6974</v>
      </c>
      <c r="AF240">
        <v>800.077</v>
      </c>
      <c r="AG240">
        <v>99.893699999999995</v>
      </c>
      <c r="AH240">
        <v>7.6020299999999999E-2</v>
      </c>
      <c r="AI240">
        <v>18.960899999999999</v>
      </c>
      <c r="AJ240">
        <v>999.9</v>
      </c>
      <c r="AK240">
        <v>999.9</v>
      </c>
      <c r="AL240">
        <v>0</v>
      </c>
      <c r="AM240">
        <v>0</v>
      </c>
      <c r="AN240">
        <v>5002.5</v>
      </c>
      <c r="AO240">
        <v>0</v>
      </c>
      <c r="AP240">
        <v>2.2019299999999999</v>
      </c>
      <c r="AQ240">
        <v>4.8217800000000003E-3</v>
      </c>
      <c r="AR240">
        <v>1015</v>
      </c>
      <c r="AS240">
        <v>1014.99</v>
      </c>
      <c r="AT240">
        <v>-1.0604900000000001E-3</v>
      </c>
      <c r="AU240">
        <v>999.96400000000006</v>
      </c>
      <c r="AV240">
        <v>14.807700000000001</v>
      </c>
      <c r="AW240">
        <v>1.47909</v>
      </c>
      <c r="AX240">
        <v>1.47919</v>
      </c>
      <c r="AY240">
        <v>12.7537</v>
      </c>
      <c r="AZ240">
        <v>12.754799999999999</v>
      </c>
      <c r="BA240">
        <v>800.00300000000004</v>
      </c>
      <c r="BB240">
        <v>0.89998</v>
      </c>
      <c r="BC240">
        <v>0</v>
      </c>
      <c r="BD240">
        <v>0.10002</v>
      </c>
      <c r="BE240">
        <v>0</v>
      </c>
      <c r="BF240">
        <v>26</v>
      </c>
      <c r="BG240">
        <v>13191</v>
      </c>
      <c r="BH240">
        <v>1771089957.0999999</v>
      </c>
      <c r="BI240" t="s">
        <v>750</v>
      </c>
      <c r="BJ240">
        <v>1771089957.0999999</v>
      </c>
      <c r="BK240">
        <v>1771089951.0999999</v>
      </c>
      <c r="BL240">
        <v>9</v>
      </c>
      <c r="BM240">
        <v>-7.1999999999999995E-2</v>
      </c>
      <c r="BN240">
        <v>0</v>
      </c>
      <c r="BO240">
        <v>-0.97499999999999998</v>
      </c>
      <c r="BP240">
        <v>0.109</v>
      </c>
      <c r="BQ240">
        <v>1000</v>
      </c>
      <c r="BR240">
        <v>15</v>
      </c>
      <c r="BS240">
        <v>0.28999999999999998</v>
      </c>
      <c r="BT240">
        <v>0.06</v>
      </c>
      <c r="BU240">
        <v>3.6033990952381002E-2</v>
      </c>
      <c r="BV240">
        <v>0.29683538415584398</v>
      </c>
      <c r="BW240">
        <v>3.9728762426875099E-2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3.1357652857142901E-4</v>
      </c>
      <c r="CD240">
        <v>-1.56104804727273E-2</v>
      </c>
      <c r="CE240">
        <v>1.7562605200109199E-3</v>
      </c>
      <c r="CF240">
        <v>1</v>
      </c>
      <c r="CG240">
        <v>2</v>
      </c>
      <c r="CH240">
        <v>2</v>
      </c>
      <c r="CI240" t="s">
        <v>310</v>
      </c>
      <c r="CJ240">
        <v>3.5339100000000001</v>
      </c>
      <c r="CK240">
        <v>2.7126999999999999</v>
      </c>
      <c r="CL240">
        <v>0.18171999999999999</v>
      </c>
      <c r="CM240">
        <v>0.179093</v>
      </c>
      <c r="CN240">
        <v>8.4499299999999999E-2</v>
      </c>
      <c r="CO240">
        <v>8.3547099999999999E-2</v>
      </c>
      <c r="CP240">
        <v>28694.6</v>
      </c>
      <c r="CQ240">
        <v>25278.3</v>
      </c>
      <c r="CR240">
        <v>32454.6</v>
      </c>
      <c r="CS240">
        <v>30718.799999999999</v>
      </c>
      <c r="CT240">
        <v>40244.300000000003</v>
      </c>
      <c r="CU240">
        <v>39596.6</v>
      </c>
      <c r="CV240">
        <v>47397.1</v>
      </c>
      <c r="CW240">
        <v>46850.2</v>
      </c>
      <c r="CX240">
        <v>1.6874800000000001</v>
      </c>
      <c r="CY240">
        <v>1.6135600000000001</v>
      </c>
      <c r="CZ240">
        <v>0</v>
      </c>
      <c r="DA240">
        <v>0</v>
      </c>
      <c r="DB240">
        <v>999.9</v>
      </c>
      <c r="DC240">
        <v>999.9</v>
      </c>
      <c r="DD240">
        <v>52.008000000000003</v>
      </c>
      <c r="DE240">
        <v>27.009</v>
      </c>
      <c r="DF240">
        <v>18.645399999999999</v>
      </c>
      <c r="DG240">
        <v>30.632000000000001</v>
      </c>
      <c r="DH240">
        <v>15.7171</v>
      </c>
      <c r="DI240">
        <v>2</v>
      </c>
      <c r="DJ240">
        <v>-0.118561</v>
      </c>
      <c r="DK240">
        <v>2.1408800000000001</v>
      </c>
      <c r="DL240">
        <v>20.196000000000002</v>
      </c>
      <c r="DM240">
        <v>5.2464000000000004</v>
      </c>
      <c r="DN240">
        <v>12.033899999999999</v>
      </c>
      <c r="DO240">
        <v>4.9664000000000001</v>
      </c>
      <c r="DP240">
        <v>3.2902999999999998</v>
      </c>
      <c r="DQ240">
        <v>9999</v>
      </c>
      <c r="DR240">
        <v>9999</v>
      </c>
      <c r="DS240">
        <v>9999</v>
      </c>
      <c r="DT240">
        <v>605.1</v>
      </c>
      <c r="DU240">
        <v>1.8711500000000001</v>
      </c>
      <c r="DV240">
        <v>1.87619</v>
      </c>
      <c r="DW240">
        <v>1.8763700000000001</v>
      </c>
      <c r="DX240">
        <v>1.8829</v>
      </c>
      <c r="DY240">
        <v>1.87561</v>
      </c>
      <c r="DZ240">
        <v>1.87469</v>
      </c>
      <c r="EA240">
        <v>1.87086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-0.97699999999999998</v>
      </c>
      <c r="EQ240">
        <v>0.10920000000000001</v>
      </c>
      <c r="ER240">
        <v>-0.97454545454524999</v>
      </c>
      <c r="ES240">
        <v>0</v>
      </c>
      <c r="ET240">
        <v>0</v>
      </c>
      <c r="EU240">
        <v>0</v>
      </c>
      <c r="EV240">
        <v>0.109172727272727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0</v>
      </c>
      <c r="FE240">
        <v>0.1</v>
      </c>
      <c r="FF240">
        <v>2.5756800000000002</v>
      </c>
      <c r="FG240">
        <v>2.5805699999999998</v>
      </c>
      <c r="FH240">
        <v>2.19604</v>
      </c>
      <c r="FI240">
        <v>2.5781200000000002</v>
      </c>
      <c r="FJ240">
        <v>2.4462899999999999</v>
      </c>
      <c r="FK240">
        <v>2.2607400000000002</v>
      </c>
      <c r="FL240">
        <v>31.8049</v>
      </c>
      <c r="FM240">
        <v>24.14</v>
      </c>
      <c r="FN240">
        <v>19</v>
      </c>
      <c r="FO240">
        <v>297.767</v>
      </c>
      <c r="FP240">
        <v>282.13299999999998</v>
      </c>
      <c r="FQ240">
        <v>18.0886</v>
      </c>
      <c r="FR240">
        <v>25.5504</v>
      </c>
      <c r="FS240">
        <v>30.0002</v>
      </c>
      <c r="FT240">
        <v>25.5364</v>
      </c>
      <c r="FU240">
        <v>25.5307</v>
      </c>
      <c r="FV240">
        <v>51.654499999999999</v>
      </c>
      <c r="FW240">
        <v>23.132300000000001</v>
      </c>
      <c r="FX240">
        <v>38.503300000000003</v>
      </c>
      <c r="FY240">
        <v>18.1035</v>
      </c>
      <c r="FZ240">
        <v>1000</v>
      </c>
      <c r="GA240">
        <v>15.2776</v>
      </c>
      <c r="GB240">
        <v>99.872600000000006</v>
      </c>
      <c r="GC240">
        <v>99.7316</v>
      </c>
    </row>
    <row r="241" spans="1:185" x14ac:dyDescent="0.2">
      <c r="A241">
        <v>226</v>
      </c>
      <c r="B241">
        <v>1771089974.0999999</v>
      </c>
      <c r="C241">
        <v>4654.0999999046298</v>
      </c>
      <c r="D241" t="s">
        <v>753</v>
      </c>
      <c r="E241" t="s">
        <v>754</v>
      </c>
      <c r="F241">
        <v>15</v>
      </c>
      <c r="G241">
        <v>1771089966.03333</v>
      </c>
      <c r="H241">
        <f t="shared" si="39"/>
        <v>6.0341525971503653E-4</v>
      </c>
      <c r="I241">
        <v>0</v>
      </c>
      <c r="J241">
        <f t="shared" si="51"/>
        <v>1.4626387715509639E-2</v>
      </c>
      <c r="K241">
        <f t="shared" si="40"/>
        <v>0.39646191656881596</v>
      </c>
      <c r="L241">
        <f t="shared" si="41"/>
        <v>70.83048791933804</v>
      </c>
      <c r="M241">
        <f t="shared" si="42"/>
        <v>1.5596231262801685</v>
      </c>
      <c r="N241">
        <f t="shared" si="43"/>
        <v>2.2019093360704671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26206.257505816306</v>
      </c>
      <c r="T241">
        <f t="shared" si="47"/>
        <v>799.99533333333295</v>
      </c>
      <c r="U241">
        <f t="shared" si="48"/>
        <v>674.39629639865609</v>
      </c>
      <c r="V241">
        <f t="shared" si="49"/>
        <v>0.84300028800000049</v>
      </c>
      <c r="W241">
        <f t="shared" si="50"/>
        <v>0.15870084992000014</v>
      </c>
      <c r="X241">
        <v>1</v>
      </c>
      <c r="Y241">
        <v>1771089966.03333</v>
      </c>
      <c r="Z241">
        <v>998.739466666667</v>
      </c>
      <c r="AA241">
        <v>999.98773333333304</v>
      </c>
      <c r="AB241">
        <v>15.60244</v>
      </c>
      <c r="AC241">
        <v>14.8603133333333</v>
      </c>
      <c r="AD241">
        <v>999.71406666666701</v>
      </c>
      <c r="AE241">
        <v>15.493266666666701</v>
      </c>
      <c r="AF241">
        <v>800.40313333333302</v>
      </c>
      <c r="AG241">
        <v>99.894093333333302</v>
      </c>
      <c r="AH241">
        <v>6.6113293333333295E-2</v>
      </c>
      <c r="AI241">
        <v>18.976213333333298</v>
      </c>
      <c r="AJ241">
        <v>999.9</v>
      </c>
      <c r="AK241">
        <v>999.9</v>
      </c>
      <c r="AL241">
        <v>0</v>
      </c>
      <c r="AM241">
        <v>0</v>
      </c>
      <c r="AN241">
        <v>5001.6000000000004</v>
      </c>
      <c r="AO241">
        <v>0</v>
      </c>
      <c r="AP241">
        <v>2.1657966666666701</v>
      </c>
      <c r="AQ241">
        <v>-1.24916921466667</v>
      </c>
      <c r="AR241">
        <v>1014.56866666667</v>
      </c>
      <c r="AS241">
        <v>1015.07266666667</v>
      </c>
      <c r="AT241">
        <v>0.74213343399999998</v>
      </c>
      <c r="AU241">
        <v>999.98773333333304</v>
      </c>
      <c r="AV241">
        <v>14.8603133333333</v>
      </c>
      <c r="AW241">
        <v>1.558592</v>
      </c>
      <c r="AX241">
        <v>1.48445733333333</v>
      </c>
      <c r="AY241">
        <v>13.5526466666667</v>
      </c>
      <c r="AZ241">
        <v>12.8089333333333</v>
      </c>
      <c r="BA241">
        <v>799.99533333333295</v>
      </c>
      <c r="BB241">
        <v>0.89998846666666699</v>
      </c>
      <c r="BC241">
        <v>0</v>
      </c>
      <c r="BD241">
        <v>0.10001146666666701</v>
      </c>
      <c r="BE241">
        <v>0</v>
      </c>
      <c r="BF241">
        <v>26</v>
      </c>
      <c r="BG241">
        <v>13190.9066666667</v>
      </c>
      <c r="BH241">
        <v>1771089957.0999999</v>
      </c>
      <c r="BI241" t="s">
        <v>750</v>
      </c>
      <c r="BJ241">
        <v>1771089957.0999999</v>
      </c>
      <c r="BK241">
        <v>1771089951.0999999</v>
      </c>
      <c r="BL241">
        <v>9</v>
      </c>
      <c r="BM241">
        <v>-7.1999999999999995E-2</v>
      </c>
      <c r="BN241">
        <v>0</v>
      </c>
      <c r="BO241">
        <v>-0.97499999999999998</v>
      </c>
      <c r="BP241">
        <v>0.109</v>
      </c>
      <c r="BQ241">
        <v>1000</v>
      </c>
      <c r="BR241">
        <v>15</v>
      </c>
      <c r="BS241">
        <v>0.28999999999999998</v>
      </c>
      <c r="BT241">
        <v>0.06</v>
      </c>
      <c r="BU241">
        <v>-0.92672371600000003</v>
      </c>
      <c r="BV241">
        <v>-6.8472316006014999</v>
      </c>
      <c r="BW241">
        <v>0.72420207850152796</v>
      </c>
      <c r="BX241">
        <v>0</v>
      </c>
      <c r="BY241">
        <v>0</v>
      </c>
      <c r="BZ241">
        <v>0</v>
      </c>
      <c r="CA241">
        <v>0</v>
      </c>
      <c r="CB241">
        <v>-1</v>
      </c>
      <c r="CC241">
        <v>0.55851200249999999</v>
      </c>
      <c r="CD241">
        <v>4.0271997315789498</v>
      </c>
      <c r="CE241">
        <v>0.409820410299437</v>
      </c>
      <c r="CF241">
        <v>0</v>
      </c>
      <c r="CG241">
        <v>0</v>
      </c>
      <c r="CH241">
        <v>2</v>
      </c>
      <c r="CI241" t="s">
        <v>290</v>
      </c>
      <c r="CJ241">
        <v>3.5325000000000002</v>
      </c>
      <c r="CK241">
        <v>2.7015500000000001</v>
      </c>
      <c r="CL241">
        <v>0.181588</v>
      </c>
      <c r="CM241">
        <v>0.179095</v>
      </c>
      <c r="CN241">
        <v>8.8509299999999999E-2</v>
      </c>
      <c r="CO241">
        <v>8.3362900000000004E-2</v>
      </c>
      <c r="CP241">
        <v>28698.6</v>
      </c>
      <c r="CQ241">
        <v>25277.8</v>
      </c>
      <c r="CR241">
        <v>32453.9</v>
      </c>
      <c r="CS241">
        <v>30718.2</v>
      </c>
      <c r="CT241">
        <v>40061.5</v>
      </c>
      <c r="CU241">
        <v>39604.300000000003</v>
      </c>
      <c r="CV241">
        <v>47395.8</v>
      </c>
      <c r="CW241">
        <v>46849.599999999999</v>
      </c>
      <c r="CX241">
        <v>2.6191800000000001</v>
      </c>
      <c r="CY241">
        <v>2.1390600000000002</v>
      </c>
      <c r="CZ241">
        <v>0</v>
      </c>
      <c r="DA241">
        <v>0</v>
      </c>
      <c r="DB241">
        <v>999.9</v>
      </c>
      <c r="DC241">
        <v>999.9</v>
      </c>
      <c r="DD241">
        <v>51.984000000000002</v>
      </c>
      <c r="DE241">
        <v>27.009</v>
      </c>
      <c r="DF241">
        <v>18.637599999999999</v>
      </c>
      <c r="DG241">
        <v>30.632000000000001</v>
      </c>
      <c r="DH241">
        <v>15.384600000000001</v>
      </c>
      <c r="DI241">
        <v>2</v>
      </c>
      <c r="DJ241">
        <v>-0.118063</v>
      </c>
      <c r="DK241">
        <v>2.1810499999999999</v>
      </c>
      <c r="DL241">
        <v>20.196899999999999</v>
      </c>
      <c r="DM241">
        <v>5.2510700000000003</v>
      </c>
      <c r="DN241">
        <v>12.033899999999999</v>
      </c>
      <c r="DO241">
        <v>4.9671599999999998</v>
      </c>
      <c r="DP241">
        <v>3.2909999999999999</v>
      </c>
      <c r="DQ241">
        <v>9999</v>
      </c>
      <c r="DR241">
        <v>9999</v>
      </c>
      <c r="DS241">
        <v>9999</v>
      </c>
      <c r="DT241">
        <v>605.1</v>
      </c>
      <c r="DU241">
        <v>1.87117</v>
      </c>
      <c r="DV241">
        <v>1.8762099999999999</v>
      </c>
      <c r="DW241">
        <v>1.8763700000000001</v>
      </c>
      <c r="DX241">
        <v>1.8829100000000001</v>
      </c>
      <c r="DY241">
        <v>1.8756200000000001</v>
      </c>
      <c r="DZ241">
        <v>1.87469</v>
      </c>
      <c r="EA241">
        <v>1.87087</v>
      </c>
      <c r="EB241">
        <v>1.8747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-0.97399999999999998</v>
      </c>
      <c r="EQ241">
        <v>0.10920000000000001</v>
      </c>
      <c r="ER241">
        <v>-0.97454545454524999</v>
      </c>
      <c r="ES241">
        <v>0</v>
      </c>
      <c r="ET241">
        <v>0</v>
      </c>
      <c r="EU241">
        <v>0</v>
      </c>
      <c r="EV241">
        <v>0.109172727272727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0.3</v>
      </c>
      <c r="FE241">
        <v>0.4</v>
      </c>
      <c r="FF241">
        <v>2.5756800000000002</v>
      </c>
      <c r="FG241">
        <v>2.5830099999999998</v>
      </c>
      <c r="FH241">
        <v>2.19604</v>
      </c>
      <c r="FI241">
        <v>2.5781200000000002</v>
      </c>
      <c r="FJ241">
        <v>2.4462899999999999</v>
      </c>
      <c r="FK241">
        <v>2.2790499999999998</v>
      </c>
      <c r="FL241">
        <v>31.8049</v>
      </c>
      <c r="FM241">
        <v>24.1313</v>
      </c>
      <c r="FN241">
        <v>19</v>
      </c>
      <c r="FO241">
        <v>862.25300000000004</v>
      </c>
      <c r="FP241">
        <v>583.404</v>
      </c>
      <c r="FQ241">
        <v>18.160399999999999</v>
      </c>
      <c r="FR241">
        <v>25.552600000000002</v>
      </c>
      <c r="FS241">
        <v>30.0002</v>
      </c>
      <c r="FT241">
        <v>25.5213</v>
      </c>
      <c r="FU241">
        <v>25.517800000000001</v>
      </c>
      <c r="FV241">
        <v>51.654699999999998</v>
      </c>
      <c r="FW241">
        <v>25.7773</v>
      </c>
      <c r="FX241">
        <v>38.129600000000003</v>
      </c>
      <c r="FY241">
        <v>18.160799999999998</v>
      </c>
      <c r="FZ241">
        <v>1000</v>
      </c>
      <c r="GA241">
        <v>14.5885</v>
      </c>
      <c r="GB241">
        <v>99.87</v>
      </c>
      <c r="GC241">
        <v>99.730099999999993</v>
      </c>
    </row>
    <row r="242" spans="1:185" x14ac:dyDescent="0.2">
      <c r="A242">
        <v>227</v>
      </c>
      <c r="B242">
        <v>1771089989.0999999</v>
      </c>
      <c r="C242">
        <v>4669.0999999046298</v>
      </c>
      <c r="D242" t="s">
        <v>755</v>
      </c>
      <c r="E242" t="s">
        <v>756</v>
      </c>
      <c r="F242">
        <v>15</v>
      </c>
      <c r="G242">
        <v>1771089981.03333</v>
      </c>
      <c r="H242">
        <f t="shared" si="39"/>
        <v>8.8438798364529557E-4</v>
      </c>
      <c r="I242">
        <v>0</v>
      </c>
      <c r="J242">
        <f t="shared" si="51"/>
        <v>1.2173353646641743E-2</v>
      </c>
      <c r="K242">
        <f t="shared" si="40"/>
        <v>0.32997013423210797</v>
      </c>
      <c r="L242">
        <f t="shared" si="41"/>
        <v>71.331731676948891</v>
      </c>
      <c r="M242">
        <f t="shared" si="42"/>
        <v>1.5734548289515173</v>
      </c>
      <c r="N242">
        <f t="shared" si="43"/>
        <v>2.2058273253164065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26194.240229826821</v>
      </c>
      <c r="T242">
        <f t="shared" si="47"/>
        <v>799.99873333333301</v>
      </c>
      <c r="U242">
        <f t="shared" si="48"/>
        <v>674.39907779976943</v>
      </c>
      <c r="V242">
        <f t="shared" si="49"/>
        <v>0.84300018200000026</v>
      </c>
      <c r="W242">
        <f t="shared" si="50"/>
        <v>0.15870032508000007</v>
      </c>
      <c r="X242">
        <v>1</v>
      </c>
      <c r="Y242">
        <v>1771089981.03333</v>
      </c>
      <c r="Z242">
        <v>998.54326666666702</v>
      </c>
      <c r="AA242">
        <v>1000.0596</v>
      </c>
      <c r="AB242">
        <v>15.74166</v>
      </c>
      <c r="AC242">
        <v>14.65358</v>
      </c>
      <c r="AD242">
        <v>999.51766666666697</v>
      </c>
      <c r="AE242">
        <v>15.632493333333301</v>
      </c>
      <c r="AF242">
        <v>800.002066666666</v>
      </c>
      <c r="AG242">
        <v>99.891120000000001</v>
      </c>
      <c r="AH242">
        <v>6.370236E-2</v>
      </c>
      <c r="AI242">
        <v>19.0047</v>
      </c>
      <c r="AJ242">
        <v>999.9</v>
      </c>
      <c r="AK242">
        <v>999.9</v>
      </c>
      <c r="AL242">
        <v>0</v>
      </c>
      <c r="AM242">
        <v>0</v>
      </c>
      <c r="AN242">
        <v>5000.1666666666697</v>
      </c>
      <c r="AO242">
        <v>0</v>
      </c>
      <c r="AP242">
        <v>2.1492339999999999</v>
      </c>
      <c r="AQ242">
        <v>-1.516902</v>
      </c>
      <c r="AR242">
        <v>1014.51333333333</v>
      </c>
      <c r="AS242">
        <v>1014.932</v>
      </c>
      <c r="AT242">
        <v>1.08807533333333</v>
      </c>
      <c r="AU242">
        <v>1000.0596</v>
      </c>
      <c r="AV242">
        <v>14.65358</v>
      </c>
      <c r="AW242">
        <v>1.5724513333333301</v>
      </c>
      <c r="AX242">
        <v>1.4637626666666701</v>
      </c>
      <c r="AY242">
        <v>13.6914266666667</v>
      </c>
      <c r="AZ242">
        <v>12.5947</v>
      </c>
      <c r="BA242">
        <v>799.99873333333301</v>
      </c>
      <c r="BB242">
        <v>0.89999586666666698</v>
      </c>
      <c r="BC242">
        <v>0</v>
      </c>
      <c r="BD242">
        <v>0.1000042</v>
      </c>
      <c r="BE242">
        <v>0</v>
      </c>
      <c r="BF242">
        <v>26</v>
      </c>
      <c r="BG242">
        <v>13190.993333333299</v>
      </c>
      <c r="BH242">
        <v>1771089957.0999999</v>
      </c>
      <c r="BI242" t="s">
        <v>750</v>
      </c>
      <c r="BJ242">
        <v>1771089957.0999999</v>
      </c>
      <c r="BK242">
        <v>1771089951.0999999</v>
      </c>
      <c r="BL242">
        <v>9</v>
      </c>
      <c r="BM242">
        <v>-7.1999999999999995E-2</v>
      </c>
      <c r="BN242">
        <v>0</v>
      </c>
      <c r="BO242">
        <v>-0.97499999999999998</v>
      </c>
      <c r="BP242">
        <v>0.109</v>
      </c>
      <c r="BQ242">
        <v>1000</v>
      </c>
      <c r="BR242">
        <v>15</v>
      </c>
      <c r="BS242">
        <v>0.28999999999999998</v>
      </c>
      <c r="BT242">
        <v>0.06</v>
      </c>
      <c r="BU242">
        <v>-1.5346154999999999</v>
      </c>
      <c r="BV242">
        <v>0.35296646616541399</v>
      </c>
      <c r="BW242">
        <v>6.2492184509344802E-2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1.0504303500000001</v>
      </c>
      <c r="CD242">
        <v>0.63109366917293097</v>
      </c>
      <c r="CE242">
        <v>6.3560015802605799E-2</v>
      </c>
      <c r="CF242">
        <v>0</v>
      </c>
      <c r="CG242">
        <v>1</v>
      </c>
      <c r="CH242">
        <v>2</v>
      </c>
      <c r="CI242" t="s">
        <v>299</v>
      </c>
      <c r="CJ242">
        <v>3.5325700000000002</v>
      </c>
      <c r="CK242">
        <v>2.7014499999999999</v>
      </c>
      <c r="CL242">
        <v>0.181589</v>
      </c>
      <c r="CM242">
        <v>0.179094</v>
      </c>
      <c r="CN242">
        <v>8.80663E-2</v>
      </c>
      <c r="CO242">
        <v>8.25433E-2</v>
      </c>
      <c r="CP242">
        <v>28698.799999999999</v>
      </c>
      <c r="CQ242">
        <v>25277.8</v>
      </c>
      <c r="CR242">
        <v>32454.2</v>
      </c>
      <c r="CS242">
        <v>30718.2</v>
      </c>
      <c r="CT242">
        <v>40082.199999999997</v>
      </c>
      <c r="CU242">
        <v>39640.400000000001</v>
      </c>
      <c r="CV242">
        <v>47396.5</v>
      </c>
      <c r="CW242">
        <v>46849.3</v>
      </c>
      <c r="CX242">
        <v>2.6210200000000001</v>
      </c>
      <c r="CY242">
        <v>2.1392199999999999</v>
      </c>
      <c r="CZ242">
        <v>0</v>
      </c>
      <c r="DA242">
        <v>0</v>
      </c>
      <c r="DB242">
        <v>999.9</v>
      </c>
      <c r="DC242">
        <v>999.9</v>
      </c>
      <c r="DD242">
        <v>51.935000000000002</v>
      </c>
      <c r="DE242">
        <v>27.018999999999998</v>
      </c>
      <c r="DF242">
        <v>18.628699999999998</v>
      </c>
      <c r="DG242">
        <v>30.271999999999998</v>
      </c>
      <c r="DH242">
        <v>15.380599999999999</v>
      </c>
      <c r="DI242">
        <v>2</v>
      </c>
      <c r="DJ242">
        <v>-0.11244700000000001</v>
      </c>
      <c r="DK242">
        <v>3.28545</v>
      </c>
      <c r="DL242">
        <v>20.1737</v>
      </c>
      <c r="DM242">
        <v>5.2478400000000001</v>
      </c>
      <c r="DN242">
        <v>12.033899999999999</v>
      </c>
      <c r="DO242">
        <v>4.9655199999999997</v>
      </c>
      <c r="DP242">
        <v>3.2907600000000001</v>
      </c>
      <c r="DQ242">
        <v>9999</v>
      </c>
      <c r="DR242">
        <v>9999</v>
      </c>
      <c r="DS242">
        <v>9999</v>
      </c>
      <c r="DT242">
        <v>605.1</v>
      </c>
      <c r="DU242">
        <v>1.8711800000000001</v>
      </c>
      <c r="DV242">
        <v>1.8762099999999999</v>
      </c>
      <c r="DW242">
        <v>1.8763700000000001</v>
      </c>
      <c r="DX242">
        <v>1.8829</v>
      </c>
      <c r="DY242">
        <v>1.87561</v>
      </c>
      <c r="DZ242">
        <v>1.87469</v>
      </c>
      <c r="EA242">
        <v>1.87087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-0.97499999999999998</v>
      </c>
      <c r="EQ242">
        <v>0.10920000000000001</v>
      </c>
      <c r="ER242">
        <v>-0.97454545454524999</v>
      </c>
      <c r="ES242">
        <v>0</v>
      </c>
      <c r="ET242">
        <v>0</v>
      </c>
      <c r="EU242">
        <v>0</v>
      </c>
      <c r="EV242">
        <v>0.109172727272727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0.5</v>
      </c>
      <c r="FE242">
        <v>0.6</v>
      </c>
      <c r="FF242">
        <v>2.5756800000000002</v>
      </c>
      <c r="FG242">
        <v>2.5793499999999998</v>
      </c>
      <c r="FH242">
        <v>2.19604</v>
      </c>
      <c r="FI242">
        <v>2.5781200000000002</v>
      </c>
      <c r="FJ242">
        <v>2.4462899999999999</v>
      </c>
      <c r="FK242">
        <v>2.2644000000000002</v>
      </c>
      <c r="FL242">
        <v>31.826899999999998</v>
      </c>
      <c r="FM242">
        <v>24.1313</v>
      </c>
      <c r="FN242">
        <v>19</v>
      </c>
      <c r="FO242">
        <v>863.96100000000001</v>
      </c>
      <c r="FP242">
        <v>583.55200000000002</v>
      </c>
      <c r="FQ242">
        <v>17.839300000000001</v>
      </c>
      <c r="FR242">
        <v>25.5547</v>
      </c>
      <c r="FS242">
        <v>30.002400000000002</v>
      </c>
      <c r="FT242">
        <v>25.5213</v>
      </c>
      <c r="FU242">
        <v>25.52</v>
      </c>
      <c r="FV242">
        <v>51.646099999999997</v>
      </c>
      <c r="FW242">
        <v>26.597000000000001</v>
      </c>
      <c r="FX242">
        <v>38.129600000000003</v>
      </c>
      <c r="FY242">
        <v>17.797699999999999</v>
      </c>
      <c r="FZ242">
        <v>1000</v>
      </c>
      <c r="GA242">
        <v>14.4594</v>
      </c>
      <c r="GB242">
        <v>99.871300000000005</v>
      </c>
      <c r="GC242">
        <v>99.729699999999994</v>
      </c>
    </row>
    <row r="243" spans="1:185" x14ac:dyDescent="0.2">
      <c r="A243">
        <v>228</v>
      </c>
      <c r="B243">
        <v>1771090004.0999999</v>
      </c>
      <c r="C243">
        <v>4684.0999999046298</v>
      </c>
      <c r="D243" t="s">
        <v>757</v>
      </c>
      <c r="E243" t="s">
        <v>758</v>
      </c>
      <c r="F243">
        <v>15</v>
      </c>
      <c r="G243">
        <v>1771089996.03333</v>
      </c>
      <c r="H243">
        <f t="shared" si="39"/>
        <v>8.9964247353842741E-4</v>
      </c>
      <c r="I243">
        <v>0</v>
      </c>
      <c r="J243">
        <f t="shared" si="51"/>
        <v>1.0084180133971757E-2</v>
      </c>
      <c r="K243">
        <f t="shared" si="40"/>
        <v>0.27334113252721998</v>
      </c>
      <c r="L243">
        <f t="shared" si="41"/>
        <v>70.816192203664556</v>
      </c>
      <c r="M243">
        <f t="shared" si="42"/>
        <v>1.5617872692015637</v>
      </c>
      <c r="N243">
        <f t="shared" si="43"/>
        <v>2.2054098372162199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26186.559182187044</v>
      </c>
      <c r="T243">
        <f t="shared" si="47"/>
        <v>799.99993333333305</v>
      </c>
      <c r="U243">
        <f t="shared" si="48"/>
        <v>674.40009739998698</v>
      </c>
      <c r="V243">
        <f t="shared" si="49"/>
        <v>0.84300019199999998</v>
      </c>
      <c r="W243">
        <f t="shared" si="50"/>
        <v>0.15870047999999998</v>
      </c>
      <c r="X243">
        <v>1</v>
      </c>
      <c r="Y243">
        <v>1771089996.03333</v>
      </c>
      <c r="Z243">
        <v>998.56106666666699</v>
      </c>
      <c r="AA243">
        <v>1000.02566666667</v>
      </c>
      <c r="AB243">
        <v>15.625033333333301</v>
      </c>
      <c r="AC243">
        <v>14.51806</v>
      </c>
      <c r="AD243">
        <v>999.53553333333298</v>
      </c>
      <c r="AE243">
        <v>15.5158466666667</v>
      </c>
      <c r="AF243">
        <v>800.00620000000004</v>
      </c>
      <c r="AG243">
        <v>99.890046666666706</v>
      </c>
      <c r="AH243">
        <v>6.4125326666666704E-2</v>
      </c>
      <c r="AI243">
        <v>19.001666666666701</v>
      </c>
      <c r="AJ243">
        <v>999.9</v>
      </c>
      <c r="AK243">
        <v>999.9</v>
      </c>
      <c r="AL243">
        <v>0</v>
      </c>
      <c r="AM243">
        <v>0</v>
      </c>
      <c r="AN243">
        <v>4998.8999999999996</v>
      </c>
      <c r="AO243">
        <v>0</v>
      </c>
      <c r="AP243">
        <v>2.1457713333333301</v>
      </c>
      <c r="AQ243">
        <v>-1.46457066666667</v>
      </c>
      <c r="AR243">
        <v>1014.41133333333</v>
      </c>
      <c r="AS243">
        <v>1014.758</v>
      </c>
      <c r="AT243">
        <v>1.1069706666666701</v>
      </c>
      <c r="AU243">
        <v>1000.02566666667</v>
      </c>
      <c r="AV243">
        <v>14.51806</v>
      </c>
      <c r="AW243">
        <v>1.5607853333333299</v>
      </c>
      <c r="AX243">
        <v>1.45021</v>
      </c>
      <c r="AY243">
        <v>13.57696</v>
      </c>
      <c r="AZ243">
        <v>12.453060000000001</v>
      </c>
      <c r="BA243">
        <v>799.99993333333305</v>
      </c>
      <c r="BB243">
        <v>0.89999359999999995</v>
      </c>
      <c r="BC243">
        <v>0</v>
      </c>
      <c r="BD243">
        <v>0.1000064</v>
      </c>
      <c r="BE243">
        <v>0</v>
      </c>
      <c r="BF243">
        <v>26</v>
      </c>
      <c r="BG243">
        <v>13191</v>
      </c>
      <c r="BH243">
        <v>1771089957.0999999</v>
      </c>
      <c r="BI243" t="s">
        <v>750</v>
      </c>
      <c r="BJ243">
        <v>1771089957.0999999</v>
      </c>
      <c r="BK243">
        <v>1771089951.0999999</v>
      </c>
      <c r="BL243">
        <v>9</v>
      </c>
      <c r="BM243">
        <v>-7.1999999999999995E-2</v>
      </c>
      <c r="BN243">
        <v>0</v>
      </c>
      <c r="BO243">
        <v>-0.97499999999999998</v>
      </c>
      <c r="BP243">
        <v>0.109</v>
      </c>
      <c r="BQ243">
        <v>1000</v>
      </c>
      <c r="BR243">
        <v>15</v>
      </c>
      <c r="BS243">
        <v>0.28999999999999998</v>
      </c>
      <c r="BT243">
        <v>0.06</v>
      </c>
      <c r="BU243">
        <v>-1.463983</v>
      </c>
      <c r="BV243">
        <v>6.5449624060149106E-2</v>
      </c>
      <c r="BW243">
        <v>2.97019984344488E-2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1.1084795000000001</v>
      </c>
      <c r="CD243">
        <v>-9.7968270676690603E-2</v>
      </c>
      <c r="CE243">
        <v>1.3615395137490501E-2</v>
      </c>
      <c r="CF243">
        <v>1</v>
      </c>
      <c r="CG243">
        <v>2</v>
      </c>
      <c r="CH243">
        <v>2</v>
      </c>
      <c r="CI243" t="s">
        <v>310</v>
      </c>
      <c r="CJ243">
        <v>3.5325500000000001</v>
      </c>
      <c r="CK243">
        <v>2.70201</v>
      </c>
      <c r="CL243">
        <v>0.18158099999999999</v>
      </c>
      <c r="CM243">
        <v>0.17907899999999999</v>
      </c>
      <c r="CN243">
        <v>8.7612700000000002E-2</v>
      </c>
      <c r="CO243">
        <v>8.2198199999999999E-2</v>
      </c>
      <c r="CP243">
        <v>28699.1</v>
      </c>
      <c r="CQ243">
        <v>25278.9</v>
      </c>
      <c r="CR243">
        <v>32454.2</v>
      </c>
      <c r="CS243">
        <v>30719</v>
      </c>
      <c r="CT243">
        <v>40102.699999999997</v>
      </c>
      <c r="CU243">
        <v>39656.9</v>
      </c>
      <c r="CV243">
        <v>47396.4</v>
      </c>
      <c r="CW243">
        <v>46850.6</v>
      </c>
      <c r="CX243">
        <v>2.6219000000000001</v>
      </c>
      <c r="CY243">
        <v>2.1391399999999998</v>
      </c>
      <c r="CZ243">
        <v>0</v>
      </c>
      <c r="DA243">
        <v>0</v>
      </c>
      <c r="DB243">
        <v>999.9</v>
      </c>
      <c r="DC243">
        <v>999.9</v>
      </c>
      <c r="DD243">
        <v>51.911000000000001</v>
      </c>
      <c r="DE243">
        <v>27.029</v>
      </c>
      <c r="DF243">
        <v>18.633400000000002</v>
      </c>
      <c r="DG243">
        <v>30.602</v>
      </c>
      <c r="DH243">
        <v>15.3766</v>
      </c>
      <c r="DI243">
        <v>2</v>
      </c>
      <c r="DJ243">
        <v>-0.115799</v>
      </c>
      <c r="DK243">
        <v>2.6627299999999998</v>
      </c>
      <c r="DL243">
        <v>20.188400000000001</v>
      </c>
      <c r="DM243">
        <v>5.2471199999999998</v>
      </c>
      <c r="DN243">
        <v>12.033899999999999</v>
      </c>
      <c r="DO243">
        <v>4.9664400000000004</v>
      </c>
      <c r="DP243">
        <v>3.2909999999999999</v>
      </c>
      <c r="DQ243">
        <v>9999</v>
      </c>
      <c r="DR243">
        <v>9999</v>
      </c>
      <c r="DS243">
        <v>9999</v>
      </c>
      <c r="DT243">
        <v>605.1</v>
      </c>
      <c r="DU243">
        <v>1.8711800000000001</v>
      </c>
      <c r="DV243">
        <v>1.8762099999999999</v>
      </c>
      <c r="DW243">
        <v>1.8763700000000001</v>
      </c>
      <c r="DX243">
        <v>1.88293</v>
      </c>
      <c r="DY243">
        <v>1.8756200000000001</v>
      </c>
      <c r="DZ243">
        <v>1.87469</v>
      </c>
      <c r="EA243">
        <v>1.8708800000000001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-0.97499999999999998</v>
      </c>
      <c r="EQ243">
        <v>0.1091</v>
      </c>
      <c r="ER243">
        <v>-0.97454545454524999</v>
      </c>
      <c r="ES243">
        <v>0</v>
      </c>
      <c r="ET243">
        <v>0</v>
      </c>
      <c r="EU243">
        <v>0</v>
      </c>
      <c r="EV243">
        <v>0.109172727272727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0.8</v>
      </c>
      <c r="FE243">
        <v>0.9</v>
      </c>
      <c r="FF243">
        <v>2.5756800000000002</v>
      </c>
      <c r="FG243">
        <v>2.5866699999999998</v>
      </c>
      <c r="FH243">
        <v>2.19604</v>
      </c>
      <c r="FI243">
        <v>2.5769000000000002</v>
      </c>
      <c r="FJ243">
        <v>2.4462899999999999</v>
      </c>
      <c r="FK243">
        <v>2.2851599999999999</v>
      </c>
      <c r="FL243">
        <v>31.826899999999998</v>
      </c>
      <c r="FM243">
        <v>24.1313</v>
      </c>
      <c r="FN243">
        <v>19</v>
      </c>
      <c r="FO243">
        <v>864.81299999999999</v>
      </c>
      <c r="FP243">
        <v>583.52200000000005</v>
      </c>
      <c r="FQ243">
        <v>17.7561</v>
      </c>
      <c r="FR243">
        <v>25.5547</v>
      </c>
      <c r="FS243">
        <v>29.999500000000001</v>
      </c>
      <c r="FT243">
        <v>25.523499999999999</v>
      </c>
      <c r="FU243">
        <v>25.5228</v>
      </c>
      <c r="FV243">
        <v>51.6464</v>
      </c>
      <c r="FW243">
        <v>26.882000000000001</v>
      </c>
      <c r="FX243">
        <v>38.129600000000003</v>
      </c>
      <c r="FY243">
        <v>17.7789</v>
      </c>
      <c r="FZ243">
        <v>1000</v>
      </c>
      <c r="GA243">
        <v>14.4033</v>
      </c>
      <c r="GB243">
        <v>99.871099999999998</v>
      </c>
      <c r="GC243">
        <v>99.732399999999998</v>
      </c>
    </row>
    <row r="244" spans="1:185" x14ac:dyDescent="0.2">
      <c r="A244">
        <v>229</v>
      </c>
      <c r="B244">
        <v>1771090019.0999999</v>
      </c>
      <c r="C244">
        <v>4699.0999999046298</v>
      </c>
      <c r="D244" t="s">
        <v>759</v>
      </c>
      <c r="E244" t="s">
        <v>760</v>
      </c>
      <c r="F244">
        <v>15</v>
      </c>
      <c r="G244">
        <v>1771090011.03333</v>
      </c>
      <c r="H244">
        <f t="shared" si="39"/>
        <v>8.9674217844600132E-4</v>
      </c>
      <c r="I244">
        <v>0</v>
      </c>
      <c r="J244">
        <f t="shared" si="51"/>
        <v>1.1277365659447999E-2</v>
      </c>
      <c r="K244">
        <f t="shared" si="40"/>
        <v>0.3056835419760589</v>
      </c>
      <c r="L244">
        <f t="shared" si="41"/>
        <v>70.532380642110866</v>
      </c>
      <c r="M244">
        <f t="shared" si="42"/>
        <v>1.5542834378718104</v>
      </c>
      <c r="N244">
        <f t="shared" si="43"/>
        <v>2.203645224678318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26200.404129110178</v>
      </c>
      <c r="T244">
        <f t="shared" si="47"/>
        <v>800.00073333333398</v>
      </c>
      <c r="U244">
        <f t="shared" si="48"/>
        <v>674.40079260016057</v>
      </c>
      <c r="V244">
        <f t="shared" si="49"/>
        <v>0.84300021800000025</v>
      </c>
      <c r="W244">
        <f t="shared" si="50"/>
        <v>0.15870041508000007</v>
      </c>
      <c r="X244">
        <v>1</v>
      </c>
      <c r="Y244">
        <v>1771090011.03333</v>
      </c>
      <c r="Z244">
        <v>998.49706666666702</v>
      </c>
      <c r="AA244">
        <v>999.99839999999995</v>
      </c>
      <c r="AB244">
        <v>15.5502133333333</v>
      </c>
      <c r="AC244">
        <v>14.4467266666667</v>
      </c>
      <c r="AD244">
        <v>999.47173333333296</v>
      </c>
      <c r="AE244">
        <v>15.441046666666701</v>
      </c>
      <c r="AF244">
        <v>800.00753333333296</v>
      </c>
      <c r="AG244">
        <v>99.888413333333304</v>
      </c>
      <c r="AH244">
        <v>6.4134233333333304E-2</v>
      </c>
      <c r="AI244">
        <v>18.98884</v>
      </c>
      <c r="AJ244">
        <v>999.9</v>
      </c>
      <c r="AK244">
        <v>999.9</v>
      </c>
      <c r="AL244">
        <v>0</v>
      </c>
      <c r="AM244">
        <v>0</v>
      </c>
      <c r="AN244">
        <v>5001.0666666666702</v>
      </c>
      <c r="AO244">
        <v>0</v>
      </c>
      <c r="AP244">
        <v>2.14547</v>
      </c>
      <c r="AQ244">
        <v>-1.5008459999999999</v>
      </c>
      <c r="AR244">
        <v>1014.27</v>
      </c>
      <c r="AS244">
        <v>1014.65666666667</v>
      </c>
      <c r="AT244">
        <v>1.10348</v>
      </c>
      <c r="AU244">
        <v>999.99839999999995</v>
      </c>
      <c r="AV244">
        <v>14.4467266666667</v>
      </c>
      <c r="AW244">
        <v>1.5532873333333299</v>
      </c>
      <c r="AX244">
        <v>1.4430606666666701</v>
      </c>
      <c r="AY244">
        <v>13.5030066666667</v>
      </c>
      <c r="AZ244">
        <v>12.3778133333333</v>
      </c>
      <c r="BA244">
        <v>800.00073333333398</v>
      </c>
      <c r="BB244">
        <v>0.89999466666666705</v>
      </c>
      <c r="BC244">
        <v>0</v>
      </c>
      <c r="BD244">
        <v>0.10000539999999999</v>
      </c>
      <c r="BE244">
        <v>0</v>
      </c>
      <c r="BF244">
        <v>26</v>
      </c>
      <c r="BG244">
        <v>13191</v>
      </c>
      <c r="BH244">
        <v>1771089957.0999999</v>
      </c>
      <c r="BI244" t="s">
        <v>750</v>
      </c>
      <c r="BJ244">
        <v>1771089957.0999999</v>
      </c>
      <c r="BK244">
        <v>1771089951.0999999</v>
      </c>
      <c r="BL244">
        <v>9</v>
      </c>
      <c r="BM244">
        <v>-7.1999999999999995E-2</v>
      </c>
      <c r="BN244">
        <v>0</v>
      </c>
      <c r="BO244">
        <v>-0.97499999999999998</v>
      </c>
      <c r="BP244">
        <v>0.109</v>
      </c>
      <c r="BQ244">
        <v>1000</v>
      </c>
      <c r="BR244">
        <v>15</v>
      </c>
      <c r="BS244">
        <v>0.28999999999999998</v>
      </c>
      <c r="BT244">
        <v>0.06</v>
      </c>
      <c r="BU244">
        <v>-1.48851380952381</v>
      </c>
      <c r="BV244">
        <v>-0.29607818181818102</v>
      </c>
      <c r="BW244">
        <v>4.41299507921332E-2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1.0996314285714299</v>
      </c>
      <c r="CD244">
        <v>0.121732207792205</v>
      </c>
      <c r="CE244">
        <v>1.6997721776115499E-2</v>
      </c>
      <c r="CF244">
        <v>0</v>
      </c>
      <c r="CG244">
        <v>1</v>
      </c>
      <c r="CH244">
        <v>2</v>
      </c>
      <c r="CI244" t="s">
        <v>299</v>
      </c>
      <c r="CJ244">
        <v>3.5325199999999999</v>
      </c>
      <c r="CK244">
        <v>2.7018300000000002</v>
      </c>
      <c r="CL244">
        <v>0.181564</v>
      </c>
      <c r="CM244">
        <v>0.17907500000000001</v>
      </c>
      <c r="CN244">
        <v>8.7358900000000003E-2</v>
      </c>
      <c r="CO244">
        <v>8.17412E-2</v>
      </c>
      <c r="CP244">
        <v>28700</v>
      </c>
      <c r="CQ244">
        <v>25279</v>
      </c>
      <c r="CR244">
        <v>32454.5</v>
      </c>
      <c r="CS244">
        <v>30719</v>
      </c>
      <c r="CT244">
        <v>40114.800000000003</v>
      </c>
      <c r="CU244">
        <v>39677.300000000003</v>
      </c>
      <c r="CV244">
        <v>47397.1</v>
      </c>
      <c r="CW244">
        <v>46850.8</v>
      </c>
      <c r="CX244">
        <v>2.62202</v>
      </c>
      <c r="CY244">
        <v>2.1390400000000001</v>
      </c>
      <c r="CZ244">
        <v>0</v>
      </c>
      <c r="DA244">
        <v>0</v>
      </c>
      <c r="DB244">
        <v>999.9</v>
      </c>
      <c r="DC244">
        <v>999.9</v>
      </c>
      <c r="DD244">
        <v>51.862000000000002</v>
      </c>
      <c r="DE244">
        <v>27.029</v>
      </c>
      <c r="DF244">
        <v>18.6143</v>
      </c>
      <c r="DG244">
        <v>30.452000000000002</v>
      </c>
      <c r="DH244">
        <v>15.4087</v>
      </c>
      <c r="DI244">
        <v>2</v>
      </c>
      <c r="DJ244">
        <v>-0.116276</v>
      </c>
      <c r="DK244">
        <v>2.5906600000000002</v>
      </c>
      <c r="DL244">
        <v>20.189499999999999</v>
      </c>
      <c r="DM244">
        <v>5.2485600000000003</v>
      </c>
      <c r="DN244">
        <v>12.033899999999999</v>
      </c>
      <c r="DO244">
        <v>4.9670399999999999</v>
      </c>
      <c r="DP244">
        <v>3.2906399999999998</v>
      </c>
      <c r="DQ244">
        <v>9999</v>
      </c>
      <c r="DR244">
        <v>9999</v>
      </c>
      <c r="DS244">
        <v>9999</v>
      </c>
      <c r="DT244">
        <v>605.1</v>
      </c>
      <c r="DU244">
        <v>1.8711500000000001</v>
      </c>
      <c r="DV244">
        <v>1.8762000000000001</v>
      </c>
      <c r="DW244">
        <v>1.8763700000000001</v>
      </c>
      <c r="DX244">
        <v>1.8828800000000001</v>
      </c>
      <c r="DY244">
        <v>1.87561</v>
      </c>
      <c r="DZ244">
        <v>1.87469</v>
      </c>
      <c r="EA244">
        <v>1.87086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-0.97399999999999998</v>
      </c>
      <c r="EQ244">
        <v>0.10920000000000001</v>
      </c>
      <c r="ER244">
        <v>-0.97454545454524999</v>
      </c>
      <c r="ES244">
        <v>0</v>
      </c>
      <c r="ET244">
        <v>0</v>
      </c>
      <c r="EU244">
        <v>0</v>
      </c>
      <c r="EV244">
        <v>0.109172727272727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1</v>
      </c>
      <c r="FE244">
        <v>1.1000000000000001</v>
      </c>
      <c r="FF244">
        <v>2.5756800000000002</v>
      </c>
      <c r="FG244">
        <v>2.5830099999999998</v>
      </c>
      <c r="FH244">
        <v>2.19604</v>
      </c>
      <c r="FI244">
        <v>2.5781200000000002</v>
      </c>
      <c r="FJ244">
        <v>2.4462899999999999</v>
      </c>
      <c r="FK244">
        <v>2.2778299999999998</v>
      </c>
      <c r="FL244">
        <v>31.826899999999998</v>
      </c>
      <c r="FM244">
        <v>24.1313</v>
      </c>
      <c r="FN244">
        <v>19</v>
      </c>
      <c r="FO244">
        <v>864.98500000000001</v>
      </c>
      <c r="FP244">
        <v>583.49800000000005</v>
      </c>
      <c r="FQ244">
        <v>17.791699999999999</v>
      </c>
      <c r="FR244">
        <v>25.5581</v>
      </c>
      <c r="FS244">
        <v>30</v>
      </c>
      <c r="FT244">
        <v>25.527200000000001</v>
      </c>
      <c r="FU244">
        <v>25.5275</v>
      </c>
      <c r="FV244">
        <v>51.646299999999997</v>
      </c>
      <c r="FW244">
        <v>27.167999999999999</v>
      </c>
      <c r="FX244">
        <v>37.754800000000003</v>
      </c>
      <c r="FY244">
        <v>17.8</v>
      </c>
      <c r="FZ244">
        <v>1000</v>
      </c>
      <c r="GA244">
        <v>14.366400000000001</v>
      </c>
      <c r="GB244">
        <v>99.872399999999999</v>
      </c>
      <c r="GC244">
        <v>99.732600000000005</v>
      </c>
    </row>
    <row r="245" spans="1:185" x14ac:dyDescent="0.2">
      <c r="A245">
        <v>230</v>
      </c>
      <c r="B245">
        <v>1771090034.0999999</v>
      </c>
      <c r="C245">
        <v>4714.0999999046298</v>
      </c>
      <c r="D245" t="s">
        <v>761</v>
      </c>
      <c r="E245" t="s">
        <v>762</v>
      </c>
      <c r="F245">
        <v>15</v>
      </c>
      <c r="G245">
        <v>1771090026.03333</v>
      </c>
      <c r="H245">
        <f t="shared" si="39"/>
        <v>9.0531833224201592E-4</v>
      </c>
      <c r="I245">
        <v>0</v>
      </c>
      <c r="J245">
        <f t="shared" si="51"/>
        <v>1.2072185267709097E-2</v>
      </c>
      <c r="K245">
        <f t="shared" si="40"/>
        <v>0.32722787071578768</v>
      </c>
      <c r="L245">
        <f t="shared" si="41"/>
        <v>70.255910144321547</v>
      </c>
      <c r="M245">
        <f t="shared" si="42"/>
        <v>1.5477717289143942</v>
      </c>
      <c r="N245">
        <f t="shared" si="43"/>
        <v>2.2030484349785247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26236.908888445436</v>
      </c>
      <c r="T245">
        <f t="shared" si="47"/>
        <v>799.99919999999997</v>
      </c>
      <c r="U245">
        <f t="shared" si="48"/>
        <v>674.399493599832</v>
      </c>
      <c r="V245">
        <f t="shared" si="49"/>
        <v>0.84300021000000003</v>
      </c>
      <c r="W245">
        <f t="shared" si="50"/>
        <v>0.15870052500000001</v>
      </c>
      <c r="X245">
        <v>1</v>
      </c>
      <c r="Y245">
        <v>1771090026.03333</v>
      </c>
      <c r="Z245">
        <v>998.47540000000004</v>
      </c>
      <c r="AA245">
        <v>1000.01433333333</v>
      </c>
      <c r="AB245">
        <v>15.485200000000001</v>
      </c>
      <c r="AC245">
        <v>14.371093333333301</v>
      </c>
      <c r="AD245">
        <v>999.44993333333298</v>
      </c>
      <c r="AE245">
        <v>15.376013333333299</v>
      </c>
      <c r="AF245">
        <v>800.01253333333295</v>
      </c>
      <c r="AG245">
        <v>99.887573333333293</v>
      </c>
      <c r="AH245">
        <v>6.4104973333333301E-2</v>
      </c>
      <c r="AI245">
        <v>18.984500000000001</v>
      </c>
      <c r="AJ245">
        <v>999.9</v>
      </c>
      <c r="AK245">
        <v>999.9</v>
      </c>
      <c r="AL245">
        <v>0</v>
      </c>
      <c r="AM245">
        <v>0</v>
      </c>
      <c r="AN245">
        <v>5007.0666666666702</v>
      </c>
      <c r="AO245">
        <v>0</v>
      </c>
      <c r="AP245">
        <v>2.14547</v>
      </c>
      <c r="AQ245">
        <v>-1.5389566666666701</v>
      </c>
      <c r="AR245">
        <v>1014.18066666667</v>
      </c>
      <c r="AS245">
        <v>1014.59466666667</v>
      </c>
      <c r="AT245">
        <v>1.1141000000000001</v>
      </c>
      <c r="AU245">
        <v>1000.01433333333</v>
      </c>
      <c r="AV245">
        <v>14.371093333333301</v>
      </c>
      <c r="AW245">
        <v>1.54677933333333</v>
      </c>
      <c r="AX245">
        <v>1.43549333333333</v>
      </c>
      <c r="AY245">
        <v>13.438553333333299</v>
      </c>
      <c r="AZ245">
        <v>12.2978533333333</v>
      </c>
      <c r="BA245">
        <v>799.99919999999997</v>
      </c>
      <c r="BB245">
        <v>0.89999300000000004</v>
      </c>
      <c r="BC245">
        <v>0</v>
      </c>
      <c r="BD245">
        <v>0.100007</v>
      </c>
      <c r="BE245">
        <v>0</v>
      </c>
      <c r="BF245">
        <v>26</v>
      </c>
      <c r="BG245">
        <v>13190.993333333299</v>
      </c>
      <c r="BH245">
        <v>1771089957.0999999</v>
      </c>
      <c r="BI245" t="s">
        <v>750</v>
      </c>
      <c r="BJ245">
        <v>1771089957.0999999</v>
      </c>
      <c r="BK245">
        <v>1771089951.0999999</v>
      </c>
      <c r="BL245">
        <v>9</v>
      </c>
      <c r="BM245">
        <v>-7.1999999999999995E-2</v>
      </c>
      <c r="BN245">
        <v>0</v>
      </c>
      <c r="BO245">
        <v>-0.97499999999999998</v>
      </c>
      <c r="BP245">
        <v>0.109</v>
      </c>
      <c r="BQ245">
        <v>1000</v>
      </c>
      <c r="BR245">
        <v>15</v>
      </c>
      <c r="BS245">
        <v>0.28999999999999998</v>
      </c>
      <c r="BT245">
        <v>0.06</v>
      </c>
      <c r="BU245">
        <v>-1.5380065000000001</v>
      </c>
      <c r="BV245">
        <v>3.1395338345865498E-2</v>
      </c>
      <c r="BW245">
        <v>1.9959897613715399E-2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1.1176394999999999</v>
      </c>
      <c r="CD245">
        <v>-0.13635022556390999</v>
      </c>
      <c r="CE245">
        <v>1.6264886250754999E-2</v>
      </c>
      <c r="CF245">
        <v>0</v>
      </c>
      <c r="CG245">
        <v>1</v>
      </c>
      <c r="CH245">
        <v>2</v>
      </c>
      <c r="CI245" t="s">
        <v>299</v>
      </c>
      <c r="CJ245">
        <v>3.5325199999999999</v>
      </c>
      <c r="CK245">
        <v>2.70201</v>
      </c>
      <c r="CL245">
        <v>0.181562</v>
      </c>
      <c r="CM245">
        <v>0.17907200000000001</v>
      </c>
      <c r="CN245">
        <v>8.7106000000000003E-2</v>
      </c>
      <c r="CO245">
        <v>8.1702899999999995E-2</v>
      </c>
      <c r="CP245">
        <v>28699.599999999999</v>
      </c>
      <c r="CQ245">
        <v>25278.7</v>
      </c>
      <c r="CR245">
        <v>32454</v>
      </c>
      <c r="CS245">
        <v>30718.6</v>
      </c>
      <c r="CT245">
        <v>40125.599999999999</v>
      </c>
      <c r="CU245">
        <v>39678.300000000003</v>
      </c>
      <c r="CV245">
        <v>47396.3</v>
      </c>
      <c r="CW245">
        <v>46850</v>
      </c>
      <c r="CX245">
        <v>2.6219600000000001</v>
      </c>
      <c r="CY245">
        <v>2.1386599999999998</v>
      </c>
      <c r="CZ245">
        <v>0</v>
      </c>
      <c r="DA245">
        <v>0</v>
      </c>
      <c r="DB245">
        <v>999.9</v>
      </c>
      <c r="DC245">
        <v>999.9</v>
      </c>
      <c r="DD245">
        <v>51.813000000000002</v>
      </c>
      <c r="DE245">
        <v>27.05</v>
      </c>
      <c r="DF245">
        <v>18.619800000000001</v>
      </c>
      <c r="DG245">
        <v>30.181999999999999</v>
      </c>
      <c r="DH245">
        <v>15.4046</v>
      </c>
      <c r="DI245">
        <v>2</v>
      </c>
      <c r="DJ245">
        <v>-0.115652</v>
      </c>
      <c r="DK245">
        <v>2.5667399999999998</v>
      </c>
      <c r="DL245">
        <v>20.1904</v>
      </c>
      <c r="DM245">
        <v>5.2515499999999999</v>
      </c>
      <c r="DN245">
        <v>12.033899999999999</v>
      </c>
      <c r="DO245">
        <v>4.9672000000000001</v>
      </c>
      <c r="DP245">
        <v>3.2909999999999999</v>
      </c>
      <c r="DQ245">
        <v>9999</v>
      </c>
      <c r="DR245">
        <v>9999</v>
      </c>
      <c r="DS245">
        <v>9999</v>
      </c>
      <c r="DT245">
        <v>605.1</v>
      </c>
      <c r="DU245">
        <v>1.87113</v>
      </c>
      <c r="DV245">
        <v>1.87622</v>
      </c>
      <c r="DW245">
        <v>1.8763700000000001</v>
      </c>
      <c r="DX245">
        <v>1.88287</v>
      </c>
      <c r="DY245">
        <v>1.8756200000000001</v>
      </c>
      <c r="DZ245">
        <v>1.87469</v>
      </c>
      <c r="EA245">
        <v>1.87086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-0.97399999999999998</v>
      </c>
      <c r="EQ245">
        <v>0.10920000000000001</v>
      </c>
      <c r="ER245">
        <v>-0.97454545454524999</v>
      </c>
      <c r="ES245">
        <v>0</v>
      </c>
      <c r="ET245">
        <v>0</v>
      </c>
      <c r="EU245">
        <v>0</v>
      </c>
      <c r="EV245">
        <v>0.109172727272727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1.3</v>
      </c>
      <c r="FE245">
        <v>1.4</v>
      </c>
      <c r="FF245">
        <v>2.5756800000000002</v>
      </c>
      <c r="FG245">
        <v>2.5830099999999998</v>
      </c>
      <c r="FH245">
        <v>2.19604</v>
      </c>
      <c r="FI245">
        <v>2.5781200000000002</v>
      </c>
      <c r="FJ245">
        <v>2.4462899999999999</v>
      </c>
      <c r="FK245">
        <v>2.2668499999999998</v>
      </c>
      <c r="FL245">
        <v>31.826899999999998</v>
      </c>
      <c r="FM245">
        <v>24.1313</v>
      </c>
      <c r="FN245">
        <v>19</v>
      </c>
      <c r="FO245">
        <v>864.99800000000005</v>
      </c>
      <c r="FP245">
        <v>583.26300000000003</v>
      </c>
      <c r="FQ245">
        <v>17.825500000000002</v>
      </c>
      <c r="FR245">
        <v>25.561900000000001</v>
      </c>
      <c r="FS245">
        <v>30.0002</v>
      </c>
      <c r="FT245">
        <v>25.531500000000001</v>
      </c>
      <c r="FU245">
        <v>25.532800000000002</v>
      </c>
      <c r="FV245">
        <v>51.6432</v>
      </c>
      <c r="FW245">
        <v>27.167999999999999</v>
      </c>
      <c r="FX245">
        <v>37.754800000000003</v>
      </c>
      <c r="FY245">
        <v>17.8324</v>
      </c>
      <c r="FZ245">
        <v>1000</v>
      </c>
      <c r="GA245">
        <v>14.375299999999999</v>
      </c>
      <c r="GB245">
        <v>99.870800000000003</v>
      </c>
      <c r="GC245">
        <v>99.730999999999995</v>
      </c>
    </row>
    <row r="246" spans="1:185" x14ac:dyDescent="0.2">
      <c r="A246">
        <v>231</v>
      </c>
      <c r="B246">
        <v>1771090049.0999999</v>
      </c>
      <c r="C246">
        <v>4729.0999999046298</v>
      </c>
      <c r="D246" t="s">
        <v>763</v>
      </c>
      <c r="E246" t="s">
        <v>764</v>
      </c>
      <c r="F246">
        <v>15</v>
      </c>
      <c r="G246">
        <v>1771090041.03333</v>
      </c>
      <c r="H246">
        <f t="shared" si="39"/>
        <v>8.7434944270776548E-4</v>
      </c>
      <c r="I246">
        <v>0</v>
      </c>
      <c r="J246">
        <f t="shared" si="51"/>
        <v>1.2551844035641049E-2</v>
      </c>
      <c r="K246">
        <f t="shared" si="40"/>
        <v>0.34022947016277133</v>
      </c>
      <c r="L246">
        <f t="shared" si="41"/>
        <v>70.068585131160091</v>
      </c>
      <c r="M246">
        <f t="shared" si="42"/>
        <v>1.5437007458094232</v>
      </c>
      <c r="N246">
        <f t="shared" si="43"/>
        <v>2.2031281820801696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26182.898987784993</v>
      </c>
      <c r="T246">
        <f t="shared" si="47"/>
        <v>800.00046666666697</v>
      </c>
      <c r="U246">
        <f t="shared" si="48"/>
        <v>674.40052780007852</v>
      </c>
      <c r="V246">
        <f t="shared" si="49"/>
        <v>0.84300016799999988</v>
      </c>
      <c r="W246">
        <f t="shared" si="50"/>
        <v>0.15870042000000001</v>
      </c>
      <c r="X246">
        <v>1</v>
      </c>
      <c r="Y246">
        <v>1771090041.03333</v>
      </c>
      <c r="Z246">
        <v>998.47493333333296</v>
      </c>
      <c r="AA246">
        <v>999.99146666666695</v>
      </c>
      <c r="AB246">
        <v>15.444739999999999</v>
      </c>
      <c r="AC246">
        <v>14.3687</v>
      </c>
      <c r="AD246">
        <v>999.44933333333302</v>
      </c>
      <c r="AE246">
        <v>15.3355533333333</v>
      </c>
      <c r="AF246">
        <v>800.01239999999996</v>
      </c>
      <c r="AG246">
        <v>99.885813333333303</v>
      </c>
      <c r="AH246">
        <v>6.4120806666666696E-2</v>
      </c>
      <c r="AI246">
        <v>18.98508</v>
      </c>
      <c r="AJ246">
        <v>999.9</v>
      </c>
      <c r="AK246">
        <v>999.9</v>
      </c>
      <c r="AL246">
        <v>0</v>
      </c>
      <c r="AM246">
        <v>0</v>
      </c>
      <c r="AN246">
        <v>4998.2333333333299</v>
      </c>
      <c r="AO246">
        <v>0</v>
      </c>
      <c r="AP246">
        <v>2.14547</v>
      </c>
      <c r="AQ246">
        <v>-1.51579</v>
      </c>
      <c r="AR246">
        <v>1014.138</v>
      </c>
      <c r="AS246">
        <v>1014.57</v>
      </c>
      <c r="AT246">
        <v>1.0760253333333301</v>
      </c>
      <c r="AU246">
        <v>999.99146666666695</v>
      </c>
      <c r="AV246">
        <v>14.3687</v>
      </c>
      <c r="AW246">
        <v>1.5427086666666701</v>
      </c>
      <c r="AX246">
        <v>1.43522866666667</v>
      </c>
      <c r="AY246">
        <v>13.398146666666699</v>
      </c>
      <c r="AZ246">
        <v>12.295066666666701</v>
      </c>
      <c r="BA246">
        <v>800.00046666666697</v>
      </c>
      <c r="BB246">
        <v>0.89999439999999997</v>
      </c>
      <c r="BC246">
        <v>0</v>
      </c>
      <c r="BD246">
        <v>0.1000056</v>
      </c>
      <c r="BE246">
        <v>0</v>
      </c>
      <c r="BF246">
        <v>26</v>
      </c>
      <c r="BG246">
        <v>13191.006666666701</v>
      </c>
      <c r="BH246">
        <v>1771089957.0999999</v>
      </c>
      <c r="BI246" t="s">
        <v>750</v>
      </c>
      <c r="BJ246">
        <v>1771089957.0999999</v>
      </c>
      <c r="BK246">
        <v>1771089951.0999999</v>
      </c>
      <c r="BL246">
        <v>9</v>
      </c>
      <c r="BM246">
        <v>-7.1999999999999995E-2</v>
      </c>
      <c r="BN246">
        <v>0</v>
      </c>
      <c r="BO246">
        <v>-0.97499999999999998</v>
      </c>
      <c r="BP246">
        <v>0.109</v>
      </c>
      <c r="BQ246">
        <v>1000</v>
      </c>
      <c r="BR246">
        <v>15</v>
      </c>
      <c r="BS246">
        <v>0.28999999999999998</v>
      </c>
      <c r="BT246">
        <v>0.06</v>
      </c>
      <c r="BU246">
        <v>-1.523736</v>
      </c>
      <c r="BV246">
        <v>2.2796390977444202E-2</v>
      </c>
      <c r="BW246">
        <v>3.3559007196280403E-2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1.082821</v>
      </c>
      <c r="CD246">
        <v>-0.11503218045112901</v>
      </c>
      <c r="CE246">
        <v>1.1159667961010301E-2</v>
      </c>
      <c r="CF246">
        <v>0</v>
      </c>
      <c r="CG246">
        <v>1</v>
      </c>
      <c r="CH246">
        <v>2</v>
      </c>
      <c r="CI246" t="s">
        <v>299</v>
      </c>
      <c r="CJ246">
        <v>3.5324399999999998</v>
      </c>
      <c r="CK246">
        <v>2.7020300000000002</v>
      </c>
      <c r="CL246">
        <v>0.18155399999999999</v>
      </c>
      <c r="CM246">
        <v>0.17906</v>
      </c>
      <c r="CN246">
        <v>8.6998300000000001E-2</v>
      </c>
      <c r="CO246">
        <v>8.1707699999999994E-2</v>
      </c>
      <c r="CP246">
        <v>28699.1</v>
      </c>
      <c r="CQ246">
        <v>25278.5</v>
      </c>
      <c r="CR246">
        <v>32453.200000000001</v>
      </c>
      <c r="CS246">
        <v>30717.9</v>
      </c>
      <c r="CT246">
        <v>40129.4</v>
      </c>
      <c r="CU246">
        <v>39677.599999999999</v>
      </c>
      <c r="CV246">
        <v>47395</v>
      </c>
      <c r="CW246">
        <v>46849.3</v>
      </c>
      <c r="CX246">
        <v>2.62174</v>
      </c>
      <c r="CY246">
        <v>2.1385399999999999</v>
      </c>
      <c r="CZ246">
        <v>0</v>
      </c>
      <c r="DA246">
        <v>0</v>
      </c>
      <c r="DB246">
        <v>999.9</v>
      </c>
      <c r="DC246">
        <v>999.9</v>
      </c>
      <c r="DD246">
        <v>51.789000000000001</v>
      </c>
      <c r="DE246">
        <v>27.06</v>
      </c>
      <c r="DF246">
        <v>18.622199999999999</v>
      </c>
      <c r="DG246">
        <v>30.391999999999999</v>
      </c>
      <c r="DH246">
        <v>15.432700000000001</v>
      </c>
      <c r="DI246">
        <v>2</v>
      </c>
      <c r="DJ246">
        <v>-0.115079</v>
      </c>
      <c r="DK246">
        <v>2.5272600000000001</v>
      </c>
      <c r="DL246">
        <v>20.191199999999998</v>
      </c>
      <c r="DM246">
        <v>5.2503500000000001</v>
      </c>
      <c r="DN246">
        <v>12.033899999999999</v>
      </c>
      <c r="DO246">
        <v>4.9670800000000002</v>
      </c>
      <c r="DP246">
        <v>3.2909999999999999</v>
      </c>
      <c r="DQ246">
        <v>9999</v>
      </c>
      <c r="DR246">
        <v>9999</v>
      </c>
      <c r="DS246">
        <v>9999</v>
      </c>
      <c r="DT246">
        <v>605.1</v>
      </c>
      <c r="DU246">
        <v>1.8711599999999999</v>
      </c>
      <c r="DV246">
        <v>1.8762099999999999</v>
      </c>
      <c r="DW246">
        <v>1.8763700000000001</v>
      </c>
      <c r="DX246">
        <v>1.88286</v>
      </c>
      <c r="DY246">
        <v>1.8756200000000001</v>
      </c>
      <c r="DZ246">
        <v>1.8746799999999999</v>
      </c>
      <c r="EA246">
        <v>1.8708499999999999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-0.97399999999999998</v>
      </c>
      <c r="EQ246">
        <v>0.10920000000000001</v>
      </c>
      <c r="ER246">
        <v>-0.97454545454524999</v>
      </c>
      <c r="ES246">
        <v>0</v>
      </c>
      <c r="ET246">
        <v>0</v>
      </c>
      <c r="EU246">
        <v>0</v>
      </c>
      <c r="EV246">
        <v>0.109172727272727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1.5</v>
      </c>
      <c r="FE246">
        <v>1.6</v>
      </c>
      <c r="FF246">
        <v>2.5756800000000002</v>
      </c>
      <c r="FG246">
        <v>2.5878899999999998</v>
      </c>
      <c r="FH246">
        <v>2.19604</v>
      </c>
      <c r="FI246">
        <v>2.5781200000000002</v>
      </c>
      <c r="FJ246">
        <v>2.4462899999999999</v>
      </c>
      <c r="FK246">
        <v>2.2607400000000002</v>
      </c>
      <c r="FL246">
        <v>31.848800000000001</v>
      </c>
      <c r="FM246">
        <v>24.1313</v>
      </c>
      <c r="FN246">
        <v>19</v>
      </c>
      <c r="FO246">
        <v>864.86199999999997</v>
      </c>
      <c r="FP246">
        <v>583.21699999999998</v>
      </c>
      <c r="FQ246">
        <v>17.8568</v>
      </c>
      <c r="FR246">
        <v>25.566600000000001</v>
      </c>
      <c r="FS246">
        <v>30.000299999999999</v>
      </c>
      <c r="FT246">
        <v>25.535799999999998</v>
      </c>
      <c r="FU246">
        <v>25.536999999999999</v>
      </c>
      <c r="FV246">
        <v>51.647500000000001</v>
      </c>
      <c r="FW246">
        <v>27.167999999999999</v>
      </c>
      <c r="FX246">
        <v>37.754800000000003</v>
      </c>
      <c r="FY246">
        <v>17.863700000000001</v>
      </c>
      <c r="FZ246">
        <v>1000</v>
      </c>
      <c r="GA246">
        <v>14.3833</v>
      </c>
      <c r="GB246">
        <v>99.868200000000002</v>
      </c>
      <c r="GC246">
        <v>99.729299999999995</v>
      </c>
    </row>
    <row r="247" spans="1:185" x14ac:dyDescent="0.2">
      <c r="A247">
        <v>232</v>
      </c>
      <c r="B247">
        <v>1771090064.0999999</v>
      </c>
      <c r="C247">
        <v>4744.0999999046298</v>
      </c>
      <c r="D247" t="s">
        <v>765</v>
      </c>
      <c r="E247" t="s">
        <v>766</v>
      </c>
      <c r="F247">
        <v>15</v>
      </c>
      <c r="G247">
        <v>1771090056.03333</v>
      </c>
      <c r="H247">
        <f t="shared" si="39"/>
        <v>8.6118853634661202E-4</v>
      </c>
      <c r="I247">
        <v>0</v>
      </c>
      <c r="J247">
        <f t="shared" si="51"/>
        <v>1.4621452594121155E-2</v>
      </c>
      <c r="K247">
        <f t="shared" si="40"/>
        <v>0.39632814548861256</v>
      </c>
      <c r="L247">
        <f t="shared" si="41"/>
        <v>69.980599091489921</v>
      </c>
      <c r="M247">
        <f t="shared" si="42"/>
        <v>1.5419476968196077</v>
      </c>
      <c r="N247">
        <f t="shared" si="43"/>
        <v>2.2033931072863853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26158.287057173511</v>
      </c>
      <c r="T247">
        <f t="shared" si="47"/>
        <v>799.99993333333305</v>
      </c>
      <c r="U247">
        <f t="shared" si="48"/>
        <v>674.40010699998572</v>
      </c>
      <c r="V247">
        <f t="shared" si="49"/>
        <v>0.84300020399999942</v>
      </c>
      <c r="W247">
        <f t="shared" si="50"/>
        <v>0.1587003800799999</v>
      </c>
      <c r="X247">
        <v>1</v>
      </c>
      <c r="Y247">
        <v>1771090056.03333</v>
      </c>
      <c r="Z247">
        <v>998.43193333333295</v>
      </c>
      <c r="AA247">
        <v>1000.00213333333</v>
      </c>
      <c r="AB247">
        <v>15.4270866666667</v>
      </c>
      <c r="AC247">
        <v>14.3672133333333</v>
      </c>
      <c r="AD247">
        <v>999.40653333333296</v>
      </c>
      <c r="AE247">
        <v>15.317906666666699</v>
      </c>
      <c r="AF247">
        <v>800.00400000000002</v>
      </c>
      <c r="AG247">
        <v>99.886553333333296</v>
      </c>
      <c r="AH247">
        <v>6.4119800000000005E-2</v>
      </c>
      <c r="AI247">
        <v>18.987006666666701</v>
      </c>
      <c r="AJ247">
        <v>999.9</v>
      </c>
      <c r="AK247">
        <v>999.9</v>
      </c>
      <c r="AL247">
        <v>0</v>
      </c>
      <c r="AM247">
        <v>0</v>
      </c>
      <c r="AN247">
        <v>4994.1666666666697</v>
      </c>
      <c r="AO247">
        <v>0</v>
      </c>
      <c r="AP247">
        <v>2.16685066666667</v>
      </c>
      <c r="AQ247">
        <v>-1.57028733333333</v>
      </c>
      <c r="AR247">
        <v>1014.076</v>
      </c>
      <c r="AS247">
        <v>1014.57866666667</v>
      </c>
      <c r="AT247">
        <v>1.0598606666666699</v>
      </c>
      <c r="AU247">
        <v>1000.00213333333</v>
      </c>
      <c r="AV247">
        <v>14.3672133333333</v>
      </c>
      <c r="AW247">
        <v>1.5409586666666699</v>
      </c>
      <c r="AX247">
        <v>1.435092</v>
      </c>
      <c r="AY247">
        <v>13.380713333333301</v>
      </c>
      <c r="AZ247">
        <v>12.29358</v>
      </c>
      <c r="BA247">
        <v>799.99993333333305</v>
      </c>
      <c r="BB247">
        <v>0.89999513333333303</v>
      </c>
      <c r="BC247">
        <v>0</v>
      </c>
      <c r="BD247">
        <v>0.100004933333333</v>
      </c>
      <c r="BE247">
        <v>0</v>
      </c>
      <c r="BF247">
        <v>26</v>
      </c>
      <c r="BG247">
        <v>13191</v>
      </c>
      <c r="BH247">
        <v>1771089957.0999999</v>
      </c>
      <c r="BI247" t="s">
        <v>750</v>
      </c>
      <c r="BJ247">
        <v>1771089957.0999999</v>
      </c>
      <c r="BK247">
        <v>1771089951.0999999</v>
      </c>
      <c r="BL247">
        <v>9</v>
      </c>
      <c r="BM247">
        <v>-7.1999999999999995E-2</v>
      </c>
      <c r="BN247">
        <v>0</v>
      </c>
      <c r="BO247">
        <v>-0.97499999999999998</v>
      </c>
      <c r="BP247">
        <v>0.109</v>
      </c>
      <c r="BQ247">
        <v>1000</v>
      </c>
      <c r="BR247">
        <v>15</v>
      </c>
      <c r="BS247">
        <v>0.28999999999999998</v>
      </c>
      <c r="BT247">
        <v>0.06</v>
      </c>
      <c r="BU247">
        <v>-1.5615435</v>
      </c>
      <c r="BV247">
        <v>-7.9396240601502396E-2</v>
      </c>
      <c r="BW247">
        <v>4.1812213200810099E-2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1.0618095000000001</v>
      </c>
      <c r="CD247">
        <v>-2.5350225563909801E-2</v>
      </c>
      <c r="CE247">
        <v>5.2627506828653598E-3</v>
      </c>
      <c r="CF247">
        <v>1</v>
      </c>
      <c r="CG247">
        <v>2</v>
      </c>
      <c r="CH247">
        <v>2</v>
      </c>
      <c r="CI247" t="s">
        <v>310</v>
      </c>
      <c r="CJ247">
        <v>3.5324800000000001</v>
      </c>
      <c r="CK247">
        <v>2.7017699999999998</v>
      </c>
      <c r="CL247">
        <v>0.18155299999999999</v>
      </c>
      <c r="CM247">
        <v>0.17907200000000001</v>
      </c>
      <c r="CN247">
        <v>8.6940900000000002E-2</v>
      </c>
      <c r="CO247">
        <v>8.1605499999999997E-2</v>
      </c>
      <c r="CP247">
        <v>28699.5</v>
      </c>
      <c r="CQ247">
        <v>25277.9</v>
      </c>
      <c r="CR247">
        <v>32453.599999999999</v>
      </c>
      <c r="CS247">
        <v>30717.599999999999</v>
      </c>
      <c r="CT247">
        <v>40132.699999999997</v>
      </c>
      <c r="CU247">
        <v>39681.800000000003</v>
      </c>
      <c r="CV247">
        <v>47395.9</v>
      </c>
      <c r="CW247">
        <v>46849</v>
      </c>
      <c r="CX247">
        <v>2.62174</v>
      </c>
      <c r="CY247">
        <v>2.1381999999999999</v>
      </c>
      <c r="CZ247">
        <v>0</v>
      </c>
      <c r="DA247">
        <v>0</v>
      </c>
      <c r="DB247">
        <v>999.9</v>
      </c>
      <c r="DC247">
        <v>999.9</v>
      </c>
      <c r="DD247">
        <v>51.74</v>
      </c>
      <c r="DE247">
        <v>27.06</v>
      </c>
      <c r="DF247">
        <v>18.604700000000001</v>
      </c>
      <c r="DG247">
        <v>30.481999999999999</v>
      </c>
      <c r="DH247">
        <v>15.5288</v>
      </c>
      <c r="DI247">
        <v>2</v>
      </c>
      <c r="DJ247">
        <v>-0.115102</v>
      </c>
      <c r="DK247">
        <v>2.4960100000000001</v>
      </c>
      <c r="DL247">
        <v>20.191700000000001</v>
      </c>
      <c r="DM247">
        <v>5.2505899999999999</v>
      </c>
      <c r="DN247">
        <v>12.033899999999999</v>
      </c>
      <c r="DO247">
        <v>4.9674399999999999</v>
      </c>
      <c r="DP247">
        <v>3.2909999999999999</v>
      </c>
      <c r="DQ247">
        <v>9999</v>
      </c>
      <c r="DR247">
        <v>9999</v>
      </c>
      <c r="DS247">
        <v>9999</v>
      </c>
      <c r="DT247">
        <v>605.20000000000005</v>
      </c>
      <c r="DU247">
        <v>1.8711500000000001</v>
      </c>
      <c r="DV247">
        <v>1.87618</v>
      </c>
      <c r="DW247">
        <v>1.8763700000000001</v>
      </c>
      <c r="DX247">
        <v>1.88286</v>
      </c>
      <c r="DY247">
        <v>1.8756200000000001</v>
      </c>
      <c r="DZ247">
        <v>1.87469</v>
      </c>
      <c r="EA247">
        <v>1.87086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-0.97399999999999998</v>
      </c>
      <c r="EQ247">
        <v>0.1091</v>
      </c>
      <c r="ER247">
        <v>-0.97454545454524999</v>
      </c>
      <c r="ES247">
        <v>0</v>
      </c>
      <c r="ET247">
        <v>0</v>
      </c>
      <c r="EU247">
        <v>0</v>
      </c>
      <c r="EV247">
        <v>0.109172727272727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1.8</v>
      </c>
      <c r="FE247">
        <v>1.9</v>
      </c>
      <c r="FF247">
        <v>2.5756800000000002</v>
      </c>
      <c r="FG247">
        <v>2.5830099999999998</v>
      </c>
      <c r="FH247">
        <v>2.19604</v>
      </c>
      <c r="FI247">
        <v>2.5769000000000002</v>
      </c>
      <c r="FJ247">
        <v>2.4462899999999999</v>
      </c>
      <c r="FK247">
        <v>2.2802699999999998</v>
      </c>
      <c r="FL247">
        <v>31.848800000000001</v>
      </c>
      <c r="FM247">
        <v>24.14</v>
      </c>
      <c r="FN247">
        <v>19</v>
      </c>
      <c r="FO247">
        <v>864.90599999999995</v>
      </c>
      <c r="FP247">
        <v>582.98</v>
      </c>
      <c r="FQ247">
        <v>17.886500000000002</v>
      </c>
      <c r="FR247">
        <v>25.569800000000001</v>
      </c>
      <c r="FS247">
        <v>30.0001</v>
      </c>
      <c r="FT247">
        <v>25.538499999999999</v>
      </c>
      <c r="FU247">
        <v>25.539300000000001</v>
      </c>
      <c r="FV247">
        <v>51.643000000000001</v>
      </c>
      <c r="FW247">
        <v>27.167999999999999</v>
      </c>
      <c r="FX247">
        <v>37.381799999999998</v>
      </c>
      <c r="FY247">
        <v>17.891500000000001</v>
      </c>
      <c r="FZ247">
        <v>1000</v>
      </c>
      <c r="GA247">
        <v>14.3833</v>
      </c>
      <c r="GB247">
        <v>99.869799999999998</v>
      </c>
      <c r="GC247">
        <v>99.728499999999997</v>
      </c>
    </row>
    <row r="248" spans="1:185" x14ac:dyDescent="0.2">
      <c r="A248">
        <v>233</v>
      </c>
      <c r="B248">
        <v>1771090080</v>
      </c>
      <c r="C248">
        <v>4760</v>
      </c>
      <c r="D248" t="s">
        <v>767</v>
      </c>
      <c r="E248" t="s">
        <v>768</v>
      </c>
      <c r="F248">
        <v>15</v>
      </c>
      <c r="G248">
        <v>1771090072.0666699</v>
      </c>
      <c r="H248">
        <f t="shared" si="39"/>
        <v>8.7075219826751485E-4</v>
      </c>
      <c r="I248">
        <v>0</v>
      </c>
      <c r="J248">
        <f t="shared" si="51"/>
        <v>1.3099295288025893E-2</v>
      </c>
      <c r="K248">
        <f t="shared" si="40"/>
        <v>0.35506864829547896</v>
      </c>
      <c r="L248">
        <f t="shared" si="41"/>
        <v>69.894683472607937</v>
      </c>
      <c r="M248">
        <f t="shared" si="42"/>
        <v>1.5404775876605126</v>
      </c>
      <c r="N248">
        <f t="shared" si="43"/>
        <v>2.203998231516755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26192.501255582134</v>
      </c>
      <c r="T248">
        <f t="shared" si="47"/>
        <v>800.00053333333301</v>
      </c>
      <c r="U248">
        <f t="shared" si="48"/>
        <v>674.40061760011179</v>
      </c>
      <c r="V248">
        <f t="shared" si="49"/>
        <v>0.84300021000000003</v>
      </c>
      <c r="W248">
        <f t="shared" si="50"/>
        <v>0.15870052500000001</v>
      </c>
      <c r="X248">
        <v>1</v>
      </c>
      <c r="Y248">
        <v>1771090072.0666699</v>
      </c>
      <c r="Z248">
        <v>998.48379999999997</v>
      </c>
      <c r="AA248">
        <v>1000.0144</v>
      </c>
      <c r="AB248">
        <v>15.412459999999999</v>
      </c>
      <c r="AC248">
        <v>14.340813333333299</v>
      </c>
      <c r="AD248">
        <v>999.45839999999998</v>
      </c>
      <c r="AE248">
        <v>15.303293333333301</v>
      </c>
      <c r="AF248">
        <v>800.013466666667</v>
      </c>
      <c r="AG248">
        <v>99.886099999999999</v>
      </c>
      <c r="AH248">
        <v>6.4043433333333302E-2</v>
      </c>
      <c r="AI248">
        <v>18.991406666666698</v>
      </c>
      <c r="AJ248">
        <v>999.9</v>
      </c>
      <c r="AK248">
        <v>999.9</v>
      </c>
      <c r="AL248">
        <v>0</v>
      </c>
      <c r="AM248">
        <v>0</v>
      </c>
      <c r="AN248">
        <v>4999.8999999999996</v>
      </c>
      <c r="AO248">
        <v>0</v>
      </c>
      <c r="AP248">
        <v>2.19816733333333</v>
      </c>
      <c r="AQ248">
        <v>-1.5310539999999999</v>
      </c>
      <c r="AR248">
        <v>1014.114</v>
      </c>
      <c r="AS248">
        <v>1014.56333333333</v>
      </c>
      <c r="AT248">
        <v>1.0716399999999999</v>
      </c>
      <c r="AU248">
        <v>1000.0144</v>
      </c>
      <c r="AV248">
        <v>14.340813333333299</v>
      </c>
      <c r="AW248">
        <v>1.53949133333333</v>
      </c>
      <c r="AX248">
        <v>1.4324493333333299</v>
      </c>
      <c r="AY248">
        <v>13.366113333333301</v>
      </c>
      <c r="AZ248">
        <v>12.2655666666667</v>
      </c>
      <c r="BA248">
        <v>800.00053333333301</v>
      </c>
      <c r="BB248">
        <v>0.89999300000000004</v>
      </c>
      <c r="BC248">
        <v>0</v>
      </c>
      <c r="BD248">
        <v>0.100007</v>
      </c>
      <c r="BE248">
        <v>0</v>
      </c>
      <c r="BF248">
        <v>26</v>
      </c>
      <c r="BG248">
        <v>13191.0133333333</v>
      </c>
      <c r="BH248">
        <v>1771089957.0999999</v>
      </c>
      <c r="BI248" t="s">
        <v>750</v>
      </c>
      <c r="BJ248">
        <v>1771089957.0999999</v>
      </c>
      <c r="BK248">
        <v>1771089951.0999999</v>
      </c>
      <c r="BL248">
        <v>9</v>
      </c>
      <c r="BM248">
        <v>-7.1999999999999995E-2</v>
      </c>
      <c r="BN248">
        <v>0</v>
      </c>
      <c r="BO248">
        <v>-0.97499999999999998</v>
      </c>
      <c r="BP248">
        <v>0.109</v>
      </c>
      <c r="BQ248">
        <v>1000</v>
      </c>
      <c r="BR248">
        <v>15</v>
      </c>
      <c r="BS248">
        <v>0.28999999999999998</v>
      </c>
      <c r="BT248">
        <v>0.06</v>
      </c>
      <c r="BU248">
        <v>-1.5414190476190499</v>
      </c>
      <c r="BV248">
        <v>0.19735588537941801</v>
      </c>
      <c r="BW248">
        <v>2.9747138302502502E-2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1.0688638095238101</v>
      </c>
      <c r="CD248">
        <v>3.31194690274174E-2</v>
      </c>
      <c r="CE248">
        <v>6.4128208459159498E-3</v>
      </c>
      <c r="CF248">
        <v>1</v>
      </c>
      <c r="CG248">
        <v>2</v>
      </c>
      <c r="CH248">
        <v>2</v>
      </c>
      <c r="CI248" t="s">
        <v>310</v>
      </c>
      <c r="CJ248">
        <v>3.5325500000000001</v>
      </c>
      <c r="CK248">
        <v>2.7019199999999999</v>
      </c>
      <c r="CL248">
        <v>0.18154899999999999</v>
      </c>
      <c r="CM248">
        <v>0.179061</v>
      </c>
      <c r="CN248">
        <v>8.6879200000000004E-2</v>
      </c>
      <c r="CO248">
        <v>8.1583100000000006E-2</v>
      </c>
      <c r="CP248">
        <v>28698.5</v>
      </c>
      <c r="CQ248">
        <v>25279.200000000001</v>
      </c>
      <c r="CR248">
        <v>32452.400000000001</v>
      </c>
      <c r="CS248">
        <v>30718.9</v>
      </c>
      <c r="CT248">
        <v>40134</v>
      </c>
      <c r="CU248">
        <v>39684</v>
      </c>
      <c r="CV248">
        <v>47394.1</v>
      </c>
      <c r="CW248">
        <v>46850.400000000001</v>
      </c>
      <c r="CX248">
        <v>2.6217600000000001</v>
      </c>
      <c r="CY248">
        <v>2.1382599999999998</v>
      </c>
      <c r="CZ248">
        <v>0</v>
      </c>
      <c r="DA248">
        <v>0</v>
      </c>
      <c r="DB248">
        <v>999.9</v>
      </c>
      <c r="DC248">
        <v>999.9</v>
      </c>
      <c r="DD248">
        <v>51.697000000000003</v>
      </c>
      <c r="DE248">
        <v>27.09</v>
      </c>
      <c r="DF248">
        <v>18.624500000000001</v>
      </c>
      <c r="DG248">
        <v>30.688600000000001</v>
      </c>
      <c r="DH248">
        <v>15.3886</v>
      </c>
      <c r="DI248">
        <v>2</v>
      </c>
      <c r="DJ248">
        <v>-0.11483500000000001</v>
      </c>
      <c r="DK248">
        <v>2.4882399999999998</v>
      </c>
      <c r="DL248">
        <v>20.1919</v>
      </c>
      <c r="DM248">
        <v>5.2520300000000004</v>
      </c>
      <c r="DN248">
        <v>12.033899999999999</v>
      </c>
      <c r="DO248">
        <v>4.96692</v>
      </c>
      <c r="DP248">
        <v>3.2909999999999999</v>
      </c>
      <c r="DQ248">
        <v>9999</v>
      </c>
      <c r="DR248">
        <v>9999</v>
      </c>
      <c r="DS248">
        <v>9999</v>
      </c>
      <c r="DT248">
        <v>605.20000000000005</v>
      </c>
      <c r="DU248">
        <v>1.87117</v>
      </c>
      <c r="DV248">
        <v>1.8762099999999999</v>
      </c>
      <c r="DW248">
        <v>1.8763700000000001</v>
      </c>
      <c r="DX248">
        <v>1.8829</v>
      </c>
      <c r="DY248">
        <v>1.8756299999999999</v>
      </c>
      <c r="DZ248">
        <v>1.87469</v>
      </c>
      <c r="EA248">
        <v>1.87087</v>
      </c>
      <c r="EB248">
        <v>1.8747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-0.97399999999999998</v>
      </c>
      <c r="EQ248">
        <v>0.1091</v>
      </c>
      <c r="ER248">
        <v>-0.97454545454524999</v>
      </c>
      <c r="ES248">
        <v>0</v>
      </c>
      <c r="ET248">
        <v>0</v>
      </c>
      <c r="EU248">
        <v>0</v>
      </c>
      <c r="EV248">
        <v>0.109172727272727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2</v>
      </c>
      <c r="FE248">
        <v>2.1</v>
      </c>
      <c r="FF248">
        <v>2.5744600000000002</v>
      </c>
      <c r="FG248">
        <v>2.5732400000000002</v>
      </c>
      <c r="FH248">
        <v>2.19604</v>
      </c>
      <c r="FI248">
        <v>2.5781200000000002</v>
      </c>
      <c r="FJ248">
        <v>2.4462899999999999</v>
      </c>
      <c r="FK248">
        <v>2.34253</v>
      </c>
      <c r="FL248">
        <v>31.848800000000001</v>
      </c>
      <c r="FM248">
        <v>24.148800000000001</v>
      </c>
      <c r="FN248">
        <v>19</v>
      </c>
      <c r="FO248">
        <v>864.97699999999998</v>
      </c>
      <c r="FP248">
        <v>583.05700000000002</v>
      </c>
      <c r="FQ248">
        <v>17.909700000000001</v>
      </c>
      <c r="FR248">
        <v>25.572600000000001</v>
      </c>
      <c r="FS248">
        <v>30.000299999999999</v>
      </c>
      <c r="FT248">
        <v>25.541799999999999</v>
      </c>
      <c r="FU248">
        <v>25.542100000000001</v>
      </c>
      <c r="FV248">
        <v>51.642299999999999</v>
      </c>
      <c r="FW248">
        <v>27.167999999999999</v>
      </c>
      <c r="FX248">
        <v>37.381799999999998</v>
      </c>
      <c r="FY248">
        <v>17.9117</v>
      </c>
      <c r="FZ248">
        <v>1000</v>
      </c>
      <c r="GA248">
        <v>14.3833</v>
      </c>
      <c r="GB248">
        <v>99.866</v>
      </c>
      <c r="GC248">
        <v>99.731999999999999</v>
      </c>
    </row>
    <row r="249" spans="1:185" x14ac:dyDescent="0.2">
      <c r="A249">
        <v>234</v>
      </c>
      <c r="B249">
        <v>1771090095</v>
      </c>
      <c r="C249">
        <v>4775</v>
      </c>
      <c r="D249" t="s">
        <v>769</v>
      </c>
      <c r="E249" t="s">
        <v>770</v>
      </c>
      <c r="F249">
        <v>15</v>
      </c>
      <c r="G249">
        <v>1771090087.5</v>
      </c>
      <c r="H249">
        <f t="shared" si="39"/>
        <v>8.5578701507558715E-4</v>
      </c>
      <c r="I249">
        <v>0</v>
      </c>
      <c r="J249">
        <f t="shared" si="51"/>
        <v>1.4063513209270625E-2</v>
      </c>
      <c r="K249">
        <f t="shared" si="40"/>
        <v>0.3812046767176796</v>
      </c>
      <c r="L249">
        <f t="shared" si="41"/>
        <v>69.791917461554391</v>
      </c>
      <c r="M249">
        <f t="shared" si="42"/>
        <v>1.5387709043118869</v>
      </c>
      <c r="N249">
        <f t="shared" si="43"/>
        <v>2.2047981489540462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26243.496992833803</v>
      </c>
      <c r="T249">
        <f t="shared" si="47"/>
        <v>800.00014285714303</v>
      </c>
      <c r="U249">
        <f t="shared" si="48"/>
        <v>674.40027814288544</v>
      </c>
      <c r="V249">
        <f t="shared" si="49"/>
        <v>0.84300019714285712</v>
      </c>
      <c r="W249">
        <f t="shared" si="50"/>
        <v>0.15870049285714283</v>
      </c>
      <c r="X249">
        <v>1</v>
      </c>
      <c r="Y249">
        <v>1771090087.5</v>
      </c>
      <c r="Z249">
        <v>998.46092857142798</v>
      </c>
      <c r="AA249">
        <v>1000.0055</v>
      </c>
      <c r="AB249">
        <v>15.3953357142857</v>
      </c>
      <c r="AC249">
        <v>14.3420857142857</v>
      </c>
      <c r="AD249">
        <v>999.43542857142904</v>
      </c>
      <c r="AE249">
        <v>15.2861642857143</v>
      </c>
      <c r="AF249">
        <v>800.01128571428603</v>
      </c>
      <c r="AG249">
        <v>99.886435714285696</v>
      </c>
      <c r="AH249">
        <v>6.40254428571429E-2</v>
      </c>
      <c r="AI249">
        <v>18.9972214285714</v>
      </c>
      <c r="AJ249">
        <v>999.9</v>
      </c>
      <c r="AK249">
        <v>999.9</v>
      </c>
      <c r="AL249">
        <v>0</v>
      </c>
      <c r="AM249">
        <v>0</v>
      </c>
      <c r="AN249">
        <v>5008.3928571428596</v>
      </c>
      <c r="AO249">
        <v>0</v>
      </c>
      <c r="AP249">
        <v>2.1688635714285698</v>
      </c>
      <c r="AQ249">
        <v>-1.54528857142857</v>
      </c>
      <c r="AR249">
        <v>1014.07285714286</v>
      </c>
      <c r="AS249">
        <v>1014.55642857143</v>
      </c>
      <c r="AT249">
        <v>1.05325571428571</v>
      </c>
      <c r="AU249">
        <v>1000.0055</v>
      </c>
      <c r="AV249">
        <v>14.3420857142857</v>
      </c>
      <c r="AW249">
        <v>1.53778642857143</v>
      </c>
      <c r="AX249">
        <v>1.4325807142857101</v>
      </c>
      <c r="AY249">
        <v>13.349135714285699</v>
      </c>
      <c r="AZ249">
        <v>12.26695</v>
      </c>
      <c r="BA249">
        <v>800.00014285714303</v>
      </c>
      <c r="BB249">
        <v>0.89999342857142905</v>
      </c>
      <c r="BC249">
        <v>0</v>
      </c>
      <c r="BD249">
        <v>0.100006571428571</v>
      </c>
      <c r="BE249">
        <v>0</v>
      </c>
      <c r="BF249">
        <v>26</v>
      </c>
      <c r="BG249">
        <v>13191.007142857099</v>
      </c>
      <c r="BH249">
        <v>1771089957.0999999</v>
      </c>
      <c r="BI249" t="s">
        <v>750</v>
      </c>
      <c r="BJ249">
        <v>1771089957.0999999</v>
      </c>
      <c r="BK249">
        <v>1771089951.0999999</v>
      </c>
      <c r="BL249">
        <v>9</v>
      </c>
      <c r="BM249">
        <v>-7.1999999999999995E-2</v>
      </c>
      <c r="BN249">
        <v>0</v>
      </c>
      <c r="BO249">
        <v>-0.97499999999999998</v>
      </c>
      <c r="BP249">
        <v>0.109</v>
      </c>
      <c r="BQ249">
        <v>1000</v>
      </c>
      <c r="BR249">
        <v>15</v>
      </c>
      <c r="BS249">
        <v>0.28999999999999998</v>
      </c>
      <c r="BT249">
        <v>0.06</v>
      </c>
      <c r="BU249">
        <v>-1.53447857142857</v>
      </c>
      <c r="BV249">
        <v>-7.6579764586569996E-2</v>
      </c>
      <c r="BW249">
        <v>3.1055219066889801E-2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1.05820047619048</v>
      </c>
      <c r="CD249">
        <v>-8.2611244800064196E-2</v>
      </c>
      <c r="CE249">
        <v>8.35803774885816E-3</v>
      </c>
      <c r="CF249">
        <v>1</v>
      </c>
      <c r="CG249">
        <v>2</v>
      </c>
      <c r="CH249">
        <v>2</v>
      </c>
      <c r="CI249" t="s">
        <v>310</v>
      </c>
      <c r="CJ249">
        <v>3.5325299999999999</v>
      </c>
      <c r="CK249">
        <v>2.7018900000000001</v>
      </c>
      <c r="CL249">
        <v>0.18155299999999999</v>
      </c>
      <c r="CM249">
        <v>0.17905399999999999</v>
      </c>
      <c r="CN249">
        <v>8.6790699999999998E-2</v>
      </c>
      <c r="CO249">
        <v>8.1590499999999996E-2</v>
      </c>
      <c r="CP249">
        <v>28698.799999999999</v>
      </c>
      <c r="CQ249">
        <v>25278.7</v>
      </c>
      <c r="CR249">
        <v>32452.9</v>
      </c>
      <c r="CS249">
        <v>30718</v>
      </c>
      <c r="CT249">
        <v>40138.5</v>
      </c>
      <c r="CU249">
        <v>39682.9</v>
      </c>
      <c r="CV249">
        <v>47394.7</v>
      </c>
      <c r="CW249">
        <v>46849.5</v>
      </c>
      <c r="CX249">
        <v>2.6216599999999999</v>
      </c>
      <c r="CY249">
        <v>2.1380400000000002</v>
      </c>
      <c r="CZ249">
        <v>0</v>
      </c>
      <c r="DA249">
        <v>0</v>
      </c>
      <c r="DB249">
        <v>999.9</v>
      </c>
      <c r="DC249">
        <v>999.9</v>
      </c>
      <c r="DD249">
        <v>51.673000000000002</v>
      </c>
      <c r="DE249">
        <v>27.08</v>
      </c>
      <c r="DF249">
        <v>18.6023</v>
      </c>
      <c r="DG249">
        <v>30.2986</v>
      </c>
      <c r="DH249">
        <v>15.448700000000001</v>
      </c>
      <c r="DI249">
        <v>2</v>
      </c>
      <c r="DJ249">
        <v>-0.11473</v>
      </c>
      <c r="DK249">
        <v>2.4984500000000001</v>
      </c>
      <c r="DL249">
        <v>20.191600000000001</v>
      </c>
      <c r="DM249">
        <v>5.25</v>
      </c>
      <c r="DN249">
        <v>12.033899999999999</v>
      </c>
      <c r="DO249">
        <v>4.96584</v>
      </c>
      <c r="DP249">
        <v>3.2909999999999999</v>
      </c>
      <c r="DQ249">
        <v>9999</v>
      </c>
      <c r="DR249">
        <v>9999</v>
      </c>
      <c r="DS249">
        <v>9999</v>
      </c>
      <c r="DT249">
        <v>605.20000000000005</v>
      </c>
      <c r="DU249">
        <v>1.8711899999999999</v>
      </c>
      <c r="DV249">
        <v>1.8762099999999999</v>
      </c>
      <c r="DW249">
        <v>1.8763700000000001</v>
      </c>
      <c r="DX249">
        <v>1.8829100000000001</v>
      </c>
      <c r="DY249">
        <v>1.8756200000000001</v>
      </c>
      <c r="DZ249">
        <v>1.87469</v>
      </c>
      <c r="EA249">
        <v>1.87087</v>
      </c>
      <c r="EB249">
        <v>1.8747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-0.97399999999999998</v>
      </c>
      <c r="EQ249">
        <v>0.10920000000000001</v>
      </c>
      <c r="ER249">
        <v>-0.97454545454524999</v>
      </c>
      <c r="ES249">
        <v>0</v>
      </c>
      <c r="ET249">
        <v>0</v>
      </c>
      <c r="EU249">
        <v>0</v>
      </c>
      <c r="EV249">
        <v>0.109172727272727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2.2999999999999998</v>
      </c>
      <c r="FE249">
        <v>2.4</v>
      </c>
      <c r="FF249">
        <v>2.5744600000000002</v>
      </c>
      <c r="FG249">
        <v>2.5720200000000002</v>
      </c>
      <c r="FH249">
        <v>2.19604</v>
      </c>
      <c r="FI249">
        <v>2.5769000000000002</v>
      </c>
      <c r="FJ249">
        <v>2.4462899999999999</v>
      </c>
      <c r="FK249">
        <v>2.3059099999999999</v>
      </c>
      <c r="FL249">
        <v>31.848800000000001</v>
      </c>
      <c r="FM249">
        <v>24.148800000000001</v>
      </c>
      <c r="FN249">
        <v>19</v>
      </c>
      <c r="FO249">
        <v>864.93399999999997</v>
      </c>
      <c r="FP249">
        <v>582.92899999999997</v>
      </c>
      <c r="FQ249">
        <v>17.9222</v>
      </c>
      <c r="FR249">
        <v>25.575700000000001</v>
      </c>
      <c r="FS249">
        <v>30.0001</v>
      </c>
      <c r="FT249">
        <v>25.544899999999998</v>
      </c>
      <c r="FU249">
        <v>25.5457</v>
      </c>
      <c r="FV249">
        <v>51.646700000000003</v>
      </c>
      <c r="FW249">
        <v>27.167999999999999</v>
      </c>
      <c r="FX249">
        <v>37.381799999999998</v>
      </c>
      <c r="FY249">
        <v>17.9209</v>
      </c>
      <c r="FZ249">
        <v>1000</v>
      </c>
      <c r="GA249">
        <v>14.3833</v>
      </c>
      <c r="GB249">
        <v>99.8673</v>
      </c>
      <c r="GC249">
        <v>99.729600000000005</v>
      </c>
    </row>
    <row r="250" spans="1:185" x14ac:dyDescent="0.2">
      <c r="A250">
        <v>235</v>
      </c>
      <c r="B250">
        <v>1771090110</v>
      </c>
      <c r="C250">
        <v>4790</v>
      </c>
      <c r="D250" t="s">
        <v>771</v>
      </c>
      <c r="E250" t="s">
        <v>772</v>
      </c>
      <c r="F250">
        <v>15</v>
      </c>
      <c r="G250">
        <v>1771090102.5</v>
      </c>
      <c r="H250">
        <f t="shared" si="39"/>
        <v>8.487067406883124E-4</v>
      </c>
      <c r="I250">
        <v>0</v>
      </c>
      <c r="J250">
        <f t="shared" si="51"/>
        <v>1.3107137553637111E-2</v>
      </c>
      <c r="K250">
        <f t="shared" si="40"/>
        <v>0.35528122023839065</v>
      </c>
      <c r="L250">
        <f t="shared" si="41"/>
        <v>69.721443277582694</v>
      </c>
      <c r="M250">
        <f t="shared" si="42"/>
        <v>1.5375830285580347</v>
      </c>
      <c r="N250">
        <f t="shared" si="43"/>
        <v>2.2053230057737614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26142.155536925668</v>
      </c>
      <c r="T250">
        <f t="shared" si="47"/>
        <v>799.99971428571405</v>
      </c>
      <c r="U250">
        <f t="shared" si="48"/>
        <v>674.39993057136712</v>
      </c>
      <c r="V250">
        <f t="shared" si="49"/>
        <v>0.84300021428571426</v>
      </c>
      <c r="W250">
        <f t="shared" si="50"/>
        <v>0.15870053571428575</v>
      </c>
      <c r="X250">
        <v>1</v>
      </c>
      <c r="Y250">
        <v>1771090102.5</v>
      </c>
      <c r="Z250">
        <v>998.47421428571397</v>
      </c>
      <c r="AA250">
        <v>999.97757142857097</v>
      </c>
      <c r="AB250">
        <v>15.38335</v>
      </c>
      <c r="AC250">
        <v>14.3387928571429</v>
      </c>
      <c r="AD250">
        <v>999.448714285714</v>
      </c>
      <c r="AE250">
        <v>15.2741714285714</v>
      </c>
      <c r="AF250">
        <v>800.00485714285696</v>
      </c>
      <c r="AG250">
        <v>99.887307142857097</v>
      </c>
      <c r="AH250">
        <v>6.3810692857142803E-2</v>
      </c>
      <c r="AI250">
        <v>19.001035714285699</v>
      </c>
      <c r="AJ250">
        <v>999.9</v>
      </c>
      <c r="AK250">
        <v>999.9</v>
      </c>
      <c r="AL250">
        <v>0</v>
      </c>
      <c r="AM250">
        <v>0</v>
      </c>
      <c r="AN250">
        <v>4991.6785714285697</v>
      </c>
      <c r="AO250">
        <v>0</v>
      </c>
      <c r="AP250">
        <v>2.1511164285714299</v>
      </c>
      <c r="AQ250">
        <v>-1.5032700000000001</v>
      </c>
      <c r="AR250">
        <v>1014.07428571429</v>
      </c>
      <c r="AS250">
        <v>1014.525</v>
      </c>
      <c r="AT250">
        <v>1.04454714285714</v>
      </c>
      <c r="AU250">
        <v>999.97757142857097</v>
      </c>
      <c r="AV250">
        <v>14.3387928571429</v>
      </c>
      <c r="AW250">
        <v>1.5366</v>
      </c>
      <c r="AX250">
        <v>1.4322635714285701</v>
      </c>
      <c r="AY250">
        <v>13.337300000000001</v>
      </c>
      <c r="AZ250">
        <v>12.2636</v>
      </c>
      <c r="BA250">
        <v>799.99971428571405</v>
      </c>
      <c r="BB250">
        <v>0.89999285714285704</v>
      </c>
      <c r="BC250">
        <v>0</v>
      </c>
      <c r="BD250">
        <v>0.100007142857143</v>
      </c>
      <c r="BE250">
        <v>0</v>
      </c>
      <c r="BF250">
        <v>26</v>
      </c>
      <c r="BG250">
        <v>13191</v>
      </c>
      <c r="BH250">
        <v>1771089957.0999999</v>
      </c>
      <c r="BI250" t="s">
        <v>750</v>
      </c>
      <c r="BJ250">
        <v>1771089957.0999999</v>
      </c>
      <c r="BK250">
        <v>1771089951.0999999</v>
      </c>
      <c r="BL250">
        <v>9</v>
      </c>
      <c r="BM250">
        <v>-7.1999999999999995E-2</v>
      </c>
      <c r="BN250">
        <v>0</v>
      </c>
      <c r="BO250">
        <v>-0.97499999999999998</v>
      </c>
      <c r="BP250">
        <v>0.109</v>
      </c>
      <c r="BQ250">
        <v>1000</v>
      </c>
      <c r="BR250">
        <v>15</v>
      </c>
      <c r="BS250">
        <v>0.28999999999999998</v>
      </c>
      <c r="BT250">
        <v>0.06</v>
      </c>
      <c r="BU250">
        <v>-1.5045504999999999</v>
      </c>
      <c r="BV250">
        <v>-5.7032030075187902E-2</v>
      </c>
      <c r="BW250">
        <v>4.34356526916541E-2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1.0451954999999999</v>
      </c>
      <c r="CD250">
        <v>2.3206466165414E-2</v>
      </c>
      <c r="CE250">
        <v>7.3738832883359397E-3</v>
      </c>
      <c r="CF250">
        <v>1</v>
      </c>
      <c r="CG250">
        <v>2</v>
      </c>
      <c r="CH250">
        <v>2</v>
      </c>
      <c r="CI250" t="s">
        <v>310</v>
      </c>
      <c r="CJ250">
        <v>3.53254</v>
      </c>
      <c r="CK250">
        <v>2.7016100000000001</v>
      </c>
      <c r="CL250">
        <v>0.18154799999999999</v>
      </c>
      <c r="CM250">
        <v>0.179063</v>
      </c>
      <c r="CN250">
        <v>8.6781399999999995E-2</v>
      </c>
      <c r="CO250">
        <v>8.1448000000000007E-2</v>
      </c>
      <c r="CP250">
        <v>28699</v>
      </c>
      <c r="CQ250">
        <v>25278.9</v>
      </c>
      <c r="CR250">
        <v>32452.9</v>
      </c>
      <c r="CS250">
        <v>30718.5</v>
      </c>
      <c r="CT250">
        <v>40139.300000000003</v>
      </c>
      <c r="CU250">
        <v>39689.699999999997</v>
      </c>
      <c r="CV250">
        <v>47395</v>
      </c>
      <c r="CW250">
        <v>46850.1</v>
      </c>
      <c r="CX250">
        <v>2.6216599999999999</v>
      </c>
      <c r="CY250">
        <v>2.1380599999999998</v>
      </c>
      <c r="CZ250">
        <v>0</v>
      </c>
      <c r="DA250">
        <v>0</v>
      </c>
      <c r="DB250">
        <v>999.9</v>
      </c>
      <c r="DC250">
        <v>999.9</v>
      </c>
      <c r="DD250">
        <v>51.587000000000003</v>
      </c>
      <c r="DE250">
        <v>27.09</v>
      </c>
      <c r="DF250">
        <v>18.5822</v>
      </c>
      <c r="DG250">
        <v>30.2986</v>
      </c>
      <c r="DH250">
        <v>15.464700000000001</v>
      </c>
      <c r="DI250">
        <v>2</v>
      </c>
      <c r="DJ250">
        <v>-0.113886</v>
      </c>
      <c r="DK250">
        <v>2.6216400000000002</v>
      </c>
      <c r="DL250">
        <v>20.188500000000001</v>
      </c>
      <c r="DM250">
        <v>5.2451999999999996</v>
      </c>
      <c r="DN250">
        <v>12.033899999999999</v>
      </c>
      <c r="DO250">
        <v>4.9664400000000004</v>
      </c>
      <c r="DP250">
        <v>3.2906399999999998</v>
      </c>
      <c r="DQ250">
        <v>9999</v>
      </c>
      <c r="DR250">
        <v>9999</v>
      </c>
      <c r="DS250">
        <v>9999</v>
      </c>
      <c r="DT250">
        <v>605.20000000000005</v>
      </c>
      <c r="DU250">
        <v>1.8711899999999999</v>
      </c>
      <c r="DV250">
        <v>1.87622</v>
      </c>
      <c r="DW250">
        <v>1.8763700000000001</v>
      </c>
      <c r="DX250">
        <v>1.88293</v>
      </c>
      <c r="DY250">
        <v>1.87565</v>
      </c>
      <c r="DZ250">
        <v>1.8747</v>
      </c>
      <c r="EA250">
        <v>1.8708800000000001</v>
      </c>
      <c r="EB250">
        <v>1.8747100000000001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-0.97499999999999998</v>
      </c>
      <c r="EQ250">
        <v>0.10920000000000001</v>
      </c>
      <c r="ER250">
        <v>-0.97454545454524999</v>
      </c>
      <c r="ES250">
        <v>0</v>
      </c>
      <c r="ET250">
        <v>0</v>
      </c>
      <c r="EU250">
        <v>0</v>
      </c>
      <c r="EV250">
        <v>0.109172727272727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2.5</v>
      </c>
      <c r="FE250">
        <v>2.6</v>
      </c>
      <c r="FF250">
        <v>2.5744600000000002</v>
      </c>
      <c r="FG250">
        <v>2.5744600000000002</v>
      </c>
      <c r="FH250">
        <v>2.19604</v>
      </c>
      <c r="FI250">
        <v>2.5769000000000002</v>
      </c>
      <c r="FJ250">
        <v>2.4462899999999999</v>
      </c>
      <c r="FK250">
        <v>2.3327599999999999</v>
      </c>
      <c r="FL250">
        <v>31.870699999999999</v>
      </c>
      <c r="FM250">
        <v>24.14</v>
      </c>
      <c r="FN250">
        <v>19</v>
      </c>
      <c r="FO250">
        <v>864.96900000000005</v>
      </c>
      <c r="FP250">
        <v>582.96799999999996</v>
      </c>
      <c r="FQ250">
        <v>17.840800000000002</v>
      </c>
      <c r="FR250">
        <v>25.578399999999998</v>
      </c>
      <c r="FS250">
        <v>30.0001</v>
      </c>
      <c r="FT250">
        <v>25.5471</v>
      </c>
      <c r="FU250">
        <v>25.547899999999998</v>
      </c>
      <c r="FV250">
        <v>51.645800000000001</v>
      </c>
      <c r="FW250">
        <v>27.167999999999999</v>
      </c>
      <c r="FX250">
        <v>37.010800000000003</v>
      </c>
      <c r="FY250">
        <v>17.847899999999999</v>
      </c>
      <c r="FZ250">
        <v>1000</v>
      </c>
      <c r="GA250">
        <v>14.3833</v>
      </c>
      <c r="GB250">
        <v>99.867800000000003</v>
      </c>
      <c r="GC250">
        <v>99.730999999999995</v>
      </c>
    </row>
    <row r="251" spans="1:185" x14ac:dyDescent="0.2">
      <c r="A251">
        <v>236</v>
      </c>
      <c r="B251">
        <v>1771090125</v>
      </c>
      <c r="C251">
        <v>4805</v>
      </c>
      <c r="D251" t="s">
        <v>773</v>
      </c>
      <c r="E251" t="s">
        <v>774</v>
      </c>
      <c r="F251">
        <v>15</v>
      </c>
      <c r="G251">
        <v>1771090117.5</v>
      </c>
      <c r="H251">
        <f t="shared" si="39"/>
        <v>8.5782580046971449E-4</v>
      </c>
      <c r="I251">
        <v>0</v>
      </c>
      <c r="J251">
        <f t="shared" si="51"/>
        <v>1.4714277174180057E-2</v>
      </c>
      <c r="K251">
        <f t="shared" si="40"/>
        <v>0.39884424253394274</v>
      </c>
      <c r="L251">
        <f t="shared" si="41"/>
        <v>69.692321491457889</v>
      </c>
      <c r="M251">
        <f t="shared" si="42"/>
        <v>1.5364633759680777</v>
      </c>
      <c r="N251">
        <f t="shared" si="43"/>
        <v>2.2046379616675567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26223.72875895751</v>
      </c>
      <c r="T251">
        <f t="shared" si="47"/>
        <v>799.99914285714306</v>
      </c>
      <c r="U251">
        <f t="shared" si="48"/>
        <v>674.39943342840445</v>
      </c>
      <c r="V251">
        <f t="shared" si="49"/>
        <v>0.84300019500000001</v>
      </c>
      <c r="W251">
        <f t="shared" si="50"/>
        <v>0.15870048750000001</v>
      </c>
      <c r="X251">
        <v>1</v>
      </c>
      <c r="Y251">
        <v>1771090117.5</v>
      </c>
      <c r="Z251">
        <v>998.43835714285694</v>
      </c>
      <c r="AA251">
        <v>1000.0075000000001</v>
      </c>
      <c r="AB251">
        <v>15.37185</v>
      </c>
      <c r="AC251">
        <v>14.316064285714299</v>
      </c>
      <c r="AD251">
        <v>999.41271428571395</v>
      </c>
      <c r="AE251">
        <v>15.2626857142857</v>
      </c>
      <c r="AF251">
        <v>800.01028571428503</v>
      </c>
      <c r="AG251">
        <v>99.888992857142895</v>
      </c>
      <c r="AH251">
        <v>6.4062628571428595E-2</v>
      </c>
      <c r="AI251">
        <v>18.996057142857101</v>
      </c>
      <c r="AJ251">
        <v>999.9</v>
      </c>
      <c r="AK251">
        <v>999.9</v>
      </c>
      <c r="AL251">
        <v>0</v>
      </c>
      <c r="AM251">
        <v>0</v>
      </c>
      <c r="AN251">
        <v>5005</v>
      </c>
      <c r="AO251">
        <v>0</v>
      </c>
      <c r="AP251">
        <v>2.14547</v>
      </c>
      <c r="AQ251">
        <v>-1.5697278571428599</v>
      </c>
      <c r="AR251">
        <v>1014.025</v>
      </c>
      <c r="AS251">
        <v>1014.53214285714</v>
      </c>
      <c r="AT251">
        <v>1.05580428571429</v>
      </c>
      <c r="AU251">
        <v>1000.0075000000001</v>
      </c>
      <c r="AV251">
        <v>14.316064285714299</v>
      </c>
      <c r="AW251">
        <v>1.53547928571429</v>
      </c>
      <c r="AX251">
        <v>1.4300157142857099</v>
      </c>
      <c r="AY251">
        <v>13.3261</v>
      </c>
      <c r="AZ251">
        <v>12.2397214285714</v>
      </c>
      <c r="BA251">
        <v>799.99914285714306</v>
      </c>
      <c r="BB251">
        <v>0.8999935</v>
      </c>
      <c r="BC251">
        <v>0</v>
      </c>
      <c r="BD251">
        <v>0.1000065</v>
      </c>
      <c r="BE251">
        <v>0</v>
      </c>
      <c r="BF251">
        <v>26</v>
      </c>
      <c r="BG251">
        <v>13190.9857142857</v>
      </c>
      <c r="BH251">
        <v>1771089957.0999999</v>
      </c>
      <c r="BI251" t="s">
        <v>750</v>
      </c>
      <c r="BJ251">
        <v>1771089957.0999999</v>
      </c>
      <c r="BK251">
        <v>1771089951.0999999</v>
      </c>
      <c r="BL251">
        <v>9</v>
      </c>
      <c r="BM251">
        <v>-7.1999999999999995E-2</v>
      </c>
      <c r="BN251">
        <v>0</v>
      </c>
      <c r="BO251">
        <v>-0.97499999999999998</v>
      </c>
      <c r="BP251">
        <v>0.109</v>
      </c>
      <c r="BQ251">
        <v>1000</v>
      </c>
      <c r="BR251">
        <v>15</v>
      </c>
      <c r="BS251">
        <v>0.28999999999999998</v>
      </c>
      <c r="BT251">
        <v>0.06</v>
      </c>
      <c r="BU251">
        <v>-1.5560219047618999</v>
      </c>
      <c r="BV251">
        <v>-7.3192207792209696E-2</v>
      </c>
      <c r="BW251">
        <v>3.7167503294326699E-2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1.05530476190476</v>
      </c>
      <c r="CD251">
        <v>-3.7058181818182399E-2</v>
      </c>
      <c r="CE251">
        <v>1.3071225620768101E-2</v>
      </c>
      <c r="CF251">
        <v>1</v>
      </c>
      <c r="CG251">
        <v>2</v>
      </c>
      <c r="CH251">
        <v>2</v>
      </c>
      <c r="CI251" t="s">
        <v>310</v>
      </c>
      <c r="CJ251">
        <v>3.5325199999999999</v>
      </c>
      <c r="CK251">
        <v>2.7020499999999998</v>
      </c>
      <c r="CL251">
        <v>0.18154799999999999</v>
      </c>
      <c r="CM251">
        <v>0.179068</v>
      </c>
      <c r="CN251">
        <v>8.6724800000000005E-2</v>
      </c>
      <c r="CO251">
        <v>8.1532800000000002E-2</v>
      </c>
      <c r="CP251">
        <v>28699.4</v>
      </c>
      <c r="CQ251">
        <v>25279</v>
      </c>
      <c r="CR251">
        <v>32453.3</v>
      </c>
      <c r="CS251">
        <v>30718.799999999999</v>
      </c>
      <c r="CT251">
        <v>40142.5</v>
      </c>
      <c r="CU251">
        <v>39686.6</v>
      </c>
      <c r="CV251">
        <v>47395.8</v>
      </c>
      <c r="CW251">
        <v>46850.9</v>
      </c>
      <c r="CX251">
        <v>2.62174</v>
      </c>
      <c r="CY251">
        <v>2.1378599999999999</v>
      </c>
      <c r="CZ251">
        <v>0</v>
      </c>
      <c r="DA251">
        <v>0</v>
      </c>
      <c r="DB251">
        <v>999.9</v>
      </c>
      <c r="DC251">
        <v>999.9</v>
      </c>
      <c r="DD251">
        <v>51.514000000000003</v>
      </c>
      <c r="DE251">
        <v>27.1</v>
      </c>
      <c r="DF251">
        <v>18.568200000000001</v>
      </c>
      <c r="DG251">
        <v>30.208600000000001</v>
      </c>
      <c r="DH251">
        <v>15.508800000000001</v>
      </c>
      <c r="DI251">
        <v>2</v>
      </c>
      <c r="DJ251">
        <v>-0.114122</v>
      </c>
      <c r="DK251">
        <v>2.55009</v>
      </c>
      <c r="DL251">
        <v>20.1905</v>
      </c>
      <c r="DM251">
        <v>5.2474800000000004</v>
      </c>
      <c r="DN251">
        <v>12.033899999999999</v>
      </c>
      <c r="DO251">
        <v>4.9661200000000001</v>
      </c>
      <c r="DP251">
        <v>3.2909999999999999</v>
      </c>
      <c r="DQ251">
        <v>9999</v>
      </c>
      <c r="DR251">
        <v>9999</v>
      </c>
      <c r="DS251">
        <v>9999</v>
      </c>
      <c r="DT251">
        <v>605.20000000000005</v>
      </c>
      <c r="DU251">
        <v>1.8711899999999999</v>
      </c>
      <c r="DV251">
        <v>1.8762099999999999</v>
      </c>
      <c r="DW251">
        <v>1.8763799999999999</v>
      </c>
      <c r="DX251">
        <v>1.8829100000000001</v>
      </c>
      <c r="DY251">
        <v>1.8756299999999999</v>
      </c>
      <c r="DZ251">
        <v>1.8747</v>
      </c>
      <c r="EA251">
        <v>1.87087</v>
      </c>
      <c r="EB251">
        <v>1.8747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-0.97499999999999998</v>
      </c>
      <c r="EQ251">
        <v>0.10920000000000001</v>
      </c>
      <c r="ER251">
        <v>-0.97454545454524999</v>
      </c>
      <c r="ES251">
        <v>0</v>
      </c>
      <c r="ET251">
        <v>0</v>
      </c>
      <c r="EU251">
        <v>0</v>
      </c>
      <c r="EV251">
        <v>0.109172727272727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2.8</v>
      </c>
      <c r="FE251">
        <v>2.9</v>
      </c>
      <c r="FF251">
        <v>2.5744600000000002</v>
      </c>
      <c r="FG251">
        <v>2.5732400000000002</v>
      </c>
      <c r="FH251">
        <v>2.19604</v>
      </c>
      <c r="FI251">
        <v>2.5781200000000002</v>
      </c>
      <c r="FJ251">
        <v>2.4462899999999999</v>
      </c>
      <c r="FK251">
        <v>2.2900399999999999</v>
      </c>
      <c r="FL251">
        <v>31.870699999999999</v>
      </c>
      <c r="FM251">
        <v>24.14</v>
      </c>
      <c r="FN251">
        <v>19</v>
      </c>
      <c r="FO251">
        <v>865.096</v>
      </c>
      <c r="FP251">
        <v>582.84400000000005</v>
      </c>
      <c r="FQ251">
        <v>17.8447</v>
      </c>
      <c r="FR251">
        <v>25.578399999999998</v>
      </c>
      <c r="FS251">
        <v>30</v>
      </c>
      <c r="FT251">
        <v>25.5504</v>
      </c>
      <c r="FU251">
        <v>25.550599999999999</v>
      </c>
      <c r="FV251">
        <v>51.644599999999997</v>
      </c>
      <c r="FW251">
        <v>26.897500000000001</v>
      </c>
      <c r="FX251">
        <v>37.010800000000003</v>
      </c>
      <c r="FY251">
        <v>17.850200000000001</v>
      </c>
      <c r="FZ251">
        <v>1000</v>
      </c>
      <c r="GA251">
        <v>14.3909</v>
      </c>
      <c r="GB251">
        <v>99.869299999999996</v>
      </c>
      <c r="GC251">
        <v>99.732399999999998</v>
      </c>
    </row>
    <row r="252" spans="1:185" x14ac:dyDescent="0.2">
      <c r="A252">
        <v>237</v>
      </c>
      <c r="B252">
        <v>1771090140</v>
      </c>
      <c r="C252">
        <v>4820</v>
      </c>
      <c r="D252" t="s">
        <v>775</v>
      </c>
      <c r="E252" t="s">
        <v>776</v>
      </c>
      <c r="F252">
        <v>15</v>
      </c>
      <c r="G252">
        <v>1771090132.5</v>
      </c>
      <c r="H252">
        <f t="shared" si="39"/>
        <v>8.4070172400209494E-4</v>
      </c>
      <c r="I252">
        <v>0</v>
      </c>
      <c r="J252">
        <f t="shared" si="51"/>
        <v>1.507914248430986E-2</v>
      </c>
      <c r="K252">
        <f t="shared" si="40"/>
        <v>0.40873425796065993</v>
      </c>
      <c r="L252">
        <f t="shared" si="41"/>
        <v>69.682319489317081</v>
      </c>
      <c r="M252">
        <f t="shared" si="42"/>
        <v>1.5359018822355091</v>
      </c>
      <c r="N252">
        <f t="shared" si="43"/>
        <v>2.2041486183177019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26174.789350997849</v>
      </c>
      <c r="T252">
        <f t="shared" si="47"/>
        <v>799.99957142857102</v>
      </c>
      <c r="U252">
        <f t="shared" si="48"/>
        <v>674.39980671419539</v>
      </c>
      <c r="V252">
        <f t="shared" si="49"/>
        <v>0.84300021000000003</v>
      </c>
      <c r="W252">
        <f t="shared" si="50"/>
        <v>0.15870052500000001</v>
      </c>
      <c r="X252">
        <v>1</v>
      </c>
      <c r="Y252">
        <v>1771090132.5</v>
      </c>
      <c r="Z252">
        <v>998.43899999999996</v>
      </c>
      <c r="AA252">
        <v>999.99914285714306</v>
      </c>
      <c r="AB252">
        <v>15.3661785714286</v>
      </c>
      <c r="AC252">
        <v>14.331457142857101</v>
      </c>
      <c r="AD252">
        <v>999.413571428571</v>
      </c>
      <c r="AE252">
        <v>15.2570142857143</v>
      </c>
      <c r="AF252">
        <v>800.00599999999997</v>
      </c>
      <c r="AG252">
        <v>99.889214285714303</v>
      </c>
      <c r="AH252">
        <v>6.4191507142857096E-2</v>
      </c>
      <c r="AI252">
        <v>18.9925</v>
      </c>
      <c r="AJ252">
        <v>999.9</v>
      </c>
      <c r="AK252">
        <v>999.9</v>
      </c>
      <c r="AL252">
        <v>0</v>
      </c>
      <c r="AM252">
        <v>0</v>
      </c>
      <c r="AN252">
        <v>4996.8571428571404</v>
      </c>
      <c r="AO252">
        <v>0</v>
      </c>
      <c r="AP252">
        <v>2.14547</v>
      </c>
      <c r="AQ252">
        <v>-1.5607778571428601</v>
      </c>
      <c r="AR252">
        <v>1014.02214285714</v>
      </c>
      <c r="AS252">
        <v>1014.53928571429</v>
      </c>
      <c r="AT252">
        <v>1.0347321428571401</v>
      </c>
      <c r="AU252">
        <v>999.99914285714306</v>
      </c>
      <c r="AV252">
        <v>14.331457142857101</v>
      </c>
      <c r="AW252">
        <v>1.5349164285714301</v>
      </c>
      <c r="AX252">
        <v>1.4315585714285699</v>
      </c>
      <c r="AY252">
        <v>13.3204642857143</v>
      </c>
      <c r="AZ252">
        <v>12.2561</v>
      </c>
      <c r="BA252">
        <v>799.99957142857102</v>
      </c>
      <c r="BB252">
        <v>0.89999300000000004</v>
      </c>
      <c r="BC252">
        <v>0</v>
      </c>
      <c r="BD252">
        <v>0.100007</v>
      </c>
      <c r="BE252">
        <v>0</v>
      </c>
      <c r="BF252">
        <v>26</v>
      </c>
      <c r="BG252">
        <v>13190.978571428601</v>
      </c>
      <c r="BH252">
        <v>1771089957.0999999</v>
      </c>
      <c r="BI252" t="s">
        <v>750</v>
      </c>
      <c r="BJ252">
        <v>1771089957.0999999</v>
      </c>
      <c r="BK252">
        <v>1771089951.0999999</v>
      </c>
      <c r="BL252">
        <v>9</v>
      </c>
      <c r="BM252">
        <v>-7.1999999999999995E-2</v>
      </c>
      <c r="BN252">
        <v>0</v>
      </c>
      <c r="BO252">
        <v>-0.97499999999999998</v>
      </c>
      <c r="BP252">
        <v>0.109</v>
      </c>
      <c r="BQ252">
        <v>1000</v>
      </c>
      <c r="BR252">
        <v>15</v>
      </c>
      <c r="BS252">
        <v>0.28999999999999998</v>
      </c>
      <c r="BT252">
        <v>0.06</v>
      </c>
      <c r="BU252">
        <v>-1.5624175</v>
      </c>
      <c r="BV252">
        <v>7.9112030075186496E-2</v>
      </c>
      <c r="BW252">
        <v>2.66844130298944E-2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1.0371325</v>
      </c>
      <c r="CD252">
        <v>-5.3413082706766701E-2</v>
      </c>
      <c r="CE252">
        <v>6.3936647355018498E-3</v>
      </c>
      <c r="CF252">
        <v>1</v>
      </c>
      <c r="CG252">
        <v>2</v>
      </c>
      <c r="CH252">
        <v>2</v>
      </c>
      <c r="CI252" t="s">
        <v>310</v>
      </c>
      <c r="CJ252">
        <v>3.5325299999999999</v>
      </c>
      <c r="CK252">
        <v>2.7021000000000002</v>
      </c>
      <c r="CL252">
        <v>0.18154799999999999</v>
      </c>
      <c r="CM252">
        <v>0.17905399999999999</v>
      </c>
      <c r="CN252">
        <v>8.67232E-2</v>
      </c>
      <c r="CO252">
        <v>8.1686700000000001E-2</v>
      </c>
      <c r="CP252">
        <v>28698.6</v>
      </c>
      <c r="CQ252">
        <v>25279.5</v>
      </c>
      <c r="CR252">
        <v>32452.400000000001</v>
      </c>
      <c r="CS252">
        <v>30718.9</v>
      </c>
      <c r="CT252">
        <v>40141.300000000003</v>
      </c>
      <c r="CU252">
        <v>39679.800000000003</v>
      </c>
      <c r="CV252">
        <v>47394.3</v>
      </c>
      <c r="CW252">
        <v>46850.9</v>
      </c>
      <c r="CX252">
        <v>2.62168</v>
      </c>
      <c r="CY252">
        <v>2.1379600000000001</v>
      </c>
      <c r="CZ252">
        <v>0</v>
      </c>
      <c r="DA252">
        <v>0</v>
      </c>
      <c r="DB252">
        <v>999.9</v>
      </c>
      <c r="DC252">
        <v>999.9</v>
      </c>
      <c r="DD252">
        <v>51.465000000000003</v>
      </c>
      <c r="DE252">
        <v>27.1</v>
      </c>
      <c r="DF252">
        <v>18.548400000000001</v>
      </c>
      <c r="DG252">
        <v>30.418600000000001</v>
      </c>
      <c r="DH252">
        <v>15.5168</v>
      </c>
      <c r="DI252">
        <v>2</v>
      </c>
      <c r="DJ252">
        <v>-0.114148</v>
      </c>
      <c r="DK252">
        <v>2.5114999999999998</v>
      </c>
      <c r="DL252">
        <v>20.190999999999999</v>
      </c>
      <c r="DM252">
        <v>5.2484400000000004</v>
      </c>
      <c r="DN252">
        <v>12.033899999999999</v>
      </c>
      <c r="DO252">
        <v>4.9660000000000002</v>
      </c>
      <c r="DP252">
        <v>3.2909999999999999</v>
      </c>
      <c r="DQ252">
        <v>9999</v>
      </c>
      <c r="DR252">
        <v>9999</v>
      </c>
      <c r="DS252">
        <v>9999</v>
      </c>
      <c r="DT252">
        <v>605.20000000000005</v>
      </c>
      <c r="DU252">
        <v>1.8711899999999999</v>
      </c>
      <c r="DV252">
        <v>1.87622</v>
      </c>
      <c r="DW252">
        <v>1.8763700000000001</v>
      </c>
      <c r="DX252">
        <v>1.88293</v>
      </c>
      <c r="DY252">
        <v>1.87565</v>
      </c>
      <c r="DZ252">
        <v>1.8747</v>
      </c>
      <c r="EA252">
        <v>1.8708800000000001</v>
      </c>
      <c r="EB252">
        <v>1.8747100000000001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-0.97399999999999998</v>
      </c>
      <c r="EQ252">
        <v>0.10920000000000001</v>
      </c>
      <c r="ER252">
        <v>-0.97454545454524999</v>
      </c>
      <c r="ES252">
        <v>0</v>
      </c>
      <c r="ET252">
        <v>0</v>
      </c>
      <c r="EU252">
        <v>0</v>
      </c>
      <c r="EV252">
        <v>0.109172727272727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3</v>
      </c>
      <c r="FE252">
        <v>3.1</v>
      </c>
      <c r="FF252">
        <v>2.5756800000000002</v>
      </c>
      <c r="FG252">
        <v>2.5781200000000002</v>
      </c>
      <c r="FH252">
        <v>2.19604</v>
      </c>
      <c r="FI252">
        <v>2.5769000000000002</v>
      </c>
      <c r="FJ252">
        <v>2.4462899999999999</v>
      </c>
      <c r="FK252">
        <v>2.2851599999999999</v>
      </c>
      <c r="FL252">
        <v>31.870699999999999</v>
      </c>
      <c r="FM252">
        <v>24.14</v>
      </c>
      <c r="FN252">
        <v>19</v>
      </c>
      <c r="FO252">
        <v>865.05700000000002</v>
      </c>
      <c r="FP252">
        <v>582.93899999999996</v>
      </c>
      <c r="FQ252">
        <v>17.861899999999999</v>
      </c>
      <c r="FR252">
        <v>25.580500000000001</v>
      </c>
      <c r="FS252">
        <v>30.0001</v>
      </c>
      <c r="FT252">
        <v>25.551400000000001</v>
      </c>
      <c r="FU252">
        <v>25.552099999999999</v>
      </c>
      <c r="FV252">
        <v>51.651200000000003</v>
      </c>
      <c r="FW252">
        <v>26.616</v>
      </c>
      <c r="FX252">
        <v>37.010800000000003</v>
      </c>
      <c r="FY252">
        <v>17.865500000000001</v>
      </c>
      <c r="FZ252">
        <v>1000</v>
      </c>
      <c r="GA252">
        <v>14.389200000000001</v>
      </c>
      <c r="GB252">
        <v>99.866299999999995</v>
      </c>
      <c r="GC252">
        <v>99.732600000000005</v>
      </c>
    </row>
    <row r="253" spans="1:185" x14ac:dyDescent="0.2">
      <c r="A253">
        <v>238</v>
      </c>
      <c r="B253">
        <v>1771090155</v>
      </c>
      <c r="C253">
        <v>4835</v>
      </c>
      <c r="D253" t="s">
        <v>777</v>
      </c>
      <c r="E253" t="s">
        <v>778</v>
      </c>
      <c r="F253">
        <v>15</v>
      </c>
      <c r="G253">
        <v>1771090147.5</v>
      </c>
      <c r="H253">
        <f t="shared" si="39"/>
        <v>8.0868292827593401E-4</v>
      </c>
      <c r="I253">
        <v>0</v>
      </c>
      <c r="J253">
        <f t="shared" si="51"/>
        <v>1.5320685682342117E-2</v>
      </c>
      <c r="K253">
        <f t="shared" si="40"/>
        <v>0.41528151221705328</v>
      </c>
      <c r="L253">
        <f t="shared" si="41"/>
        <v>69.790159530866532</v>
      </c>
      <c r="M253">
        <f t="shared" si="42"/>
        <v>1.5382829512462979</v>
      </c>
      <c r="N253">
        <f t="shared" si="43"/>
        <v>2.2041545134539371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26251.892212190702</v>
      </c>
      <c r="T253">
        <f t="shared" si="47"/>
        <v>799.99985714285697</v>
      </c>
      <c r="U253">
        <f t="shared" si="48"/>
        <v>674.40003214282979</v>
      </c>
      <c r="V253">
        <f t="shared" si="49"/>
        <v>0.84300019071428578</v>
      </c>
      <c r="W253">
        <f t="shared" si="50"/>
        <v>0.15870047678571428</v>
      </c>
      <c r="X253">
        <v>1</v>
      </c>
      <c r="Y253">
        <v>1771090147.5</v>
      </c>
      <c r="Z253">
        <v>998.44642857142901</v>
      </c>
      <c r="AA253">
        <v>999.97478571428599</v>
      </c>
      <c r="AB253">
        <v>15.389835714285701</v>
      </c>
      <c r="AC253">
        <v>14.394557142857099</v>
      </c>
      <c r="AD253">
        <v>999.42092857142802</v>
      </c>
      <c r="AE253">
        <v>15.2806714285714</v>
      </c>
      <c r="AF253">
        <v>800.01464285714303</v>
      </c>
      <c r="AG253">
        <v>99.890450000000001</v>
      </c>
      <c r="AH253">
        <v>6.4025135714285697E-2</v>
      </c>
      <c r="AI253">
        <v>18.992542857142901</v>
      </c>
      <c r="AJ253">
        <v>999.9</v>
      </c>
      <c r="AK253">
        <v>999.9</v>
      </c>
      <c r="AL253">
        <v>0</v>
      </c>
      <c r="AM253">
        <v>0</v>
      </c>
      <c r="AN253">
        <v>5009.5357142857101</v>
      </c>
      <c r="AO253">
        <v>0</v>
      </c>
      <c r="AP253">
        <v>2.14547</v>
      </c>
      <c r="AQ253">
        <v>-1.5286599999999999</v>
      </c>
      <c r="AR253">
        <v>1014.05357142857</v>
      </c>
      <c r="AS253">
        <v>1014.57928571429</v>
      </c>
      <c r="AT253">
        <v>0.99530092857142904</v>
      </c>
      <c r="AU253">
        <v>999.97478571428599</v>
      </c>
      <c r="AV253">
        <v>14.394557142857099</v>
      </c>
      <c r="AW253">
        <v>1.53729714285714</v>
      </c>
      <c r="AX253">
        <v>1.4378778571428601</v>
      </c>
      <c r="AY253">
        <v>13.3442357142857</v>
      </c>
      <c r="AZ253">
        <v>12.323078571428599</v>
      </c>
      <c r="BA253">
        <v>799.99985714285697</v>
      </c>
      <c r="BB253">
        <v>0.89999364285714301</v>
      </c>
      <c r="BC253">
        <v>0</v>
      </c>
      <c r="BD253">
        <v>0.10000635714285699</v>
      </c>
      <c r="BE253">
        <v>0</v>
      </c>
      <c r="BF253">
        <v>26</v>
      </c>
      <c r="BG253">
        <v>13190.992857142901</v>
      </c>
      <c r="BH253">
        <v>1771089957.0999999</v>
      </c>
      <c r="BI253" t="s">
        <v>750</v>
      </c>
      <c r="BJ253">
        <v>1771089957.0999999</v>
      </c>
      <c r="BK253">
        <v>1771089951.0999999</v>
      </c>
      <c r="BL253">
        <v>9</v>
      </c>
      <c r="BM253">
        <v>-7.1999999999999995E-2</v>
      </c>
      <c r="BN253">
        <v>0</v>
      </c>
      <c r="BO253">
        <v>-0.97499999999999998</v>
      </c>
      <c r="BP253">
        <v>0.109</v>
      </c>
      <c r="BQ253">
        <v>1000</v>
      </c>
      <c r="BR253">
        <v>15</v>
      </c>
      <c r="BS253">
        <v>0.28999999999999998</v>
      </c>
      <c r="BT253">
        <v>0.06</v>
      </c>
      <c r="BU253">
        <v>-1.5296419047619001</v>
      </c>
      <c r="BV253">
        <v>-5.9901038961040501E-2</v>
      </c>
      <c r="BW253">
        <v>3.1083308431351798E-2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1.00591014285714</v>
      </c>
      <c r="CD253">
        <v>-0.10785444155844</v>
      </c>
      <c r="CE253">
        <v>1.7292568013554301E-2</v>
      </c>
      <c r="CF253">
        <v>0</v>
      </c>
      <c r="CG253">
        <v>1</v>
      </c>
      <c r="CH253">
        <v>2</v>
      </c>
      <c r="CI253" t="s">
        <v>299</v>
      </c>
      <c r="CJ253">
        <v>3.5325600000000001</v>
      </c>
      <c r="CK253">
        <v>2.7021099999999998</v>
      </c>
      <c r="CL253">
        <v>0.18155299999999999</v>
      </c>
      <c r="CM253">
        <v>0.179067</v>
      </c>
      <c r="CN253">
        <v>8.6879499999999998E-2</v>
      </c>
      <c r="CO253">
        <v>8.1817899999999999E-2</v>
      </c>
      <c r="CP253">
        <v>28699.200000000001</v>
      </c>
      <c r="CQ253">
        <v>25279</v>
      </c>
      <c r="CR253">
        <v>32453.3</v>
      </c>
      <c r="CS253">
        <v>30718.799999999999</v>
      </c>
      <c r="CT253">
        <v>40135.699999999997</v>
      </c>
      <c r="CU253">
        <v>39673.9</v>
      </c>
      <c r="CV253">
        <v>47396</v>
      </c>
      <c r="CW253">
        <v>46850.9</v>
      </c>
      <c r="CX253">
        <v>2.6215199999999999</v>
      </c>
      <c r="CY253">
        <v>2.1379000000000001</v>
      </c>
      <c r="CZ253">
        <v>0</v>
      </c>
      <c r="DA253">
        <v>0</v>
      </c>
      <c r="DB253">
        <v>999.9</v>
      </c>
      <c r="DC253">
        <v>999.9</v>
      </c>
      <c r="DD253">
        <v>51.415999999999997</v>
      </c>
      <c r="DE253">
        <v>27.12</v>
      </c>
      <c r="DF253">
        <v>18.5533</v>
      </c>
      <c r="DG253">
        <v>29.968599999999999</v>
      </c>
      <c r="DH253">
        <v>15.3926</v>
      </c>
      <c r="DI253">
        <v>2</v>
      </c>
      <c r="DJ253">
        <v>-0.114368</v>
      </c>
      <c r="DK253">
        <v>2.4818199999999999</v>
      </c>
      <c r="DL253">
        <v>20.192</v>
      </c>
      <c r="DM253">
        <v>5.2472399999999997</v>
      </c>
      <c r="DN253">
        <v>12.033899999999999</v>
      </c>
      <c r="DO253">
        <v>4.9675200000000004</v>
      </c>
      <c r="DP253">
        <v>3.2909999999999999</v>
      </c>
      <c r="DQ253">
        <v>9999</v>
      </c>
      <c r="DR253">
        <v>9999</v>
      </c>
      <c r="DS253">
        <v>9999</v>
      </c>
      <c r="DT253">
        <v>605.20000000000005</v>
      </c>
      <c r="DU253">
        <v>1.8711899999999999</v>
      </c>
      <c r="DV253">
        <v>1.87622</v>
      </c>
      <c r="DW253">
        <v>1.8763799999999999</v>
      </c>
      <c r="DX253">
        <v>1.8829199999999999</v>
      </c>
      <c r="DY253">
        <v>1.8756299999999999</v>
      </c>
      <c r="DZ253">
        <v>1.8747</v>
      </c>
      <c r="EA253">
        <v>1.8708800000000001</v>
      </c>
      <c r="EB253">
        <v>1.8747199999999999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-0.97499999999999998</v>
      </c>
      <c r="EQ253">
        <v>0.10920000000000001</v>
      </c>
      <c r="ER253">
        <v>-0.97454545454524999</v>
      </c>
      <c r="ES253">
        <v>0</v>
      </c>
      <c r="ET253">
        <v>0</v>
      </c>
      <c r="EU253">
        <v>0</v>
      </c>
      <c r="EV253">
        <v>0.109172727272727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3.3</v>
      </c>
      <c r="FE253">
        <v>3.4</v>
      </c>
      <c r="FF253">
        <v>2.5756800000000002</v>
      </c>
      <c r="FG253">
        <v>2.5830099999999998</v>
      </c>
      <c r="FH253">
        <v>2.19604</v>
      </c>
      <c r="FI253">
        <v>2.5781200000000002</v>
      </c>
      <c r="FJ253">
        <v>2.4462899999999999</v>
      </c>
      <c r="FK253">
        <v>2.2644000000000002</v>
      </c>
      <c r="FL253">
        <v>31.870699999999999</v>
      </c>
      <c r="FM253">
        <v>24.1313</v>
      </c>
      <c r="FN253">
        <v>19</v>
      </c>
      <c r="FO253">
        <v>864.94299999999998</v>
      </c>
      <c r="FP253">
        <v>582.91700000000003</v>
      </c>
      <c r="FQ253">
        <v>17.878499999999999</v>
      </c>
      <c r="FR253">
        <v>25.580500000000001</v>
      </c>
      <c r="FS253">
        <v>30.0001</v>
      </c>
      <c r="FT253">
        <v>25.553599999999999</v>
      </c>
      <c r="FU253">
        <v>25.554300000000001</v>
      </c>
      <c r="FV253">
        <v>51.650199999999998</v>
      </c>
      <c r="FW253">
        <v>26.616</v>
      </c>
      <c r="FX253">
        <v>36.637599999999999</v>
      </c>
      <c r="FY253">
        <v>17.881499999999999</v>
      </c>
      <c r="FZ253">
        <v>1000</v>
      </c>
      <c r="GA253">
        <v>14.389200000000001</v>
      </c>
      <c r="GB253">
        <v>99.869600000000005</v>
      </c>
      <c r="GC253">
        <v>99.732399999999998</v>
      </c>
    </row>
    <row r="254" spans="1:185" x14ac:dyDescent="0.2">
      <c r="A254">
        <v>239</v>
      </c>
      <c r="B254">
        <v>1771090170</v>
      </c>
      <c r="C254">
        <v>4850</v>
      </c>
      <c r="D254" t="s">
        <v>779</v>
      </c>
      <c r="E254" t="s">
        <v>780</v>
      </c>
      <c r="F254">
        <v>15</v>
      </c>
      <c r="G254">
        <v>1771090162.5</v>
      </c>
      <c r="H254">
        <f t="shared" si="39"/>
        <v>8.4029687754823626E-4</v>
      </c>
      <c r="I254">
        <v>0</v>
      </c>
      <c r="J254">
        <f t="shared" si="51"/>
        <v>1.4459387796448351E-2</v>
      </c>
      <c r="K254">
        <f t="shared" si="40"/>
        <v>0.39193522759641386</v>
      </c>
      <c r="L254">
        <f t="shared" si="41"/>
        <v>69.823125425735171</v>
      </c>
      <c r="M254">
        <f t="shared" si="42"/>
        <v>1.5392160773399728</v>
      </c>
      <c r="N254">
        <f t="shared" si="43"/>
        <v>2.2044502705297888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26137.942197571985</v>
      </c>
      <c r="T254">
        <f t="shared" si="47"/>
        <v>800.00092857142897</v>
      </c>
      <c r="U254">
        <f t="shared" si="48"/>
        <v>674.40096621449891</v>
      </c>
      <c r="V254">
        <f t="shared" si="49"/>
        <v>0.84300022928571428</v>
      </c>
      <c r="W254">
        <f t="shared" si="50"/>
        <v>0.15870057321428574</v>
      </c>
      <c r="X254">
        <v>1</v>
      </c>
      <c r="Y254">
        <v>1771090162.5</v>
      </c>
      <c r="Z254">
        <v>998.44728571428595</v>
      </c>
      <c r="AA254">
        <v>999.98592857142899</v>
      </c>
      <c r="AB254">
        <v>15.398742857142899</v>
      </c>
      <c r="AC254">
        <v>14.3645571428571</v>
      </c>
      <c r="AD254">
        <v>999.42178571428599</v>
      </c>
      <c r="AE254">
        <v>15.289578571428599</v>
      </c>
      <c r="AF254">
        <v>800.00850000000003</v>
      </c>
      <c r="AG254">
        <v>99.893014285714301</v>
      </c>
      <c r="AH254">
        <v>6.4241421428571394E-2</v>
      </c>
      <c r="AI254">
        <v>18.994692857142901</v>
      </c>
      <c r="AJ254">
        <v>999.9</v>
      </c>
      <c r="AK254">
        <v>999.9</v>
      </c>
      <c r="AL254">
        <v>0</v>
      </c>
      <c r="AM254">
        <v>0</v>
      </c>
      <c r="AN254">
        <v>4990.6428571428596</v>
      </c>
      <c r="AO254">
        <v>0</v>
      </c>
      <c r="AP254">
        <v>2.1474864285714301</v>
      </c>
      <c r="AQ254">
        <v>-1.5381435714285701</v>
      </c>
      <c r="AR254">
        <v>1014.06214285714</v>
      </c>
      <c r="AS254">
        <v>1014.55928571429</v>
      </c>
      <c r="AT254">
        <v>1.0341750000000001</v>
      </c>
      <c r="AU254">
        <v>999.98592857142899</v>
      </c>
      <c r="AV254">
        <v>14.3645571428571</v>
      </c>
      <c r="AW254">
        <v>1.53822785714286</v>
      </c>
      <c r="AX254">
        <v>1.43492</v>
      </c>
      <c r="AY254">
        <v>13.353521428571399</v>
      </c>
      <c r="AZ254">
        <v>12.291771428571399</v>
      </c>
      <c r="BA254">
        <v>800.00092857142897</v>
      </c>
      <c r="BB254">
        <v>0.89999235714285697</v>
      </c>
      <c r="BC254">
        <v>0</v>
      </c>
      <c r="BD254">
        <v>0.100007642857143</v>
      </c>
      <c r="BE254">
        <v>0</v>
      </c>
      <c r="BF254">
        <v>26</v>
      </c>
      <c r="BG254">
        <v>13191.007142857099</v>
      </c>
      <c r="BH254">
        <v>1771089957.0999999</v>
      </c>
      <c r="BI254" t="s">
        <v>750</v>
      </c>
      <c r="BJ254">
        <v>1771089957.0999999</v>
      </c>
      <c r="BK254">
        <v>1771089951.0999999</v>
      </c>
      <c r="BL254">
        <v>9</v>
      </c>
      <c r="BM254">
        <v>-7.1999999999999995E-2</v>
      </c>
      <c r="BN254">
        <v>0</v>
      </c>
      <c r="BO254">
        <v>-0.97499999999999998</v>
      </c>
      <c r="BP254">
        <v>0.109</v>
      </c>
      <c r="BQ254">
        <v>1000</v>
      </c>
      <c r="BR254">
        <v>15</v>
      </c>
      <c r="BS254">
        <v>0.28999999999999998</v>
      </c>
      <c r="BT254">
        <v>0.06</v>
      </c>
      <c r="BU254">
        <v>-1.5397559999999999</v>
      </c>
      <c r="BV254">
        <v>-4.1260150375941797E-3</v>
      </c>
      <c r="BW254">
        <v>1.4885627430511601E-2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1.0249402999999999</v>
      </c>
      <c r="CD254">
        <v>0.135160872180452</v>
      </c>
      <c r="CE254">
        <v>1.53244992645763E-2</v>
      </c>
      <c r="CF254">
        <v>0</v>
      </c>
      <c r="CG254">
        <v>1</v>
      </c>
      <c r="CH254">
        <v>2</v>
      </c>
      <c r="CI254" t="s">
        <v>299</v>
      </c>
      <c r="CJ254">
        <v>3.5325000000000002</v>
      </c>
      <c r="CK254">
        <v>2.7019799999999998</v>
      </c>
      <c r="CL254">
        <v>0.18156700000000001</v>
      </c>
      <c r="CM254">
        <v>0.17907200000000001</v>
      </c>
      <c r="CN254">
        <v>8.68231E-2</v>
      </c>
      <c r="CO254">
        <v>8.1664200000000006E-2</v>
      </c>
      <c r="CP254">
        <v>28698.3</v>
      </c>
      <c r="CQ254">
        <v>25278.799999999999</v>
      </c>
      <c r="CR254">
        <v>32452.9</v>
      </c>
      <c r="CS254">
        <v>30718.799999999999</v>
      </c>
      <c r="CT254">
        <v>40137.4</v>
      </c>
      <c r="CU254">
        <v>39680.699999999997</v>
      </c>
      <c r="CV254">
        <v>47395.1</v>
      </c>
      <c r="CW254">
        <v>46850.8</v>
      </c>
      <c r="CX254">
        <v>2.6214599999999999</v>
      </c>
      <c r="CY254">
        <v>2.1378200000000001</v>
      </c>
      <c r="CZ254">
        <v>0</v>
      </c>
      <c r="DA254">
        <v>0</v>
      </c>
      <c r="DB254">
        <v>999.9</v>
      </c>
      <c r="DC254">
        <v>999.9</v>
      </c>
      <c r="DD254">
        <v>51.343000000000004</v>
      </c>
      <c r="DE254">
        <v>27.12</v>
      </c>
      <c r="DF254">
        <v>18.524899999999999</v>
      </c>
      <c r="DG254">
        <v>30.028600000000001</v>
      </c>
      <c r="DH254">
        <v>15.384600000000001</v>
      </c>
      <c r="DI254">
        <v>2</v>
      </c>
      <c r="DJ254">
        <v>-0.114356</v>
      </c>
      <c r="DK254">
        <v>2.47315</v>
      </c>
      <c r="DL254">
        <v>20.191800000000001</v>
      </c>
      <c r="DM254">
        <v>5.2477200000000002</v>
      </c>
      <c r="DN254">
        <v>12.033899999999999</v>
      </c>
      <c r="DO254">
        <v>4.9677600000000002</v>
      </c>
      <c r="DP254">
        <v>3.2909999999999999</v>
      </c>
      <c r="DQ254">
        <v>9999</v>
      </c>
      <c r="DR254">
        <v>9999</v>
      </c>
      <c r="DS254">
        <v>9999</v>
      </c>
      <c r="DT254">
        <v>605.20000000000005</v>
      </c>
      <c r="DU254">
        <v>1.8711899999999999</v>
      </c>
      <c r="DV254">
        <v>1.87622</v>
      </c>
      <c r="DW254">
        <v>1.8763700000000001</v>
      </c>
      <c r="DX254">
        <v>1.8829100000000001</v>
      </c>
      <c r="DY254">
        <v>1.8756299999999999</v>
      </c>
      <c r="DZ254">
        <v>1.87469</v>
      </c>
      <c r="EA254">
        <v>1.8708800000000001</v>
      </c>
      <c r="EB254">
        <v>1.8747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-0.97399999999999998</v>
      </c>
      <c r="EQ254">
        <v>0.1091</v>
      </c>
      <c r="ER254">
        <v>-0.97454545454524999</v>
      </c>
      <c r="ES254">
        <v>0</v>
      </c>
      <c r="ET254">
        <v>0</v>
      </c>
      <c r="EU254">
        <v>0</v>
      </c>
      <c r="EV254">
        <v>0.109172727272727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3.5</v>
      </c>
      <c r="FE254">
        <v>3.6</v>
      </c>
      <c r="FF254">
        <v>2.5756800000000002</v>
      </c>
      <c r="FG254">
        <v>2.5781200000000002</v>
      </c>
      <c r="FH254">
        <v>2.19604</v>
      </c>
      <c r="FI254">
        <v>2.5769000000000002</v>
      </c>
      <c r="FJ254">
        <v>2.4462899999999999</v>
      </c>
      <c r="FK254">
        <v>2.2753899999999998</v>
      </c>
      <c r="FL254">
        <v>31.892700000000001</v>
      </c>
      <c r="FM254">
        <v>24.1313</v>
      </c>
      <c r="FN254">
        <v>19</v>
      </c>
      <c r="FO254">
        <v>864.91200000000003</v>
      </c>
      <c r="FP254">
        <v>582.85699999999997</v>
      </c>
      <c r="FQ254">
        <v>17.8935</v>
      </c>
      <c r="FR254">
        <v>25.580500000000001</v>
      </c>
      <c r="FS254">
        <v>30</v>
      </c>
      <c r="FT254">
        <v>25.555199999999999</v>
      </c>
      <c r="FU254">
        <v>25.554500000000001</v>
      </c>
      <c r="FV254">
        <v>51.652799999999999</v>
      </c>
      <c r="FW254">
        <v>26.616</v>
      </c>
      <c r="FX254">
        <v>36.637599999999999</v>
      </c>
      <c r="FY254">
        <v>17.894500000000001</v>
      </c>
      <c r="FZ254">
        <v>1000</v>
      </c>
      <c r="GA254">
        <v>14.389200000000001</v>
      </c>
      <c r="GB254">
        <v>99.867900000000006</v>
      </c>
      <c r="GC254">
        <v>99.732399999999998</v>
      </c>
    </row>
    <row r="255" spans="1:185" x14ac:dyDescent="0.2">
      <c r="A255">
        <v>240</v>
      </c>
      <c r="B255">
        <v>1771090185</v>
      </c>
      <c r="C255">
        <v>4865</v>
      </c>
      <c r="D255" t="s">
        <v>781</v>
      </c>
      <c r="E255" t="s">
        <v>782</v>
      </c>
      <c r="F255">
        <v>15</v>
      </c>
      <c r="G255">
        <v>1771090177.5</v>
      </c>
      <c r="H255">
        <f t="shared" si="39"/>
        <v>8.3624287811039576E-4</v>
      </c>
      <c r="I255">
        <v>0</v>
      </c>
      <c r="J255">
        <f t="shared" si="51"/>
        <v>1.267566170901465E-2</v>
      </c>
      <c r="K255">
        <f t="shared" si="40"/>
        <v>0.34358566398489576</v>
      </c>
      <c r="L255">
        <f t="shared" si="41"/>
        <v>69.770627178684705</v>
      </c>
      <c r="M255">
        <f t="shared" si="42"/>
        <v>1.5382768119350092</v>
      </c>
      <c r="N255">
        <f t="shared" si="43"/>
        <v>2.2047627692889091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26198.741197835276</v>
      </c>
      <c r="T255">
        <f t="shared" si="47"/>
        <v>800</v>
      </c>
      <c r="U255">
        <f t="shared" si="48"/>
        <v>674.4001902857143</v>
      </c>
      <c r="V255">
        <f t="shared" si="49"/>
        <v>0.84300023785714284</v>
      </c>
      <c r="W255">
        <f t="shared" si="50"/>
        <v>0.15870059464285718</v>
      </c>
      <c r="X255">
        <v>1</v>
      </c>
      <c r="Y255">
        <v>1771090177.5</v>
      </c>
      <c r="Z255">
        <v>998.51042857142897</v>
      </c>
      <c r="AA255">
        <v>999.98364285714297</v>
      </c>
      <c r="AB255">
        <v>15.389250000000001</v>
      </c>
      <c r="AC255">
        <v>14.360042857142901</v>
      </c>
      <c r="AD255">
        <v>999.48500000000001</v>
      </c>
      <c r="AE255">
        <v>15.2800928571429</v>
      </c>
      <c r="AF255">
        <v>800.007785714286</v>
      </c>
      <c r="AG255">
        <v>99.893814285714299</v>
      </c>
      <c r="AH255">
        <v>6.40661785714286E-2</v>
      </c>
      <c r="AI255">
        <v>18.996964285714299</v>
      </c>
      <c r="AJ255">
        <v>999.9</v>
      </c>
      <c r="AK255">
        <v>999.9</v>
      </c>
      <c r="AL255">
        <v>0</v>
      </c>
      <c r="AM255">
        <v>0</v>
      </c>
      <c r="AN255">
        <v>5000.6785714285697</v>
      </c>
      <c r="AO255">
        <v>0</v>
      </c>
      <c r="AP255">
        <v>2.1805585714285698</v>
      </c>
      <c r="AQ255">
        <v>-1.47387214285714</v>
      </c>
      <c r="AR255">
        <v>1014.1157142857101</v>
      </c>
      <c r="AS255">
        <v>1014.55214285714</v>
      </c>
      <c r="AT255">
        <v>1.02920928571429</v>
      </c>
      <c r="AU255">
        <v>999.98364285714297</v>
      </c>
      <c r="AV255">
        <v>14.360042857142901</v>
      </c>
      <c r="AW255">
        <v>1.5372914285714301</v>
      </c>
      <c r="AX255">
        <v>1.4344792857142901</v>
      </c>
      <c r="AY255">
        <v>13.344200000000001</v>
      </c>
      <c r="AZ255">
        <v>12.287100000000001</v>
      </c>
      <c r="BA255">
        <v>800</v>
      </c>
      <c r="BB255">
        <v>0.89999207142857096</v>
      </c>
      <c r="BC255">
        <v>0</v>
      </c>
      <c r="BD255">
        <v>0.100007928571429</v>
      </c>
      <c r="BE255">
        <v>0</v>
      </c>
      <c r="BF255">
        <v>26</v>
      </c>
      <c r="BG255">
        <v>13190.992857142901</v>
      </c>
      <c r="BH255">
        <v>1771089957.0999999</v>
      </c>
      <c r="BI255" t="s">
        <v>750</v>
      </c>
      <c r="BJ255">
        <v>1771089957.0999999</v>
      </c>
      <c r="BK255">
        <v>1771089951.0999999</v>
      </c>
      <c r="BL255">
        <v>9</v>
      </c>
      <c r="BM255">
        <v>-7.1999999999999995E-2</v>
      </c>
      <c r="BN255">
        <v>0</v>
      </c>
      <c r="BO255">
        <v>-0.97499999999999998</v>
      </c>
      <c r="BP255">
        <v>0.109</v>
      </c>
      <c r="BQ255">
        <v>1000</v>
      </c>
      <c r="BR255">
        <v>15</v>
      </c>
      <c r="BS255">
        <v>0.28999999999999998</v>
      </c>
      <c r="BT255">
        <v>0.06</v>
      </c>
      <c r="BU255">
        <v>-1.49215571428571</v>
      </c>
      <c r="BV255">
        <v>8.7617142857142505E-2</v>
      </c>
      <c r="BW255">
        <v>4.47400873374873E-2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1.03112761904762</v>
      </c>
      <c r="CD255">
        <v>-3.7535844155843399E-2</v>
      </c>
      <c r="CE255">
        <v>3.9428487462528604E-3</v>
      </c>
      <c r="CF255">
        <v>1</v>
      </c>
      <c r="CG255">
        <v>2</v>
      </c>
      <c r="CH255">
        <v>2</v>
      </c>
      <c r="CI255" t="s">
        <v>310</v>
      </c>
      <c r="CJ255">
        <v>3.5325500000000001</v>
      </c>
      <c r="CK255">
        <v>2.7018900000000001</v>
      </c>
      <c r="CL255">
        <v>0.181564</v>
      </c>
      <c r="CM255">
        <v>0.17908299999999999</v>
      </c>
      <c r="CN255">
        <v>8.6785399999999999E-2</v>
      </c>
      <c r="CO255">
        <v>8.1674200000000002E-2</v>
      </c>
      <c r="CP255">
        <v>28698.7</v>
      </c>
      <c r="CQ255">
        <v>25278.5</v>
      </c>
      <c r="CR255">
        <v>32453.200000000001</v>
      </c>
      <c r="CS255">
        <v>30718.799999999999</v>
      </c>
      <c r="CT255">
        <v>40139.599999999999</v>
      </c>
      <c r="CU255">
        <v>39680.400000000001</v>
      </c>
      <c r="CV255">
        <v>47395.6</v>
      </c>
      <c r="CW255">
        <v>46850.9</v>
      </c>
      <c r="CX255">
        <v>2.6215199999999999</v>
      </c>
      <c r="CY255">
        <v>2.1378400000000002</v>
      </c>
      <c r="CZ255">
        <v>0</v>
      </c>
      <c r="DA255">
        <v>0</v>
      </c>
      <c r="DB255">
        <v>999.9</v>
      </c>
      <c r="DC255">
        <v>999.9</v>
      </c>
      <c r="DD255">
        <v>51.319000000000003</v>
      </c>
      <c r="DE255">
        <v>27.13</v>
      </c>
      <c r="DF255">
        <v>18.5276</v>
      </c>
      <c r="DG255">
        <v>30.5686</v>
      </c>
      <c r="DH255">
        <v>15.3726</v>
      </c>
      <c r="DI255">
        <v>2</v>
      </c>
      <c r="DJ255">
        <v>-0.114486</v>
      </c>
      <c r="DK255">
        <v>2.47234</v>
      </c>
      <c r="DL255">
        <v>20.191800000000001</v>
      </c>
      <c r="DM255">
        <v>5.2519099999999996</v>
      </c>
      <c r="DN255">
        <v>12.033899999999999</v>
      </c>
      <c r="DO255">
        <v>4.9676</v>
      </c>
      <c r="DP255">
        <v>3.2909999999999999</v>
      </c>
      <c r="DQ255">
        <v>9999</v>
      </c>
      <c r="DR255">
        <v>9999</v>
      </c>
      <c r="DS255">
        <v>9999</v>
      </c>
      <c r="DT255">
        <v>605.20000000000005</v>
      </c>
      <c r="DU255">
        <v>1.8711899999999999</v>
      </c>
      <c r="DV255">
        <v>1.87622</v>
      </c>
      <c r="DW255">
        <v>1.8763700000000001</v>
      </c>
      <c r="DX255">
        <v>1.8829199999999999</v>
      </c>
      <c r="DY255">
        <v>1.8756200000000001</v>
      </c>
      <c r="DZ255">
        <v>1.8747</v>
      </c>
      <c r="EA255">
        <v>1.8708800000000001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-0.97499999999999998</v>
      </c>
      <c r="EQ255">
        <v>0.10920000000000001</v>
      </c>
      <c r="ER255">
        <v>-0.97454545454524999</v>
      </c>
      <c r="ES255">
        <v>0</v>
      </c>
      <c r="ET255">
        <v>0</v>
      </c>
      <c r="EU255">
        <v>0</v>
      </c>
      <c r="EV255">
        <v>0.109172727272727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3.8</v>
      </c>
      <c r="FE255">
        <v>3.9</v>
      </c>
      <c r="FF255">
        <v>2.5756800000000002</v>
      </c>
      <c r="FG255">
        <v>2.5842299999999998</v>
      </c>
      <c r="FH255">
        <v>2.19604</v>
      </c>
      <c r="FI255">
        <v>2.5769000000000002</v>
      </c>
      <c r="FJ255">
        <v>2.4462899999999999</v>
      </c>
      <c r="FK255">
        <v>2.2900399999999999</v>
      </c>
      <c r="FL255">
        <v>31.892700000000001</v>
      </c>
      <c r="FM255">
        <v>24.14</v>
      </c>
      <c r="FN255">
        <v>19</v>
      </c>
      <c r="FO255">
        <v>864.97699999999998</v>
      </c>
      <c r="FP255">
        <v>582.89499999999998</v>
      </c>
      <c r="FQ255">
        <v>17.901199999999999</v>
      </c>
      <c r="FR255">
        <v>25.580500000000001</v>
      </c>
      <c r="FS255">
        <v>30</v>
      </c>
      <c r="FT255">
        <v>25.555700000000002</v>
      </c>
      <c r="FU255">
        <v>25.5565</v>
      </c>
      <c r="FV255">
        <v>51.650799999999997</v>
      </c>
      <c r="FW255">
        <v>26.616</v>
      </c>
      <c r="FX255">
        <v>36.637599999999999</v>
      </c>
      <c r="FY255">
        <v>17.901599999999998</v>
      </c>
      <c r="FZ255">
        <v>1000</v>
      </c>
      <c r="GA255">
        <v>14.389200000000001</v>
      </c>
      <c r="GB255">
        <v>99.869</v>
      </c>
      <c r="GC255">
        <v>99.732500000000002</v>
      </c>
    </row>
    <row r="256" spans="1:185" x14ac:dyDescent="0.2">
      <c r="A256">
        <v>241</v>
      </c>
      <c r="B256">
        <v>1771090200</v>
      </c>
      <c r="C256">
        <v>4880</v>
      </c>
      <c r="D256" t="s">
        <v>783</v>
      </c>
      <c r="E256" t="s">
        <v>784</v>
      </c>
      <c r="F256">
        <v>15</v>
      </c>
      <c r="G256">
        <v>1771090192.5</v>
      </c>
      <c r="H256">
        <f t="shared" si="39"/>
        <v>8.3260315225274406E-4</v>
      </c>
      <c r="I256">
        <v>0</v>
      </c>
      <c r="J256">
        <f t="shared" si="51"/>
        <v>1.4136556288131584E-2</v>
      </c>
      <c r="K256">
        <f t="shared" si="40"/>
        <v>0.38318457767481034</v>
      </c>
      <c r="L256">
        <f t="shared" si="41"/>
        <v>69.740679976298836</v>
      </c>
      <c r="M256">
        <f t="shared" si="42"/>
        <v>1.5379400785331647</v>
      </c>
      <c r="N256">
        <f t="shared" si="43"/>
        <v>2.2052266755297327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26242.200773631423</v>
      </c>
      <c r="T256">
        <f t="shared" si="47"/>
        <v>800</v>
      </c>
      <c r="U256">
        <f t="shared" si="48"/>
        <v>674.40019199999995</v>
      </c>
      <c r="V256">
        <f t="shared" si="49"/>
        <v>0.84300023999999996</v>
      </c>
      <c r="W256">
        <f t="shared" si="50"/>
        <v>0.15870060000000002</v>
      </c>
      <c r="X256">
        <v>1</v>
      </c>
      <c r="Y256">
        <v>1771090192.5</v>
      </c>
      <c r="Z256">
        <v>998.48850000000004</v>
      </c>
      <c r="AA256">
        <v>1000.00664285714</v>
      </c>
      <c r="AB256">
        <v>15.3857142857143</v>
      </c>
      <c r="AC256">
        <v>14.3609857142857</v>
      </c>
      <c r="AD256">
        <v>999.46292857142896</v>
      </c>
      <c r="AE256">
        <v>15.2765428571429</v>
      </c>
      <c r="AF256">
        <v>800.00985714285696</v>
      </c>
      <c r="AG256">
        <v>99.894914285714293</v>
      </c>
      <c r="AH256">
        <v>6.4050892857142896E-2</v>
      </c>
      <c r="AI256">
        <v>19.000335714285701</v>
      </c>
      <c r="AJ256">
        <v>999.9</v>
      </c>
      <c r="AK256">
        <v>999.9</v>
      </c>
      <c r="AL256">
        <v>0</v>
      </c>
      <c r="AM256">
        <v>0</v>
      </c>
      <c r="AN256">
        <v>5007.8571428571404</v>
      </c>
      <c r="AO256">
        <v>0</v>
      </c>
      <c r="AP256">
        <v>2.17894428571429</v>
      </c>
      <c r="AQ256">
        <v>-1.51777428571429</v>
      </c>
      <c r="AR256">
        <v>1014.08928571429</v>
      </c>
      <c r="AS256">
        <v>1014.57714285714</v>
      </c>
      <c r="AT256">
        <v>1.02473642857143</v>
      </c>
      <c r="AU256">
        <v>1000.00664285714</v>
      </c>
      <c r="AV256">
        <v>14.3609857142857</v>
      </c>
      <c r="AW256">
        <v>1.5369550000000001</v>
      </c>
      <c r="AX256">
        <v>1.4345878571428601</v>
      </c>
      <c r="AY256">
        <v>13.340835714285699</v>
      </c>
      <c r="AZ256">
        <v>12.2882571428571</v>
      </c>
      <c r="BA256">
        <v>800</v>
      </c>
      <c r="BB256">
        <v>0.89999200000000001</v>
      </c>
      <c r="BC256">
        <v>0</v>
      </c>
      <c r="BD256">
        <v>0.100008</v>
      </c>
      <c r="BE256">
        <v>0</v>
      </c>
      <c r="BF256">
        <v>26</v>
      </c>
      <c r="BG256">
        <v>13190.992857142901</v>
      </c>
      <c r="BH256">
        <v>1771089957.0999999</v>
      </c>
      <c r="BI256" t="s">
        <v>750</v>
      </c>
      <c r="BJ256">
        <v>1771089957.0999999</v>
      </c>
      <c r="BK256">
        <v>1771089951.0999999</v>
      </c>
      <c r="BL256">
        <v>9</v>
      </c>
      <c r="BM256">
        <v>-7.1999999999999995E-2</v>
      </c>
      <c r="BN256">
        <v>0</v>
      </c>
      <c r="BO256">
        <v>-0.97499999999999998</v>
      </c>
      <c r="BP256">
        <v>0.109</v>
      </c>
      <c r="BQ256">
        <v>1000</v>
      </c>
      <c r="BR256">
        <v>15</v>
      </c>
      <c r="BS256">
        <v>0.28999999999999998</v>
      </c>
      <c r="BT256">
        <v>0.06</v>
      </c>
      <c r="BU256">
        <v>-1.5200560000000001</v>
      </c>
      <c r="BV256">
        <v>8.7402406015038001E-2</v>
      </c>
      <c r="BW256">
        <v>3.0850584338064001E-2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1.024831</v>
      </c>
      <c r="CD256">
        <v>9.5187969924751599E-4</v>
      </c>
      <c r="CE256">
        <v>1.9794466398465899E-3</v>
      </c>
      <c r="CF256">
        <v>1</v>
      </c>
      <c r="CG256">
        <v>2</v>
      </c>
      <c r="CH256">
        <v>2</v>
      </c>
      <c r="CI256" t="s">
        <v>310</v>
      </c>
      <c r="CJ256">
        <v>3.53254</v>
      </c>
      <c r="CK256">
        <v>2.70194</v>
      </c>
      <c r="CL256">
        <v>0.18156800000000001</v>
      </c>
      <c r="CM256">
        <v>0.17907999999999999</v>
      </c>
      <c r="CN256">
        <v>8.6794700000000002E-2</v>
      </c>
      <c r="CO256">
        <v>8.1678700000000007E-2</v>
      </c>
      <c r="CP256">
        <v>28698.7</v>
      </c>
      <c r="CQ256">
        <v>25279.1</v>
      </c>
      <c r="CR256">
        <v>32453.4</v>
      </c>
      <c r="CS256">
        <v>30719.4</v>
      </c>
      <c r="CT256">
        <v>40139.4</v>
      </c>
      <c r="CU256">
        <v>39681</v>
      </c>
      <c r="CV256">
        <v>47395.9</v>
      </c>
      <c r="CW256">
        <v>46851.9</v>
      </c>
      <c r="CX256">
        <v>2.6214599999999999</v>
      </c>
      <c r="CY256">
        <v>2.1378599999999999</v>
      </c>
      <c r="CZ256">
        <v>0</v>
      </c>
      <c r="DA256">
        <v>0</v>
      </c>
      <c r="DB256">
        <v>999.9</v>
      </c>
      <c r="DC256">
        <v>999.9</v>
      </c>
      <c r="DD256">
        <v>51.281999999999996</v>
      </c>
      <c r="DE256">
        <v>27.15</v>
      </c>
      <c r="DF256">
        <v>18.537299999999998</v>
      </c>
      <c r="DG256">
        <v>30.0886</v>
      </c>
      <c r="DH256">
        <v>15.3285</v>
      </c>
      <c r="DI256">
        <v>2</v>
      </c>
      <c r="DJ256">
        <v>-0.114262</v>
      </c>
      <c r="DK256">
        <v>2.5753499999999998</v>
      </c>
      <c r="DL256">
        <v>20.189900000000002</v>
      </c>
      <c r="DM256">
        <v>5.2516699999999998</v>
      </c>
      <c r="DN256">
        <v>12.033899999999999</v>
      </c>
      <c r="DO256">
        <v>4.9675200000000004</v>
      </c>
      <c r="DP256">
        <v>3.2909999999999999</v>
      </c>
      <c r="DQ256">
        <v>9999</v>
      </c>
      <c r="DR256">
        <v>9999</v>
      </c>
      <c r="DS256">
        <v>9999</v>
      </c>
      <c r="DT256">
        <v>605.20000000000005</v>
      </c>
      <c r="DU256">
        <v>1.8711800000000001</v>
      </c>
      <c r="DV256">
        <v>1.8762099999999999</v>
      </c>
      <c r="DW256">
        <v>1.8763700000000001</v>
      </c>
      <c r="DX256">
        <v>1.88293</v>
      </c>
      <c r="DY256">
        <v>1.8756299999999999</v>
      </c>
      <c r="DZ256">
        <v>1.8747</v>
      </c>
      <c r="EA256">
        <v>1.8708800000000001</v>
      </c>
      <c r="EB256">
        <v>1.8747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-0.97499999999999998</v>
      </c>
      <c r="EQ256">
        <v>0.10920000000000001</v>
      </c>
      <c r="ER256">
        <v>-0.97454545454524999</v>
      </c>
      <c r="ES256">
        <v>0</v>
      </c>
      <c r="ET256">
        <v>0</v>
      </c>
      <c r="EU256">
        <v>0</v>
      </c>
      <c r="EV256">
        <v>0.109172727272727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4</v>
      </c>
      <c r="FE256">
        <v>4.0999999999999996</v>
      </c>
      <c r="FF256">
        <v>2.5756800000000002</v>
      </c>
      <c r="FG256">
        <v>2.5793499999999998</v>
      </c>
      <c r="FH256">
        <v>2.19604</v>
      </c>
      <c r="FI256">
        <v>2.5781200000000002</v>
      </c>
      <c r="FJ256">
        <v>2.4462899999999999</v>
      </c>
      <c r="FK256">
        <v>2.2985799999999998</v>
      </c>
      <c r="FL256">
        <v>31.892700000000001</v>
      </c>
      <c r="FM256">
        <v>24.148800000000001</v>
      </c>
      <c r="FN256">
        <v>19</v>
      </c>
      <c r="FO256">
        <v>864.92100000000005</v>
      </c>
      <c r="FP256">
        <v>582.91</v>
      </c>
      <c r="FQ256">
        <v>17.895099999999999</v>
      </c>
      <c r="FR256">
        <v>25.578399999999998</v>
      </c>
      <c r="FS256">
        <v>30.0002</v>
      </c>
      <c r="FT256">
        <v>25.555700000000002</v>
      </c>
      <c r="FU256">
        <v>25.5565</v>
      </c>
      <c r="FV256">
        <v>51.647399999999998</v>
      </c>
      <c r="FW256">
        <v>26.616</v>
      </c>
      <c r="FX256">
        <v>36.637599999999999</v>
      </c>
      <c r="FY256">
        <v>17.8749</v>
      </c>
      <c r="FZ256">
        <v>1000</v>
      </c>
      <c r="GA256">
        <v>14.389200000000001</v>
      </c>
      <c r="GB256">
        <v>99.869500000000002</v>
      </c>
      <c r="GC256">
        <v>99.734499999999997</v>
      </c>
    </row>
    <row r="257" spans="1:185" x14ac:dyDescent="0.2">
      <c r="A257">
        <v>242</v>
      </c>
      <c r="B257">
        <v>1771090215</v>
      </c>
      <c r="C257">
        <v>4895</v>
      </c>
      <c r="D257" t="s">
        <v>785</v>
      </c>
      <c r="E257" t="s">
        <v>786</v>
      </c>
      <c r="F257">
        <v>15</v>
      </c>
      <c r="G257">
        <v>1771090207.5</v>
      </c>
      <c r="H257">
        <f t="shared" si="39"/>
        <v>8.4115506491649059E-4</v>
      </c>
      <c r="I257">
        <v>0</v>
      </c>
      <c r="J257">
        <f t="shared" si="51"/>
        <v>1.3306807635004352E-2</v>
      </c>
      <c r="K257">
        <f t="shared" si="40"/>
        <v>0.36069346451086848</v>
      </c>
      <c r="L257">
        <f t="shared" si="41"/>
        <v>69.71188411826013</v>
      </c>
      <c r="M257">
        <f t="shared" si="42"/>
        <v>1.5374003138666039</v>
      </c>
      <c r="N257">
        <f t="shared" si="43"/>
        <v>2.2053633082969593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26186.137527911887</v>
      </c>
      <c r="T257">
        <f t="shared" si="47"/>
        <v>799.99957142857102</v>
      </c>
      <c r="U257">
        <f t="shared" si="48"/>
        <v>674.39981185704926</v>
      </c>
      <c r="V257">
        <f t="shared" si="49"/>
        <v>0.84300021642857081</v>
      </c>
      <c r="W257">
        <f t="shared" si="50"/>
        <v>0.15870068027142845</v>
      </c>
      <c r="X257">
        <v>1</v>
      </c>
      <c r="Y257">
        <v>1771090207.5</v>
      </c>
      <c r="Z257">
        <v>998.49307142857106</v>
      </c>
      <c r="AA257">
        <v>999.99378571428599</v>
      </c>
      <c r="AB257">
        <v>15.380107142857099</v>
      </c>
      <c r="AC257">
        <v>14.344842857142901</v>
      </c>
      <c r="AD257">
        <v>999.46749999999997</v>
      </c>
      <c r="AE257">
        <v>15.2709285714286</v>
      </c>
      <c r="AF257">
        <v>800.00635714285704</v>
      </c>
      <c r="AG257">
        <v>99.895914285714298</v>
      </c>
      <c r="AH257">
        <v>6.4398057142857096E-2</v>
      </c>
      <c r="AI257">
        <v>19.001328571428601</v>
      </c>
      <c r="AJ257">
        <v>999.9</v>
      </c>
      <c r="AK257">
        <v>999.9</v>
      </c>
      <c r="AL257">
        <v>0</v>
      </c>
      <c r="AM257">
        <v>0</v>
      </c>
      <c r="AN257">
        <v>4998.5714285714303</v>
      </c>
      <c r="AO257">
        <v>0</v>
      </c>
      <c r="AP257">
        <v>2.17047428571429</v>
      </c>
      <c r="AQ257">
        <v>-1.50088142857143</v>
      </c>
      <c r="AR257">
        <v>1014.09</v>
      </c>
      <c r="AS257">
        <v>1014.5464285714301</v>
      </c>
      <c r="AT257">
        <v>1.0352699999999999</v>
      </c>
      <c r="AU257">
        <v>999.99378571428599</v>
      </c>
      <c r="AV257">
        <v>14.344842857142901</v>
      </c>
      <c r="AW257">
        <v>1.5364114285714301</v>
      </c>
      <c r="AX257">
        <v>1.4329907142857099</v>
      </c>
      <c r="AY257">
        <v>13.3354142857143</v>
      </c>
      <c r="AZ257">
        <v>12.2713357142857</v>
      </c>
      <c r="BA257">
        <v>799.99957142857102</v>
      </c>
      <c r="BB257">
        <v>0.89999071428571398</v>
      </c>
      <c r="BC257">
        <v>0</v>
      </c>
      <c r="BD257">
        <v>0.10000921428571399</v>
      </c>
      <c r="BE257">
        <v>0</v>
      </c>
      <c r="BF257">
        <v>26</v>
      </c>
      <c r="BG257">
        <v>13190.978571428601</v>
      </c>
      <c r="BH257">
        <v>1771089957.0999999</v>
      </c>
      <c r="BI257" t="s">
        <v>750</v>
      </c>
      <c r="BJ257">
        <v>1771089957.0999999</v>
      </c>
      <c r="BK257">
        <v>1771089951.0999999</v>
      </c>
      <c r="BL257">
        <v>9</v>
      </c>
      <c r="BM257">
        <v>-7.1999999999999995E-2</v>
      </c>
      <c r="BN257">
        <v>0</v>
      </c>
      <c r="BO257">
        <v>-0.97499999999999998</v>
      </c>
      <c r="BP257">
        <v>0.109</v>
      </c>
      <c r="BQ257">
        <v>1000</v>
      </c>
      <c r="BR257">
        <v>15</v>
      </c>
      <c r="BS257">
        <v>0.28999999999999998</v>
      </c>
      <c r="BT257">
        <v>0.06</v>
      </c>
      <c r="BU257">
        <v>-1.50202666666667</v>
      </c>
      <c r="BV257">
        <v>-7.4410909090905003E-2</v>
      </c>
      <c r="BW257">
        <v>2.19137520060835E-2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1.0318138095238101</v>
      </c>
      <c r="CD257">
        <v>7.8667012987016893E-2</v>
      </c>
      <c r="CE257">
        <v>9.7482928792151508E-3</v>
      </c>
      <c r="CF257">
        <v>1</v>
      </c>
      <c r="CG257">
        <v>2</v>
      </c>
      <c r="CH257">
        <v>2</v>
      </c>
      <c r="CI257" t="s">
        <v>310</v>
      </c>
      <c r="CJ257">
        <v>3.5325099999999998</v>
      </c>
      <c r="CK257">
        <v>2.7023700000000002</v>
      </c>
      <c r="CL257">
        <v>0.18157000000000001</v>
      </c>
      <c r="CM257">
        <v>0.17908099999999999</v>
      </c>
      <c r="CN257">
        <v>8.6735400000000004E-2</v>
      </c>
      <c r="CO257">
        <v>8.1539500000000001E-2</v>
      </c>
      <c r="CP257">
        <v>28698.2</v>
      </c>
      <c r="CQ257">
        <v>25279.200000000001</v>
      </c>
      <c r="CR257">
        <v>32452.9</v>
      </c>
      <c r="CS257">
        <v>30719.599999999999</v>
      </c>
      <c r="CT257">
        <v>40141.5</v>
      </c>
      <c r="CU257">
        <v>39687.199999999997</v>
      </c>
      <c r="CV257">
        <v>47395.199999999997</v>
      </c>
      <c r="CW257">
        <v>46851.9</v>
      </c>
      <c r="CX257">
        <v>2.6217600000000001</v>
      </c>
      <c r="CY257">
        <v>2.13768</v>
      </c>
      <c r="CZ257">
        <v>0</v>
      </c>
      <c r="DA257">
        <v>0</v>
      </c>
      <c r="DB257">
        <v>999.9</v>
      </c>
      <c r="DC257">
        <v>999.9</v>
      </c>
      <c r="DD257">
        <v>51.209000000000003</v>
      </c>
      <c r="DE257">
        <v>27.15</v>
      </c>
      <c r="DF257">
        <v>18.509599999999999</v>
      </c>
      <c r="DG257">
        <v>30.358599999999999</v>
      </c>
      <c r="DH257">
        <v>15.4087</v>
      </c>
      <c r="DI257">
        <v>2</v>
      </c>
      <c r="DJ257">
        <v>-0.114478</v>
      </c>
      <c r="DK257">
        <v>2.5313099999999999</v>
      </c>
      <c r="DL257">
        <v>20.1907</v>
      </c>
      <c r="DM257">
        <v>5.2511900000000002</v>
      </c>
      <c r="DN257">
        <v>12.033899999999999</v>
      </c>
      <c r="DO257">
        <v>4.9672400000000003</v>
      </c>
      <c r="DP257">
        <v>3.2909999999999999</v>
      </c>
      <c r="DQ257">
        <v>9999</v>
      </c>
      <c r="DR257">
        <v>9999</v>
      </c>
      <c r="DS257">
        <v>9999</v>
      </c>
      <c r="DT257">
        <v>605.20000000000005</v>
      </c>
      <c r="DU257">
        <v>1.8711899999999999</v>
      </c>
      <c r="DV257">
        <v>1.8762000000000001</v>
      </c>
      <c r="DW257">
        <v>1.8763700000000001</v>
      </c>
      <c r="DX257">
        <v>1.8829199999999999</v>
      </c>
      <c r="DY257">
        <v>1.87561</v>
      </c>
      <c r="DZ257">
        <v>1.8747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-0.97499999999999998</v>
      </c>
      <c r="EQ257">
        <v>0.10920000000000001</v>
      </c>
      <c r="ER257">
        <v>-0.97454545454524999</v>
      </c>
      <c r="ES257">
        <v>0</v>
      </c>
      <c r="ET257">
        <v>0</v>
      </c>
      <c r="EU257">
        <v>0</v>
      </c>
      <c r="EV257">
        <v>0.109172727272727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4.3</v>
      </c>
      <c r="FE257">
        <v>4.4000000000000004</v>
      </c>
      <c r="FF257">
        <v>2.5756800000000002</v>
      </c>
      <c r="FG257">
        <v>2.5756800000000002</v>
      </c>
      <c r="FH257">
        <v>2.19604</v>
      </c>
      <c r="FI257">
        <v>2.5769000000000002</v>
      </c>
      <c r="FJ257">
        <v>2.4462899999999999</v>
      </c>
      <c r="FK257">
        <v>2.3144499999999999</v>
      </c>
      <c r="FL257">
        <v>31.892700000000001</v>
      </c>
      <c r="FM257">
        <v>24.148800000000001</v>
      </c>
      <c r="FN257">
        <v>19</v>
      </c>
      <c r="FO257">
        <v>865.2</v>
      </c>
      <c r="FP257">
        <v>582.77099999999996</v>
      </c>
      <c r="FQ257">
        <v>17.8704</v>
      </c>
      <c r="FR257">
        <v>25.578399999999998</v>
      </c>
      <c r="FS257">
        <v>30</v>
      </c>
      <c r="FT257">
        <v>25.555700000000002</v>
      </c>
      <c r="FU257">
        <v>25.5565</v>
      </c>
      <c r="FV257">
        <v>51.649700000000003</v>
      </c>
      <c r="FW257">
        <v>26.616</v>
      </c>
      <c r="FX257">
        <v>36.267600000000002</v>
      </c>
      <c r="FY257">
        <v>17.871300000000002</v>
      </c>
      <c r="FZ257">
        <v>1000</v>
      </c>
      <c r="GA257">
        <v>14.3896</v>
      </c>
      <c r="GB257">
        <v>99.867999999999995</v>
      </c>
      <c r="GC257">
        <v>99.734800000000007</v>
      </c>
    </row>
    <row r="258" spans="1:185" x14ac:dyDescent="0.2">
      <c r="A258">
        <v>243</v>
      </c>
      <c r="B258">
        <v>1771090230</v>
      </c>
      <c r="C258">
        <v>4910</v>
      </c>
      <c r="D258" t="s">
        <v>787</v>
      </c>
      <c r="E258" t="s">
        <v>788</v>
      </c>
      <c r="F258">
        <v>15</v>
      </c>
      <c r="G258">
        <v>1771090222.5</v>
      </c>
      <c r="H258">
        <f t="shared" si="39"/>
        <v>8.4075978824164985E-4</v>
      </c>
      <c r="I258">
        <v>0</v>
      </c>
      <c r="J258">
        <f t="shared" si="51"/>
        <v>1.3637966343409743E-2</v>
      </c>
      <c r="K258">
        <f t="shared" si="40"/>
        <v>0.36966983097786943</v>
      </c>
      <c r="L258">
        <f t="shared" si="41"/>
        <v>69.654049613986373</v>
      </c>
      <c r="M258">
        <f t="shared" si="42"/>
        <v>1.5361412857274881</v>
      </c>
      <c r="N258">
        <f t="shared" si="43"/>
        <v>2.205386900317472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26148.368871630348</v>
      </c>
      <c r="T258">
        <f t="shared" si="47"/>
        <v>800.00135714285705</v>
      </c>
      <c r="U258">
        <f t="shared" si="48"/>
        <v>674.40135321464038</v>
      </c>
      <c r="V258">
        <f t="shared" si="49"/>
        <v>0.84300026142857143</v>
      </c>
      <c r="W258">
        <f t="shared" si="50"/>
        <v>0.15870065357142854</v>
      </c>
      <c r="X258">
        <v>1</v>
      </c>
      <c r="Y258">
        <v>1771090222.5</v>
      </c>
      <c r="Z258">
        <v>998.488785714286</v>
      </c>
      <c r="AA258">
        <v>1000.0002142857099</v>
      </c>
      <c r="AB258">
        <v>15.367207142857101</v>
      </c>
      <c r="AC258">
        <v>14.332421428571401</v>
      </c>
      <c r="AD258">
        <v>999.463214285714</v>
      </c>
      <c r="AE258">
        <v>15.258050000000001</v>
      </c>
      <c r="AF258">
        <v>800.01071428571402</v>
      </c>
      <c r="AG258">
        <v>99.897978571428595</v>
      </c>
      <c r="AH258">
        <v>6.4315907142857107E-2</v>
      </c>
      <c r="AI258">
        <v>19.0015</v>
      </c>
      <c r="AJ258">
        <v>999.9</v>
      </c>
      <c r="AK258">
        <v>999.9</v>
      </c>
      <c r="AL258">
        <v>0</v>
      </c>
      <c r="AM258">
        <v>0</v>
      </c>
      <c r="AN258">
        <v>4992.25</v>
      </c>
      <c r="AO258">
        <v>0</v>
      </c>
      <c r="AP258">
        <v>2.14547</v>
      </c>
      <c r="AQ258">
        <v>-1.512235</v>
      </c>
      <c r="AR258">
        <v>1014.07214285714</v>
      </c>
      <c r="AS258">
        <v>1014.54214285714</v>
      </c>
      <c r="AT258">
        <v>1.0348007142857101</v>
      </c>
      <c r="AU258">
        <v>1000.0002142857099</v>
      </c>
      <c r="AV258">
        <v>14.332421428571401</v>
      </c>
      <c r="AW258">
        <v>1.5351542857142899</v>
      </c>
      <c r="AX258">
        <v>1.4317800000000001</v>
      </c>
      <c r="AY258">
        <v>13.3228714285714</v>
      </c>
      <c r="AZ258">
        <v>12.2584642857143</v>
      </c>
      <c r="BA258">
        <v>800.00135714285705</v>
      </c>
      <c r="BB258">
        <v>0.89999128571428599</v>
      </c>
      <c r="BC258">
        <v>0</v>
      </c>
      <c r="BD258">
        <v>0.10000871428571401</v>
      </c>
      <c r="BE258">
        <v>0</v>
      </c>
      <c r="BF258">
        <v>26</v>
      </c>
      <c r="BG258">
        <v>13191.007142857099</v>
      </c>
      <c r="BH258">
        <v>1771089957.0999999</v>
      </c>
      <c r="BI258" t="s">
        <v>750</v>
      </c>
      <c r="BJ258">
        <v>1771089957.0999999</v>
      </c>
      <c r="BK258">
        <v>1771089951.0999999</v>
      </c>
      <c r="BL258">
        <v>9</v>
      </c>
      <c r="BM258">
        <v>-7.1999999999999995E-2</v>
      </c>
      <c r="BN258">
        <v>0</v>
      </c>
      <c r="BO258">
        <v>-0.97499999999999998</v>
      </c>
      <c r="BP258">
        <v>0.109</v>
      </c>
      <c r="BQ258">
        <v>1000</v>
      </c>
      <c r="BR258">
        <v>15</v>
      </c>
      <c r="BS258">
        <v>0.28999999999999998</v>
      </c>
      <c r="BT258">
        <v>0.06</v>
      </c>
      <c r="BU258">
        <v>-1.5159834999999999</v>
      </c>
      <c r="BV258">
        <v>0.12785007518797001</v>
      </c>
      <c r="BW258">
        <v>4.1211358176478502E-2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1.0376505</v>
      </c>
      <c r="CD258">
        <v>-6.5704511278196195E-2</v>
      </c>
      <c r="CE258">
        <v>7.2346979722722202E-3</v>
      </c>
      <c r="CF258">
        <v>1</v>
      </c>
      <c r="CG258">
        <v>2</v>
      </c>
      <c r="CH258">
        <v>2</v>
      </c>
      <c r="CI258" t="s">
        <v>310</v>
      </c>
      <c r="CJ258">
        <v>3.53247</v>
      </c>
      <c r="CK258">
        <v>2.70207</v>
      </c>
      <c r="CL258">
        <v>0.18156800000000001</v>
      </c>
      <c r="CM258">
        <v>0.17907400000000001</v>
      </c>
      <c r="CN258">
        <v>8.6718299999999998E-2</v>
      </c>
      <c r="CO258">
        <v>8.16553E-2</v>
      </c>
      <c r="CP258">
        <v>28698</v>
      </c>
      <c r="CQ258">
        <v>25279.3</v>
      </c>
      <c r="CR258">
        <v>32452.6</v>
      </c>
      <c r="CS258">
        <v>30719.4</v>
      </c>
      <c r="CT258">
        <v>40142.1</v>
      </c>
      <c r="CU258">
        <v>39681.800000000003</v>
      </c>
      <c r="CV258">
        <v>47395</v>
      </c>
      <c r="CW258">
        <v>46851.6</v>
      </c>
      <c r="CX258">
        <v>2.62168</v>
      </c>
      <c r="CY258">
        <v>2.1376200000000001</v>
      </c>
      <c r="CZ258">
        <v>0</v>
      </c>
      <c r="DA258">
        <v>0</v>
      </c>
      <c r="DB258">
        <v>999.9</v>
      </c>
      <c r="DC258">
        <v>999.9</v>
      </c>
      <c r="DD258">
        <v>51.16</v>
      </c>
      <c r="DE258">
        <v>27.16</v>
      </c>
      <c r="DF258">
        <v>18.502500000000001</v>
      </c>
      <c r="DG258">
        <v>30.538599999999999</v>
      </c>
      <c r="DH258">
        <v>15.508800000000001</v>
      </c>
      <c r="DI258">
        <v>2</v>
      </c>
      <c r="DJ258">
        <v>-0.114606</v>
      </c>
      <c r="DK258">
        <v>2.5350199999999998</v>
      </c>
      <c r="DL258">
        <v>20.190999999999999</v>
      </c>
      <c r="DM258">
        <v>5.2509499999999996</v>
      </c>
      <c r="DN258">
        <v>12.033899999999999</v>
      </c>
      <c r="DO258">
        <v>4.9672400000000003</v>
      </c>
      <c r="DP258">
        <v>3.2909999999999999</v>
      </c>
      <c r="DQ258">
        <v>9999</v>
      </c>
      <c r="DR258">
        <v>9999</v>
      </c>
      <c r="DS258">
        <v>9999</v>
      </c>
      <c r="DT258">
        <v>605.20000000000005</v>
      </c>
      <c r="DU258">
        <v>1.8711899999999999</v>
      </c>
      <c r="DV258">
        <v>1.87622</v>
      </c>
      <c r="DW258">
        <v>1.87639</v>
      </c>
      <c r="DX258">
        <v>1.88293</v>
      </c>
      <c r="DY258">
        <v>1.8756299999999999</v>
      </c>
      <c r="DZ258">
        <v>1.87469</v>
      </c>
      <c r="EA258">
        <v>1.8708800000000001</v>
      </c>
      <c r="EB258">
        <v>1.8747100000000001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-0.97499999999999998</v>
      </c>
      <c r="EQ258">
        <v>0.10920000000000001</v>
      </c>
      <c r="ER258">
        <v>-0.97454545454524999</v>
      </c>
      <c r="ES258">
        <v>0</v>
      </c>
      <c r="ET258">
        <v>0</v>
      </c>
      <c r="EU258">
        <v>0</v>
      </c>
      <c r="EV258">
        <v>0.109172727272727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4.5</v>
      </c>
      <c r="FE258">
        <v>4.5999999999999996</v>
      </c>
      <c r="FF258">
        <v>2.5756800000000002</v>
      </c>
      <c r="FG258">
        <v>2.5756800000000002</v>
      </c>
      <c r="FH258">
        <v>2.19604</v>
      </c>
      <c r="FI258">
        <v>2.5769000000000002</v>
      </c>
      <c r="FJ258">
        <v>2.4462899999999999</v>
      </c>
      <c r="FK258">
        <v>2.32056</v>
      </c>
      <c r="FL258">
        <v>31.892700000000001</v>
      </c>
      <c r="FM258">
        <v>24.148800000000001</v>
      </c>
      <c r="FN258">
        <v>19</v>
      </c>
      <c r="FO258">
        <v>865.12599999999998</v>
      </c>
      <c r="FP258">
        <v>582.72400000000005</v>
      </c>
      <c r="FQ258">
        <v>17.865100000000002</v>
      </c>
      <c r="FR258">
        <v>25.5762</v>
      </c>
      <c r="FS258">
        <v>30</v>
      </c>
      <c r="FT258">
        <v>25.555700000000002</v>
      </c>
      <c r="FU258">
        <v>25.5565</v>
      </c>
      <c r="FV258">
        <v>51.649700000000003</v>
      </c>
      <c r="FW258">
        <v>26.343</v>
      </c>
      <c r="FX258">
        <v>36.267600000000002</v>
      </c>
      <c r="FY258">
        <v>17.864899999999999</v>
      </c>
      <c r="FZ258">
        <v>1000</v>
      </c>
      <c r="GA258">
        <v>14.395899999999999</v>
      </c>
      <c r="GB258">
        <v>99.867400000000004</v>
      </c>
      <c r="GC258">
        <v>99.734200000000001</v>
      </c>
    </row>
    <row r="259" spans="1:185" x14ac:dyDescent="0.2">
      <c r="A259">
        <v>244</v>
      </c>
      <c r="B259">
        <v>1771090245</v>
      </c>
      <c r="C259">
        <v>4925</v>
      </c>
      <c r="D259" t="s">
        <v>789</v>
      </c>
      <c r="E259" t="s">
        <v>790</v>
      </c>
      <c r="F259">
        <v>15</v>
      </c>
      <c r="G259">
        <v>1771090237.5</v>
      </c>
      <c r="H259">
        <f t="shared" si="39"/>
        <v>8.212668217860386E-4</v>
      </c>
      <c r="I259">
        <v>0</v>
      </c>
      <c r="J259">
        <f t="shared" si="51"/>
        <v>1.3615068000897757E-2</v>
      </c>
      <c r="K259">
        <f t="shared" si="40"/>
        <v>0.36904914999120825</v>
      </c>
      <c r="L259">
        <f t="shared" si="41"/>
        <v>69.697905887925941</v>
      </c>
      <c r="M259">
        <f t="shared" si="42"/>
        <v>1.5370331231031125</v>
      </c>
      <c r="N259">
        <f t="shared" si="43"/>
        <v>2.2052787720403795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26251.878345085632</v>
      </c>
      <c r="T259">
        <f t="shared" si="47"/>
        <v>799.99814285714297</v>
      </c>
      <c r="U259">
        <f t="shared" si="48"/>
        <v>674.39863671381624</v>
      </c>
      <c r="V259">
        <f t="shared" si="49"/>
        <v>0.84300025285714286</v>
      </c>
      <c r="W259">
        <f t="shared" si="50"/>
        <v>0.15870063214285718</v>
      </c>
      <c r="X259">
        <v>1</v>
      </c>
      <c r="Y259">
        <v>1771090237.5</v>
      </c>
      <c r="Z259">
        <v>998.52035714285705</v>
      </c>
      <c r="AA259">
        <v>1000.00671428571</v>
      </c>
      <c r="AB259">
        <v>15.3762428571429</v>
      </c>
      <c r="AC259">
        <v>14.3654571428571</v>
      </c>
      <c r="AD259">
        <v>999.494928571429</v>
      </c>
      <c r="AE259">
        <v>15.2670571428571</v>
      </c>
      <c r="AF259">
        <v>800.01014285714302</v>
      </c>
      <c r="AG259">
        <v>99.897307142857102</v>
      </c>
      <c r="AH259">
        <v>6.42463642857143E-2</v>
      </c>
      <c r="AI259">
        <v>19.000714285714299</v>
      </c>
      <c r="AJ259">
        <v>999.9</v>
      </c>
      <c r="AK259">
        <v>999.9</v>
      </c>
      <c r="AL259">
        <v>0</v>
      </c>
      <c r="AM259">
        <v>0</v>
      </c>
      <c r="AN259">
        <v>5009.3571428571404</v>
      </c>
      <c r="AO259">
        <v>0</v>
      </c>
      <c r="AP259">
        <v>2.14547</v>
      </c>
      <c r="AQ259">
        <v>-1.4863321428571401</v>
      </c>
      <c r="AR259">
        <v>1014.11285714286</v>
      </c>
      <c r="AS259">
        <v>1014.58214285714</v>
      </c>
      <c r="AT259">
        <v>1.01077857142857</v>
      </c>
      <c r="AU259">
        <v>1000.00671428571</v>
      </c>
      <c r="AV259">
        <v>14.3654571428571</v>
      </c>
      <c r="AW259">
        <v>1.53604571428571</v>
      </c>
      <c r="AX259">
        <v>1.43507071428571</v>
      </c>
      <c r="AY259">
        <v>13.3317571428571</v>
      </c>
      <c r="AZ259">
        <v>12.293357142857101</v>
      </c>
      <c r="BA259">
        <v>799.99814285714297</v>
      </c>
      <c r="BB259">
        <v>0.899991571428571</v>
      </c>
      <c r="BC259">
        <v>0</v>
      </c>
      <c r="BD259">
        <v>0.100008428571429</v>
      </c>
      <c r="BE259">
        <v>0</v>
      </c>
      <c r="BF259">
        <v>26</v>
      </c>
      <c r="BG259">
        <v>13190.9714285714</v>
      </c>
      <c r="BH259">
        <v>1771089957.0999999</v>
      </c>
      <c r="BI259" t="s">
        <v>750</v>
      </c>
      <c r="BJ259">
        <v>1771089957.0999999</v>
      </c>
      <c r="BK259">
        <v>1771089951.0999999</v>
      </c>
      <c r="BL259">
        <v>9</v>
      </c>
      <c r="BM259">
        <v>-7.1999999999999995E-2</v>
      </c>
      <c r="BN259">
        <v>0</v>
      </c>
      <c r="BO259">
        <v>-0.97499999999999998</v>
      </c>
      <c r="BP259">
        <v>0.109</v>
      </c>
      <c r="BQ259">
        <v>1000</v>
      </c>
      <c r="BR259">
        <v>15</v>
      </c>
      <c r="BS259">
        <v>0.28999999999999998</v>
      </c>
      <c r="BT259">
        <v>0.06</v>
      </c>
      <c r="BU259">
        <v>-1.4857761904761899</v>
      </c>
      <c r="BV259">
        <v>-4.1549610389613099E-2</v>
      </c>
      <c r="BW259">
        <v>3.6148044467451602E-2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1.01611619047619</v>
      </c>
      <c r="CD259">
        <v>-5.6516883116881703E-2</v>
      </c>
      <c r="CE259">
        <v>9.8787773854048105E-3</v>
      </c>
      <c r="CF259">
        <v>1</v>
      </c>
      <c r="CG259">
        <v>2</v>
      </c>
      <c r="CH259">
        <v>2</v>
      </c>
      <c r="CI259" t="s">
        <v>310</v>
      </c>
      <c r="CJ259">
        <v>3.5325500000000001</v>
      </c>
      <c r="CK259">
        <v>2.7021700000000002</v>
      </c>
      <c r="CL259">
        <v>0.18156900000000001</v>
      </c>
      <c r="CM259">
        <v>0.17907600000000001</v>
      </c>
      <c r="CN259">
        <v>8.6778900000000006E-2</v>
      </c>
      <c r="CO259">
        <v>8.1701700000000002E-2</v>
      </c>
      <c r="CP259">
        <v>28697.5</v>
      </c>
      <c r="CQ259">
        <v>25279.599999999999</v>
      </c>
      <c r="CR259">
        <v>32452</v>
      </c>
      <c r="CS259">
        <v>30719.9</v>
      </c>
      <c r="CT259">
        <v>40138.5</v>
      </c>
      <c r="CU259">
        <v>39680.6</v>
      </c>
      <c r="CV259">
        <v>47393.9</v>
      </c>
      <c r="CW259">
        <v>46852.6</v>
      </c>
      <c r="CX259">
        <v>2.6214200000000001</v>
      </c>
      <c r="CY259">
        <v>2.13754</v>
      </c>
      <c r="CZ259">
        <v>0</v>
      </c>
      <c r="DA259">
        <v>0</v>
      </c>
      <c r="DB259">
        <v>999.9</v>
      </c>
      <c r="DC259">
        <v>999.9</v>
      </c>
      <c r="DD259">
        <v>51.140999999999998</v>
      </c>
      <c r="DE259">
        <v>27.17</v>
      </c>
      <c r="DF259">
        <v>18.506799999999998</v>
      </c>
      <c r="DG259">
        <v>29.968599999999999</v>
      </c>
      <c r="DH259">
        <v>15.4367</v>
      </c>
      <c r="DI259">
        <v>2</v>
      </c>
      <c r="DJ259">
        <v>-0.114467</v>
      </c>
      <c r="DK259">
        <v>2.5401199999999999</v>
      </c>
      <c r="DL259">
        <v>20.190799999999999</v>
      </c>
      <c r="DM259">
        <v>5.2510700000000003</v>
      </c>
      <c r="DN259">
        <v>12.033899999999999</v>
      </c>
      <c r="DO259">
        <v>4.9674800000000001</v>
      </c>
      <c r="DP259">
        <v>3.2909999999999999</v>
      </c>
      <c r="DQ259">
        <v>9999</v>
      </c>
      <c r="DR259">
        <v>9999</v>
      </c>
      <c r="DS259">
        <v>9999</v>
      </c>
      <c r="DT259">
        <v>605.20000000000005</v>
      </c>
      <c r="DU259">
        <v>1.8711899999999999</v>
      </c>
      <c r="DV259">
        <v>1.8762099999999999</v>
      </c>
      <c r="DW259">
        <v>1.8763799999999999</v>
      </c>
      <c r="DX259">
        <v>1.88293</v>
      </c>
      <c r="DY259">
        <v>1.87561</v>
      </c>
      <c r="DZ259">
        <v>1.8747</v>
      </c>
      <c r="EA259">
        <v>1.8708800000000001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-0.97399999999999998</v>
      </c>
      <c r="EQ259">
        <v>0.10920000000000001</v>
      </c>
      <c r="ER259">
        <v>-0.97454545454524999</v>
      </c>
      <c r="ES259">
        <v>0</v>
      </c>
      <c r="ET259">
        <v>0</v>
      </c>
      <c r="EU259">
        <v>0</v>
      </c>
      <c r="EV259">
        <v>0.109172727272727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4.8</v>
      </c>
      <c r="FE259">
        <v>4.9000000000000004</v>
      </c>
      <c r="FF259">
        <v>2.5756800000000002</v>
      </c>
      <c r="FG259">
        <v>2.5756800000000002</v>
      </c>
      <c r="FH259">
        <v>2.19604</v>
      </c>
      <c r="FI259">
        <v>2.5769000000000002</v>
      </c>
      <c r="FJ259">
        <v>2.4462899999999999</v>
      </c>
      <c r="FK259">
        <v>2.2875999999999999</v>
      </c>
      <c r="FL259">
        <v>31.9146</v>
      </c>
      <c r="FM259">
        <v>24.14</v>
      </c>
      <c r="FN259">
        <v>19</v>
      </c>
      <c r="FO259">
        <v>864.91800000000001</v>
      </c>
      <c r="FP259">
        <v>582.68600000000004</v>
      </c>
      <c r="FQ259">
        <v>17.8626</v>
      </c>
      <c r="FR259">
        <v>25.5762</v>
      </c>
      <c r="FS259">
        <v>30.0001</v>
      </c>
      <c r="FT259">
        <v>25.5578</v>
      </c>
      <c r="FU259">
        <v>25.558599999999998</v>
      </c>
      <c r="FV259">
        <v>51.65</v>
      </c>
      <c r="FW259">
        <v>26.343</v>
      </c>
      <c r="FX259">
        <v>36.267600000000002</v>
      </c>
      <c r="FY259">
        <v>17.862300000000001</v>
      </c>
      <c r="FZ259">
        <v>1000</v>
      </c>
      <c r="GA259">
        <v>14.3935</v>
      </c>
      <c r="GB259">
        <v>99.865300000000005</v>
      </c>
      <c r="GC259">
        <v>99.736099999999993</v>
      </c>
    </row>
    <row r="260" spans="1:185" x14ac:dyDescent="0.2">
      <c r="A260">
        <v>245</v>
      </c>
      <c r="B260">
        <v>1771090260</v>
      </c>
      <c r="C260">
        <v>4940</v>
      </c>
      <c r="D260" t="s">
        <v>791</v>
      </c>
      <c r="E260" t="s">
        <v>792</v>
      </c>
      <c r="F260">
        <v>15</v>
      </c>
      <c r="G260">
        <v>1771090252.5</v>
      </c>
      <c r="H260">
        <f t="shared" si="39"/>
        <v>8.2627514135083665E-4</v>
      </c>
      <c r="I260">
        <v>0</v>
      </c>
      <c r="J260">
        <f t="shared" si="51"/>
        <v>1.326639503154913E-2</v>
      </c>
      <c r="K260">
        <f t="shared" si="40"/>
        <v>0.35959804310327081</v>
      </c>
      <c r="L260">
        <f t="shared" si="41"/>
        <v>69.7293346881264</v>
      </c>
      <c r="M260">
        <f t="shared" si="42"/>
        <v>1.5377035972557624</v>
      </c>
      <c r="N260">
        <f t="shared" si="43"/>
        <v>2.2052463344635993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26181.66229269667</v>
      </c>
      <c r="T260">
        <f t="shared" si="47"/>
        <v>800.00107142857098</v>
      </c>
      <c r="U260">
        <f t="shared" si="48"/>
        <v>674.40108150023832</v>
      </c>
      <c r="V260">
        <f t="shared" si="49"/>
        <v>0.84300022285714282</v>
      </c>
      <c r="W260">
        <f t="shared" si="50"/>
        <v>0.15870055714285719</v>
      </c>
      <c r="X260">
        <v>1</v>
      </c>
      <c r="Y260">
        <v>1771090252.5</v>
      </c>
      <c r="Z260">
        <v>998.501642857143</v>
      </c>
      <c r="AA260">
        <v>999.98242857142895</v>
      </c>
      <c r="AB260">
        <v>15.383057142857099</v>
      </c>
      <c r="AC260">
        <v>14.3661071428571</v>
      </c>
      <c r="AD260">
        <v>999.47635714285695</v>
      </c>
      <c r="AE260">
        <v>15.273892857142901</v>
      </c>
      <c r="AF260">
        <v>800.004428571429</v>
      </c>
      <c r="AG260">
        <v>99.896707142857096</v>
      </c>
      <c r="AH260">
        <v>6.4151285714285702E-2</v>
      </c>
      <c r="AI260">
        <v>19.000478571428602</v>
      </c>
      <c r="AJ260">
        <v>999.9</v>
      </c>
      <c r="AK260">
        <v>999.9</v>
      </c>
      <c r="AL260">
        <v>0</v>
      </c>
      <c r="AM260">
        <v>0</v>
      </c>
      <c r="AN260">
        <v>4997.7857142857101</v>
      </c>
      <c r="AO260">
        <v>0</v>
      </c>
      <c r="AP260">
        <v>2.14547</v>
      </c>
      <c r="AQ260">
        <v>-1.4810135714285699</v>
      </c>
      <c r="AR260">
        <v>1014.10142857143</v>
      </c>
      <c r="AS260">
        <v>1014.55857142857</v>
      </c>
      <c r="AT260">
        <v>1.016945</v>
      </c>
      <c r="AU260">
        <v>999.98242857142895</v>
      </c>
      <c r="AV260">
        <v>14.3661071428571</v>
      </c>
      <c r="AW260">
        <v>1.5367164285714301</v>
      </c>
      <c r="AX260">
        <v>1.43512642857143</v>
      </c>
      <c r="AY260">
        <v>13.3384571428571</v>
      </c>
      <c r="AZ260">
        <v>12.2939428571429</v>
      </c>
      <c r="BA260">
        <v>800.00107142857098</v>
      </c>
      <c r="BB260">
        <v>0.89999257142857103</v>
      </c>
      <c r="BC260">
        <v>0</v>
      </c>
      <c r="BD260">
        <v>0.100007428571429</v>
      </c>
      <c r="BE260">
        <v>0</v>
      </c>
      <c r="BF260">
        <v>26</v>
      </c>
      <c r="BG260">
        <v>13191.007142857099</v>
      </c>
      <c r="BH260">
        <v>1771089957.0999999</v>
      </c>
      <c r="BI260" t="s">
        <v>750</v>
      </c>
      <c r="BJ260">
        <v>1771089957.0999999</v>
      </c>
      <c r="BK260">
        <v>1771089951.0999999</v>
      </c>
      <c r="BL260">
        <v>9</v>
      </c>
      <c r="BM260">
        <v>-7.1999999999999995E-2</v>
      </c>
      <c r="BN260">
        <v>0</v>
      </c>
      <c r="BO260">
        <v>-0.97499999999999998</v>
      </c>
      <c r="BP260">
        <v>0.109</v>
      </c>
      <c r="BQ260">
        <v>1000</v>
      </c>
      <c r="BR260">
        <v>15</v>
      </c>
      <c r="BS260">
        <v>0.28999999999999998</v>
      </c>
      <c r="BT260">
        <v>0.06</v>
      </c>
      <c r="BU260">
        <v>-1.4880059999999999</v>
      </c>
      <c r="BV260">
        <v>5.5964210526313701E-2</v>
      </c>
      <c r="BW260">
        <v>2.6633342523986699E-2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1.0161530000000001</v>
      </c>
      <c r="CD260">
        <v>3.3369924812030098E-2</v>
      </c>
      <c r="CE260">
        <v>4.96347670489144E-3</v>
      </c>
      <c r="CF260">
        <v>1</v>
      </c>
      <c r="CG260">
        <v>2</v>
      </c>
      <c r="CH260">
        <v>2</v>
      </c>
      <c r="CI260" t="s">
        <v>310</v>
      </c>
      <c r="CJ260">
        <v>3.5324900000000001</v>
      </c>
      <c r="CK260">
        <v>2.7017600000000002</v>
      </c>
      <c r="CL260">
        <v>0.18157200000000001</v>
      </c>
      <c r="CM260">
        <v>0.17907500000000001</v>
      </c>
      <c r="CN260">
        <v>8.6804000000000006E-2</v>
      </c>
      <c r="CO260">
        <v>8.1614000000000006E-2</v>
      </c>
      <c r="CP260">
        <v>28697.599999999999</v>
      </c>
      <c r="CQ260">
        <v>25279.7</v>
      </c>
      <c r="CR260">
        <v>32452.3</v>
      </c>
      <c r="CS260">
        <v>30720</v>
      </c>
      <c r="CT260">
        <v>40137.599999999999</v>
      </c>
      <c r="CU260">
        <v>39684.6</v>
      </c>
      <c r="CV260">
        <v>47394.2</v>
      </c>
      <c r="CW260">
        <v>46852.800000000003</v>
      </c>
      <c r="CX260">
        <v>2.6216599999999999</v>
      </c>
      <c r="CY260">
        <v>2.1375000000000002</v>
      </c>
      <c r="CZ260">
        <v>0</v>
      </c>
      <c r="DA260">
        <v>0</v>
      </c>
      <c r="DB260">
        <v>999.9</v>
      </c>
      <c r="DC260">
        <v>999.9</v>
      </c>
      <c r="DD260">
        <v>51.067999999999998</v>
      </c>
      <c r="DE260">
        <v>27.17</v>
      </c>
      <c r="DF260">
        <v>18.479299999999999</v>
      </c>
      <c r="DG260">
        <v>30.3886</v>
      </c>
      <c r="DH260">
        <v>15.416700000000001</v>
      </c>
      <c r="DI260">
        <v>2</v>
      </c>
      <c r="DJ260">
        <v>-0.114801</v>
      </c>
      <c r="DK260">
        <v>2.5306700000000002</v>
      </c>
      <c r="DL260">
        <v>20.190899999999999</v>
      </c>
      <c r="DM260">
        <v>5.2522700000000002</v>
      </c>
      <c r="DN260">
        <v>12.033899999999999</v>
      </c>
      <c r="DO260">
        <v>4.9673999999999996</v>
      </c>
      <c r="DP260">
        <v>3.2909999999999999</v>
      </c>
      <c r="DQ260">
        <v>9999</v>
      </c>
      <c r="DR260">
        <v>9999</v>
      </c>
      <c r="DS260">
        <v>9999</v>
      </c>
      <c r="DT260">
        <v>605.20000000000005</v>
      </c>
      <c r="DU260">
        <v>1.8711899999999999</v>
      </c>
      <c r="DV260">
        <v>1.87622</v>
      </c>
      <c r="DW260">
        <v>1.8763700000000001</v>
      </c>
      <c r="DX260">
        <v>1.88293</v>
      </c>
      <c r="DY260">
        <v>1.8756299999999999</v>
      </c>
      <c r="DZ260">
        <v>1.8747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-0.97499999999999998</v>
      </c>
      <c r="EQ260">
        <v>0.1091</v>
      </c>
      <c r="ER260">
        <v>-0.97454545454524999</v>
      </c>
      <c r="ES260">
        <v>0</v>
      </c>
      <c r="ET260">
        <v>0</v>
      </c>
      <c r="EU260">
        <v>0</v>
      </c>
      <c r="EV260">
        <v>0.109172727272727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5</v>
      </c>
      <c r="FE260">
        <v>5.0999999999999996</v>
      </c>
      <c r="FF260">
        <v>2.5756800000000002</v>
      </c>
      <c r="FG260">
        <v>2.5842299999999998</v>
      </c>
      <c r="FH260">
        <v>2.19604</v>
      </c>
      <c r="FI260">
        <v>2.5769000000000002</v>
      </c>
      <c r="FJ260">
        <v>2.4462899999999999</v>
      </c>
      <c r="FK260">
        <v>2.2631800000000002</v>
      </c>
      <c r="FL260">
        <v>31.9146</v>
      </c>
      <c r="FM260">
        <v>24.1313</v>
      </c>
      <c r="FN260">
        <v>19</v>
      </c>
      <c r="FO260">
        <v>865.14099999999996</v>
      </c>
      <c r="FP260">
        <v>582.65499999999997</v>
      </c>
      <c r="FQ260">
        <v>17.869900000000001</v>
      </c>
      <c r="FR260">
        <v>25.5762</v>
      </c>
      <c r="FS260">
        <v>30.0001</v>
      </c>
      <c r="FT260">
        <v>25.5578</v>
      </c>
      <c r="FU260">
        <v>25.558599999999998</v>
      </c>
      <c r="FV260">
        <v>51.6554</v>
      </c>
      <c r="FW260">
        <v>26.343</v>
      </c>
      <c r="FX260">
        <v>35.895000000000003</v>
      </c>
      <c r="FY260">
        <v>17.8689</v>
      </c>
      <c r="FZ260">
        <v>1000</v>
      </c>
      <c r="GA260">
        <v>14.3935</v>
      </c>
      <c r="GB260">
        <v>99.866100000000003</v>
      </c>
      <c r="GC260">
        <v>99.736400000000003</v>
      </c>
    </row>
    <row r="261" spans="1:185" x14ac:dyDescent="0.2">
      <c r="A261">
        <v>246</v>
      </c>
      <c r="B261">
        <v>1771090275</v>
      </c>
      <c r="C261">
        <v>4955</v>
      </c>
      <c r="D261" t="s">
        <v>793</v>
      </c>
      <c r="E261" t="s">
        <v>794</v>
      </c>
      <c r="F261">
        <v>15</v>
      </c>
      <c r="G261">
        <v>1771090267.5</v>
      </c>
      <c r="H261">
        <f t="shared" si="39"/>
        <v>8.4909000678089436E-4</v>
      </c>
      <c r="I261">
        <v>0</v>
      </c>
      <c r="J261">
        <f t="shared" si="51"/>
        <v>1.3214952554762101E-2</v>
      </c>
      <c r="K261">
        <f t="shared" si="40"/>
        <v>0.35820364666467475</v>
      </c>
      <c r="L261">
        <f t="shared" si="41"/>
        <v>69.721995434548418</v>
      </c>
      <c r="M261">
        <f t="shared" si="42"/>
        <v>1.5376514052996018</v>
      </c>
      <c r="N261">
        <f t="shared" si="43"/>
        <v>2.2054036114658726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26193.258319603487</v>
      </c>
      <c r="T261">
        <f t="shared" si="47"/>
        <v>800.00014285714303</v>
      </c>
      <c r="U261">
        <f t="shared" si="48"/>
        <v>674.40029528574564</v>
      </c>
      <c r="V261">
        <f t="shared" si="49"/>
        <v>0.84300021857142859</v>
      </c>
      <c r="W261">
        <f t="shared" si="50"/>
        <v>0.15870054642857145</v>
      </c>
      <c r="X261">
        <v>1</v>
      </c>
      <c r="Y261">
        <v>1771090267.5</v>
      </c>
      <c r="Z261">
        <v>998.49671428571401</v>
      </c>
      <c r="AA261">
        <v>1000.00421428571</v>
      </c>
      <c r="AB261">
        <v>15.3822571428571</v>
      </c>
      <c r="AC261">
        <v>14.337235714285701</v>
      </c>
      <c r="AD261">
        <v>999.47121428571404</v>
      </c>
      <c r="AE261">
        <v>15.2730714285714</v>
      </c>
      <c r="AF261">
        <v>800.01142857142895</v>
      </c>
      <c r="AG261">
        <v>99.898421428571396</v>
      </c>
      <c r="AH261">
        <v>6.4242764285714293E-2</v>
      </c>
      <c r="AI261">
        <v>19.001621428571401</v>
      </c>
      <c r="AJ261">
        <v>999.9</v>
      </c>
      <c r="AK261">
        <v>999.9</v>
      </c>
      <c r="AL261">
        <v>0</v>
      </c>
      <c r="AM261">
        <v>0</v>
      </c>
      <c r="AN261">
        <v>4999.6428571428596</v>
      </c>
      <c r="AO261">
        <v>0</v>
      </c>
      <c r="AP261">
        <v>2.14547</v>
      </c>
      <c r="AQ261">
        <v>-1.5074071428571401</v>
      </c>
      <c r="AR261">
        <v>1014.09642857143</v>
      </c>
      <c r="AS261">
        <v>1014.54857142857</v>
      </c>
      <c r="AT261">
        <v>1.0450214285714301</v>
      </c>
      <c r="AU261">
        <v>1000.00421428571</v>
      </c>
      <c r="AV261">
        <v>14.337235714285701</v>
      </c>
      <c r="AW261">
        <v>1.5366621428571401</v>
      </c>
      <c r="AX261">
        <v>1.4322664285714299</v>
      </c>
      <c r="AY261">
        <v>13.3379142857143</v>
      </c>
      <c r="AZ261">
        <v>12.2636357142857</v>
      </c>
      <c r="BA261">
        <v>800.00014285714303</v>
      </c>
      <c r="BB261">
        <v>0.89999271428571403</v>
      </c>
      <c r="BC261">
        <v>0</v>
      </c>
      <c r="BD261">
        <v>0.10000728571428601</v>
      </c>
      <c r="BE261">
        <v>0</v>
      </c>
      <c r="BF261">
        <v>26</v>
      </c>
      <c r="BG261">
        <v>13191.007142857099</v>
      </c>
      <c r="BH261">
        <v>1771089957.0999999</v>
      </c>
      <c r="BI261" t="s">
        <v>750</v>
      </c>
      <c r="BJ261">
        <v>1771089957.0999999</v>
      </c>
      <c r="BK261">
        <v>1771089951.0999999</v>
      </c>
      <c r="BL261">
        <v>9</v>
      </c>
      <c r="BM261">
        <v>-7.1999999999999995E-2</v>
      </c>
      <c r="BN261">
        <v>0</v>
      </c>
      <c r="BO261">
        <v>-0.97499999999999998</v>
      </c>
      <c r="BP261">
        <v>0.109</v>
      </c>
      <c r="BQ261">
        <v>1000</v>
      </c>
      <c r="BR261">
        <v>15</v>
      </c>
      <c r="BS261">
        <v>0.28999999999999998</v>
      </c>
      <c r="BT261">
        <v>0.06</v>
      </c>
      <c r="BU261">
        <v>-1.5016833333333299</v>
      </c>
      <c r="BV261">
        <v>-0.13507636363636499</v>
      </c>
      <c r="BW261">
        <v>2.9252038485472399E-2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1.03810857142857</v>
      </c>
      <c r="CD261">
        <v>8.0036103896102703E-2</v>
      </c>
      <c r="CE261">
        <v>1.10473040390229E-2</v>
      </c>
      <c r="CF261">
        <v>1</v>
      </c>
      <c r="CG261">
        <v>2</v>
      </c>
      <c r="CH261">
        <v>2</v>
      </c>
      <c r="CI261" t="s">
        <v>310</v>
      </c>
      <c r="CJ261">
        <v>3.5325899999999999</v>
      </c>
      <c r="CK261">
        <v>2.70208</v>
      </c>
      <c r="CL261">
        <v>0.18157000000000001</v>
      </c>
      <c r="CM261">
        <v>0.17907999999999999</v>
      </c>
      <c r="CN261">
        <v>8.6762800000000001E-2</v>
      </c>
      <c r="CO261">
        <v>8.1575800000000004E-2</v>
      </c>
      <c r="CP261">
        <v>28698.3</v>
      </c>
      <c r="CQ261">
        <v>25280</v>
      </c>
      <c r="CR261">
        <v>32453</v>
      </c>
      <c r="CS261">
        <v>30720.5</v>
      </c>
      <c r="CT261">
        <v>40140.400000000001</v>
      </c>
      <c r="CU261">
        <v>39686.699999999997</v>
      </c>
      <c r="CV261">
        <v>47395.4</v>
      </c>
      <c r="CW261">
        <v>46853.2</v>
      </c>
      <c r="CX261">
        <v>2.6215199999999999</v>
      </c>
      <c r="CY261">
        <v>2.1372800000000001</v>
      </c>
      <c r="CZ261">
        <v>0</v>
      </c>
      <c r="DA261">
        <v>0</v>
      </c>
      <c r="DB261">
        <v>999.9</v>
      </c>
      <c r="DC261">
        <v>999.9</v>
      </c>
      <c r="DD261">
        <v>51.018999999999998</v>
      </c>
      <c r="DE261">
        <v>27.190999999999999</v>
      </c>
      <c r="DF261">
        <v>18.4863</v>
      </c>
      <c r="DG261">
        <v>30.3886</v>
      </c>
      <c r="DH261">
        <v>15.2965</v>
      </c>
      <c r="DI261">
        <v>2</v>
      </c>
      <c r="DJ261">
        <v>-0.11475200000000001</v>
      </c>
      <c r="DK261">
        <v>2.5617700000000001</v>
      </c>
      <c r="DL261">
        <v>20.1905</v>
      </c>
      <c r="DM261">
        <v>5.2523900000000001</v>
      </c>
      <c r="DN261">
        <v>12.033899999999999</v>
      </c>
      <c r="DO261">
        <v>4.9675599999999998</v>
      </c>
      <c r="DP261">
        <v>3.2909999999999999</v>
      </c>
      <c r="DQ261">
        <v>9999</v>
      </c>
      <c r="DR261">
        <v>9999</v>
      </c>
      <c r="DS261">
        <v>9999</v>
      </c>
      <c r="DT261">
        <v>605.20000000000005</v>
      </c>
      <c r="DU261">
        <v>1.8711800000000001</v>
      </c>
      <c r="DV261">
        <v>1.87622</v>
      </c>
      <c r="DW261">
        <v>1.8763700000000001</v>
      </c>
      <c r="DX261">
        <v>1.8829199999999999</v>
      </c>
      <c r="DY261">
        <v>1.87564</v>
      </c>
      <c r="DZ261">
        <v>1.87469</v>
      </c>
      <c r="EA261">
        <v>1.8708800000000001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-0.97399999999999998</v>
      </c>
      <c r="EQ261">
        <v>0.1091</v>
      </c>
      <c r="ER261">
        <v>-0.97454545454524999</v>
      </c>
      <c r="ES261">
        <v>0</v>
      </c>
      <c r="ET261">
        <v>0</v>
      </c>
      <c r="EU261">
        <v>0</v>
      </c>
      <c r="EV261">
        <v>0.109172727272727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5.3</v>
      </c>
      <c r="FE261">
        <v>5.4</v>
      </c>
      <c r="FF261">
        <v>2.5756800000000002</v>
      </c>
      <c r="FG261">
        <v>2.5805699999999998</v>
      </c>
      <c r="FH261">
        <v>2.19604</v>
      </c>
      <c r="FI261">
        <v>2.5769000000000002</v>
      </c>
      <c r="FJ261">
        <v>2.4462899999999999</v>
      </c>
      <c r="FK261">
        <v>2.2875999999999999</v>
      </c>
      <c r="FL261">
        <v>31.9146</v>
      </c>
      <c r="FM261">
        <v>24.14</v>
      </c>
      <c r="FN261">
        <v>19</v>
      </c>
      <c r="FO261">
        <v>865.01099999999997</v>
      </c>
      <c r="FP261">
        <v>582.48500000000001</v>
      </c>
      <c r="FQ261">
        <v>17.865300000000001</v>
      </c>
      <c r="FR261">
        <v>25.5762</v>
      </c>
      <c r="FS261">
        <v>30.0002</v>
      </c>
      <c r="FT261">
        <v>25.5578</v>
      </c>
      <c r="FU261">
        <v>25.558599999999998</v>
      </c>
      <c r="FV261">
        <v>51.653199999999998</v>
      </c>
      <c r="FW261">
        <v>26.343</v>
      </c>
      <c r="FX261">
        <v>35.895000000000003</v>
      </c>
      <c r="FY261">
        <v>17.863</v>
      </c>
      <c r="FZ261">
        <v>1000</v>
      </c>
      <c r="GA261">
        <v>14.393599999999999</v>
      </c>
      <c r="GB261">
        <v>99.868399999999994</v>
      </c>
      <c r="GC261">
        <v>99.737700000000004</v>
      </c>
    </row>
    <row r="262" spans="1:185" x14ac:dyDescent="0.2">
      <c r="A262">
        <v>247</v>
      </c>
      <c r="B262">
        <v>1771090290</v>
      </c>
      <c r="C262">
        <v>4970</v>
      </c>
      <c r="D262" t="s">
        <v>795</v>
      </c>
      <c r="E262" t="s">
        <v>796</v>
      </c>
      <c r="F262">
        <v>15</v>
      </c>
      <c r="G262">
        <v>1771090282.5</v>
      </c>
      <c r="H262">
        <f t="shared" si="39"/>
        <v>8.3998763763265343E-4</v>
      </c>
      <c r="I262">
        <v>0</v>
      </c>
      <c r="J262">
        <f t="shared" si="51"/>
        <v>1.2411221294191211E-2</v>
      </c>
      <c r="K262">
        <f t="shared" si="40"/>
        <v>0.33641775925555634</v>
      </c>
      <c r="L262">
        <f t="shared" si="41"/>
        <v>69.663699322034105</v>
      </c>
      <c r="M262">
        <f t="shared" si="42"/>
        <v>1.5366595456364893</v>
      </c>
      <c r="N262">
        <f t="shared" si="43"/>
        <v>2.2058253589620316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26219.082851954667</v>
      </c>
      <c r="T262">
        <f t="shared" si="47"/>
        <v>799.99928571428597</v>
      </c>
      <c r="U262">
        <f t="shared" si="48"/>
        <v>674.39960014267672</v>
      </c>
      <c r="V262">
        <f t="shared" si="49"/>
        <v>0.84300025285714286</v>
      </c>
      <c r="W262">
        <f t="shared" si="50"/>
        <v>0.15870063214285718</v>
      </c>
      <c r="X262">
        <v>1</v>
      </c>
      <c r="Y262">
        <v>1771090282.5</v>
      </c>
      <c r="Z262">
        <v>998.50807142857104</v>
      </c>
      <c r="AA262">
        <v>999.97699999999998</v>
      </c>
      <c r="AB262">
        <v>15.372242857142901</v>
      </c>
      <c r="AC262">
        <v>14.3384071428571</v>
      </c>
      <c r="AD262">
        <v>999.48264285714299</v>
      </c>
      <c r="AE262">
        <v>15.263085714285699</v>
      </c>
      <c r="AF262">
        <v>800.00635714285704</v>
      </c>
      <c r="AG262">
        <v>99.8989642857143</v>
      </c>
      <c r="AH262">
        <v>6.4298064285714301E-2</v>
      </c>
      <c r="AI262">
        <v>19.004685714285699</v>
      </c>
      <c r="AJ262">
        <v>999.9</v>
      </c>
      <c r="AK262">
        <v>999.9</v>
      </c>
      <c r="AL262">
        <v>0</v>
      </c>
      <c r="AM262">
        <v>0</v>
      </c>
      <c r="AN262">
        <v>5003.9285714285697</v>
      </c>
      <c r="AO262">
        <v>0</v>
      </c>
      <c r="AP262">
        <v>2.14547</v>
      </c>
      <c r="AQ262">
        <v>-1.46850642857143</v>
      </c>
      <c r="AR262">
        <v>1014.09857142857</v>
      </c>
      <c r="AS262">
        <v>1014.52428571429</v>
      </c>
      <c r="AT262">
        <v>1.03383</v>
      </c>
      <c r="AU262">
        <v>999.97699999999998</v>
      </c>
      <c r="AV262">
        <v>14.3384071428571</v>
      </c>
      <c r="AW262">
        <v>1.5356700000000001</v>
      </c>
      <c r="AX262">
        <v>1.4323950000000001</v>
      </c>
      <c r="AY262">
        <v>13.3280142857143</v>
      </c>
      <c r="AZ262">
        <v>12.2649714285714</v>
      </c>
      <c r="BA262">
        <v>799.99928571428597</v>
      </c>
      <c r="BB262">
        <v>0.899991571428571</v>
      </c>
      <c r="BC262">
        <v>0</v>
      </c>
      <c r="BD262">
        <v>0.100008428571429</v>
      </c>
      <c r="BE262">
        <v>0</v>
      </c>
      <c r="BF262">
        <v>26</v>
      </c>
      <c r="BG262">
        <v>13190.978571428601</v>
      </c>
      <c r="BH262">
        <v>1771089957.0999999</v>
      </c>
      <c r="BI262" t="s">
        <v>750</v>
      </c>
      <c r="BJ262">
        <v>1771089957.0999999</v>
      </c>
      <c r="BK262">
        <v>1771089951.0999999</v>
      </c>
      <c r="BL262">
        <v>9</v>
      </c>
      <c r="BM262">
        <v>-7.1999999999999995E-2</v>
      </c>
      <c r="BN262">
        <v>0</v>
      </c>
      <c r="BO262">
        <v>-0.97499999999999998</v>
      </c>
      <c r="BP262">
        <v>0.109</v>
      </c>
      <c r="BQ262">
        <v>1000</v>
      </c>
      <c r="BR262">
        <v>15</v>
      </c>
      <c r="BS262">
        <v>0.28999999999999998</v>
      </c>
      <c r="BT262">
        <v>0.06</v>
      </c>
      <c r="BU262">
        <v>-1.4830414999999999</v>
      </c>
      <c r="BV262">
        <v>9.5933684210527503E-2</v>
      </c>
      <c r="BW262">
        <v>3.6183130361399099E-2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1.0365629999999999</v>
      </c>
      <c r="CD262">
        <v>-5.2849624060151902E-2</v>
      </c>
      <c r="CE262">
        <v>5.1439752137816203E-3</v>
      </c>
      <c r="CF262">
        <v>1</v>
      </c>
      <c r="CG262">
        <v>2</v>
      </c>
      <c r="CH262">
        <v>2</v>
      </c>
      <c r="CI262" t="s">
        <v>310</v>
      </c>
      <c r="CJ262">
        <v>3.5325899999999999</v>
      </c>
      <c r="CK262">
        <v>2.7021799999999998</v>
      </c>
      <c r="CL262">
        <v>0.18157300000000001</v>
      </c>
      <c r="CM262">
        <v>0.17907500000000001</v>
      </c>
      <c r="CN262">
        <v>8.6714799999999995E-2</v>
      </c>
      <c r="CO262">
        <v>8.1586099999999995E-2</v>
      </c>
      <c r="CP262">
        <v>28698.1</v>
      </c>
      <c r="CQ262">
        <v>25279.9</v>
      </c>
      <c r="CR262">
        <v>32452.9</v>
      </c>
      <c r="CS262">
        <v>30720.2</v>
      </c>
      <c r="CT262">
        <v>40142.300000000003</v>
      </c>
      <c r="CU262">
        <v>39686.199999999997</v>
      </c>
      <c r="CV262">
        <v>47395.1</v>
      </c>
      <c r="CW262">
        <v>46853.1</v>
      </c>
      <c r="CX262">
        <v>2.6216400000000002</v>
      </c>
      <c r="CY262">
        <v>2.1373600000000001</v>
      </c>
      <c r="CZ262">
        <v>0</v>
      </c>
      <c r="DA262">
        <v>0</v>
      </c>
      <c r="DB262">
        <v>999.9</v>
      </c>
      <c r="DC262">
        <v>999.9</v>
      </c>
      <c r="DD262">
        <v>50.970999999999997</v>
      </c>
      <c r="DE262">
        <v>27.201000000000001</v>
      </c>
      <c r="DF262">
        <v>18.479299999999999</v>
      </c>
      <c r="DG262">
        <v>30.358599999999999</v>
      </c>
      <c r="DH262">
        <v>15.352600000000001</v>
      </c>
      <c r="DI262">
        <v>2</v>
      </c>
      <c r="DJ262">
        <v>-0.114549</v>
      </c>
      <c r="DK262">
        <v>2.5950299999999999</v>
      </c>
      <c r="DL262">
        <v>20.189599999999999</v>
      </c>
      <c r="DM262">
        <v>5.2513100000000001</v>
      </c>
      <c r="DN262">
        <v>12.033899999999999</v>
      </c>
      <c r="DO262">
        <v>4.9674800000000001</v>
      </c>
      <c r="DP262">
        <v>3.2909999999999999</v>
      </c>
      <c r="DQ262">
        <v>9999</v>
      </c>
      <c r="DR262">
        <v>9999</v>
      </c>
      <c r="DS262">
        <v>9999</v>
      </c>
      <c r="DT262">
        <v>605.20000000000005</v>
      </c>
      <c r="DU262">
        <v>1.8711899999999999</v>
      </c>
      <c r="DV262">
        <v>1.87622</v>
      </c>
      <c r="DW262">
        <v>1.8763799999999999</v>
      </c>
      <c r="DX262">
        <v>1.8829199999999999</v>
      </c>
      <c r="DY262">
        <v>1.8756200000000001</v>
      </c>
      <c r="DZ262">
        <v>1.87469</v>
      </c>
      <c r="EA262">
        <v>1.8708800000000001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-0.97499999999999998</v>
      </c>
      <c r="EQ262">
        <v>0.10920000000000001</v>
      </c>
      <c r="ER262">
        <v>-0.97454545454524999</v>
      </c>
      <c r="ES262">
        <v>0</v>
      </c>
      <c r="ET262">
        <v>0</v>
      </c>
      <c r="EU262">
        <v>0</v>
      </c>
      <c r="EV262">
        <v>0.109172727272727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5.5</v>
      </c>
      <c r="FE262">
        <v>5.6</v>
      </c>
      <c r="FF262">
        <v>2.5756800000000002</v>
      </c>
      <c r="FG262">
        <v>2.5805699999999998</v>
      </c>
      <c r="FH262">
        <v>2.19604</v>
      </c>
      <c r="FI262">
        <v>2.5769000000000002</v>
      </c>
      <c r="FJ262">
        <v>2.4462899999999999</v>
      </c>
      <c r="FK262">
        <v>2.32422</v>
      </c>
      <c r="FL262">
        <v>31.9146</v>
      </c>
      <c r="FM262">
        <v>24.14</v>
      </c>
      <c r="FN262">
        <v>19</v>
      </c>
      <c r="FO262">
        <v>865.13499999999999</v>
      </c>
      <c r="FP262">
        <v>582.57100000000003</v>
      </c>
      <c r="FQ262">
        <v>17.859400000000001</v>
      </c>
      <c r="FR262">
        <v>25.5762</v>
      </c>
      <c r="FS262">
        <v>30</v>
      </c>
      <c r="FT262">
        <v>25.558599999999998</v>
      </c>
      <c r="FU262">
        <v>25.560700000000001</v>
      </c>
      <c r="FV262">
        <v>51.6554</v>
      </c>
      <c r="FW262">
        <v>26.343</v>
      </c>
      <c r="FX262">
        <v>35.895000000000003</v>
      </c>
      <c r="FY262">
        <v>17.854800000000001</v>
      </c>
      <c r="FZ262">
        <v>1000</v>
      </c>
      <c r="GA262">
        <v>14.398</v>
      </c>
      <c r="GB262">
        <v>99.867900000000006</v>
      </c>
      <c r="GC262">
        <v>99.737099999999998</v>
      </c>
    </row>
    <row r="263" spans="1:185" x14ac:dyDescent="0.2">
      <c r="A263">
        <v>248</v>
      </c>
      <c r="B263">
        <v>1771090305</v>
      </c>
      <c r="C263">
        <v>4985</v>
      </c>
      <c r="D263" t="s">
        <v>797</v>
      </c>
      <c r="E263" t="s">
        <v>798</v>
      </c>
      <c r="F263">
        <v>15</v>
      </c>
      <c r="G263">
        <v>1771090297.5</v>
      </c>
      <c r="H263">
        <f t="shared" si="39"/>
        <v>8.0561799264105118E-4</v>
      </c>
      <c r="I263">
        <v>0</v>
      </c>
      <c r="J263">
        <f t="shared" si="51"/>
        <v>1.4004294324954177E-2</v>
      </c>
      <c r="K263">
        <f t="shared" si="40"/>
        <v>0.3795994934810647</v>
      </c>
      <c r="L263">
        <f t="shared" si="41"/>
        <v>69.638675712077173</v>
      </c>
      <c r="M263">
        <f t="shared" si="42"/>
        <v>1.5362821683840031</v>
      </c>
      <c r="N263">
        <f t="shared" si="43"/>
        <v>2.2060760815380802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26201.366788101586</v>
      </c>
      <c r="T263">
        <f t="shared" si="47"/>
        <v>799.99800000000005</v>
      </c>
      <c r="U263">
        <f t="shared" si="48"/>
        <v>674.39841514260422</v>
      </c>
      <c r="V263">
        <f t="shared" si="49"/>
        <v>0.84300012642857136</v>
      </c>
      <c r="W263">
        <f t="shared" si="50"/>
        <v>0.15870031607142857</v>
      </c>
      <c r="X263">
        <v>1</v>
      </c>
      <c r="Y263">
        <v>1771090297.5</v>
      </c>
      <c r="Z263">
        <v>998.50371428571395</v>
      </c>
      <c r="AA263">
        <v>999.98371428571397</v>
      </c>
      <c r="AB263">
        <v>15.368757142857101</v>
      </c>
      <c r="AC263">
        <v>14.377221428571399</v>
      </c>
      <c r="AD263">
        <v>999.47821428571399</v>
      </c>
      <c r="AE263">
        <v>15.259600000000001</v>
      </c>
      <c r="AF263">
        <v>800.00814285714296</v>
      </c>
      <c r="AG263">
        <v>99.897192857142898</v>
      </c>
      <c r="AH263">
        <v>6.4186850000000004E-2</v>
      </c>
      <c r="AI263">
        <v>19.0065071428571</v>
      </c>
      <c r="AJ263">
        <v>999.9</v>
      </c>
      <c r="AK263">
        <v>999.9</v>
      </c>
      <c r="AL263">
        <v>0</v>
      </c>
      <c r="AM263">
        <v>0</v>
      </c>
      <c r="AN263">
        <v>5001.1071428571404</v>
      </c>
      <c r="AO263">
        <v>0</v>
      </c>
      <c r="AP263">
        <v>2.15079357142857</v>
      </c>
      <c r="AQ263">
        <v>-1.47992285714286</v>
      </c>
      <c r="AR263">
        <v>1014.08928571429</v>
      </c>
      <c r="AS263">
        <v>1014.57071428571</v>
      </c>
      <c r="AT263">
        <v>0.99152871428571399</v>
      </c>
      <c r="AU263">
        <v>999.98371428571397</v>
      </c>
      <c r="AV263">
        <v>14.377221428571399</v>
      </c>
      <c r="AW263">
        <v>1.53529571428571</v>
      </c>
      <c r="AX263">
        <v>1.4362457142857099</v>
      </c>
      <c r="AY263">
        <v>13.324285714285701</v>
      </c>
      <c r="AZ263">
        <v>12.305785714285699</v>
      </c>
      <c r="BA263">
        <v>799.99800000000005</v>
      </c>
      <c r="BB263">
        <v>0.89999578571428596</v>
      </c>
      <c r="BC263">
        <v>0</v>
      </c>
      <c r="BD263">
        <v>0.100004214285714</v>
      </c>
      <c r="BE263">
        <v>0</v>
      </c>
      <c r="BF263">
        <v>26</v>
      </c>
      <c r="BG263">
        <v>13190.978571428601</v>
      </c>
      <c r="BH263">
        <v>1771089957.0999999</v>
      </c>
      <c r="BI263" t="s">
        <v>750</v>
      </c>
      <c r="BJ263">
        <v>1771089957.0999999</v>
      </c>
      <c r="BK263">
        <v>1771089951.0999999</v>
      </c>
      <c r="BL263">
        <v>9</v>
      </c>
      <c r="BM263">
        <v>-7.1999999999999995E-2</v>
      </c>
      <c r="BN263">
        <v>0</v>
      </c>
      <c r="BO263">
        <v>-0.97499999999999998</v>
      </c>
      <c r="BP263">
        <v>0.109</v>
      </c>
      <c r="BQ263">
        <v>1000</v>
      </c>
      <c r="BR263">
        <v>15</v>
      </c>
      <c r="BS263">
        <v>0.28999999999999998</v>
      </c>
      <c r="BT263">
        <v>0.06</v>
      </c>
      <c r="BU263">
        <v>-1.4815961904761901</v>
      </c>
      <c r="BV263">
        <v>-0.11988311688311699</v>
      </c>
      <c r="BW263">
        <v>4.0113467691654803E-2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1.00432342857143</v>
      </c>
      <c r="CD263">
        <v>-0.24034238961038701</v>
      </c>
      <c r="CE263">
        <v>2.58532335926723E-2</v>
      </c>
      <c r="CF263">
        <v>0</v>
      </c>
      <c r="CG263">
        <v>1</v>
      </c>
      <c r="CH263">
        <v>2</v>
      </c>
      <c r="CI263" t="s">
        <v>299</v>
      </c>
      <c r="CJ263">
        <v>3.5325199999999999</v>
      </c>
      <c r="CK263">
        <v>2.7019199999999999</v>
      </c>
      <c r="CL263">
        <v>0.18157000000000001</v>
      </c>
      <c r="CM263">
        <v>0.17907799999999999</v>
      </c>
      <c r="CN263">
        <v>8.6770299999999995E-2</v>
      </c>
      <c r="CO263">
        <v>8.1859600000000005E-2</v>
      </c>
      <c r="CP263">
        <v>28698.2</v>
      </c>
      <c r="CQ263">
        <v>25279.3</v>
      </c>
      <c r="CR263">
        <v>32452.9</v>
      </c>
      <c r="CS263">
        <v>30719.599999999999</v>
      </c>
      <c r="CT263">
        <v>40140</v>
      </c>
      <c r="CU263">
        <v>39673.199999999997</v>
      </c>
      <c r="CV263">
        <v>47395.3</v>
      </c>
      <c r="CW263">
        <v>46852.2</v>
      </c>
      <c r="CX263">
        <v>2.6216400000000002</v>
      </c>
      <c r="CY263">
        <v>2.1373199999999999</v>
      </c>
      <c r="CZ263">
        <v>0</v>
      </c>
      <c r="DA263">
        <v>0</v>
      </c>
      <c r="DB263">
        <v>999.9</v>
      </c>
      <c r="DC263">
        <v>999.9</v>
      </c>
      <c r="DD263">
        <v>50.945999999999998</v>
      </c>
      <c r="DE263">
        <v>27.201000000000001</v>
      </c>
      <c r="DF263">
        <v>18.470199999999998</v>
      </c>
      <c r="DG263">
        <v>30.208600000000001</v>
      </c>
      <c r="DH263">
        <v>15.5128</v>
      </c>
      <c r="DI263">
        <v>2</v>
      </c>
      <c r="DJ263">
        <v>-0.113965</v>
      </c>
      <c r="DK263">
        <v>2.63503</v>
      </c>
      <c r="DL263">
        <v>20.1889</v>
      </c>
      <c r="DM263">
        <v>5.2515499999999999</v>
      </c>
      <c r="DN263">
        <v>12.033899999999999</v>
      </c>
      <c r="DO263">
        <v>4.96732</v>
      </c>
      <c r="DP263">
        <v>3.2909999999999999</v>
      </c>
      <c r="DQ263">
        <v>9999</v>
      </c>
      <c r="DR263">
        <v>9999</v>
      </c>
      <c r="DS263">
        <v>9999</v>
      </c>
      <c r="DT263">
        <v>605.20000000000005</v>
      </c>
      <c r="DU263">
        <v>1.87117</v>
      </c>
      <c r="DV263">
        <v>1.87622</v>
      </c>
      <c r="DW263">
        <v>1.8763799999999999</v>
      </c>
      <c r="DX263">
        <v>1.8829199999999999</v>
      </c>
      <c r="DY263">
        <v>1.8756299999999999</v>
      </c>
      <c r="DZ263">
        <v>1.8747</v>
      </c>
      <c r="EA263">
        <v>1.8708800000000001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-0.97399999999999998</v>
      </c>
      <c r="EQ263">
        <v>0.10920000000000001</v>
      </c>
      <c r="ER263">
        <v>-0.97454545454524999</v>
      </c>
      <c r="ES263">
        <v>0</v>
      </c>
      <c r="ET263">
        <v>0</v>
      </c>
      <c r="EU263">
        <v>0</v>
      </c>
      <c r="EV263">
        <v>0.109172727272727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5.8</v>
      </c>
      <c r="FE263">
        <v>5.9</v>
      </c>
      <c r="FF263">
        <v>2.5756800000000002</v>
      </c>
      <c r="FG263">
        <v>2.5744600000000002</v>
      </c>
      <c r="FH263">
        <v>2.19604</v>
      </c>
      <c r="FI263">
        <v>2.5769000000000002</v>
      </c>
      <c r="FJ263">
        <v>2.4462899999999999</v>
      </c>
      <c r="FK263">
        <v>2.3168899999999999</v>
      </c>
      <c r="FL263">
        <v>31.9146</v>
      </c>
      <c r="FM263">
        <v>24.14</v>
      </c>
      <c r="FN263">
        <v>19</v>
      </c>
      <c r="FO263">
        <v>865.19</v>
      </c>
      <c r="FP263">
        <v>582.57100000000003</v>
      </c>
      <c r="FQ263">
        <v>17.837199999999999</v>
      </c>
      <c r="FR263">
        <v>25.578399999999998</v>
      </c>
      <c r="FS263">
        <v>30.0002</v>
      </c>
      <c r="FT263">
        <v>25.562100000000001</v>
      </c>
      <c r="FU263">
        <v>25.563500000000001</v>
      </c>
      <c r="FV263">
        <v>51.657699999999998</v>
      </c>
      <c r="FW263">
        <v>26.065300000000001</v>
      </c>
      <c r="FX263">
        <v>35.895000000000003</v>
      </c>
      <c r="FY263">
        <v>17.834299999999999</v>
      </c>
      <c r="FZ263">
        <v>1000</v>
      </c>
      <c r="GA263">
        <v>14.3978</v>
      </c>
      <c r="GB263">
        <v>99.868099999999998</v>
      </c>
      <c r="GC263">
        <v>99.735200000000006</v>
      </c>
    </row>
    <row r="264" spans="1:185" x14ac:dyDescent="0.2">
      <c r="A264">
        <v>249</v>
      </c>
      <c r="B264">
        <v>1771090320</v>
      </c>
      <c r="C264">
        <v>5000</v>
      </c>
      <c r="D264" t="s">
        <v>799</v>
      </c>
      <c r="E264" t="s">
        <v>800</v>
      </c>
      <c r="F264">
        <v>15</v>
      </c>
      <c r="G264">
        <v>1771090312.5</v>
      </c>
      <c r="H264">
        <f t="shared" si="39"/>
        <v>8.1557415811683918E-4</v>
      </c>
      <c r="I264">
        <v>0</v>
      </c>
      <c r="J264">
        <f t="shared" si="51"/>
        <v>1.3987234974464913E-2</v>
      </c>
      <c r="K264">
        <f t="shared" si="40"/>
        <v>0.37913708383338246</v>
      </c>
      <c r="L264">
        <f t="shared" si="41"/>
        <v>69.759686490853227</v>
      </c>
      <c r="M264">
        <f t="shared" si="42"/>
        <v>1.5387473631700683</v>
      </c>
      <c r="N264">
        <f t="shared" si="43"/>
        <v>2.2057830827147229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26147.568050973772</v>
      </c>
      <c r="T264">
        <f t="shared" si="47"/>
        <v>800.00307142857105</v>
      </c>
      <c r="U264">
        <f t="shared" si="48"/>
        <v>674.40274178629954</v>
      </c>
      <c r="V264">
        <f t="shared" si="49"/>
        <v>0.84300019071428545</v>
      </c>
      <c r="W264">
        <f t="shared" si="50"/>
        <v>0.15870033758571422</v>
      </c>
      <c r="X264">
        <v>1</v>
      </c>
      <c r="Y264">
        <v>1771090312.5</v>
      </c>
      <c r="Z264">
        <v>998.51250000000005</v>
      </c>
      <c r="AA264">
        <v>1000.00435714286</v>
      </c>
      <c r="AB264">
        <v>15.393342857142899</v>
      </c>
      <c r="AC264">
        <v>14.389578571428601</v>
      </c>
      <c r="AD264">
        <v>999.487142857143</v>
      </c>
      <c r="AE264">
        <v>15.2841928571429</v>
      </c>
      <c r="AF264">
        <v>800.00828571428599</v>
      </c>
      <c r="AG264">
        <v>99.897557142857195</v>
      </c>
      <c r="AH264">
        <v>6.43145214285714E-2</v>
      </c>
      <c r="AI264">
        <v>19.0043785714286</v>
      </c>
      <c r="AJ264">
        <v>999.9</v>
      </c>
      <c r="AK264">
        <v>999.9</v>
      </c>
      <c r="AL264">
        <v>0</v>
      </c>
      <c r="AM264">
        <v>0</v>
      </c>
      <c r="AN264">
        <v>4992.1785714285697</v>
      </c>
      <c r="AO264">
        <v>0</v>
      </c>
      <c r="AP264">
        <v>2.17031357142857</v>
      </c>
      <c r="AQ264">
        <v>-1.49161571428571</v>
      </c>
      <c r="AR264">
        <v>1014.12285714286</v>
      </c>
      <c r="AS264">
        <v>1014.60357142857</v>
      </c>
      <c r="AT264">
        <v>1.0037898571428601</v>
      </c>
      <c r="AU264">
        <v>1000.00435714286</v>
      </c>
      <c r="AV264">
        <v>14.389578571428601</v>
      </c>
      <c r="AW264">
        <v>1.5377578571428601</v>
      </c>
      <c r="AX264">
        <v>1.4374828571428599</v>
      </c>
      <c r="AY264">
        <v>13.348850000000001</v>
      </c>
      <c r="AZ264">
        <v>12.318892857142901</v>
      </c>
      <c r="BA264">
        <v>800.00307142857105</v>
      </c>
      <c r="BB264">
        <v>0.89999571428571401</v>
      </c>
      <c r="BC264">
        <v>0</v>
      </c>
      <c r="BD264">
        <v>0.10000435714285701</v>
      </c>
      <c r="BE264">
        <v>0</v>
      </c>
      <c r="BF264">
        <v>26</v>
      </c>
      <c r="BG264">
        <v>13191.064285714299</v>
      </c>
      <c r="BH264">
        <v>1771089957.0999999</v>
      </c>
      <c r="BI264" t="s">
        <v>750</v>
      </c>
      <c r="BJ264">
        <v>1771089957.0999999</v>
      </c>
      <c r="BK264">
        <v>1771089951.0999999</v>
      </c>
      <c r="BL264">
        <v>9</v>
      </c>
      <c r="BM264">
        <v>-7.1999999999999995E-2</v>
      </c>
      <c r="BN264">
        <v>0</v>
      </c>
      <c r="BO264">
        <v>-0.97499999999999998</v>
      </c>
      <c r="BP264">
        <v>0.109</v>
      </c>
      <c r="BQ264">
        <v>1000</v>
      </c>
      <c r="BR264">
        <v>15</v>
      </c>
      <c r="BS264">
        <v>0.28999999999999998</v>
      </c>
      <c r="BT264">
        <v>0.06</v>
      </c>
      <c r="BU264">
        <v>-1.498739</v>
      </c>
      <c r="BV264">
        <v>4.7409022556393197E-2</v>
      </c>
      <c r="BW264">
        <v>2.4374670233666799E-2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0.99421625000000002</v>
      </c>
      <c r="CD264">
        <v>0.21095192481203001</v>
      </c>
      <c r="CE264">
        <v>2.1099618681092301E-2</v>
      </c>
      <c r="CF264">
        <v>0</v>
      </c>
      <c r="CG264">
        <v>1</v>
      </c>
      <c r="CH264">
        <v>2</v>
      </c>
      <c r="CI264" t="s">
        <v>299</v>
      </c>
      <c r="CJ264">
        <v>3.5325000000000002</v>
      </c>
      <c r="CK264">
        <v>2.7022699999999999</v>
      </c>
      <c r="CL264">
        <v>0.18157000000000001</v>
      </c>
      <c r="CM264">
        <v>0.17907300000000001</v>
      </c>
      <c r="CN264">
        <v>8.68395E-2</v>
      </c>
      <c r="CO264">
        <v>8.1730200000000003E-2</v>
      </c>
      <c r="CP264">
        <v>28697.200000000001</v>
      </c>
      <c r="CQ264">
        <v>25279.3</v>
      </c>
      <c r="CR264">
        <v>32451.8</v>
      </c>
      <c r="CS264">
        <v>30719.5</v>
      </c>
      <c r="CT264">
        <v>40135.599999999999</v>
      </c>
      <c r="CU264">
        <v>39679</v>
      </c>
      <c r="CV264">
        <v>47393.8</v>
      </c>
      <c r="CW264">
        <v>46852.2</v>
      </c>
      <c r="CX264">
        <v>2.6214</v>
      </c>
      <c r="CY264">
        <v>2.1371000000000002</v>
      </c>
      <c r="CZ264">
        <v>0</v>
      </c>
      <c r="DA264">
        <v>0</v>
      </c>
      <c r="DB264">
        <v>999.9</v>
      </c>
      <c r="DC264">
        <v>999.9</v>
      </c>
      <c r="DD264">
        <v>50.872999999999998</v>
      </c>
      <c r="DE264">
        <v>27.210999999999999</v>
      </c>
      <c r="DF264">
        <v>18.454499999999999</v>
      </c>
      <c r="DG264">
        <v>30.148599999999998</v>
      </c>
      <c r="DH264">
        <v>15.492800000000001</v>
      </c>
      <c r="DI264">
        <v>2</v>
      </c>
      <c r="DJ264">
        <v>-0.11366900000000001</v>
      </c>
      <c r="DK264">
        <v>2.6379899999999998</v>
      </c>
      <c r="DL264">
        <v>20.188700000000001</v>
      </c>
      <c r="DM264">
        <v>5.2519099999999996</v>
      </c>
      <c r="DN264">
        <v>12.033899999999999</v>
      </c>
      <c r="DO264">
        <v>4.9667599999999998</v>
      </c>
      <c r="DP264">
        <v>3.2909999999999999</v>
      </c>
      <c r="DQ264">
        <v>9999</v>
      </c>
      <c r="DR264">
        <v>9999</v>
      </c>
      <c r="DS264">
        <v>9999</v>
      </c>
      <c r="DT264">
        <v>605.20000000000005</v>
      </c>
      <c r="DU264">
        <v>1.87117</v>
      </c>
      <c r="DV264">
        <v>1.87622</v>
      </c>
      <c r="DW264">
        <v>1.8763700000000001</v>
      </c>
      <c r="DX264">
        <v>1.8829199999999999</v>
      </c>
      <c r="DY264">
        <v>1.87561</v>
      </c>
      <c r="DZ264">
        <v>1.87469</v>
      </c>
      <c r="EA264">
        <v>1.8708800000000001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-0.97499999999999998</v>
      </c>
      <c r="EQ264">
        <v>0.10920000000000001</v>
      </c>
      <c r="ER264">
        <v>-0.97454545454524999</v>
      </c>
      <c r="ES264">
        <v>0</v>
      </c>
      <c r="ET264">
        <v>0</v>
      </c>
      <c r="EU264">
        <v>0</v>
      </c>
      <c r="EV264">
        <v>0.109172727272727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6</v>
      </c>
      <c r="FE264">
        <v>6.1</v>
      </c>
      <c r="FF264">
        <v>2.5756800000000002</v>
      </c>
      <c r="FG264">
        <v>2.5817899999999998</v>
      </c>
      <c r="FH264">
        <v>2.19604</v>
      </c>
      <c r="FI264">
        <v>2.5769000000000002</v>
      </c>
      <c r="FJ264">
        <v>2.4462899999999999</v>
      </c>
      <c r="FK264">
        <v>2.2851599999999999</v>
      </c>
      <c r="FL264">
        <v>31.9146</v>
      </c>
      <c r="FM264">
        <v>24.14</v>
      </c>
      <c r="FN264">
        <v>19</v>
      </c>
      <c r="FO264">
        <v>865.00300000000004</v>
      </c>
      <c r="FP264">
        <v>582.41800000000001</v>
      </c>
      <c r="FQ264">
        <v>17.817799999999998</v>
      </c>
      <c r="FR264">
        <v>25.580500000000001</v>
      </c>
      <c r="FS264">
        <v>30.000299999999999</v>
      </c>
      <c r="FT264">
        <v>25.564299999999999</v>
      </c>
      <c r="FU264">
        <v>25.565000000000001</v>
      </c>
      <c r="FV264">
        <v>51.658999999999999</v>
      </c>
      <c r="FW264">
        <v>26.065300000000001</v>
      </c>
      <c r="FX264">
        <v>35.5229</v>
      </c>
      <c r="FY264">
        <v>17.818100000000001</v>
      </c>
      <c r="FZ264">
        <v>1000</v>
      </c>
      <c r="GA264">
        <v>14.3978</v>
      </c>
      <c r="GB264">
        <v>99.864900000000006</v>
      </c>
      <c r="GC264">
        <v>99.734999999999999</v>
      </c>
    </row>
    <row r="265" spans="1:185" x14ac:dyDescent="0.2">
      <c r="A265">
        <v>250</v>
      </c>
      <c r="B265">
        <v>1771090335</v>
      </c>
      <c r="C265">
        <v>5015</v>
      </c>
      <c r="D265" t="s">
        <v>801</v>
      </c>
      <c r="E265" t="s">
        <v>802</v>
      </c>
      <c r="F265">
        <v>15</v>
      </c>
      <c r="G265">
        <v>1771090327.5</v>
      </c>
      <c r="H265">
        <f t="shared" si="39"/>
        <v>8.3008577293584428E-4</v>
      </c>
      <c r="I265">
        <v>0</v>
      </c>
      <c r="J265">
        <f t="shared" si="51"/>
        <v>1.3115368673278388E-2</v>
      </c>
      <c r="K265">
        <f t="shared" si="40"/>
        <v>0.35550433243341523</v>
      </c>
      <c r="L265">
        <f t="shared" si="41"/>
        <v>69.79363117817779</v>
      </c>
      <c r="M265">
        <f t="shared" si="42"/>
        <v>1.5390885637848597</v>
      </c>
      <c r="N265">
        <f t="shared" si="43"/>
        <v>2.2051991532804545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26189.617535734033</v>
      </c>
      <c r="T265">
        <f t="shared" si="47"/>
        <v>799.99892857142902</v>
      </c>
      <c r="U265">
        <f t="shared" si="48"/>
        <v>674.39928878545743</v>
      </c>
      <c r="V265">
        <f t="shared" si="49"/>
        <v>0.84300023999999996</v>
      </c>
      <c r="W265">
        <f t="shared" si="50"/>
        <v>0.15870060000000002</v>
      </c>
      <c r="X265">
        <v>1</v>
      </c>
      <c r="Y265">
        <v>1771090327.5</v>
      </c>
      <c r="Z265">
        <v>998.51171428571399</v>
      </c>
      <c r="AA265">
        <v>999.99214285714299</v>
      </c>
      <c r="AB265">
        <v>15.39655</v>
      </c>
      <c r="AC265">
        <v>14.374928571428599</v>
      </c>
      <c r="AD265">
        <v>999.48642857142897</v>
      </c>
      <c r="AE265">
        <v>15.287378571428601</v>
      </c>
      <c r="AF265">
        <v>800.00800000000004</v>
      </c>
      <c r="AG265">
        <v>99.898878571428597</v>
      </c>
      <c r="AH265">
        <v>6.4331614285714295E-2</v>
      </c>
      <c r="AI265">
        <v>19.000135714285701</v>
      </c>
      <c r="AJ265">
        <v>999.9</v>
      </c>
      <c r="AK265">
        <v>999.9</v>
      </c>
      <c r="AL265">
        <v>0</v>
      </c>
      <c r="AM265">
        <v>0</v>
      </c>
      <c r="AN265">
        <v>4999</v>
      </c>
      <c r="AO265">
        <v>0</v>
      </c>
      <c r="AP265">
        <v>2.1978985714285701</v>
      </c>
      <c r="AQ265">
        <v>-1.48005428571429</v>
      </c>
      <c r="AR265">
        <v>1014.125</v>
      </c>
      <c r="AS265">
        <v>1014.57642857143</v>
      </c>
      <c r="AT265">
        <v>1.0216378571428599</v>
      </c>
      <c r="AU265">
        <v>999.99214285714299</v>
      </c>
      <c r="AV265">
        <v>14.374928571428599</v>
      </c>
      <c r="AW265">
        <v>1.53809857142857</v>
      </c>
      <c r="AX265">
        <v>1.4360371428571399</v>
      </c>
      <c r="AY265">
        <v>13.352221428571401</v>
      </c>
      <c r="AZ265">
        <v>12.3036142857143</v>
      </c>
      <c r="BA265">
        <v>799.99892857142902</v>
      </c>
      <c r="BB265">
        <v>0.89999200000000001</v>
      </c>
      <c r="BC265">
        <v>0</v>
      </c>
      <c r="BD265">
        <v>0.100008</v>
      </c>
      <c r="BE265">
        <v>0</v>
      </c>
      <c r="BF265">
        <v>26</v>
      </c>
      <c r="BG265">
        <v>13190.9857142857</v>
      </c>
      <c r="BH265">
        <v>1771089957.0999999</v>
      </c>
      <c r="BI265" t="s">
        <v>750</v>
      </c>
      <c r="BJ265">
        <v>1771089957.0999999</v>
      </c>
      <c r="BK265">
        <v>1771089951.0999999</v>
      </c>
      <c r="BL265">
        <v>9</v>
      </c>
      <c r="BM265">
        <v>-7.1999999999999995E-2</v>
      </c>
      <c r="BN265">
        <v>0</v>
      </c>
      <c r="BO265">
        <v>-0.97499999999999998</v>
      </c>
      <c r="BP265">
        <v>0.109</v>
      </c>
      <c r="BQ265">
        <v>1000</v>
      </c>
      <c r="BR265">
        <v>15</v>
      </c>
      <c r="BS265">
        <v>0.28999999999999998</v>
      </c>
      <c r="BT265">
        <v>0.06</v>
      </c>
      <c r="BU265">
        <v>-1.4852609523809499</v>
      </c>
      <c r="BV265">
        <v>-7.7294805194808094E-2</v>
      </c>
      <c r="BW265">
        <v>4.4969505318791098E-2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1.02157571428571</v>
      </c>
      <c r="CD265">
        <v>4.3519480519478302E-3</v>
      </c>
      <c r="CE265">
        <v>1.2259013066333901E-3</v>
      </c>
      <c r="CF265">
        <v>1</v>
      </c>
      <c r="CG265">
        <v>2</v>
      </c>
      <c r="CH265">
        <v>2</v>
      </c>
      <c r="CI265" t="s">
        <v>310</v>
      </c>
      <c r="CJ265">
        <v>3.5325500000000001</v>
      </c>
      <c r="CK265">
        <v>2.7020300000000002</v>
      </c>
      <c r="CL265">
        <v>0.18157300000000001</v>
      </c>
      <c r="CM265">
        <v>0.17907799999999999</v>
      </c>
      <c r="CN265">
        <v>8.6859000000000006E-2</v>
      </c>
      <c r="CO265">
        <v>8.1737900000000002E-2</v>
      </c>
      <c r="CP265">
        <v>28697</v>
      </c>
      <c r="CQ265">
        <v>25279.4</v>
      </c>
      <c r="CR265">
        <v>32451.599999999999</v>
      </c>
      <c r="CS265">
        <v>30719.7</v>
      </c>
      <c r="CT265">
        <v>40134.5</v>
      </c>
      <c r="CU265">
        <v>39678.699999999997</v>
      </c>
      <c r="CV265">
        <v>47393.5</v>
      </c>
      <c r="CW265">
        <v>46852.3</v>
      </c>
      <c r="CX265">
        <v>2.6217000000000001</v>
      </c>
      <c r="CY265">
        <v>2.1370200000000001</v>
      </c>
      <c r="CZ265">
        <v>0</v>
      </c>
      <c r="DA265">
        <v>0</v>
      </c>
      <c r="DB265">
        <v>999.9</v>
      </c>
      <c r="DC265">
        <v>999.9</v>
      </c>
      <c r="DD265">
        <v>50.823999999999998</v>
      </c>
      <c r="DE265">
        <v>27.210999999999999</v>
      </c>
      <c r="DF265">
        <v>18.435700000000001</v>
      </c>
      <c r="DG265">
        <v>30.4786</v>
      </c>
      <c r="DH265">
        <v>15.368600000000001</v>
      </c>
      <c r="DI265">
        <v>2</v>
      </c>
      <c r="DJ265">
        <v>-0.11355899999999999</v>
      </c>
      <c r="DK265">
        <v>2.52624</v>
      </c>
      <c r="DL265">
        <v>20.191199999999998</v>
      </c>
      <c r="DM265">
        <v>5.2511900000000002</v>
      </c>
      <c r="DN265">
        <v>12.033899999999999</v>
      </c>
      <c r="DO265">
        <v>4.9660000000000002</v>
      </c>
      <c r="DP265">
        <v>3.2909999999999999</v>
      </c>
      <c r="DQ265">
        <v>9999</v>
      </c>
      <c r="DR265">
        <v>9999</v>
      </c>
      <c r="DS265">
        <v>9999</v>
      </c>
      <c r="DT265">
        <v>605.20000000000005</v>
      </c>
      <c r="DU265">
        <v>1.8711800000000001</v>
      </c>
      <c r="DV265">
        <v>1.87622</v>
      </c>
      <c r="DW265">
        <v>1.8763799999999999</v>
      </c>
      <c r="DX265">
        <v>1.88293</v>
      </c>
      <c r="DY265">
        <v>1.8756200000000001</v>
      </c>
      <c r="DZ265">
        <v>1.87469</v>
      </c>
      <c r="EA265">
        <v>1.8708800000000001</v>
      </c>
      <c r="EB265">
        <v>1.8747100000000001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-0.97499999999999998</v>
      </c>
      <c r="EQ265">
        <v>0.10920000000000001</v>
      </c>
      <c r="ER265">
        <v>-0.97454545454524999</v>
      </c>
      <c r="ES265">
        <v>0</v>
      </c>
      <c r="ET265">
        <v>0</v>
      </c>
      <c r="EU265">
        <v>0</v>
      </c>
      <c r="EV265">
        <v>0.109172727272727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6.3</v>
      </c>
      <c r="FE265">
        <v>6.4</v>
      </c>
      <c r="FF265">
        <v>2.5756800000000002</v>
      </c>
      <c r="FG265">
        <v>2.5805699999999998</v>
      </c>
      <c r="FH265">
        <v>2.19604</v>
      </c>
      <c r="FI265">
        <v>2.5769000000000002</v>
      </c>
      <c r="FJ265">
        <v>2.4462899999999999</v>
      </c>
      <c r="FK265">
        <v>2.3071299999999999</v>
      </c>
      <c r="FL265">
        <v>31.9146</v>
      </c>
      <c r="FM265">
        <v>24.14</v>
      </c>
      <c r="FN265">
        <v>19</v>
      </c>
      <c r="FO265">
        <v>865.30100000000004</v>
      </c>
      <c r="FP265">
        <v>582.38</v>
      </c>
      <c r="FQ265">
        <v>17.821200000000001</v>
      </c>
      <c r="FR265">
        <v>25.582699999999999</v>
      </c>
      <c r="FS265">
        <v>30</v>
      </c>
      <c r="FT265">
        <v>25.5655</v>
      </c>
      <c r="FU265">
        <v>25.5672</v>
      </c>
      <c r="FV265">
        <v>51.656399999999998</v>
      </c>
      <c r="FW265">
        <v>26.065300000000001</v>
      </c>
      <c r="FX265">
        <v>35.5229</v>
      </c>
      <c r="FY265">
        <v>17.840800000000002</v>
      </c>
      <c r="FZ265">
        <v>1000</v>
      </c>
      <c r="GA265">
        <v>14.3978</v>
      </c>
      <c r="GB265">
        <v>99.864400000000003</v>
      </c>
      <c r="GC265">
        <v>99.735399999999998</v>
      </c>
    </row>
    <row r="266" spans="1:185" x14ac:dyDescent="0.2">
      <c r="A266">
        <v>251</v>
      </c>
      <c r="B266">
        <v>1771090350</v>
      </c>
      <c r="C266">
        <v>5030</v>
      </c>
      <c r="D266" t="s">
        <v>803</v>
      </c>
      <c r="E266" t="s">
        <v>804</v>
      </c>
      <c r="F266">
        <v>15</v>
      </c>
      <c r="G266">
        <v>1771090342.5</v>
      </c>
      <c r="H266">
        <f t="shared" si="39"/>
        <v>8.3062299862132814E-4</v>
      </c>
      <c r="I266">
        <v>0</v>
      </c>
      <c r="J266">
        <f t="shared" si="51"/>
        <v>1.2440815463245892E-2</v>
      </c>
      <c r="K266">
        <f t="shared" si="40"/>
        <v>0.33721993688210994</v>
      </c>
      <c r="L266">
        <f t="shared" si="41"/>
        <v>69.812331571453313</v>
      </c>
      <c r="M266">
        <f t="shared" si="42"/>
        <v>1.539371942368714</v>
      </c>
      <c r="N266">
        <f t="shared" si="43"/>
        <v>2.205014368834191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26251.871973434176</v>
      </c>
      <c r="T266">
        <f t="shared" si="47"/>
        <v>799.99935714285698</v>
      </c>
      <c r="U266">
        <f t="shared" si="48"/>
        <v>674.39967235697054</v>
      </c>
      <c r="V266">
        <f t="shared" si="49"/>
        <v>0.84300026785714288</v>
      </c>
      <c r="W266">
        <f t="shared" si="50"/>
        <v>0.15870066964285717</v>
      </c>
      <c r="X266">
        <v>1</v>
      </c>
      <c r="Y266">
        <v>1771090342.5</v>
      </c>
      <c r="Z266">
        <v>998.56321428571403</v>
      </c>
      <c r="AA266">
        <v>1000.0214999999999</v>
      </c>
      <c r="AB266">
        <v>15.3995</v>
      </c>
      <c r="AC266">
        <v>14.377228571428599</v>
      </c>
      <c r="AD266">
        <v>999.53750000000002</v>
      </c>
      <c r="AE266">
        <v>15.29035</v>
      </c>
      <c r="AF266">
        <v>800.01435714285697</v>
      </c>
      <c r="AG266">
        <v>99.898271428571405</v>
      </c>
      <c r="AH266">
        <v>6.4191142857142905E-2</v>
      </c>
      <c r="AI266">
        <v>18.998792857142899</v>
      </c>
      <c r="AJ266">
        <v>999.9</v>
      </c>
      <c r="AK266">
        <v>999.9</v>
      </c>
      <c r="AL266">
        <v>0</v>
      </c>
      <c r="AM266">
        <v>0</v>
      </c>
      <c r="AN266">
        <v>5009.2857142857101</v>
      </c>
      <c r="AO266">
        <v>0</v>
      </c>
      <c r="AP266">
        <v>2.1693464285714299</v>
      </c>
      <c r="AQ266">
        <v>-1.45840428571429</v>
      </c>
      <c r="AR266">
        <v>1014.18142857143</v>
      </c>
      <c r="AS266">
        <v>1014.60785714286</v>
      </c>
      <c r="AT266">
        <v>1.02228571428571</v>
      </c>
      <c r="AU266">
        <v>1000.0214999999999</v>
      </c>
      <c r="AV266">
        <v>14.377228571428599</v>
      </c>
      <c r="AW266">
        <v>1.53838571428571</v>
      </c>
      <c r="AX266">
        <v>1.4362600000000001</v>
      </c>
      <c r="AY266">
        <v>13.3550928571429</v>
      </c>
      <c r="AZ266">
        <v>12.3059785714286</v>
      </c>
      <c r="BA266">
        <v>799.99935714285698</v>
      </c>
      <c r="BB266">
        <v>0.89999107142857104</v>
      </c>
      <c r="BC266">
        <v>0</v>
      </c>
      <c r="BD266">
        <v>0.100008928571429</v>
      </c>
      <c r="BE266">
        <v>0</v>
      </c>
      <c r="BF266">
        <v>26</v>
      </c>
      <c r="BG266">
        <v>13190.9857142857</v>
      </c>
      <c r="BH266">
        <v>1771089957.0999999</v>
      </c>
      <c r="BI266" t="s">
        <v>750</v>
      </c>
      <c r="BJ266">
        <v>1771089957.0999999</v>
      </c>
      <c r="BK266">
        <v>1771089951.0999999</v>
      </c>
      <c r="BL266">
        <v>9</v>
      </c>
      <c r="BM266">
        <v>-7.1999999999999995E-2</v>
      </c>
      <c r="BN266">
        <v>0</v>
      </c>
      <c r="BO266">
        <v>-0.97499999999999998</v>
      </c>
      <c r="BP266">
        <v>0.109</v>
      </c>
      <c r="BQ266">
        <v>1000</v>
      </c>
      <c r="BR266">
        <v>15</v>
      </c>
      <c r="BS266">
        <v>0.28999999999999998</v>
      </c>
      <c r="BT266">
        <v>0.06</v>
      </c>
      <c r="BU266">
        <v>-1.4721285</v>
      </c>
      <c r="BV266">
        <v>0.186840451127819</v>
      </c>
      <c r="BW266">
        <v>3.3798480775768601E-2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1.0223975000000001</v>
      </c>
      <c r="CD266">
        <v>-1.06957894736841E-2</v>
      </c>
      <c r="CE266">
        <v>1.7591613769066101E-3</v>
      </c>
      <c r="CF266">
        <v>1</v>
      </c>
      <c r="CG266">
        <v>2</v>
      </c>
      <c r="CH266">
        <v>2</v>
      </c>
      <c r="CI266" t="s">
        <v>310</v>
      </c>
      <c r="CJ266">
        <v>3.5325199999999999</v>
      </c>
      <c r="CK266">
        <v>2.7021899999999999</v>
      </c>
      <c r="CL266">
        <v>0.18157100000000001</v>
      </c>
      <c r="CM266">
        <v>0.17907899999999999</v>
      </c>
      <c r="CN266">
        <v>8.6849300000000004E-2</v>
      </c>
      <c r="CO266">
        <v>8.1743700000000002E-2</v>
      </c>
      <c r="CP266">
        <v>28697.200000000001</v>
      </c>
      <c r="CQ266">
        <v>25279.4</v>
      </c>
      <c r="CR266">
        <v>32451.8</v>
      </c>
      <c r="CS266">
        <v>30719.8</v>
      </c>
      <c r="CT266">
        <v>40135.300000000003</v>
      </c>
      <c r="CU266">
        <v>39678.699999999997</v>
      </c>
      <c r="CV266">
        <v>47393.9</v>
      </c>
      <c r="CW266">
        <v>46852.6</v>
      </c>
      <c r="CX266">
        <v>2.6214</v>
      </c>
      <c r="CY266">
        <v>2.1369799999999999</v>
      </c>
      <c r="CZ266">
        <v>0</v>
      </c>
      <c r="DA266">
        <v>0</v>
      </c>
      <c r="DB266">
        <v>999.9</v>
      </c>
      <c r="DC266">
        <v>999.9</v>
      </c>
      <c r="DD266">
        <v>50.8</v>
      </c>
      <c r="DE266">
        <v>27.231000000000002</v>
      </c>
      <c r="DF266">
        <v>18.447900000000001</v>
      </c>
      <c r="DG266">
        <v>29.938600000000001</v>
      </c>
      <c r="DH266">
        <v>15.4046</v>
      </c>
      <c r="DI266">
        <v>2</v>
      </c>
      <c r="DJ266">
        <v>-0.113575</v>
      </c>
      <c r="DK266">
        <v>2.5781700000000001</v>
      </c>
      <c r="DL266">
        <v>20.190300000000001</v>
      </c>
      <c r="DM266">
        <v>5.2476000000000003</v>
      </c>
      <c r="DN266">
        <v>12.033899999999999</v>
      </c>
      <c r="DO266">
        <v>4.9667599999999998</v>
      </c>
      <c r="DP266">
        <v>3.2909999999999999</v>
      </c>
      <c r="DQ266">
        <v>9999</v>
      </c>
      <c r="DR266">
        <v>9999</v>
      </c>
      <c r="DS266">
        <v>9999</v>
      </c>
      <c r="DT266">
        <v>605.20000000000005</v>
      </c>
      <c r="DU266">
        <v>1.8711899999999999</v>
      </c>
      <c r="DV266">
        <v>1.8762099999999999</v>
      </c>
      <c r="DW266">
        <v>1.8763700000000001</v>
      </c>
      <c r="DX266">
        <v>1.8829199999999999</v>
      </c>
      <c r="DY266">
        <v>1.8756200000000001</v>
      </c>
      <c r="DZ266">
        <v>1.87469</v>
      </c>
      <c r="EA266">
        <v>1.8708800000000001</v>
      </c>
      <c r="EB266">
        <v>1.8747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-0.97499999999999998</v>
      </c>
      <c r="EQ266">
        <v>0.1091</v>
      </c>
      <c r="ER266">
        <v>-0.97454545454524999</v>
      </c>
      <c r="ES266">
        <v>0</v>
      </c>
      <c r="ET266">
        <v>0</v>
      </c>
      <c r="EU266">
        <v>0</v>
      </c>
      <c r="EV266">
        <v>0.109172727272727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6.5</v>
      </c>
      <c r="FE266">
        <v>6.6</v>
      </c>
      <c r="FF266">
        <v>2.5756800000000002</v>
      </c>
      <c r="FG266">
        <v>2.5793499999999998</v>
      </c>
      <c r="FH266">
        <v>2.19604</v>
      </c>
      <c r="FI266">
        <v>2.5769000000000002</v>
      </c>
      <c r="FJ266">
        <v>2.4462899999999999</v>
      </c>
      <c r="FK266">
        <v>2.3278799999999999</v>
      </c>
      <c r="FL266">
        <v>31.9146</v>
      </c>
      <c r="FM266">
        <v>24.148800000000001</v>
      </c>
      <c r="FN266">
        <v>19</v>
      </c>
      <c r="FO266">
        <v>865.03800000000001</v>
      </c>
      <c r="FP266">
        <v>582.37400000000002</v>
      </c>
      <c r="FQ266">
        <v>17.845800000000001</v>
      </c>
      <c r="FR266">
        <v>25.584800000000001</v>
      </c>
      <c r="FS266">
        <v>30.0002</v>
      </c>
      <c r="FT266">
        <v>25.566500000000001</v>
      </c>
      <c r="FU266">
        <v>25.569299999999998</v>
      </c>
      <c r="FV266">
        <v>51.654000000000003</v>
      </c>
      <c r="FW266">
        <v>26.065300000000001</v>
      </c>
      <c r="FX266">
        <v>35.5229</v>
      </c>
      <c r="FY266">
        <v>17.843699999999998</v>
      </c>
      <c r="FZ266">
        <v>1000</v>
      </c>
      <c r="GA266">
        <v>14.3978</v>
      </c>
      <c r="GB266">
        <v>99.865099999999998</v>
      </c>
      <c r="GC266">
        <v>99.735900000000001</v>
      </c>
    </row>
    <row r="267" spans="1:185" x14ac:dyDescent="0.2">
      <c r="A267">
        <v>252</v>
      </c>
      <c r="B267">
        <v>1771090365</v>
      </c>
      <c r="C267">
        <v>5045</v>
      </c>
      <c r="D267" t="s">
        <v>805</v>
      </c>
      <c r="E267" t="s">
        <v>806</v>
      </c>
      <c r="F267">
        <v>15</v>
      </c>
      <c r="G267">
        <v>1771090357.5</v>
      </c>
      <c r="H267">
        <f t="shared" si="39"/>
        <v>8.2551209951605862E-4</v>
      </c>
      <c r="I267">
        <v>0</v>
      </c>
      <c r="J267">
        <f t="shared" si="51"/>
        <v>1.2869104405137661E-2</v>
      </c>
      <c r="K267">
        <f t="shared" si="40"/>
        <v>0.34882910915692844</v>
      </c>
      <c r="L267">
        <f t="shared" si="41"/>
        <v>69.806082998574695</v>
      </c>
      <c r="M267">
        <f t="shared" si="42"/>
        <v>1.5389089810589565</v>
      </c>
      <c r="N267">
        <f t="shared" si="43"/>
        <v>2.2045485363938528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26178.84324259176</v>
      </c>
      <c r="T267">
        <f t="shared" si="47"/>
        <v>800.00014285714303</v>
      </c>
      <c r="U267">
        <f t="shared" si="48"/>
        <v>674.4003038571758</v>
      </c>
      <c r="V267">
        <f t="shared" si="49"/>
        <v>0.84300022928571428</v>
      </c>
      <c r="W267">
        <f t="shared" si="50"/>
        <v>0.15870057321428574</v>
      </c>
      <c r="X267">
        <v>1</v>
      </c>
      <c r="Y267">
        <v>1771090357.5</v>
      </c>
      <c r="Z267">
        <v>998.49549999999999</v>
      </c>
      <c r="AA267">
        <v>999.96185714285696</v>
      </c>
      <c r="AB267">
        <v>15.3946285714286</v>
      </c>
      <c r="AC267">
        <v>14.3786357142857</v>
      </c>
      <c r="AD267">
        <v>999.47</v>
      </c>
      <c r="AE267">
        <v>15.285450000000001</v>
      </c>
      <c r="AF267">
        <v>800.00921428571405</v>
      </c>
      <c r="AG267">
        <v>99.899900000000002</v>
      </c>
      <c r="AH267">
        <v>6.41214714285714E-2</v>
      </c>
      <c r="AI267">
        <v>18.995407142857101</v>
      </c>
      <c r="AJ267">
        <v>999.9</v>
      </c>
      <c r="AK267">
        <v>999.9</v>
      </c>
      <c r="AL267">
        <v>0</v>
      </c>
      <c r="AM267">
        <v>0</v>
      </c>
      <c r="AN267">
        <v>4997.1071428571404</v>
      </c>
      <c r="AO267">
        <v>0</v>
      </c>
      <c r="AP267">
        <v>2.1812835714285699</v>
      </c>
      <c r="AQ267">
        <v>-1.4664128571428601</v>
      </c>
      <c r="AR267">
        <v>1014.10785714286</v>
      </c>
      <c r="AS267">
        <v>1014.55</v>
      </c>
      <c r="AT267">
        <v>1.0159871428571401</v>
      </c>
      <c r="AU267">
        <v>999.96185714285696</v>
      </c>
      <c r="AV267">
        <v>14.3786357142857</v>
      </c>
      <c r="AW267">
        <v>1.53792142857143</v>
      </c>
      <c r="AX267">
        <v>1.43642357142857</v>
      </c>
      <c r="AY267">
        <v>13.3504857142857</v>
      </c>
      <c r="AZ267">
        <v>12.307707142857099</v>
      </c>
      <c r="BA267">
        <v>800.00014285714303</v>
      </c>
      <c r="BB267">
        <v>0.89999235714285697</v>
      </c>
      <c r="BC267">
        <v>0</v>
      </c>
      <c r="BD267">
        <v>0.100007642857143</v>
      </c>
      <c r="BE267">
        <v>0</v>
      </c>
      <c r="BF267">
        <v>26</v>
      </c>
      <c r="BG267">
        <v>13190.992857142901</v>
      </c>
      <c r="BH267">
        <v>1771089957.0999999</v>
      </c>
      <c r="BI267" t="s">
        <v>750</v>
      </c>
      <c r="BJ267">
        <v>1771089957.0999999</v>
      </c>
      <c r="BK267">
        <v>1771089951.0999999</v>
      </c>
      <c r="BL267">
        <v>9</v>
      </c>
      <c r="BM267">
        <v>-7.1999999999999995E-2</v>
      </c>
      <c r="BN267">
        <v>0</v>
      </c>
      <c r="BO267">
        <v>-0.97499999999999998</v>
      </c>
      <c r="BP267">
        <v>0.109</v>
      </c>
      <c r="BQ267">
        <v>1000</v>
      </c>
      <c r="BR267">
        <v>15</v>
      </c>
      <c r="BS267">
        <v>0.28999999999999998</v>
      </c>
      <c r="BT267">
        <v>0.06</v>
      </c>
      <c r="BU267">
        <v>-1.46871142857143</v>
      </c>
      <c r="BV267">
        <v>-1.11451948051982E-2</v>
      </c>
      <c r="BW267">
        <v>2.34029839948658E-2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1.01739523809524</v>
      </c>
      <c r="CD267">
        <v>-2.6612727272725598E-2</v>
      </c>
      <c r="CE267">
        <v>2.80451102443328E-3</v>
      </c>
      <c r="CF267">
        <v>1</v>
      </c>
      <c r="CG267">
        <v>2</v>
      </c>
      <c r="CH267">
        <v>2</v>
      </c>
      <c r="CI267" t="s">
        <v>310</v>
      </c>
      <c r="CJ267">
        <v>3.5324599999999999</v>
      </c>
      <c r="CK267">
        <v>2.70173</v>
      </c>
      <c r="CL267">
        <v>0.18157400000000001</v>
      </c>
      <c r="CM267">
        <v>0.17907899999999999</v>
      </c>
      <c r="CN267">
        <v>8.6828100000000005E-2</v>
      </c>
      <c r="CO267">
        <v>8.1756499999999996E-2</v>
      </c>
      <c r="CP267">
        <v>28697.1</v>
      </c>
      <c r="CQ267">
        <v>25278.9</v>
      </c>
      <c r="CR267">
        <v>32451.8</v>
      </c>
      <c r="CS267">
        <v>30719.200000000001</v>
      </c>
      <c r="CT267">
        <v>40136.1</v>
      </c>
      <c r="CU267">
        <v>39677.5</v>
      </c>
      <c r="CV267">
        <v>47393.7</v>
      </c>
      <c r="CW267">
        <v>46851.9</v>
      </c>
      <c r="CX267">
        <v>2.6215600000000001</v>
      </c>
      <c r="CY267">
        <v>2.137</v>
      </c>
      <c r="CZ267">
        <v>0</v>
      </c>
      <c r="DA267">
        <v>0</v>
      </c>
      <c r="DB267">
        <v>999.9</v>
      </c>
      <c r="DC267">
        <v>999.9</v>
      </c>
      <c r="DD267">
        <v>50.750999999999998</v>
      </c>
      <c r="DE267">
        <v>27.241</v>
      </c>
      <c r="DF267">
        <v>18.441099999999999</v>
      </c>
      <c r="DG267">
        <v>30.238600000000002</v>
      </c>
      <c r="DH267">
        <v>15.5649</v>
      </c>
      <c r="DI267">
        <v>2</v>
      </c>
      <c r="DJ267">
        <v>-0.11332299999999999</v>
      </c>
      <c r="DK267">
        <v>2.5526</v>
      </c>
      <c r="DL267">
        <v>20.1906</v>
      </c>
      <c r="DM267">
        <v>5.2472399999999997</v>
      </c>
      <c r="DN267">
        <v>12.033899999999999</v>
      </c>
      <c r="DO267">
        <v>4.9676400000000003</v>
      </c>
      <c r="DP267">
        <v>3.2909999999999999</v>
      </c>
      <c r="DQ267">
        <v>9999</v>
      </c>
      <c r="DR267">
        <v>9999</v>
      </c>
      <c r="DS267">
        <v>9999</v>
      </c>
      <c r="DT267">
        <v>605.20000000000005</v>
      </c>
      <c r="DU267">
        <v>1.8711899999999999</v>
      </c>
      <c r="DV267">
        <v>1.8762099999999999</v>
      </c>
      <c r="DW267">
        <v>1.8763700000000001</v>
      </c>
      <c r="DX267">
        <v>1.88289</v>
      </c>
      <c r="DY267">
        <v>1.87561</v>
      </c>
      <c r="DZ267">
        <v>1.87469</v>
      </c>
      <c r="EA267">
        <v>1.87087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-0.97399999999999998</v>
      </c>
      <c r="EQ267">
        <v>0.1091</v>
      </c>
      <c r="ER267">
        <v>-0.97454545454524999</v>
      </c>
      <c r="ES267">
        <v>0</v>
      </c>
      <c r="ET267">
        <v>0</v>
      </c>
      <c r="EU267">
        <v>0</v>
      </c>
      <c r="EV267">
        <v>0.109172727272727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6.8</v>
      </c>
      <c r="FE267">
        <v>6.9</v>
      </c>
      <c r="FF267">
        <v>2.5756800000000002</v>
      </c>
      <c r="FG267">
        <v>2.5720200000000002</v>
      </c>
      <c r="FH267">
        <v>2.19604</v>
      </c>
      <c r="FI267">
        <v>2.5769000000000002</v>
      </c>
      <c r="FJ267">
        <v>2.4462899999999999</v>
      </c>
      <c r="FK267">
        <v>2.3120099999999999</v>
      </c>
      <c r="FL267">
        <v>31.936499999999999</v>
      </c>
      <c r="FM267">
        <v>24.14</v>
      </c>
      <c r="FN267">
        <v>19</v>
      </c>
      <c r="FO267">
        <v>865.221</v>
      </c>
      <c r="FP267">
        <v>582.38900000000001</v>
      </c>
      <c r="FQ267">
        <v>17.848199999999999</v>
      </c>
      <c r="FR267">
        <v>25.584800000000001</v>
      </c>
      <c r="FS267">
        <v>30.0001</v>
      </c>
      <c r="FT267">
        <v>25.5686</v>
      </c>
      <c r="FU267">
        <v>25.569299999999998</v>
      </c>
      <c r="FV267">
        <v>51.660899999999998</v>
      </c>
      <c r="FW267">
        <v>26.065300000000001</v>
      </c>
      <c r="FX267">
        <v>35.151400000000002</v>
      </c>
      <c r="FY267">
        <v>17.851400000000002</v>
      </c>
      <c r="FZ267">
        <v>1000</v>
      </c>
      <c r="GA267">
        <v>14.3978</v>
      </c>
      <c r="GB267">
        <v>99.864800000000002</v>
      </c>
      <c r="GC267">
        <v>99.734200000000001</v>
      </c>
    </row>
    <row r="268" spans="1:185" x14ac:dyDescent="0.2">
      <c r="A268">
        <v>253</v>
      </c>
      <c r="B268">
        <v>1771090380</v>
      </c>
      <c r="C268">
        <v>5060</v>
      </c>
      <c r="D268" t="s">
        <v>807</v>
      </c>
      <c r="E268" t="s">
        <v>808</v>
      </c>
      <c r="F268">
        <v>15</v>
      </c>
      <c r="G268">
        <v>1771090372.5</v>
      </c>
      <c r="H268">
        <f t="shared" si="39"/>
        <v>8.389999068983239E-4</v>
      </c>
      <c r="I268">
        <v>0</v>
      </c>
      <c r="J268">
        <f t="shared" si="51"/>
        <v>1.3309326476840718E-2</v>
      </c>
      <c r="K268">
        <f t="shared" si="40"/>
        <v>0.36076174007428191</v>
      </c>
      <c r="L268">
        <f t="shared" si="41"/>
        <v>69.750086407994885</v>
      </c>
      <c r="M268">
        <f t="shared" si="42"/>
        <v>1.5379432137304185</v>
      </c>
      <c r="N268">
        <f t="shared" si="43"/>
        <v>2.2049337756148453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26119.671952682915</v>
      </c>
      <c r="T268">
        <f t="shared" si="47"/>
        <v>800.00014285714303</v>
      </c>
      <c r="U268">
        <f t="shared" si="48"/>
        <v>674.40028842860158</v>
      </c>
      <c r="V268">
        <f t="shared" si="49"/>
        <v>0.84300021000000003</v>
      </c>
      <c r="W268">
        <f t="shared" si="50"/>
        <v>0.15870052500000001</v>
      </c>
      <c r="X268">
        <v>1</v>
      </c>
      <c r="Y268">
        <v>1771090372.5</v>
      </c>
      <c r="Z268">
        <v>998.52449999999999</v>
      </c>
      <c r="AA268">
        <v>1000.02264285714</v>
      </c>
      <c r="AB268">
        <v>15.3846285714286</v>
      </c>
      <c r="AC268">
        <v>14.352021428571399</v>
      </c>
      <c r="AD268">
        <v>999.49885714285699</v>
      </c>
      <c r="AE268">
        <v>15.2754571428571</v>
      </c>
      <c r="AF268">
        <v>800.00628571428604</v>
      </c>
      <c r="AG268">
        <v>99.902135714285706</v>
      </c>
      <c r="AH268">
        <v>6.4087492857142894E-2</v>
      </c>
      <c r="AI268">
        <v>18.998207142857101</v>
      </c>
      <c r="AJ268">
        <v>999.9</v>
      </c>
      <c r="AK268">
        <v>999.9</v>
      </c>
      <c r="AL268">
        <v>0</v>
      </c>
      <c r="AM268">
        <v>0</v>
      </c>
      <c r="AN268">
        <v>4987.2857142857101</v>
      </c>
      <c r="AO268">
        <v>0</v>
      </c>
      <c r="AP268">
        <v>2.2019299999999999</v>
      </c>
      <c r="AQ268">
        <v>-1.4990364285714299</v>
      </c>
      <c r="AR268">
        <v>1014.12642857143</v>
      </c>
      <c r="AS268">
        <v>1014.5835714285701</v>
      </c>
      <c r="AT268">
        <v>1.0325985714285699</v>
      </c>
      <c r="AU268">
        <v>1000.02264285714</v>
      </c>
      <c r="AV268">
        <v>14.352021428571399</v>
      </c>
      <c r="AW268">
        <v>1.53695571428571</v>
      </c>
      <c r="AX268">
        <v>1.43379642857143</v>
      </c>
      <c r="AY268">
        <v>13.340835714285699</v>
      </c>
      <c r="AZ268">
        <v>12.279871428571401</v>
      </c>
      <c r="BA268">
        <v>800.00014285714303</v>
      </c>
      <c r="BB268">
        <v>0.89999300000000004</v>
      </c>
      <c r="BC268">
        <v>0</v>
      </c>
      <c r="BD268">
        <v>0.100007</v>
      </c>
      <c r="BE268">
        <v>0</v>
      </c>
      <c r="BF268">
        <v>26</v>
      </c>
      <c r="BG268">
        <v>13191.0142857143</v>
      </c>
      <c r="BH268">
        <v>1771089957.0999999</v>
      </c>
      <c r="BI268" t="s">
        <v>750</v>
      </c>
      <c r="BJ268">
        <v>1771089957.0999999</v>
      </c>
      <c r="BK268">
        <v>1771089951.0999999</v>
      </c>
      <c r="BL268">
        <v>9</v>
      </c>
      <c r="BM268">
        <v>-7.1999999999999995E-2</v>
      </c>
      <c r="BN268">
        <v>0</v>
      </c>
      <c r="BO268">
        <v>-0.97499999999999998</v>
      </c>
      <c r="BP268">
        <v>0.109</v>
      </c>
      <c r="BQ268">
        <v>1000</v>
      </c>
      <c r="BR268">
        <v>15</v>
      </c>
      <c r="BS268">
        <v>0.28999999999999998</v>
      </c>
      <c r="BT268">
        <v>0.06</v>
      </c>
      <c r="BU268">
        <v>-1.4932004999999999</v>
      </c>
      <c r="BV268">
        <v>0.117629323308269</v>
      </c>
      <c r="BW268">
        <v>4.81768065021956E-2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1.02674</v>
      </c>
      <c r="CD268">
        <v>8.7958195488722205E-2</v>
      </c>
      <c r="CE268">
        <v>1.0829939058000299E-2</v>
      </c>
      <c r="CF268">
        <v>1</v>
      </c>
      <c r="CG268">
        <v>2</v>
      </c>
      <c r="CH268">
        <v>2</v>
      </c>
      <c r="CI268" t="s">
        <v>310</v>
      </c>
      <c r="CJ268">
        <v>3.5325500000000001</v>
      </c>
      <c r="CK268">
        <v>2.7021999999999999</v>
      </c>
      <c r="CL268">
        <v>0.18157499999999999</v>
      </c>
      <c r="CM268">
        <v>0.17907699999999999</v>
      </c>
      <c r="CN268">
        <v>8.67589E-2</v>
      </c>
      <c r="CO268">
        <v>8.1607799999999994E-2</v>
      </c>
      <c r="CP268">
        <v>28697.3</v>
      </c>
      <c r="CQ268">
        <v>25279.599999999999</v>
      </c>
      <c r="CR268">
        <v>32452.1</v>
      </c>
      <c r="CS268">
        <v>30720</v>
      </c>
      <c r="CT268">
        <v>40139.599999999999</v>
      </c>
      <c r="CU268">
        <v>39684.699999999997</v>
      </c>
      <c r="CV268">
        <v>47394.2</v>
      </c>
      <c r="CW268">
        <v>46852.5</v>
      </c>
      <c r="CX268">
        <v>2.6214200000000001</v>
      </c>
      <c r="CY268">
        <v>2.1366399999999999</v>
      </c>
      <c r="CZ268">
        <v>0</v>
      </c>
      <c r="DA268">
        <v>0</v>
      </c>
      <c r="DB268">
        <v>999.9</v>
      </c>
      <c r="DC268">
        <v>999.9</v>
      </c>
      <c r="DD268">
        <v>50.677999999999997</v>
      </c>
      <c r="DE268">
        <v>27.241</v>
      </c>
      <c r="DF268">
        <v>18.4147</v>
      </c>
      <c r="DG268">
        <v>30.628599999999999</v>
      </c>
      <c r="DH268">
        <v>15.3886</v>
      </c>
      <c r="DI268">
        <v>2</v>
      </c>
      <c r="DJ268">
        <v>-0.113423</v>
      </c>
      <c r="DK268">
        <v>2.5578799999999999</v>
      </c>
      <c r="DL268">
        <v>20.190799999999999</v>
      </c>
      <c r="DM268">
        <v>5.2521500000000003</v>
      </c>
      <c r="DN268">
        <v>12.033899999999999</v>
      </c>
      <c r="DO268">
        <v>4.9675200000000004</v>
      </c>
      <c r="DP268">
        <v>3.2909999999999999</v>
      </c>
      <c r="DQ268">
        <v>9999</v>
      </c>
      <c r="DR268">
        <v>9999</v>
      </c>
      <c r="DS268">
        <v>9999</v>
      </c>
      <c r="DT268">
        <v>605.20000000000005</v>
      </c>
      <c r="DU268">
        <v>1.87117</v>
      </c>
      <c r="DV268">
        <v>1.8762099999999999</v>
      </c>
      <c r="DW268">
        <v>1.8763700000000001</v>
      </c>
      <c r="DX268">
        <v>1.88283</v>
      </c>
      <c r="DY268">
        <v>1.87561</v>
      </c>
      <c r="DZ268">
        <v>1.87469</v>
      </c>
      <c r="EA268">
        <v>1.8708499999999999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-0.97499999999999998</v>
      </c>
      <c r="EQ268">
        <v>0.10920000000000001</v>
      </c>
      <c r="ER268">
        <v>-0.97454545454524999</v>
      </c>
      <c r="ES268">
        <v>0</v>
      </c>
      <c r="ET268">
        <v>0</v>
      </c>
      <c r="EU268">
        <v>0</v>
      </c>
      <c r="EV268">
        <v>0.109172727272727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7</v>
      </c>
      <c r="FE268">
        <v>7.1</v>
      </c>
      <c r="FF268">
        <v>2.5756800000000002</v>
      </c>
      <c r="FG268">
        <v>2.5830099999999998</v>
      </c>
      <c r="FH268">
        <v>2.19604</v>
      </c>
      <c r="FI268">
        <v>2.5769000000000002</v>
      </c>
      <c r="FJ268">
        <v>2.4462899999999999</v>
      </c>
      <c r="FK268">
        <v>2.2766099999999998</v>
      </c>
      <c r="FL268">
        <v>31.936499999999999</v>
      </c>
      <c r="FM268">
        <v>24.1313</v>
      </c>
      <c r="FN268">
        <v>19</v>
      </c>
      <c r="FO268">
        <v>865.09100000000001</v>
      </c>
      <c r="FP268">
        <v>582.11099999999999</v>
      </c>
      <c r="FQ268">
        <v>17.856400000000001</v>
      </c>
      <c r="FR268">
        <v>25.587</v>
      </c>
      <c r="FS268">
        <v>30</v>
      </c>
      <c r="FT268">
        <v>25.5686</v>
      </c>
      <c r="FU268">
        <v>25.569299999999998</v>
      </c>
      <c r="FV268">
        <v>51.66</v>
      </c>
      <c r="FW268">
        <v>26.065300000000001</v>
      </c>
      <c r="FX268">
        <v>35.151400000000002</v>
      </c>
      <c r="FY268">
        <v>17.8567</v>
      </c>
      <c r="FZ268">
        <v>1000</v>
      </c>
      <c r="GA268">
        <v>14.3978</v>
      </c>
      <c r="GB268">
        <v>99.865799999999993</v>
      </c>
      <c r="GC268">
        <v>99.736000000000004</v>
      </c>
    </row>
    <row r="269" spans="1:185" x14ac:dyDescent="0.2">
      <c r="A269">
        <v>254</v>
      </c>
      <c r="B269">
        <v>1771090395</v>
      </c>
      <c r="C269">
        <v>5075</v>
      </c>
      <c r="D269" t="s">
        <v>809</v>
      </c>
      <c r="E269" t="s">
        <v>810</v>
      </c>
      <c r="F269">
        <v>15</v>
      </c>
      <c r="G269">
        <v>1771090387.5</v>
      </c>
      <c r="H269">
        <f t="shared" si="39"/>
        <v>8.3617409536142315E-4</v>
      </c>
      <c r="I269">
        <v>0</v>
      </c>
      <c r="J269">
        <f t="shared" si="51"/>
        <v>1.2256800192364619E-2</v>
      </c>
      <c r="K269">
        <f t="shared" si="40"/>
        <v>0.33223203088710074</v>
      </c>
      <c r="L269">
        <f t="shared" si="41"/>
        <v>69.698894882754587</v>
      </c>
      <c r="M269">
        <f t="shared" si="42"/>
        <v>1.5369466884477148</v>
      </c>
      <c r="N269">
        <f t="shared" si="43"/>
        <v>2.2051234686477037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26252.184669992814</v>
      </c>
      <c r="T269">
        <f t="shared" si="47"/>
        <v>800.00042857142898</v>
      </c>
      <c r="U269">
        <f t="shared" si="48"/>
        <v>674.40059614298332</v>
      </c>
      <c r="V269">
        <f t="shared" si="49"/>
        <v>0.84300029357142858</v>
      </c>
      <c r="W269">
        <f t="shared" si="50"/>
        <v>0.15870073392857145</v>
      </c>
      <c r="X269">
        <v>1</v>
      </c>
      <c r="Y269">
        <v>1771090387.5</v>
      </c>
      <c r="Z269">
        <v>998.50542857142898</v>
      </c>
      <c r="AA269">
        <v>999.96435714285701</v>
      </c>
      <c r="AB269">
        <v>15.374750000000001</v>
      </c>
      <c r="AC269">
        <v>14.3456142857143</v>
      </c>
      <c r="AD269">
        <v>999.48</v>
      </c>
      <c r="AE269">
        <v>15.265585714285701</v>
      </c>
      <c r="AF269">
        <v>800.00928571428597</v>
      </c>
      <c r="AG269">
        <v>99.901378571428594</v>
      </c>
      <c r="AH269">
        <v>6.4259142857142904E-2</v>
      </c>
      <c r="AI269">
        <v>18.999585714285701</v>
      </c>
      <c r="AJ269">
        <v>999.9</v>
      </c>
      <c r="AK269">
        <v>999.9</v>
      </c>
      <c r="AL269">
        <v>0</v>
      </c>
      <c r="AM269">
        <v>0</v>
      </c>
      <c r="AN269">
        <v>5009.2142857142899</v>
      </c>
      <c r="AO269">
        <v>0</v>
      </c>
      <c r="AP269">
        <v>2.2019299999999999</v>
      </c>
      <c r="AQ269">
        <v>-1.4589421428571401</v>
      </c>
      <c r="AR269">
        <v>1014.09642857143</v>
      </c>
      <c r="AS269">
        <v>1014.51785714286</v>
      </c>
      <c r="AT269">
        <v>1.0291407142857101</v>
      </c>
      <c r="AU269">
        <v>999.96435714285701</v>
      </c>
      <c r="AV269">
        <v>14.3456142857143</v>
      </c>
      <c r="AW269">
        <v>1.53596</v>
      </c>
      <c r="AX269">
        <v>1.4331464285714299</v>
      </c>
      <c r="AY269">
        <v>13.3309</v>
      </c>
      <c r="AZ269">
        <v>12.2729642857143</v>
      </c>
      <c r="BA269">
        <v>800.00042857142898</v>
      </c>
      <c r="BB269">
        <v>0.89999021428571402</v>
      </c>
      <c r="BC269">
        <v>0</v>
      </c>
      <c r="BD269">
        <v>0.100009785714286</v>
      </c>
      <c r="BE269">
        <v>0</v>
      </c>
      <c r="BF269">
        <v>26</v>
      </c>
      <c r="BG269">
        <v>13190.9857142857</v>
      </c>
      <c r="BH269">
        <v>1771089957.0999999</v>
      </c>
      <c r="BI269" t="s">
        <v>750</v>
      </c>
      <c r="BJ269">
        <v>1771089957.0999999</v>
      </c>
      <c r="BK269">
        <v>1771089951.0999999</v>
      </c>
      <c r="BL269">
        <v>9</v>
      </c>
      <c r="BM269">
        <v>-7.1999999999999995E-2</v>
      </c>
      <c r="BN269">
        <v>0</v>
      </c>
      <c r="BO269">
        <v>-0.97499999999999998</v>
      </c>
      <c r="BP269">
        <v>0.109</v>
      </c>
      <c r="BQ269">
        <v>1000</v>
      </c>
      <c r="BR269">
        <v>15</v>
      </c>
      <c r="BS269">
        <v>0.28999999999999998</v>
      </c>
      <c r="BT269">
        <v>0.06</v>
      </c>
      <c r="BU269">
        <v>-1.4543633333333299</v>
      </c>
      <c r="BV269">
        <v>-0.21749766233766399</v>
      </c>
      <c r="BW269">
        <v>4.8038099793247802E-2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1.0303709523809499</v>
      </c>
      <c r="CD269">
        <v>-2.6054805194804201E-2</v>
      </c>
      <c r="CE269">
        <v>3.06523968574493E-3</v>
      </c>
      <c r="CF269">
        <v>1</v>
      </c>
      <c r="CG269">
        <v>2</v>
      </c>
      <c r="CH269">
        <v>2</v>
      </c>
      <c r="CI269" t="s">
        <v>310</v>
      </c>
      <c r="CJ269">
        <v>3.5325199999999999</v>
      </c>
      <c r="CK269">
        <v>2.7019099999999998</v>
      </c>
      <c r="CL269">
        <v>0.18157300000000001</v>
      </c>
      <c r="CM269">
        <v>0.17907899999999999</v>
      </c>
      <c r="CN269">
        <v>8.6753700000000003E-2</v>
      </c>
      <c r="CO269">
        <v>8.1617899999999993E-2</v>
      </c>
      <c r="CP269">
        <v>28697.3</v>
      </c>
      <c r="CQ269">
        <v>25279.9</v>
      </c>
      <c r="CR269">
        <v>32452</v>
      </c>
      <c r="CS269">
        <v>30720.400000000001</v>
      </c>
      <c r="CT269">
        <v>40139.800000000003</v>
      </c>
      <c r="CU269">
        <v>39685.4</v>
      </c>
      <c r="CV269">
        <v>47394.1</v>
      </c>
      <c r="CW269">
        <v>46853.9</v>
      </c>
      <c r="CX269">
        <v>2.6214400000000002</v>
      </c>
      <c r="CY269">
        <v>2.1366200000000002</v>
      </c>
      <c r="CZ269">
        <v>0</v>
      </c>
      <c r="DA269">
        <v>0</v>
      </c>
      <c r="DB269">
        <v>999.9</v>
      </c>
      <c r="DC269">
        <v>999.9</v>
      </c>
      <c r="DD269">
        <v>50.652999999999999</v>
      </c>
      <c r="DE269">
        <v>27.260999999999999</v>
      </c>
      <c r="DF269">
        <v>18.427600000000002</v>
      </c>
      <c r="DG269">
        <v>30.508600000000001</v>
      </c>
      <c r="DH269">
        <v>15.4087</v>
      </c>
      <c r="DI269">
        <v>2</v>
      </c>
      <c r="DJ269">
        <v>-0.11351799999999999</v>
      </c>
      <c r="DK269">
        <v>2.59701</v>
      </c>
      <c r="DL269">
        <v>20.189800000000002</v>
      </c>
      <c r="DM269">
        <v>5.2516699999999998</v>
      </c>
      <c r="DN269">
        <v>12.033899999999999</v>
      </c>
      <c r="DO269">
        <v>4.9671599999999998</v>
      </c>
      <c r="DP269">
        <v>3.2909999999999999</v>
      </c>
      <c r="DQ269">
        <v>9999</v>
      </c>
      <c r="DR269">
        <v>9999</v>
      </c>
      <c r="DS269">
        <v>9999</v>
      </c>
      <c r="DT269">
        <v>605.20000000000005</v>
      </c>
      <c r="DU269">
        <v>1.8711800000000001</v>
      </c>
      <c r="DV269">
        <v>1.8762099999999999</v>
      </c>
      <c r="DW269">
        <v>1.87636</v>
      </c>
      <c r="DX269">
        <v>1.88286</v>
      </c>
      <c r="DY269">
        <v>1.87561</v>
      </c>
      <c r="DZ269">
        <v>1.87469</v>
      </c>
      <c r="EA269">
        <v>1.87087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-0.97399999999999998</v>
      </c>
      <c r="EQ269">
        <v>0.10920000000000001</v>
      </c>
      <c r="ER269">
        <v>-0.97454545454524999</v>
      </c>
      <c r="ES269">
        <v>0</v>
      </c>
      <c r="ET269">
        <v>0</v>
      </c>
      <c r="EU269">
        <v>0</v>
      </c>
      <c r="EV269">
        <v>0.109172727272727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7.3</v>
      </c>
      <c r="FE269">
        <v>7.4</v>
      </c>
      <c r="FF269">
        <v>2.5756800000000002</v>
      </c>
      <c r="FG269">
        <v>2.5805699999999998</v>
      </c>
      <c r="FH269">
        <v>2.19604</v>
      </c>
      <c r="FI269">
        <v>2.5769000000000002</v>
      </c>
      <c r="FJ269">
        <v>2.4462899999999999</v>
      </c>
      <c r="FK269">
        <v>2.3168899999999999</v>
      </c>
      <c r="FL269">
        <v>31.936499999999999</v>
      </c>
      <c r="FM269">
        <v>24.14</v>
      </c>
      <c r="FN269">
        <v>19</v>
      </c>
      <c r="FO269">
        <v>865.14400000000001</v>
      </c>
      <c r="FP269">
        <v>582.11900000000003</v>
      </c>
      <c r="FQ269">
        <v>17.856400000000001</v>
      </c>
      <c r="FR269">
        <v>25.587</v>
      </c>
      <c r="FS269">
        <v>30.0001</v>
      </c>
      <c r="FT269">
        <v>25.570799999999998</v>
      </c>
      <c r="FU269">
        <v>25.5715</v>
      </c>
      <c r="FV269">
        <v>51.662599999999998</v>
      </c>
      <c r="FW269">
        <v>26.065300000000001</v>
      </c>
      <c r="FX269">
        <v>35.151400000000002</v>
      </c>
      <c r="FY269">
        <v>17.849900000000002</v>
      </c>
      <c r="FZ269">
        <v>1000</v>
      </c>
      <c r="GA269">
        <v>14.398099999999999</v>
      </c>
      <c r="GB269">
        <v>99.865600000000001</v>
      </c>
      <c r="GC269">
        <v>99.738399999999999</v>
      </c>
    </row>
    <row r="270" spans="1:185" x14ac:dyDescent="0.2">
      <c r="A270">
        <v>255</v>
      </c>
      <c r="B270">
        <v>1771090410</v>
      </c>
      <c r="C270">
        <v>5090</v>
      </c>
      <c r="D270" t="s">
        <v>811</v>
      </c>
      <c r="E270" t="s">
        <v>812</v>
      </c>
      <c r="F270">
        <v>15</v>
      </c>
      <c r="G270">
        <v>1771090402.5</v>
      </c>
      <c r="H270">
        <f t="shared" si="39"/>
        <v>8.3411224818619764E-4</v>
      </c>
      <c r="I270">
        <v>0</v>
      </c>
      <c r="J270">
        <f t="shared" si="51"/>
        <v>1.2746957963781759E-2</v>
      </c>
      <c r="K270">
        <f t="shared" si="40"/>
        <v>0.34551821564145913</v>
      </c>
      <c r="L270">
        <f t="shared" si="41"/>
        <v>69.695985090579384</v>
      </c>
      <c r="M270">
        <f t="shared" si="42"/>
        <v>1.5369551400625248</v>
      </c>
      <c r="N270">
        <f t="shared" si="43"/>
        <v>2.2052276584727846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26191.342547378179</v>
      </c>
      <c r="T270">
        <f t="shared" si="47"/>
        <v>799.99942857142901</v>
      </c>
      <c r="U270">
        <f t="shared" si="48"/>
        <v>674.39957999995613</v>
      </c>
      <c r="V270">
        <f t="shared" si="49"/>
        <v>0.84300007714285696</v>
      </c>
      <c r="W270">
        <f t="shared" si="50"/>
        <v>0.15870074965714279</v>
      </c>
      <c r="X270">
        <v>1</v>
      </c>
      <c r="Y270">
        <v>1771090402.5</v>
      </c>
      <c r="Z270">
        <v>998.538571428571</v>
      </c>
      <c r="AA270">
        <v>1000.0115714285701</v>
      </c>
      <c r="AB270">
        <v>15.3747357142857</v>
      </c>
      <c r="AC270">
        <v>14.3481357142857</v>
      </c>
      <c r="AD270">
        <v>999.51314285714295</v>
      </c>
      <c r="AE270">
        <v>15.2655785714286</v>
      </c>
      <c r="AF270">
        <v>800.007785714286</v>
      </c>
      <c r="AG270">
        <v>99.902228571428594</v>
      </c>
      <c r="AH270">
        <v>6.4051735714285699E-2</v>
      </c>
      <c r="AI270">
        <v>19.0003428571429</v>
      </c>
      <c r="AJ270">
        <v>999.9</v>
      </c>
      <c r="AK270">
        <v>999.9</v>
      </c>
      <c r="AL270">
        <v>0</v>
      </c>
      <c r="AM270">
        <v>0</v>
      </c>
      <c r="AN270">
        <v>4999.1428571428596</v>
      </c>
      <c r="AO270">
        <v>0</v>
      </c>
      <c r="AP270">
        <v>2.2019299999999999</v>
      </c>
      <c r="AQ270">
        <v>-1.4735935714285699</v>
      </c>
      <c r="AR270">
        <v>1014.13</v>
      </c>
      <c r="AS270">
        <v>1014.56928571429</v>
      </c>
      <c r="AT270">
        <v>1.0266092857142901</v>
      </c>
      <c r="AU270">
        <v>1000.0115714285701</v>
      </c>
      <c r="AV270">
        <v>14.3481357142857</v>
      </c>
      <c r="AW270">
        <v>1.53597071428571</v>
      </c>
      <c r="AX270">
        <v>1.4334092857142899</v>
      </c>
      <c r="AY270">
        <v>13.3310071428571</v>
      </c>
      <c r="AZ270">
        <v>12.275764285714301</v>
      </c>
      <c r="BA270">
        <v>799.99942857142901</v>
      </c>
      <c r="BB270">
        <v>0.89998914285714304</v>
      </c>
      <c r="BC270">
        <v>0</v>
      </c>
      <c r="BD270">
        <v>0.100010571428571</v>
      </c>
      <c r="BE270">
        <v>0</v>
      </c>
      <c r="BF270">
        <v>26</v>
      </c>
      <c r="BG270">
        <v>13190.9714285714</v>
      </c>
      <c r="BH270">
        <v>1771089957.0999999</v>
      </c>
      <c r="BI270" t="s">
        <v>750</v>
      </c>
      <c r="BJ270">
        <v>1771089957.0999999</v>
      </c>
      <c r="BK270">
        <v>1771089951.0999999</v>
      </c>
      <c r="BL270">
        <v>9</v>
      </c>
      <c r="BM270">
        <v>-7.1999999999999995E-2</v>
      </c>
      <c r="BN270">
        <v>0</v>
      </c>
      <c r="BO270">
        <v>-0.97499999999999998</v>
      </c>
      <c r="BP270">
        <v>0.109</v>
      </c>
      <c r="BQ270">
        <v>1000</v>
      </c>
      <c r="BR270">
        <v>15</v>
      </c>
      <c r="BS270">
        <v>0.28999999999999998</v>
      </c>
      <c r="BT270">
        <v>0.06</v>
      </c>
      <c r="BU270">
        <v>-1.4765575</v>
      </c>
      <c r="BV270">
        <v>6.9678947368421298E-2</v>
      </c>
      <c r="BW270">
        <v>1.7906307233765399E-2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1.0265555</v>
      </c>
      <c r="CD270">
        <v>3.3514285714292499E-3</v>
      </c>
      <c r="CE270">
        <v>1.06887078264868E-3</v>
      </c>
      <c r="CF270">
        <v>1</v>
      </c>
      <c r="CG270">
        <v>2</v>
      </c>
      <c r="CH270">
        <v>2</v>
      </c>
      <c r="CI270" t="s">
        <v>310</v>
      </c>
      <c r="CJ270">
        <v>3.5324800000000001</v>
      </c>
      <c r="CK270">
        <v>2.7017199999999999</v>
      </c>
      <c r="CL270">
        <v>0.18157899999999999</v>
      </c>
      <c r="CM270">
        <v>0.179087</v>
      </c>
      <c r="CN270">
        <v>8.6746500000000004E-2</v>
      </c>
      <c r="CO270">
        <v>8.1626699999999996E-2</v>
      </c>
      <c r="CP270">
        <v>28697.200000000001</v>
      </c>
      <c r="CQ270">
        <v>25279.599999999999</v>
      </c>
      <c r="CR270">
        <v>32452.1</v>
      </c>
      <c r="CS270">
        <v>30720.400000000001</v>
      </c>
      <c r="CT270">
        <v>40140.199999999997</v>
      </c>
      <c r="CU270">
        <v>39684.800000000003</v>
      </c>
      <c r="CV270">
        <v>47394.2</v>
      </c>
      <c r="CW270">
        <v>46853.7</v>
      </c>
      <c r="CX270">
        <v>2.6214200000000001</v>
      </c>
      <c r="CY270">
        <v>2.1366399999999999</v>
      </c>
      <c r="CZ270">
        <v>0</v>
      </c>
      <c r="DA270">
        <v>0</v>
      </c>
      <c r="DB270">
        <v>999.9</v>
      </c>
      <c r="DC270">
        <v>999.9</v>
      </c>
      <c r="DD270">
        <v>50.603999999999999</v>
      </c>
      <c r="DE270">
        <v>27.260999999999999</v>
      </c>
      <c r="DF270">
        <v>18.4102</v>
      </c>
      <c r="DG270">
        <v>30.448599999999999</v>
      </c>
      <c r="DH270">
        <v>15.5329</v>
      </c>
      <c r="DI270">
        <v>2</v>
      </c>
      <c r="DJ270">
        <v>-0.113577</v>
      </c>
      <c r="DK270">
        <v>2.5756399999999999</v>
      </c>
      <c r="DL270">
        <v>20.1904</v>
      </c>
      <c r="DM270">
        <v>5.2513100000000001</v>
      </c>
      <c r="DN270">
        <v>12.033899999999999</v>
      </c>
      <c r="DO270">
        <v>4.9672400000000003</v>
      </c>
      <c r="DP270">
        <v>3.2909999999999999</v>
      </c>
      <c r="DQ270">
        <v>9999</v>
      </c>
      <c r="DR270">
        <v>9999</v>
      </c>
      <c r="DS270">
        <v>9999</v>
      </c>
      <c r="DT270">
        <v>605.20000000000005</v>
      </c>
      <c r="DU270">
        <v>1.8711599999999999</v>
      </c>
      <c r="DV270">
        <v>1.8762099999999999</v>
      </c>
      <c r="DW270">
        <v>1.8763700000000001</v>
      </c>
      <c r="DX270">
        <v>1.8828400000000001</v>
      </c>
      <c r="DY270">
        <v>1.87561</v>
      </c>
      <c r="DZ270">
        <v>1.87469</v>
      </c>
      <c r="EA270">
        <v>1.87086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-0.97399999999999998</v>
      </c>
      <c r="EQ270">
        <v>0.10920000000000001</v>
      </c>
      <c r="ER270">
        <v>-0.97454545454524999</v>
      </c>
      <c r="ES270">
        <v>0</v>
      </c>
      <c r="ET270">
        <v>0</v>
      </c>
      <c r="EU270">
        <v>0</v>
      </c>
      <c r="EV270">
        <v>0.109172727272727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7.5</v>
      </c>
      <c r="FE270">
        <v>7.6</v>
      </c>
      <c r="FF270">
        <v>2.5756800000000002</v>
      </c>
      <c r="FG270">
        <v>2.5769000000000002</v>
      </c>
      <c r="FH270">
        <v>2.19604</v>
      </c>
      <c r="FI270">
        <v>2.5769000000000002</v>
      </c>
      <c r="FJ270">
        <v>2.4462899999999999</v>
      </c>
      <c r="FK270">
        <v>2.31934</v>
      </c>
      <c r="FL270">
        <v>31.936499999999999</v>
      </c>
      <c r="FM270">
        <v>24.14</v>
      </c>
      <c r="FN270">
        <v>19</v>
      </c>
      <c r="FO270">
        <v>865.12599999999998</v>
      </c>
      <c r="FP270">
        <v>582.14200000000005</v>
      </c>
      <c r="FQ270">
        <v>17.851900000000001</v>
      </c>
      <c r="FR270">
        <v>25.589099999999998</v>
      </c>
      <c r="FS270">
        <v>30.0002</v>
      </c>
      <c r="FT270">
        <v>25.570799999999998</v>
      </c>
      <c r="FU270">
        <v>25.572099999999999</v>
      </c>
      <c r="FV270">
        <v>51.658799999999999</v>
      </c>
      <c r="FW270">
        <v>26.065300000000001</v>
      </c>
      <c r="FX270">
        <v>35.151400000000002</v>
      </c>
      <c r="FY270">
        <v>17.852</v>
      </c>
      <c r="FZ270">
        <v>1000</v>
      </c>
      <c r="GA270">
        <v>14.398400000000001</v>
      </c>
      <c r="GB270">
        <v>99.865899999999996</v>
      </c>
      <c r="GC270">
        <v>99.738100000000003</v>
      </c>
    </row>
    <row r="271" spans="1:185" x14ac:dyDescent="0.2">
      <c r="A271">
        <v>256</v>
      </c>
      <c r="B271">
        <v>1771090425</v>
      </c>
      <c r="C271">
        <v>5105</v>
      </c>
      <c r="D271" t="s">
        <v>813</v>
      </c>
      <c r="E271" t="s">
        <v>814</v>
      </c>
      <c r="F271">
        <v>15</v>
      </c>
      <c r="G271">
        <v>1771090417.5</v>
      </c>
      <c r="H271">
        <f t="shared" si="39"/>
        <v>8.2903043483345247E-4</v>
      </c>
      <c r="I271">
        <v>0</v>
      </c>
      <c r="J271">
        <f t="shared" si="51"/>
        <v>1.2989041684641602E-2</v>
      </c>
      <c r="K271">
        <f t="shared" si="40"/>
        <v>0.35208012127455202</v>
      </c>
      <c r="L271">
        <f t="shared" si="41"/>
        <v>69.673118527287031</v>
      </c>
      <c r="M271">
        <f t="shared" si="42"/>
        <v>1.5364871775620454</v>
      </c>
      <c r="N271">
        <f t="shared" si="43"/>
        <v>2.2052797550037755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26194.625653726671</v>
      </c>
      <c r="T271">
        <f t="shared" si="47"/>
        <v>799.99964285714304</v>
      </c>
      <c r="U271">
        <f t="shared" si="48"/>
        <v>674.39992178561488</v>
      </c>
      <c r="V271">
        <f t="shared" si="49"/>
        <v>0.84300027857142845</v>
      </c>
      <c r="W271">
        <f t="shared" si="50"/>
        <v>0.15870069642857143</v>
      </c>
      <c r="X271">
        <v>1</v>
      </c>
      <c r="Y271">
        <v>1771090417.5</v>
      </c>
      <c r="Z271">
        <v>998.53742857142902</v>
      </c>
      <c r="AA271">
        <v>1000.01228571429</v>
      </c>
      <c r="AB271">
        <v>15.36965</v>
      </c>
      <c r="AC271">
        <v>14.349299999999999</v>
      </c>
      <c r="AD271">
        <v>999.51178571428602</v>
      </c>
      <c r="AE271">
        <v>15.2604857142857</v>
      </c>
      <c r="AF271">
        <v>800.00835714285699</v>
      </c>
      <c r="AG271">
        <v>99.9049785714286</v>
      </c>
      <c r="AH271">
        <v>6.3932728571428593E-2</v>
      </c>
      <c r="AI271">
        <v>19.000721428571399</v>
      </c>
      <c r="AJ271">
        <v>999.9</v>
      </c>
      <c r="AK271">
        <v>999.9</v>
      </c>
      <c r="AL271">
        <v>0</v>
      </c>
      <c r="AM271">
        <v>0</v>
      </c>
      <c r="AN271">
        <v>4999.5714285714303</v>
      </c>
      <c r="AO271">
        <v>0</v>
      </c>
      <c r="AP271">
        <v>2.2019299999999999</v>
      </c>
      <c r="AQ271">
        <v>-1.4748049999999999</v>
      </c>
      <c r="AR271">
        <v>1014.125</v>
      </c>
      <c r="AS271">
        <v>1014.57</v>
      </c>
      <c r="AT271">
        <v>1.0203549999999999</v>
      </c>
      <c r="AU271">
        <v>1000.01228571429</v>
      </c>
      <c r="AV271">
        <v>14.349299999999999</v>
      </c>
      <c r="AW271">
        <v>1.5355049999999999</v>
      </c>
      <c r="AX271">
        <v>1.433565</v>
      </c>
      <c r="AY271">
        <v>13.3263571428571</v>
      </c>
      <c r="AZ271">
        <v>12.277421428571399</v>
      </c>
      <c r="BA271">
        <v>799.99964285714304</v>
      </c>
      <c r="BB271">
        <v>0.89999071428571398</v>
      </c>
      <c r="BC271">
        <v>0</v>
      </c>
      <c r="BD271">
        <v>0.10000928571428599</v>
      </c>
      <c r="BE271">
        <v>0</v>
      </c>
      <c r="BF271">
        <v>26</v>
      </c>
      <c r="BG271">
        <v>13190.978571428601</v>
      </c>
      <c r="BH271">
        <v>1771089957.0999999</v>
      </c>
      <c r="BI271" t="s">
        <v>750</v>
      </c>
      <c r="BJ271">
        <v>1771089957.0999999</v>
      </c>
      <c r="BK271">
        <v>1771089951.0999999</v>
      </c>
      <c r="BL271">
        <v>9</v>
      </c>
      <c r="BM271">
        <v>-7.1999999999999995E-2</v>
      </c>
      <c r="BN271">
        <v>0</v>
      </c>
      <c r="BO271">
        <v>-0.97499999999999998</v>
      </c>
      <c r="BP271">
        <v>0.109</v>
      </c>
      <c r="BQ271">
        <v>1000</v>
      </c>
      <c r="BR271">
        <v>15</v>
      </c>
      <c r="BS271">
        <v>0.28999999999999998</v>
      </c>
      <c r="BT271">
        <v>0.06</v>
      </c>
      <c r="BU271">
        <v>-1.47335333333333</v>
      </c>
      <c r="BV271">
        <v>-1.67259740259771E-2</v>
      </c>
      <c r="BW271">
        <v>3.1626241716008002E-2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1.02245571428571</v>
      </c>
      <c r="CD271">
        <v>-2.7926493506490901E-2</v>
      </c>
      <c r="CE271">
        <v>3.34535864890386E-3</v>
      </c>
      <c r="CF271">
        <v>1</v>
      </c>
      <c r="CG271">
        <v>2</v>
      </c>
      <c r="CH271">
        <v>2</v>
      </c>
      <c r="CI271" t="s">
        <v>310</v>
      </c>
      <c r="CJ271">
        <v>3.5325299999999999</v>
      </c>
      <c r="CK271">
        <v>2.70194</v>
      </c>
      <c r="CL271">
        <v>0.18157999999999999</v>
      </c>
      <c r="CM271">
        <v>0.17907999999999999</v>
      </c>
      <c r="CN271">
        <v>8.6728E-2</v>
      </c>
      <c r="CO271">
        <v>8.15911E-2</v>
      </c>
      <c r="CP271">
        <v>28696.799999999999</v>
      </c>
      <c r="CQ271">
        <v>25279.9</v>
      </c>
      <c r="CR271">
        <v>32451.7</v>
      </c>
      <c r="CS271">
        <v>30720.5</v>
      </c>
      <c r="CT271">
        <v>40140.699999999997</v>
      </c>
      <c r="CU271">
        <v>39686.199999999997</v>
      </c>
      <c r="CV271">
        <v>47393.8</v>
      </c>
      <c r="CW271">
        <v>46853.4</v>
      </c>
      <c r="CX271">
        <v>2.6213600000000001</v>
      </c>
      <c r="CY271">
        <v>2.1364999999999998</v>
      </c>
      <c r="CZ271">
        <v>0</v>
      </c>
      <c r="DA271">
        <v>0</v>
      </c>
      <c r="DB271">
        <v>999.9</v>
      </c>
      <c r="DC271">
        <v>999.9</v>
      </c>
      <c r="DD271">
        <v>50.548999999999999</v>
      </c>
      <c r="DE271">
        <v>27.271000000000001</v>
      </c>
      <c r="DF271">
        <v>18.3994</v>
      </c>
      <c r="DG271">
        <v>30.628599999999999</v>
      </c>
      <c r="DH271">
        <v>15.412699999999999</v>
      </c>
      <c r="DI271">
        <v>2</v>
      </c>
      <c r="DJ271">
        <v>-0.113293</v>
      </c>
      <c r="DK271">
        <v>2.5877500000000002</v>
      </c>
      <c r="DL271">
        <v>20.190000000000001</v>
      </c>
      <c r="DM271">
        <v>5.2510700000000003</v>
      </c>
      <c r="DN271">
        <v>12.033899999999999</v>
      </c>
      <c r="DO271">
        <v>4.96732</v>
      </c>
      <c r="DP271">
        <v>3.2909999999999999</v>
      </c>
      <c r="DQ271">
        <v>9999</v>
      </c>
      <c r="DR271">
        <v>9999</v>
      </c>
      <c r="DS271">
        <v>9999</v>
      </c>
      <c r="DT271">
        <v>605.29999999999995</v>
      </c>
      <c r="DU271">
        <v>1.8711800000000001</v>
      </c>
      <c r="DV271">
        <v>1.8762000000000001</v>
      </c>
      <c r="DW271">
        <v>1.8763700000000001</v>
      </c>
      <c r="DX271">
        <v>1.8828499999999999</v>
      </c>
      <c r="DY271">
        <v>1.87561</v>
      </c>
      <c r="DZ271">
        <v>1.87469</v>
      </c>
      <c r="EA271">
        <v>1.8708499999999999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-0.97499999999999998</v>
      </c>
      <c r="EQ271">
        <v>0.10920000000000001</v>
      </c>
      <c r="ER271">
        <v>-0.97454545454524999</v>
      </c>
      <c r="ES271">
        <v>0</v>
      </c>
      <c r="ET271">
        <v>0</v>
      </c>
      <c r="EU271">
        <v>0</v>
      </c>
      <c r="EV271">
        <v>0.109172727272727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7.8</v>
      </c>
      <c r="FE271">
        <v>7.9</v>
      </c>
      <c r="FF271">
        <v>2.5756800000000002</v>
      </c>
      <c r="FG271">
        <v>2.5842299999999998</v>
      </c>
      <c r="FH271">
        <v>2.19604</v>
      </c>
      <c r="FI271">
        <v>2.5769000000000002</v>
      </c>
      <c r="FJ271">
        <v>2.4462899999999999</v>
      </c>
      <c r="FK271">
        <v>2.2668499999999998</v>
      </c>
      <c r="FL271">
        <v>31.936499999999999</v>
      </c>
      <c r="FM271">
        <v>24.1313</v>
      </c>
      <c r="FN271">
        <v>19</v>
      </c>
      <c r="FO271">
        <v>865.10400000000004</v>
      </c>
      <c r="FP271">
        <v>582.05100000000004</v>
      </c>
      <c r="FQ271">
        <v>17.849499999999999</v>
      </c>
      <c r="FR271">
        <v>25.589099999999998</v>
      </c>
      <c r="FS271">
        <v>30.0001</v>
      </c>
      <c r="FT271">
        <v>25.572900000000001</v>
      </c>
      <c r="FU271">
        <v>25.573599999999999</v>
      </c>
      <c r="FV271">
        <v>51.660600000000002</v>
      </c>
      <c r="FW271">
        <v>26.065300000000001</v>
      </c>
      <c r="FX271">
        <v>34.780500000000004</v>
      </c>
      <c r="FY271">
        <v>17.8489</v>
      </c>
      <c r="FZ271">
        <v>1000</v>
      </c>
      <c r="GA271">
        <v>14.4064</v>
      </c>
      <c r="GB271">
        <v>99.864800000000002</v>
      </c>
      <c r="GC271">
        <v>99.737899999999996</v>
      </c>
    </row>
    <row r="272" spans="1:185" x14ac:dyDescent="0.2">
      <c r="A272">
        <v>257</v>
      </c>
      <c r="B272">
        <v>1771090440</v>
      </c>
      <c r="C272">
        <v>5120</v>
      </c>
      <c r="D272" t="s">
        <v>815</v>
      </c>
      <c r="E272" t="s">
        <v>816</v>
      </c>
      <c r="F272">
        <v>15</v>
      </c>
      <c r="G272">
        <v>1771090432.5</v>
      </c>
      <c r="H272">
        <f t="shared" ref="H272:H307" si="52">AF272*Q272*(AB272-AC272)/(1000*X272*(1000-Q272*AB272))</f>
        <v>8.3710703210205855E-4</v>
      </c>
      <c r="I272">
        <v>0</v>
      </c>
      <c r="J272">
        <f t="shared" si="51"/>
        <v>1.2591168460435165E-2</v>
      </c>
      <c r="K272">
        <f t="shared" ref="K272:K307" si="53">AF272*Q272*(AA272-Z272*(1000-Q272*AC272)/(1000-Q272*AB272))/(1000*X272)</f>
        <v>0.34129539547017379</v>
      </c>
      <c r="L272">
        <f t="shared" ref="L272:L307" si="54">(M272/N272*100)</f>
        <v>69.66119058713133</v>
      </c>
      <c r="M272">
        <f t="shared" ref="M272:M307" si="55">AB272*(AG272+AH272)/1000</f>
        <v>1.536014613932255</v>
      </c>
      <c r="N272">
        <f t="shared" ref="N272:N307" si="56">0.61365*EXP(17.502*AI272/(240.97+AI272))</f>
        <v>2.2049789861271858</v>
      </c>
      <c r="O272">
        <v>0</v>
      </c>
      <c r="P272">
        <v>0</v>
      </c>
      <c r="Q272">
        <f t="shared" ref="Q272:Q307" si="57">IF(O272*$H$13&gt;=S272,1,(S272/(S272-O272*$H$13)))</f>
        <v>1</v>
      </c>
      <c r="R272">
        <f t="shared" ref="R272:R307" si="58">(Q272-1)*100</f>
        <v>0</v>
      </c>
      <c r="S272">
        <f t="shared" ref="S272:S307" si="59">MAX(0,($B$13+$C$13*AN272)/(1+$D$13*AN272)*AG272/(AI272+273)*$E$13)</f>
        <v>26262.413270275931</v>
      </c>
      <c r="T272">
        <f t="shared" ref="T272:T307" si="60">$B$11*AO272+$C$11*AP272+$D$11*BA272</f>
        <v>800.00021428571404</v>
      </c>
      <c r="U272">
        <f t="shared" ref="U272:U307" si="61">T272*V272</f>
        <v>674.4002320714427</v>
      </c>
      <c r="V272">
        <f t="shared" ref="V272:V307" si="62">($B$11*$D$9+$C$11*$D$9+$D$11*(BB272*$E$9+BC272*$F$9+BD272*$G$9+BE272*$H$9))/($B$11+$C$11+$D$11)</f>
        <v>0.84300006428571495</v>
      </c>
      <c r="W272">
        <f t="shared" ref="W272:W307" si="63">($B$11*$L$9+$C$11*$L$9+$D$11*(BB272*$M$9+BC272*$N$9+BD272*$O$9+BE272*$P$9))/($B$11+$C$11+$D$11)</f>
        <v>0.15870071751428586</v>
      </c>
      <c r="X272">
        <v>1</v>
      </c>
      <c r="Y272">
        <v>1771090432.5</v>
      </c>
      <c r="Z272">
        <v>998.51378571428597</v>
      </c>
      <c r="AA272">
        <v>999.98521428571405</v>
      </c>
      <c r="AB272">
        <v>15.3647357142857</v>
      </c>
      <c r="AC272">
        <v>14.3344428571429</v>
      </c>
      <c r="AD272">
        <v>999.48857142857105</v>
      </c>
      <c r="AE272">
        <v>15.2555571428571</v>
      </c>
      <c r="AF272">
        <v>800.01049999999998</v>
      </c>
      <c r="AG272">
        <v>99.906199999999998</v>
      </c>
      <c r="AH272">
        <v>6.3929164285714296E-2</v>
      </c>
      <c r="AI272">
        <v>18.998535714285701</v>
      </c>
      <c r="AJ272">
        <v>999.9</v>
      </c>
      <c r="AK272">
        <v>999.9</v>
      </c>
      <c r="AL272">
        <v>0</v>
      </c>
      <c r="AM272">
        <v>0</v>
      </c>
      <c r="AN272">
        <v>5010.6785714285697</v>
      </c>
      <c r="AO272">
        <v>0</v>
      </c>
      <c r="AP272">
        <v>2.2019299999999999</v>
      </c>
      <c r="AQ272">
        <v>-1.4708071428571401</v>
      </c>
      <c r="AR272">
        <v>1014.09357142857</v>
      </c>
      <c r="AS272">
        <v>1014.5278571428599</v>
      </c>
      <c r="AT272">
        <v>1.0303</v>
      </c>
      <c r="AU272">
        <v>999.98521428571405</v>
      </c>
      <c r="AV272">
        <v>14.3344428571429</v>
      </c>
      <c r="AW272">
        <v>1.53503285714286</v>
      </c>
      <c r="AX272">
        <v>1.4320999999999999</v>
      </c>
      <c r="AY272">
        <v>13.3216428571429</v>
      </c>
      <c r="AZ272">
        <v>12.261850000000001</v>
      </c>
      <c r="BA272">
        <v>800.00021428571404</v>
      </c>
      <c r="BB272">
        <v>0.89998957142857205</v>
      </c>
      <c r="BC272">
        <v>0</v>
      </c>
      <c r="BD272">
        <v>0.10001014285714301</v>
      </c>
      <c r="BE272">
        <v>0</v>
      </c>
      <c r="BF272">
        <v>26</v>
      </c>
      <c r="BG272">
        <v>13190.992857142901</v>
      </c>
      <c r="BH272">
        <v>1771089957.0999999</v>
      </c>
      <c r="BI272" t="s">
        <v>750</v>
      </c>
      <c r="BJ272">
        <v>1771089957.0999999</v>
      </c>
      <c r="BK272">
        <v>1771089951.0999999</v>
      </c>
      <c r="BL272">
        <v>9</v>
      </c>
      <c r="BM272">
        <v>-7.1999999999999995E-2</v>
      </c>
      <c r="BN272">
        <v>0</v>
      </c>
      <c r="BO272">
        <v>-0.97499999999999998</v>
      </c>
      <c r="BP272">
        <v>0.109</v>
      </c>
      <c r="BQ272">
        <v>1000</v>
      </c>
      <c r="BR272">
        <v>15</v>
      </c>
      <c r="BS272">
        <v>0.28999999999999998</v>
      </c>
      <c r="BT272">
        <v>0.06</v>
      </c>
      <c r="BU272">
        <v>-1.474035</v>
      </c>
      <c r="BV272">
        <v>-0.13596541353383601</v>
      </c>
      <c r="BW272">
        <v>4.4212927464713302E-2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1.027695</v>
      </c>
      <c r="CD272">
        <v>7.0330827067670004E-3</v>
      </c>
      <c r="CE272">
        <v>7.2868906263234201E-3</v>
      </c>
      <c r="CF272">
        <v>1</v>
      </c>
      <c r="CG272">
        <v>2</v>
      </c>
      <c r="CH272">
        <v>2</v>
      </c>
      <c r="CI272" t="s">
        <v>310</v>
      </c>
      <c r="CJ272">
        <v>3.53254</v>
      </c>
      <c r="CK272">
        <v>2.7019099999999998</v>
      </c>
      <c r="CL272">
        <v>0.18157999999999999</v>
      </c>
      <c r="CM272">
        <v>0.17908399999999999</v>
      </c>
      <c r="CN272">
        <v>8.6729299999999995E-2</v>
      </c>
      <c r="CO272">
        <v>8.1603599999999998E-2</v>
      </c>
      <c r="CP272">
        <v>28697</v>
      </c>
      <c r="CQ272">
        <v>25279.7</v>
      </c>
      <c r="CR272">
        <v>32452</v>
      </c>
      <c r="CS272">
        <v>30720.400000000001</v>
      </c>
      <c r="CT272">
        <v>40141.1</v>
      </c>
      <c r="CU272">
        <v>39685.599999999999</v>
      </c>
      <c r="CV272">
        <v>47394.400000000001</v>
      </c>
      <c r="CW272">
        <v>46853.4</v>
      </c>
      <c r="CX272">
        <v>2.6215600000000001</v>
      </c>
      <c r="CY272">
        <v>2.1363400000000001</v>
      </c>
      <c r="CZ272">
        <v>0</v>
      </c>
      <c r="DA272">
        <v>0</v>
      </c>
      <c r="DB272">
        <v>999.9</v>
      </c>
      <c r="DC272">
        <v>999.9</v>
      </c>
      <c r="DD272">
        <v>50.475999999999999</v>
      </c>
      <c r="DE272">
        <v>27.271000000000001</v>
      </c>
      <c r="DF272">
        <v>18.372399999999999</v>
      </c>
      <c r="DG272">
        <v>29.8186</v>
      </c>
      <c r="DH272">
        <v>15.368600000000001</v>
      </c>
      <c r="DI272">
        <v>2</v>
      </c>
      <c r="DJ272">
        <v>-0.113346</v>
      </c>
      <c r="DK272">
        <v>2.5636299999999999</v>
      </c>
      <c r="DL272">
        <v>20.1904</v>
      </c>
      <c r="DM272">
        <v>5.2516699999999998</v>
      </c>
      <c r="DN272">
        <v>12.033899999999999</v>
      </c>
      <c r="DO272">
        <v>4.9678000000000004</v>
      </c>
      <c r="DP272">
        <v>3.2909999999999999</v>
      </c>
      <c r="DQ272">
        <v>9999</v>
      </c>
      <c r="DR272">
        <v>9999</v>
      </c>
      <c r="DS272">
        <v>9999</v>
      </c>
      <c r="DT272">
        <v>605.29999999999995</v>
      </c>
      <c r="DU272">
        <v>1.8711800000000001</v>
      </c>
      <c r="DV272">
        <v>1.87622</v>
      </c>
      <c r="DW272">
        <v>1.8763700000000001</v>
      </c>
      <c r="DX272">
        <v>1.8829100000000001</v>
      </c>
      <c r="DY272">
        <v>1.87561</v>
      </c>
      <c r="DZ272">
        <v>1.87469</v>
      </c>
      <c r="EA272">
        <v>1.87087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-0.97399999999999998</v>
      </c>
      <c r="EQ272">
        <v>0.10920000000000001</v>
      </c>
      <c r="ER272">
        <v>-0.97454545454524999</v>
      </c>
      <c r="ES272">
        <v>0</v>
      </c>
      <c r="ET272">
        <v>0</v>
      </c>
      <c r="EU272">
        <v>0</v>
      </c>
      <c r="EV272">
        <v>0.109172727272727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8</v>
      </c>
      <c r="FE272">
        <v>8.1</v>
      </c>
      <c r="FF272">
        <v>2.5756800000000002</v>
      </c>
      <c r="FG272">
        <v>2.5805699999999998</v>
      </c>
      <c r="FH272">
        <v>2.19604</v>
      </c>
      <c r="FI272">
        <v>2.5769000000000002</v>
      </c>
      <c r="FJ272">
        <v>2.4462899999999999</v>
      </c>
      <c r="FK272">
        <v>2.3339799999999999</v>
      </c>
      <c r="FL272">
        <v>31.958500000000001</v>
      </c>
      <c r="FM272">
        <v>24.148800000000001</v>
      </c>
      <c r="FN272">
        <v>19</v>
      </c>
      <c r="FO272">
        <v>865.29</v>
      </c>
      <c r="FP272">
        <v>581.92700000000002</v>
      </c>
      <c r="FQ272">
        <v>17.850899999999999</v>
      </c>
      <c r="FR272">
        <v>25.589600000000001</v>
      </c>
      <c r="FS272">
        <v>30.0001</v>
      </c>
      <c r="FT272">
        <v>25.572900000000001</v>
      </c>
      <c r="FU272">
        <v>25.573599999999999</v>
      </c>
      <c r="FV272">
        <v>51.6633</v>
      </c>
      <c r="FW272">
        <v>25.5001</v>
      </c>
      <c r="FX272">
        <v>34.780500000000004</v>
      </c>
      <c r="FY272">
        <v>17.852699999999999</v>
      </c>
      <c r="FZ272">
        <v>1000</v>
      </c>
      <c r="GA272">
        <v>14.4122</v>
      </c>
      <c r="GB272">
        <v>99.865799999999993</v>
      </c>
      <c r="GC272">
        <v>99.737700000000004</v>
      </c>
    </row>
    <row r="273" spans="1:185" x14ac:dyDescent="0.2">
      <c r="A273">
        <v>258</v>
      </c>
      <c r="B273">
        <v>1771090455</v>
      </c>
      <c r="C273">
        <v>5135</v>
      </c>
      <c r="D273" t="s">
        <v>817</v>
      </c>
      <c r="E273" t="s">
        <v>818</v>
      </c>
      <c r="F273">
        <v>15</v>
      </c>
      <c r="G273">
        <v>1771090447.5</v>
      </c>
      <c r="H273">
        <f t="shared" si="52"/>
        <v>8.0012021182889977E-4</v>
      </c>
      <c r="I273">
        <v>0</v>
      </c>
      <c r="J273">
        <f t="shared" ref="J273:J307" si="64">K273*(0.0002898/0.0078553)</f>
        <v>1.2927352057434718E-2</v>
      </c>
      <c r="K273">
        <f t="shared" si="53"/>
        <v>0.35040796624143183</v>
      </c>
      <c r="L273">
        <f t="shared" si="54"/>
        <v>69.70279566622149</v>
      </c>
      <c r="M273">
        <f t="shared" si="55"/>
        <v>1.5369306270415284</v>
      </c>
      <c r="N273">
        <f t="shared" si="56"/>
        <v>2.2049770204358343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26165.820468729195</v>
      </c>
      <c r="T273">
        <f t="shared" si="60"/>
        <v>800.00042857142898</v>
      </c>
      <c r="U273">
        <f t="shared" si="61"/>
        <v>674.40057557154375</v>
      </c>
      <c r="V273">
        <f t="shared" si="62"/>
        <v>0.84300026785714288</v>
      </c>
      <c r="W273">
        <f t="shared" si="63"/>
        <v>0.15870066964285717</v>
      </c>
      <c r="X273">
        <v>1</v>
      </c>
      <c r="Y273">
        <v>1771090447.5</v>
      </c>
      <c r="Z273">
        <v>998.50800000000004</v>
      </c>
      <c r="AA273">
        <v>999.94464285714298</v>
      </c>
      <c r="AB273">
        <v>15.373578571428601</v>
      </c>
      <c r="AC273">
        <v>14.388821428571401</v>
      </c>
      <c r="AD273">
        <v>999.48264285714299</v>
      </c>
      <c r="AE273">
        <v>15.264414285714301</v>
      </c>
      <c r="AF273">
        <v>800.01400000000001</v>
      </c>
      <c r="AG273">
        <v>99.908242857142795</v>
      </c>
      <c r="AH273">
        <v>6.3967250000000003E-2</v>
      </c>
      <c r="AI273">
        <v>18.998521428571401</v>
      </c>
      <c r="AJ273">
        <v>999.9</v>
      </c>
      <c r="AK273">
        <v>999.9</v>
      </c>
      <c r="AL273">
        <v>0</v>
      </c>
      <c r="AM273">
        <v>0</v>
      </c>
      <c r="AN273">
        <v>4994.6428571428596</v>
      </c>
      <c r="AO273">
        <v>0</v>
      </c>
      <c r="AP273">
        <v>2.2019299999999999</v>
      </c>
      <c r="AQ273">
        <v>-1.4364699999999999</v>
      </c>
      <c r="AR273">
        <v>1014.09785714286</v>
      </c>
      <c r="AS273">
        <v>1014.54285714286</v>
      </c>
      <c r="AT273">
        <v>0.984755357142857</v>
      </c>
      <c r="AU273">
        <v>999.94464285714298</v>
      </c>
      <c r="AV273">
        <v>14.388821428571401</v>
      </c>
      <c r="AW273">
        <v>1.53594785714286</v>
      </c>
      <c r="AX273">
        <v>1.43756285714286</v>
      </c>
      <c r="AY273">
        <v>13.3307928571429</v>
      </c>
      <c r="AZ273">
        <v>12.3197428571429</v>
      </c>
      <c r="BA273">
        <v>800.00042857142898</v>
      </c>
      <c r="BB273">
        <v>0.89999107142857104</v>
      </c>
      <c r="BC273">
        <v>0</v>
      </c>
      <c r="BD273">
        <v>0.100008928571429</v>
      </c>
      <c r="BE273">
        <v>0</v>
      </c>
      <c r="BF273">
        <v>26</v>
      </c>
      <c r="BG273">
        <v>13190.992857142901</v>
      </c>
      <c r="BH273">
        <v>1771089957.0999999</v>
      </c>
      <c r="BI273" t="s">
        <v>750</v>
      </c>
      <c r="BJ273">
        <v>1771089957.0999999</v>
      </c>
      <c r="BK273">
        <v>1771089951.0999999</v>
      </c>
      <c r="BL273">
        <v>9</v>
      </c>
      <c r="BM273">
        <v>-7.1999999999999995E-2</v>
      </c>
      <c r="BN273">
        <v>0</v>
      </c>
      <c r="BO273">
        <v>-0.97499999999999998</v>
      </c>
      <c r="BP273">
        <v>0.109</v>
      </c>
      <c r="BQ273">
        <v>1000</v>
      </c>
      <c r="BR273">
        <v>15</v>
      </c>
      <c r="BS273">
        <v>0.28999999999999998</v>
      </c>
      <c r="BT273">
        <v>0.06</v>
      </c>
      <c r="BU273">
        <v>-1.4599195238095199</v>
      </c>
      <c r="BV273">
        <v>0.26735532467532502</v>
      </c>
      <c r="BW273">
        <v>4.7470188988778902E-2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0.99817785714285701</v>
      </c>
      <c r="CD273">
        <v>-0.22121306493506501</v>
      </c>
      <c r="CE273">
        <v>2.49865714492628E-2</v>
      </c>
      <c r="CF273">
        <v>0</v>
      </c>
      <c r="CG273">
        <v>1</v>
      </c>
      <c r="CH273">
        <v>2</v>
      </c>
      <c r="CI273" t="s">
        <v>299</v>
      </c>
      <c r="CJ273">
        <v>3.5325000000000002</v>
      </c>
      <c r="CK273">
        <v>2.7017500000000001</v>
      </c>
      <c r="CL273">
        <v>0.181588</v>
      </c>
      <c r="CM273">
        <v>0.179094</v>
      </c>
      <c r="CN273">
        <v>8.6823200000000003E-2</v>
      </c>
      <c r="CO273">
        <v>8.1891699999999998E-2</v>
      </c>
      <c r="CP273">
        <v>28696.799999999999</v>
      </c>
      <c r="CQ273">
        <v>25279.4</v>
      </c>
      <c r="CR273">
        <v>32452</v>
      </c>
      <c r="CS273">
        <v>30720.400000000001</v>
      </c>
      <c r="CT273">
        <v>40136.699999999997</v>
      </c>
      <c r="CU273">
        <v>39673.1</v>
      </c>
      <c r="CV273">
        <v>47394.2</v>
      </c>
      <c r="CW273">
        <v>46853.8</v>
      </c>
      <c r="CX273">
        <v>2.6213199999999999</v>
      </c>
      <c r="CY273">
        <v>2.1365400000000001</v>
      </c>
      <c r="CZ273">
        <v>0</v>
      </c>
      <c r="DA273">
        <v>0</v>
      </c>
      <c r="DB273">
        <v>999.9</v>
      </c>
      <c r="DC273">
        <v>999.9</v>
      </c>
      <c r="DD273">
        <v>50.427</v>
      </c>
      <c r="DE273">
        <v>27.271000000000001</v>
      </c>
      <c r="DF273">
        <v>18.356400000000001</v>
      </c>
      <c r="DG273">
        <v>30.118600000000001</v>
      </c>
      <c r="DH273">
        <v>15.520799999999999</v>
      </c>
      <c r="DI273">
        <v>2</v>
      </c>
      <c r="DJ273">
        <v>-0.113287</v>
      </c>
      <c r="DK273">
        <v>2.5573000000000001</v>
      </c>
      <c r="DL273">
        <v>20.190899999999999</v>
      </c>
      <c r="DM273">
        <v>5.2522700000000002</v>
      </c>
      <c r="DN273">
        <v>12.033899999999999</v>
      </c>
      <c r="DO273">
        <v>4.9675599999999998</v>
      </c>
      <c r="DP273">
        <v>3.2909999999999999</v>
      </c>
      <c r="DQ273">
        <v>9999</v>
      </c>
      <c r="DR273">
        <v>9999</v>
      </c>
      <c r="DS273">
        <v>9999</v>
      </c>
      <c r="DT273">
        <v>605.29999999999995</v>
      </c>
      <c r="DU273">
        <v>1.8711899999999999</v>
      </c>
      <c r="DV273">
        <v>1.87622</v>
      </c>
      <c r="DW273">
        <v>1.8763700000000001</v>
      </c>
      <c r="DX273">
        <v>1.8829100000000001</v>
      </c>
      <c r="DY273">
        <v>1.87561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-0.97499999999999998</v>
      </c>
      <c r="EQ273">
        <v>0.10920000000000001</v>
      </c>
      <c r="ER273">
        <v>-0.97454545454524999</v>
      </c>
      <c r="ES273">
        <v>0</v>
      </c>
      <c r="ET273">
        <v>0</v>
      </c>
      <c r="EU273">
        <v>0</v>
      </c>
      <c r="EV273">
        <v>0.109172727272727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8.3000000000000007</v>
      </c>
      <c r="FE273">
        <v>8.4</v>
      </c>
      <c r="FF273">
        <v>2.5756800000000002</v>
      </c>
      <c r="FG273">
        <v>2.5781200000000002</v>
      </c>
      <c r="FH273">
        <v>2.19604</v>
      </c>
      <c r="FI273">
        <v>2.5756800000000002</v>
      </c>
      <c r="FJ273">
        <v>2.4462899999999999</v>
      </c>
      <c r="FK273">
        <v>2.2875999999999999</v>
      </c>
      <c r="FL273">
        <v>31.958500000000001</v>
      </c>
      <c r="FM273">
        <v>24.14</v>
      </c>
      <c r="FN273">
        <v>19</v>
      </c>
      <c r="FO273">
        <v>865.06700000000001</v>
      </c>
      <c r="FP273">
        <v>582.10599999999999</v>
      </c>
      <c r="FQ273">
        <v>17.855499999999999</v>
      </c>
      <c r="FR273">
        <v>25.5913</v>
      </c>
      <c r="FS273">
        <v>30.0001</v>
      </c>
      <c r="FT273">
        <v>25.572900000000001</v>
      </c>
      <c r="FU273">
        <v>25.575700000000001</v>
      </c>
      <c r="FV273">
        <v>51.665900000000001</v>
      </c>
      <c r="FW273">
        <v>25.5001</v>
      </c>
      <c r="FX273">
        <v>34.780500000000004</v>
      </c>
      <c r="FY273">
        <v>17.856200000000001</v>
      </c>
      <c r="FZ273">
        <v>1000</v>
      </c>
      <c r="GA273">
        <v>14.407400000000001</v>
      </c>
      <c r="GB273">
        <v>99.865799999999993</v>
      </c>
      <c r="GC273">
        <v>99.738100000000003</v>
      </c>
    </row>
    <row r="274" spans="1:185" x14ac:dyDescent="0.2">
      <c r="A274">
        <v>259</v>
      </c>
      <c r="B274">
        <v>1771090470</v>
      </c>
      <c r="C274">
        <v>5150</v>
      </c>
      <c r="D274" t="s">
        <v>819</v>
      </c>
      <c r="E274" t="s">
        <v>820</v>
      </c>
      <c r="F274">
        <v>15</v>
      </c>
      <c r="G274">
        <v>1771090462.5</v>
      </c>
      <c r="H274">
        <f t="shared" si="52"/>
        <v>8.0317145373492494E-4</v>
      </c>
      <c r="I274">
        <v>0</v>
      </c>
      <c r="J274">
        <f t="shared" si="64"/>
        <v>1.4072284838377774E-2</v>
      </c>
      <c r="K274">
        <f t="shared" si="53"/>
        <v>0.38144243992722199</v>
      </c>
      <c r="L274">
        <f t="shared" si="54"/>
        <v>69.814023212656139</v>
      </c>
      <c r="M274">
        <f t="shared" si="55"/>
        <v>1.5396857932096673</v>
      </c>
      <c r="N274">
        <f t="shared" si="56"/>
        <v>2.2054104925592477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26202.042072132128</v>
      </c>
      <c r="T274">
        <f t="shared" si="60"/>
        <v>800.00078571428605</v>
      </c>
      <c r="U274">
        <f t="shared" si="61"/>
        <v>674.40096921458735</v>
      </c>
      <c r="V274">
        <f t="shared" si="62"/>
        <v>0.84300038357142859</v>
      </c>
      <c r="W274">
        <f t="shared" si="63"/>
        <v>0.15870095892857145</v>
      </c>
      <c r="X274">
        <v>1</v>
      </c>
      <c r="Y274">
        <v>1771090462.5</v>
      </c>
      <c r="Z274">
        <v>998.53814285714304</v>
      </c>
      <c r="AA274">
        <v>1000.0174285714299</v>
      </c>
      <c r="AB274">
        <v>15.40105</v>
      </c>
      <c r="AC274">
        <v>14.4125571428571</v>
      </c>
      <c r="AD274">
        <v>999.512857142857</v>
      </c>
      <c r="AE274">
        <v>15.291907142857101</v>
      </c>
      <c r="AF274">
        <v>800.00757142857105</v>
      </c>
      <c r="AG274">
        <v>99.908835714285701</v>
      </c>
      <c r="AH274">
        <v>6.3944921428571402E-2</v>
      </c>
      <c r="AI274">
        <v>19.001671428571399</v>
      </c>
      <c r="AJ274">
        <v>999.9</v>
      </c>
      <c r="AK274">
        <v>999.9</v>
      </c>
      <c r="AL274">
        <v>0</v>
      </c>
      <c r="AM274">
        <v>0</v>
      </c>
      <c r="AN274">
        <v>5000.6428571428596</v>
      </c>
      <c r="AO274">
        <v>0</v>
      </c>
      <c r="AP274">
        <v>2.2019299999999999</v>
      </c>
      <c r="AQ274">
        <v>-1.4802585714285701</v>
      </c>
      <c r="AR274">
        <v>1014.15714285714</v>
      </c>
      <c r="AS274">
        <v>1014.64214285714</v>
      </c>
      <c r="AT274">
        <v>0.98851</v>
      </c>
      <c r="AU274">
        <v>1000.0174285714299</v>
      </c>
      <c r="AV274">
        <v>14.4125571428571</v>
      </c>
      <c r="AW274">
        <v>1.5387035714285699</v>
      </c>
      <c r="AX274">
        <v>1.43994142857143</v>
      </c>
      <c r="AY274">
        <v>13.3582571428571</v>
      </c>
      <c r="AZ274">
        <v>12.3449071428571</v>
      </c>
      <c r="BA274">
        <v>800.00078571428605</v>
      </c>
      <c r="BB274">
        <v>0.89998721428571404</v>
      </c>
      <c r="BC274">
        <v>0</v>
      </c>
      <c r="BD274">
        <v>0.100012785714286</v>
      </c>
      <c r="BE274">
        <v>0</v>
      </c>
      <c r="BF274">
        <v>26</v>
      </c>
      <c r="BG274">
        <v>13190.9714285714</v>
      </c>
      <c r="BH274">
        <v>1771089957.0999999</v>
      </c>
      <c r="BI274" t="s">
        <v>750</v>
      </c>
      <c r="BJ274">
        <v>1771089957.0999999</v>
      </c>
      <c r="BK274">
        <v>1771089951.0999999</v>
      </c>
      <c r="BL274">
        <v>9</v>
      </c>
      <c r="BM274">
        <v>-7.1999999999999995E-2</v>
      </c>
      <c r="BN274">
        <v>0</v>
      </c>
      <c r="BO274">
        <v>-0.97499999999999998</v>
      </c>
      <c r="BP274">
        <v>0.109</v>
      </c>
      <c r="BQ274">
        <v>1000</v>
      </c>
      <c r="BR274">
        <v>15</v>
      </c>
      <c r="BS274">
        <v>0.28999999999999998</v>
      </c>
      <c r="BT274">
        <v>0.06</v>
      </c>
      <c r="BU274">
        <v>-1.4656085000000001</v>
      </c>
      <c r="BV274">
        <v>-0.113359849624061</v>
      </c>
      <c r="BW274">
        <v>3.95184550906282E-2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0.98429299999999997</v>
      </c>
      <c r="CD274">
        <v>7.9722406015037106E-2</v>
      </c>
      <c r="CE274">
        <v>7.7778002995705703E-3</v>
      </c>
      <c r="CF274">
        <v>1</v>
      </c>
      <c r="CG274">
        <v>2</v>
      </c>
      <c r="CH274">
        <v>2</v>
      </c>
      <c r="CI274" t="s">
        <v>310</v>
      </c>
      <c r="CJ274">
        <v>3.53254</v>
      </c>
      <c r="CK274">
        <v>2.7017600000000002</v>
      </c>
      <c r="CL274">
        <v>0.18159400000000001</v>
      </c>
      <c r="CM274">
        <v>0.179093</v>
      </c>
      <c r="CN274">
        <v>8.6906800000000006E-2</v>
      </c>
      <c r="CO274">
        <v>8.1907800000000003E-2</v>
      </c>
      <c r="CP274">
        <v>28697</v>
      </c>
      <c r="CQ274">
        <v>25279.5</v>
      </c>
      <c r="CR274">
        <v>32452.6</v>
      </c>
      <c r="CS274">
        <v>30720.400000000001</v>
      </c>
      <c r="CT274">
        <v>40133.599999999999</v>
      </c>
      <c r="CU274">
        <v>39672.400000000001</v>
      </c>
      <c r="CV274">
        <v>47395</v>
      </c>
      <c r="CW274">
        <v>46853.7</v>
      </c>
      <c r="CX274">
        <v>2.6214</v>
      </c>
      <c r="CY274">
        <v>2.1364800000000002</v>
      </c>
      <c r="CZ274">
        <v>0</v>
      </c>
      <c r="DA274">
        <v>0</v>
      </c>
      <c r="DB274">
        <v>999.9</v>
      </c>
      <c r="DC274">
        <v>999.9</v>
      </c>
      <c r="DD274">
        <v>50.390999999999998</v>
      </c>
      <c r="DE274">
        <v>27.280999999999999</v>
      </c>
      <c r="DF274">
        <v>18.3535</v>
      </c>
      <c r="DG274">
        <v>30.238600000000002</v>
      </c>
      <c r="DH274">
        <v>15.3926</v>
      </c>
      <c r="DI274">
        <v>2</v>
      </c>
      <c r="DJ274">
        <v>-0.113189</v>
      </c>
      <c r="DK274">
        <v>2.5954600000000001</v>
      </c>
      <c r="DL274">
        <v>20.189900000000002</v>
      </c>
      <c r="DM274">
        <v>5.2527499999999998</v>
      </c>
      <c r="DN274">
        <v>12.033899999999999</v>
      </c>
      <c r="DO274">
        <v>4.9677600000000002</v>
      </c>
      <c r="DP274">
        <v>3.2909999999999999</v>
      </c>
      <c r="DQ274">
        <v>9999</v>
      </c>
      <c r="DR274">
        <v>9999</v>
      </c>
      <c r="DS274">
        <v>9999</v>
      </c>
      <c r="DT274">
        <v>605.29999999999995</v>
      </c>
      <c r="DU274">
        <v>1.8711899999999999</v>
      </c>
      <c r="DV274">
        <v>1.87622</v>
      </c>
      <c r="DW274">
        <v>1.8763700000000001</v>
      </c>
      <c r="DX274">
        <v>1.88293</v>
      </c>
      <c r="DY274">
        <v>1.8756200000000001</v>
      </c>
      <c r="DZ274">
        <v>1.87469</v>
      </c>
      <c r="EA274">
        <v>1.8708800000000001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-0.97399999999999998</v>
      </c>
      <c r="EQ274">
        <v>0.1091</v>
      </c>
      <c r="ER274">
        <v>-0.97454545454524999</v>
      </c>
      <c r="ES274">
        <v>0</v>
      </c>
      <c r="ET274">
        <v>0</v>
      </c>
      <c r="EU274">
        <v>0</v>
      </c>
      <c r="EV274">
        <v>0.109172727272727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8.5</v>
      </c>
      <c r="FE274">
        <v>8.6</v>
      </c>
      <c r="FF274">
        <v>2.5769000000000002</v>
      </c>
      <c r="FG274">
        <v>2.5854499999999998</v>
      </c>
      <c r="FH274">
        <v>2.19604</v>
      </c>
      <c r="FI274">
        <v>2.5769000000000002</v>
      </c>
      <c r="FJ274">
        <v>2.4462899999999999</v>
      </c>
      <c r="FK274">
        <v>2.3083499999999999</v>
      </c>
      <c r="FL274">
        <v>31.958500000000001</v>
      </c>
      <c r="FM274">
        <v>24.14</v>
      </c>
      <c r="FN274">
        <v>19</v>
      </c>
      <c r="FO274">
        <v>865.17499999999995</v>
      </c>
      <c r="FP274">
        <v>582.06200000000001</v>
      </c>
      <c r="FQ274">
        <v>17.852699999999999</v>
      </c>
      <c r="FR274">
        <v>25.5913</v>
      </c>
      <c r="FS274">
        <v>30.0002</v>
      </c>
      <c r="FT274">
        <v>25.575099999999999</v>
      </c>
      <c r="FU274">
        <v>25.576000000000001</v>
      </c>
      <c r="FV274">
        <v>51.665199999999999</v>
      </c>
      <c r="FW274">
        <v>25.5001</v>
      </c>
      <c r="FX274">
        <v>34.780500000000004</v>
      </c>
      <c r="FY274">
        <v>17.850100000000001</v>
      </c>
      <c r="FZ274">
        <v>1000</v>
      </c>
      <c r="GA274">
        <v>14.407400000000001</v>
      </c>
      <c r="GB274">
        <v>99.867400000000004</v>
      </c>
      <c r="GC274">
        <v>99.738200000000006</v>
      </c>
    </row>
    <row r="275" spans="1:185" x14ac:dyDescent="0.2">
      <c r="A275">
        <v>260</v>
      </c>
      <c r="B275">
        <v>1771090485</v>
      </c>
      <c r="C275">
        <v>5165</v>
      </c>
      <c r="D275" t="s">
        <v>821</v>
      </c>
      <c r="E275" t="s">
        <v>822</v>
      </c>
      <c r="F275">
        <v>15</v>
      </c>
      <c r="G275">
        <v>1771090477.5</v>
      </c>
      <c r="H275">
        <f t="shared" si="52"/>
        <v>8.1171138483080265E-4</v>
      </c>
      <c r="I275">
        <v>0</v>
      </c>
      <c r="J275">
        <f t="shared" si="64"/>
        <v>1.2593989648584504E-2</v>
      </c>
      <c r="K275">
        <f t="shared" si="53"/>
        <v>0.34137186641313272</v>
      </c>
      <c r="L275">
        <f t="shared" si="54"/>
        <v>69.866506022807243</v>
      </c>
      <c r="M275">
        <f t="shared" si="55"/>
        <v>1.5410795290085308</v>
      </c>
      <c r="N275">
        <f t="shared" si="56"/>
        <v>2.2057486723401634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26188.298284744396</v>
      </c>
      <c r="T275">
        <f t="shared" si="60"/>
        <v>799.99900000000002</v>
      </c>
      <c r="U275">
        <f t="shared" si="61"/>
        <v>674.39938842828235</v>
      </c>
      <c r="V275">
        <f t="shared" si="62"/>
        <v>0.84300028928571458</v>
      </c>
      <c r="W275">
        <f t="shared" si="63"/>
        <v>0.15870086241428577</v>
      </c>
      <c r="X275">
        <v>1</v>
      </c>
      <c r="Y275">
        <v>1771090477.5</v>
      </c>
      <c r="Z275">
        <v>998.54342857142899</v>
      </c>
      <c r="AA275">
        <v>999.98328571428601</v>
      </c>
      <c r="AB275">
        <v>15.4146571428571</v>
      </c>
      <c r="AC275">
        <v>14.4156714285714</v>
      </c>
      <c r="AD275">
        <v>999.51807142857103</v>
      </c>
      <c r="AE275">
        <v>15.3054857142857</v>
      </c>
      <c r="AF275">
        <v>800.01057142857098</v>
      </c>
      <c r="AG275">
        <v>99.910892857142898</v>
      </c>
      <c r="AH275">
        <v>6.4054021428571403E-2</v>
      </c>
      <c r="AI275">
        <v>19.004128571428598</v>
      </c>
      <c r="AJ275">
        <v>999.9</v>
      </c>
      <c r="AK275">
        <v>999.9</v>
      </c>
      <c r="AL275">
        <v>0</v>
      </c>
      <c r="AM275">
        <v>0</v>
      </c>
      <c r="AN275">
        <v>4998.3214285714303</v>
      </c>
      <c r="AO275">
        <v>0</v>
      </c>
      <c r="AP275">
        <v>2.2019299999999999</v>
      </c>
      <c r="AQ275">
        <v>-1.4400771428571399</v>
      </c>
      <c r="AR275">
        <v>1014.17714285714</v>
      </c>
      <c r="AS275">
        <v>1014.60928571429</v>
      </c>
      <c r="AT275">
        <v>0.99899278571428596</v>
      </c>
      <c r="AU275">
        <v>999.98328571428601</v>
      </c>
      <c r="AV275">
        <v>14.4156714285714</v>
      </c>
      <c r="AW275">
        <v>1.5400907142857101</v>
      </c>
      <c r="AX275">
        <v>1.44028214285714</v>
      </c>
      <c r="AY275">
        <v>13.3721071428571</v>
      </c>
      <c r="AZ275">
        <v>12.3485</v>
      </c>
      <c r="BA275">
        <v>799.99900000000002</v>
      </c>
      <c r="BB275">
        <v>0.89998828571428602</v>
      </c>
      <c r="BC275">
        <v>0</v>
      </c>
      <c r="BD275">
        <v>0.10001164285714299</v>
      </c>
      <c r="BE275">
        <v>0</v>
      </c>
      <c r="BF275">
        <v>26</v>
      </c>
      <c r="BG275">
        <v>13190.964285714301</v>
      </c>
      <c r="BH275">
        <v>1771089957.0999999</v>
      </c>
      <c r="BI275" t="s">
        <v>750</v>
      </c>
      <c r="BJ275">
        <v>1771089957.0999999</v>
      </c>
      <c r="BK275">
        <v>1771089951.0999999</v>
      </c>
      <c r="BL275">
        <v>9</v>
      </c>
      <c r="BM275">
        <v>-7.1999999999999995E-2</v>
      </c>
      <c r="BN275">
        <v>0</v>
      </c>
      <c r="BO275">
        <v>-0.97499999999999998</v>
      </c>
      <c r="BP275">
        <v>0.109</v>
      </c>
      <c r="BQ275">
        <v>1000</v>
      </c>
      <c r="BR275">
        <v>15</v>
      </c>
      <c r="BS275">
        <v>0.28999999999999998</v>
      </c>
      <c r="BT275">
        <v>0.06</v>
      </c>
      <c r="BU275">
        <v>-1.44759095238095</v>
      </c>
      <c r="BV275">
        <v>9.7274025974024597E-2</v>
      </c>
      <c r="BW275">
        <v>4.4489089395979398E-2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0.99701533333333303</v>
      </c>
      <c r="CD275">
        <v>3.2436311688312E-2</v>
      </c>
      <c r="CE275">
        <v>3.4283390165936499E-3</v>
      </c>
      <c r="CF275">
        <v>1</v>
      </c>
      <c r="CG275">
        <v>2</v>
      </c>
      <c r="CH275">
        <v>2</v>
      </c>
      <c r="CI275" t="s">
        <v>310</v>
      </c>
      <c r="CJ275">
        <v>3.5324800000000001</v>
      </c>
      <c r="CK275">
        <v>2.7018599999999999</v>
      </c>
      <c r="CL275">
        <v>0.181593</v>
      </c>
      <c r="CM275">
        <v>0.179094</v>
      </c>
      <c r="CN275">
        <v>8.6938000000000001E-2</v>
      </c>
      <c r="CO275">
        <v>8.1919000000000006E-2</v>
      </c>
      <c r="CP275">
        <v>28696.2</v>
      </c>
      <c r="CQ275">
        <v>25279.8</v>
      </c>
      <c r="CR275">
        <v>32451.599999999999</v>
      </c>
      <c r="CS275">
        <v>30720.9</v>
      </c>
      <c r="CT275">
        <v>40131.300000000003</v>
      </c>
      <c r="CU275">
        <v>39672.6</v>
      </c>
      <c r="CV275">
        <v>47393.9</v>
      </c>
      <c r="CW275">
        <v>46854.6</v>
      </c>
      <c r="CX275">
        <v>2.6212</v>
      </c>
      <c r="CY275">
        <v>2.1363799999999999</v>
      </c>
      <c r="CZ275">
        <v>0</v>
      </c>
      <c r="DA275">
        <v>0</v>
      </c>
      <c r="DB275">
        <v>999.9</v>
      </c>
      <c r="DC275">
        <v>999.9</v>
      </c>
      <c r="DD275">
        <v>50.390999999999998</v>
      </c>
      <c r="DE275">
        <v>27.280999999999999</v>
      </c>
      <c r="DF275">
        <v>18.352499999999999</v>
      </c>
      <c r="DG275">
        <v>30.178599999999999</v>
      </c>
      <c r="DH275">
        <v>15.5128</v>
      </c>
      <c r="DI275">
        <v>2</v>
      </c>
      <c r="DJ275">
        <v>-0.112937</v>
      </c>
      <c r="DK275">
        <v>2.6229800000000001</v>
      </c>
      <c r="DL275">
        <v>20.189399999999999</v>
      </c>
      <c r="DM275">
        <v>5.2521500000000003</v>
      </c>
      <c r="DN275">
        <v>12.033899999999999</v>
      </c>
      <c r="DO275">
        <v>4.9676400000000003</v>
      </c>
      <c r="DP275">
        <v>3.2909999999999999</v>
      </c>
      <c r="DQ275">
        <v>9999</v>
      </c>
      <c r="DR275">
        <v>9999</v>
      </c>
      <c r="DS275">
        <v>9999</v>
      </c>
      <c r="DT275">
        <v>605.29999999999995</v>
      </c>
      <c r="DU275">
        <v>1.8711899999999999</v>
      </c>
      <c r="DV275">
        <v>1.8762300000000001</v>
      </c>
      <c r="DW275">
        <v>1.8763700000000001</v>
      </c>
      <c r="DX275">
        <v>1.88293</v>
      </c>
      <c r="DY275">
        <v>1.8756200000000001</v>
      </c>
      <c r="DZ275">
        <v>1.8747</v>
      </c>
      <c r="EA275">
        <v>1.8708800000000001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-0.97499999999999998</v>
      </c>
      <c r="EQ275">
        <v>0.1091</v>
      </c>
      <c r="ER275">
        <v>-0.97454545454524999</v>
      </c>
      <c r="ES275">
        <v>0</v>
      </c>
      <c r="ET275">
        <v>0</v>
      </c>
      <c r="EU275">
        <v>0</v>
      </c>
      <c r="EV275">
        <v>0.109172727272727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8.8000000000000007</v>
      </c>
      <c r="FE275">
        <v>8.9</v>
      </c>
      <c r="FF275">
        <v>2.5756800000000002</v>
      </c>
      <c r="FG275">
        <v>2.5720200000000002</v>
      </c>
      <c r="FH275">
        <v>2.19604</v>
      </c>
      <c r="FI275">
        <v>2.5756800000000002</v>
      </c>
      <c r="FJ275">
        <v>2.4462899999999999</v>
      </c>
      <c r="FK275">
        <v>2.32422</v>
      </c>
      <c r="FL275">
        <v>31.958500000000001</v>
      </c>
      <c r="FM275">
        <v>24.14</v>
      </c>
      <c r="FN275">
        <v>19</v>
      </c>
      <c r="FO275">
        <v>865.024</v>
      </c>
      <c r="FP275">
        <v>582.00599999999997</v>
      </c>
      <c r="FQ275">
        <v>17.841699999999999</v>
      </c>
      <c r="FR275">
        <v>25.593399999999999</v>
      </c>
      <c r="FS275">
        <v>30.000299999999999</v>
      </c>
      <c r="FT275">
        <v>25.577200000000001</v>
      </c>
      <c r="FU275">
        <v>25.5779</v>
      </c>
      <c r="FV275">
        <v>51.668199999999999</v>
      </c>
      <c r="FW275">
        <v>25.5001</v>
      </c>
      <c r="FX275">
        <v>34.408299999999997</v>
      </c>
      <c r="FY275">
        <v>17.838999999999999</v>
      </c>
      <c r="FZ275">
        <v>1000</v>
      </c>
      <c r="GA275">
        <v>14.407400000000001</v>
      </c>
      <c r="GB275">
        <v>99.864900000000006</v>
      </c>
      <c r="GC275">
        <v>99.739900000000006</v>
      </c>
    </row>
    <row r="276" spans="1:185" x14ac:dyDescent="0.2">
      <c r="A276">
        <v>261</v>
      </c>
      <c r="B276">
        <v>1771090500</v>
      </c>
      <c r="C276">
        <v>5180</v>
      </c>
      <c r="D276" t="s">
        <v>823</v>
      </c>
      <c r="E276" t="s">
        <v>824</v>
      </c>
      <c r="F276">
        <v>15</v>
      </c>
      <c r="G276">
        <v>1771090492.5</v>
      </c>
      <c r="H276">
        <f t="shared" si="52"/>
        <v>8.3365281939701882E-4</v>
      </c>
      <c r="I276">
        <v>0</v>
      </c>
      <c r="J276">
        <f t="shared" si="64"/>
        <v>1.2559019495944873E-2</v>
      </c>
      <c r="K276">
        <f t="shared" si="53"/>
        <v>0.34042396772427802</v>
      </c>
      <c r="L276">
        <f t="shared" si="54"/>
        <v>69.857494479213386</v>
      </c>
      <c r="M276">
        <f t="shared" si="55"/>
        <v>1.5408587794868756</v>
      </c>
      <c r="N276">
        <f t="shared" si="56"/>
        <v>2.2057172118381221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26212.257339902426</v>
      </c>
      <c r="T276">
        <f t="shared" si="60"/>
        <v>799.99914285714306</v>
      </c>
      <c r="U276">
        <f t="shared" si="61"/>
        <v>674.39954485685655</v>
      </c>
      <c r="V276">
        <f t="shared" si="62"/>
        <v>0.8430003342857143</v>
      </c>
      <c r="W276">
        <f t="shared" si="63"/>
        <v>0.15870083571428575</v>
      </c>
      <c r="X276">
        <v>1</v>
      </c>
      <c r="Y276">
        <v>1771090492.5</v>
      </c>
      <c r="Z276">
        <v>998.554071428572</v>
      </c>
      <c r="AA276">
        <v>1000.0201428571399</v>
      </c>
      <c r="AB276">
        <v>15.412371428571401</v>
      </c>
      <c r="AC276">
        <v>14.386378571428599</v>
      </c>
      <c r="AD276">
        <v>999.52871428571405</v>
      </c>
      <c r="AE276">
        <v>15.3032</v>
      </c>
      <c r="AF276">
        <v>800.00971428571404</v>
      </c>
      <c r="AG276">
        <v>99.911428571428601</v>
      </c>
      <c r="AH276">
        <v>6.4022099999999998E-2</v>
      </c>
      <c r="AI276">
        <v>19.003900000000002</v>
      </c>
      <c r="AJ276">
        <v>999.9</v>
      </c>
      <c r="AK276">
        <v>999.9</v>
      </c>
      <c r="AL276">
        <v>0</v>
      </c>
      <c r="AM276">
        <v>0</v>
      </c>
      <c r="AN276">
        <v>5002.25</v>
      </c>
      <c r="AO276">
        <v>0</v>
      </c>
      <c r="AP276">
        <v>2.2019299999999999</v>
      </c>
      <c r="AQ276">
        <v>-1.4667014285714299</v>
      </c>
      <c r="AR276">
        <v>1014.18428571429</v>
      </c>
      <c r="AS276">
        <v>1014.61785714286</v>
      </c>
      <c r="AT276">
        <v>1.02597742857143</v>
      </c>
      <c r="AU276">
        <v>1000.0201428571399</v>
      </c>
      <c r="AV276">
        <v>14.386378571428599</v>
      </c>
      <c r="AW276">
        <v>1.5398714285714299</v>
      </c>
      <c r="AX276">
        <v>1.43736357142857</v>
      </c>
      <c r="AY276">
        <v>13.3699142857143</v>
      </c>
      <c r="AZ276">
        <v>12.3176357142857</v>
      </c>
      <c r="BA276">
        <v>799.99914285714306</v>
      </c>
      <c r="BB276">
        <v>0.89998885714285703</v>
      </c>
      <c r="BC276">
        <v>0</v>
      </c>
      <c r="BD276">
        <v>0.10001114285714301</v>
      </c>
      <c r="BE276">
        <v>0</v>
      </c>
      <c r="BF276">
        <v>26</v>
      </c>
      <c r="BG276">
        <v>13190.978571428601</v>
      </c>
      <c r="BH276">
        <v>1771089957.0999999</v>
      </c>
      <c r="BI276" t="s">
        <v>750</v>
      </c>
      <c r="BJ276">
        <v>1771089957.0999999</v>
      </c>
      <c r="BK276">
        <v>1771089951.0999999</v>
      </c>
      <c r="BL276">
        <v>9</v>
      </c>
      <c r="BM276">
        <v>-7.1999999999999995E-2</v>
      </c>
      <c r="BN276">
        <v>0</v>
      </c>
      <c r="BO276">
        <v>-0.97499999999999998</v>
      </c>
      <c r="BP276">
        <v>0.109</v>
      </c>
      <c r="BQ276">
        <v>1000</v>
      </c>
      <c r="BR276">
        <v>15</v>
      </c>
      <c r="BS276">
        <v>0.28999999999999998</v>
      </c>
      <c r="BT276">
        <v>0.06</v>
      </c>
      <c r="BU276">
        <v>-1.4547764999999999</v>
      </c>
      <c r="BV276">
        <v>-0.31087172932330898</v>
      </c>
      <c r="BW276">
        <v>3.6392618932277999E-2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1.0183116000000001</v>
      </c>
      <c r="CD276">
        <v>0.15566742857143001</v>
      </c>
      <c r="CE276">
        <v>1.6560750533716799E-2</v>
      </c>
      <c r="CF276">
        <v>0</v>
      </c>
      <c r="CG276">
        <v>1</v>
      </c>
      <c r="CH276">
        <v>2</v>
      </c>
      <c r="CI276" t="s">
        <v>299</v>
      </c>
      <c r="CJ276">
        <v>3.5325500000000001</v>
      </c>
      <c r="CK276">
        <v>2.7019799999999998</v>
      </c>
      <c r="CL276">
        <v>0.181592</v>
      </c>
      <c r="CM276">
        <v>0.17909800000000001</v>
      </c>
      <c r="CN276">
        <v>8.6888999999999994E-2</v>
      </c>
      <c r="CO276">
        <v>8.1737199999999996E-2</v>
      </c>
      <c r="CP276">
        <v>28696.6</v>
      </c>
      <c r="CQ276">
        <v>25279.9</v>
      </c>
      <c r="CR276">
        <v>32452</v>
      </c>
      <c r="CS276">
        <v>30721.200000000001</v>
      </c>
      <c r="CT276">
        <v>40133.800000000003</v>
      </c>
      <c r="CU276">
        <v>39680.9</v>
      </c>
      <c r="CV276">
        <v>47394.2</v>
      </c>
      <c r="CW276">
        <v>46854.9</v>
      </c>
      <c r="CX276">
        <v>2.62134</v>
      </c>
      <c r="CY276">
        <v>2.1363400000000001</v>
      </c>
      <c r="CZ276">
        <v>0</v>
      </c>
      <c r="DA276">
        <v>0</v>
      </c>
      <c r="DB276">
        <v>999.9</v>
      </c>
      <c r="DC276">
        <v>999.9</v>
      </c>
      <c r="DD276">
        <v>50.292999999999999</v>
      </c>
      <c r="DE276">
        <v>27.300999999999998</v>
      </c>
      <c r="DF276">
        <v>18.337499999999999</v>
      </c>
      <c r="DG276">
        <v>30.358599999999999</v>
      </c>
      <c r="DH276">
        <v>15.4087</v>
      </c>
      <c r="DI276">
        <v>2</v>
      </c>
      <c r="DJ276">
        <v>-0.112807</v>
      </c>
      <c r="DK276">
        <v>2.6299299999999999</v>
      </c>
      <c r="DL276">
        <v>20.1891</v>
      </c>
      <c r="DM276">
        <v>5.2521500000000003</v>
      </c>
      <c r="DN276">
        <v>12.033899999999999</v>
      </c>
      <c r="DO276">
        <v>4.9676799999999997</v>
      </c>
      <c r="DP276">
        <v>3.2909999999999999</v>
      </c>
      <c r="DQ276">
        <v>9999</v>
      </c>
      <c r="DR276">
        <v>9999</v>
      </c>
      <c r="DS276">
        <v>9999</v>
      </c>
      <c r="DT276">
        <v>605.29999999999995</v>
      </c>
      <c r="DU276">
        <v>1.8711899999999999</v>
      </c>
      <c r="DV276">
        <v>1.87622</v>
      </c>
      <c r="DW276">
        <v>1.8763700000000001</v>
      </c>
      <c r="DX276">
        <v>1.8829199999999999</v>
      </c>
      <c r="DY276">
        <v>1.87561</v>
      </c>
      <c r="DZ276">
        <v>1.87469</v>
      </c>
      <c r="EA276">
        <v>1.8708800000000001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-0.97499999999999998</v>
      </c>
      <c r="EQ276">
        <v>0.10920000000000001</v>
      </c>
      <c r="ER276">
        <v>-0.97454545454524999</v>
      </c>
      <c r="ES276">
        <v>0</v>
      </c>
      <c r="ET276">
        <v>0</v>
      </c>
      <c r="EU276">
        <v>0</v>
      </c>
      <c r="EV276">
        <v>0.109172727272727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9</v>
      </c>
      <c r="FE276">
        <v>9.1</v>
      </c>
      <c r="FF276">
        <v>2.5756800000000002</v>
      </c>
      <c r="FG276">
        <v>2.5903299999999998</v>
      </c>
      <c r="FH276">
        <v>2.19604</v>
      </c>
      <c r="FI276">
        <v>2.5769000000000002</v>
      </c>
      <c r="FJ276">
        <v>2.4462899999999999</v>
      </c>
      <c r="FK276">
        <v>2.2436500000000001</v>
      </c>
      <c r="FL276">
        <v>31.980499999999999</v>
      </c>
      <c r="FM276">
        <v>24.1313</v>
      </c>
      <c r="FN276">
        <v>19</v>
      </c>
      <c r="FO276">
        <v>865.154</v>
      </c>
      <c r="FP276">
        <v>581.99900000000002</v>
      </c>
      <c r="FQ276">
        <v>17.829499999999999</v>
      </c>
      <c r="FR276">
        <v>25.593399999999999</v>
      </c>
      <c r="FS276">
        <v>30.0001</v>
      </c>
      <c r="FT276">
        <v>25.577200000000001</v>
      </c>
      <c r="FU276">
        <v>25.58</v>
      </c>
      <c r="FV276">
        <v>51.664499999999997</v>
      </c>
      <c r="FW276">
        <v>25.5001</v>
      </c>
      <c r="FX276">
        <v>34.408299999999997</v>
      </c>
      <c r="FY276">
        <v>17.827500000000001</v>
      </c>
      <c r="FZ276">
        <v>1000</v>
      </c>
      <c r="GA276">
        <v>14.407400000000001</v>
      </c>
      <c r="GB276">
        <v>99.865700000000004</v>
      </c>
      <c r="GC276">
        <v>99.740700000000004</v>
      </c>
    </row>
    <row r="277" spans="1:185" x14ac:dyDescent="0.2">
      <c r="A277">
        <v>262</v>
      </c>
      <c r="B277">
        <v>1771090515</v>
      </c>
      <c r="C277">
        <v>5195</v>
      </c>
      <c r="D277" t="s">
        <v>825</v>
      </c>
      <c r="E277" t="s">
        <v>826</v>
      </c>
      <c r="F277">
        <v>15</v>
      </c>
      <c r="G277">
        <v>1771090507.5</v>
      </c>
      <c r="H277">
        <f t="shared" si="52"/>
        <v>8.3289914845188296E-4</v>
      </c>
      <c r="I277">
        <v>0</v>
      </c>
      <c r="J277">
        <f t="shared" si="64"/>
        <v>1.1718696974560509E-2</v>
      </c>
      <c r="K277">
        <f t="shared" si="53"/>
        <v>0.31764623997330976</v>
      </c>
      <c r="L277">
        <f t="shared" si="54"/>
        <v>69.804480916033469</v>
      </c>
      <c r="M277">
        <f t="shared" si="55"/>
        <v>1.5395913160503276</v>
      </c>
      <c r="N277">
        <f t="shared" si="56"/>
        <v>2.2055766275266393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26189.834825785267</v>
      </c>
      <c r="T277">
        <f t="shared" si="60"/>
        <v>799.99985714285697</v>
      </c>
      <c r="U277">
        <f t="shared" si="61"/>
        <v>674.40012299995635</v>
      </c>
      <c r="V277">
        <f t="shared" si="62"/>
        <v>0.84300030428571426</v>
      </c>
      <c r="W277">
        <f t="shared" si="63"/>
        <v>0.15870076071428571</v>
      </c>
      <c r="X277">
        <v>1</v>
      </c>
      <c r="Y277">
        <v>1771090507.5</v>
      </c>
      <c r="Z277">
        <v>998.53878571428595</v>
      </c>
      <c r="AA277">
        <v>999.97542857142901</v>
      </c>
      <c r="AB277">
        <v>15.399535714285699</v>
      </c>
      <c r="AC277">
        <v>14.3744571428571</v>
      </c>
      <c r="AD277">
        <v>999.51350000000002</v>
      </c>
      <c r="AE277">
        <v>15.290357142857101</v>
      </c>
      <c r="AF277">
        <v>800.00978571428595</v>
      </c>
      <c r="AG277">
        <v>99.912199999999999</v>
      </c>
      <c r="AH277">
        <v>6.4276214285714298E-2</v>
      </c>
      <c r="AI277">
        <v>19.002878571428599</v>
      </c>
      <c r="AJ277">
        <v>999.9</v>
      </c>
      <c r="AK277">
        <v>999.9</v>
      </c>
      <c r="AL277">
        <v>0</v>
      </c>
      <c r="AM277">
        <v>0</v>
      </c>
      <c r="AN277">
        <v>4998.5</v>
      </c>
      <c r="AO277">
        <v>0</v>
      </c>
      <c r="AP277">
        <v>2.2019299999999999</v>
      </c>
      <c r="AQ277">
        <v>-1.43655357142857</v>
      </c>
      <c r="AR277">
        <v>1014.155</v>
      </c>
      <c r="AS277">
        <v>1014.55857142857</v>
      </c>
      <c r="AT277">
        <v>1.02506571428571</v>
      </c>
      <c r="AU277">
        <v>999.97542857142901</v>
      </c>
      <c r="AV277">
        <v>14.3744571428571</v>
      </c>
      <c r="AW277">
        <v>1.53860142857143</v>
      </c>
      <c r="AX277">
        <v>1.4361842857142899</v>
      </c>
      <c r="AY277">
        <v>13.357257142857099</v>
      </c>
      <c r="AZ277">
        <v>12.3051642857143</v>
      </c>
      <c r="BA277">
        <v>799.99985714285697</v>
      </c>
      <c r="BB277">
        <v>0.89998985714285695</v>
      </c>
      <c r="BC277">
        <v>0</v>
      </c>
      <c r="BD277">
        <v>0.10001014285714301</v>
      </c>
      <c r="BE277">
        <v>0</v>
      </c>
      <c r="BF277">
        <v>26</v>
      </c>
      <c r="BG277">
        <v>13190.9857142857</v>
      </c>
      <c r="BH277">
        <v>1771089957.0999999</v>
      </c>
      <c r="BI277" t="s">
        <v>750</v>
      </c>
      <c r="BJ277">
        <v>1771089957.0999999</v>
      </c>
      <c r="BK277">
        <v>1771089951.0999999</v>
      </c>
      <c r="BL277">
        <v>9</v>
      </c>
      <c r="BM277">
        <v>-7.1999999999999995E-2</v>
      </c>
      <c r="BN277">
        <v>0</v>
      </c>
      <c r="BO277">
        <v>-0.97499999999999998</v>
      </c>
      <c r="BP277">
        <v>0.109</v>
      </c>
      <c r="BQ277">
        <v>1000</v>
      </c>
      <c r="BR277">
        <v>15</v>
      </c>
      <c r="BS277">
        <v>0.28999999999999998</v>
      </c>
      <c r="BT277">
        <v>0.06</v>
      </c>
      <c r="BU277">
        <v>-1.4557814285714299</v>
      </c>
      <c r="BV277">
        <v>0.15648545454545401</v>
      </c>
      <c r="BW277">
        <v>3.79504608524266E-2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1.02841571428571</v>
      </c>
      <c r="CD277">
        <v>-4.6537402597399503E-2</v>
      </c>
      <c r="CE277">
        <v>5.1283735205215298E-3</v>
      </c>
      <c r="CF277">
        <v>1</v>
      </c>
      <c r="CG277">
        <v>2</v>
      </c>
      <c r="CH277">
        <v>2</v>
      </c>
      <c r="CI277" t="s">
        <v>310</v>
      </c>
      <c r="CJ277">
        <v>3.53254</v>
      </c>
      <c r="CK277">
        <v>2.7021799999999998</v>
      </c>
      <c r="CL277">
        <v>0.181591</v>
      </c>
      <c r="CM277">
        <v>0.17909600000000001</v>
      </c>
      <c r="CN277">
        <v>8.6851899999999996E-2</v>
      </c>
      <c r="CO277">
        <v>8.1744399999999995E-2</v>
      </c>
      <c r="CP277">
        <v>28696.5</v>
      </c>
      <c r="CQ277">
        <v>25279.9</v>
      </c>
      <c r="CR277">
        <v>32451.9</v>
      </c>
      <c r="CS277">
        <v>30721.1</v>
      </c>
      <c r="CT277">
        <v>40135.5</v>
      </c>
      <c r="CU277">
        <v>39680.400000000001</v>
      </c>
      <c r="CV277">
        <v>47394.3</v>
      </c>
      <c r="CW277">
        <v>46854.6</v>
      </c>
      <c r="CX277">
        <v>2.6211600000000002</v>
      </c>
      <c r="CY277">
        <v>2.1362999999999999</v>
      </c>
      <c r="CZ277">
        <v>0</v>
      </c>
      <c r="DA277">
        <v>0</v>
      </c>
      <c r="DB277">
        <v>999.9</v>
      </c>
      <c r="DC277">
        <v>999.9</v>
      </c>
      <c r="DD277">
        <v>50.244</v>
      </c>
      <c r="DE277">
        <v>27.311</v>
      </c>
      <c r="DF277">
        <v>18.329599999999999</v>
      </c>
      <c r="DG277">
        <v>30.3886</v>
      </c>
      <c r="DH277">
        <v>15.3606</v>
      </c>
      <c r="DI277">
        <v>2</v>
      </c>
      <c r="DJ277">
        <v>-0.112398</v>
      </c>
      <c r="DK277">
        <v>2.6480999999999999</v>
      </c>
      <c r="DL277">
        <v>20.188700000000001</v>
      </c>
      <c r="DM277">
        <v>5.2523900000000001</v>
      </c>
      <c r="DN277">
        <v>12.033899999999999</v>
      </c>
      <c r="DO277">
        <v>4.9677199999999999</v>
      </c>
      <c r="DP277">
        <v>3.2909999999999999</v>
      </c>
      <c r="DQ277">
        <v>9999</v>
      </c>
      <c r="DR277">
        <v>9999</v>
      </c>
      <c r="DS277">
        <v>9999</v>
      </c>
      <c r="DT277">
        <v>605.29999999999995</v>
      </c>
      <c r="DU277">
        <v>1.8711800000000001</v>
      </c>
      <c r="DV277">
        <v>1.87622</v>
      </c>
      <c r="DW277">
        <v>1.8763700000000001</v>
      </c>
      <c r="DX277">
        <v>1.88293</v>
      </c>
      <c r="DY277">
        <v>1.8756299999999999</v>
      </c>
      <c r="DZ277">
        <v>1.8747</v>
      </c>
      <c r="EA277">
        <v>1.8708800000000001</v>
      </c>
      <c r="EB277">
        <v>1.8747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-0.97399999999999998</v>
      </c>
      <c r="EQ277">
        <v>0.10920000000000001</v>
      </c>
      <c r="ER277">
        <v>-0.97454545454524999</v>
      </c>
      <c r="ES277">
        <v>0</v>
      </c>
      <c r="ET277">
        <v>0</v>
      </c>
      <c r="EU277">
        <v>0</v>
      </c>
      <c r="EV277">
        <v>0.109172727272727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9.3000000000000007</v>
      </c>
      <c r="FE277">
        <v>9.4</v>
      </c>
      <c r="FF277">
        <v>2.5769000000000002</v>
      </c>
      <c r="FG277">
        <v>2.5744600000000002</v>
      </c>
      <c r="FH277">
        <v>2.19604</v>
      </c>
      <c r="FI277">
        <v>2.5769000000000002</v>
      </c>
      <c r="FJ277">
        <v>2.4462899999999999</v>
      </c>
      <c r="FK277">
        <v>2.32544</v>
      </c>
      <c r="FL277">
        <v>31.980499999999999</v>
      </c>
      <c r="FM277">
        <v>24.14</v>
      </c>
      <c r="FN277">
        <v>19</v>
      </c>
      <c r="FO277">
        <v>865.02099999999996</v>
      </c>
      <c r="FP277">
        <v>581.99199999999996</v>
      </c>
      <c r="FQ277">
        <v>17.818200000000001</v>
      </c>
      <c r="FR277">
        <v>25.5959</v>
      </c>
      <c r="FS277">
        <v>30.0002</v>
      </c>
      <c r="FT277">
        <v>25.5794</v>
      </c>
      <c r="FU277">
        <v>25.5822</v>
      </c>
      <c r="FV277">
        <v>51.665999999999997</v>
      </c>
      <c r="FW277">
        <v>25.5001</v>
      </c>
      <c r="FX277">
        <v>34.408299999999997</v>
      </c>
      <c r="FY277">
        <v>17.817</v>
      </c>
      <c r="FZ277">
        <v>1000</v>
      </c>
      <c r="GA277">
        <v>14.407400000000001</v>
      </c>
      <c r="GB277">
        <v>99.865600000000001</v>
      </c>
      <c r="GC277">
        <v>99.740200000000002</v>
      </c>
    </row>
    <row r="278" spans="1:185" x14ac:dyDescent="0.2">
      <c r="A278">
        <v>263</v>
      </c>
      <c r="B278">
        <v>1771090530</v>
      </c>
      <c r="C278">
        <v>5210</v>
      </c>
      <c r="D278" t="s">
        <v>827</v>
      </c>
      <c r="E278" t="s">
        <v>828</v>
      </c>
      <c r="F278">
        <v>15</v>
      </c>
      <c r="G278">
        <v>1771090522.5</v>
      </c>
      <c r="H278">
        <f t="shared" si="52"/>
        <v>8.25172195738462E-4</v>
      </c>
      <c r="I278">
        <v>0</v>
      </c>
      <c r="J278">
        <f t="shared" si="64"/>
        <v>1.2477149445720396E-2</v>
      </c>
      <c r="K278">
        <f t="shared" si="53"/>
        <v>0.3382048034539939</v>
      </c>
      <c r="L278">
        <f t="shared" si="54"/>
        <v>69.779517095604334</v>
      </c>
      <c r="M278">
        <f t="shared" si="55"/>
        <v>1.5388157301508767</v>
      </c>
      <c r="N278">
        <f t="shared" si="56"/>
        <v>2.2052541980801585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26167.545630443401</v>
      </c>
      <c r="T278">
        <f t="shared" si="60"/>
        <v>800.00185714285703</v>
      </c>
      <c r="U278">
        <f t="shared" si="61"/>
        <v>674.40186900070432</v>
      </c>
      <c r="V278">
        <f t="shared" si="62"/>
        <v>0.84300037928571436</v>
      </c>
      <c r="W278">
        <f t="shared" si="63"/>
        <v>0.15870094821428574</v>
      </c>
      <c r="X278">
        <v>1</v>
      </c>
      <c r="Y278">
        <v>1771090522.5</v>
      </c>
      <c r="Z278">
        <v>998.54378571428595</v>
      </c>
      <c r="AA278">
        <v>999.99649999999997</v>
      </c>
      <c r="AB278">
        <v>15.391778571428601</v>
      </c>
      <c r="AC278">
        <v>14.3761928571429</v>
      </c>
      <c r="AD278">
        <v>999.51835714285698</v>
      </c>
      <c r="AE278">
        <v>15.2826</v>
      </c>
      <c r="AF278">
        <v>800.00271428571398</v>
      </c>
      <c r="AG278">
        <v>99.912214285714299</v>
      </c>
      <c r="AH278">
        <v>6.4258414285714299E-2</v>
      </c>
      <c r="AI278">
        <v>19.0005357142857</v>
      </c>
      <c r="AJ278">
        <v>999.9</v>
      </c>
      <c r="AK278">
        <v>999.9</v>
      </c>
      <c r="AL278">
        <v>0</v>
      </c>
      <c r="AM278">
        <v>0</v>
      </c>
      <c r="AN278">
        <v>4994.7857142857101</v>
      </c>
      <c r="AO278">
        <v>0</v>
      </c>
      <c r="AP278">
        <v>2.2019299999999999</v>
      </c>
      <c r="AQ278">
        <v>-1.45307214285714</v>
      </c>
      <c r="AR278">
        <v>1014.15357142857</v>
      </c>
      <c r="AS278">
        <v>1014.58214285714</v>
      </c>
      <c r="AT278">
        <v>1.01559714285714</v>
      </c>
      <c r="AU278">
        <v>999.99649999999997</v>
      </c>
      <c r="AV278">
        <v>14.3761928571429</v>
      </c>
      <c r="AW278">
        <v>1.5378278571428601</v>
      </c>
      <c r="AX278">
        <v>1.4363564285714301</v>
      </c>
      <c r="AY278">
        <v>13.3495285714286</v>
      </c>
      <c r="AZ278">
        <v>12.307007142857101</v>
      </c>
      <c r="BA278">
        <v>800.00185714285703</v>
      </c>
      <c r="BB278">
        <v>0.89998735714285705</v>
      </c>
      <c r="BC278">
        <v>0</v>
      </c>
      <c r="BD278">
        <v>0.10001264285714299</v>
      </c>
      <c r="BE278">
        <v>0</v>
      </c>
      <c r="BF278">
        <v>26</v>
      </c>
      <c r="BG278">
        <v>13191.021428571399</v>
      </c>
      <c r="BH278">
        <v>1771089957.0999999</v>
      </c>
      <c r="BI278" t="s">
        <v>750</v>
      </c>
      <c r="BJ278">
        <v>1771089957.0999999</v>
      </c>
      <c r="BK278">
        <v>1771089951.0999999</v>
      </c>
      <c r="BL278">
        <v>9</v>
      </c>
      <c r="BM278">
        <v>-7.1999999999999995E-2</v>
      </c>
      <c r="BN278">
        <v>0</v>
      </c>
      <c r="BO278">
        <v>-0.97499999999999998</v>
      </c>
      <c r="BP278">
        <v>0.109</v>
      </c>
      <c r="BQ278">
        <v>1000</v>
      </c>
      <c r="BR278">
        <v>15</v>
      </c>
      <c r="BS278">
        <v>0.28999999999999998</v>
      </c>
      <c r="BT278">
        <v>0.06</v>
      </c>
      <c r="BU278">
        <v>-1.4507135</v>
      </c>
      <c r="BV278">
        <v>-1.09006015037583E-2</v>
      </c>
      <c r="BW278">
        <v>2.54962146749277E-2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1.0179095</v>
      </c>
      <c r="CD278">
        <v>-2.32542857142858E-2</v>
      </c>
      <c r="CE278">
        <v>4.2344391305106904E-3</v>
      </c>
      <c r="CF278">
        <v>1</v>
      </c>
      <c r="CG278">
        <v>2</v>
      </c>
      <c r="CH278">
        <v>2</v>
      </c>
      <c r="CI278" t="s">
        <v>310</v>
      </c>
      <c r="CJ278">
        <v>3.5324900000000001</v>
      </c>
      <c r="CK278">
        <v>2.7020400000000002</v>
      </c>
      <c r="CL278">
        <v>0.18159</v>
      </c>
      <c r="CM278">
        <v>0.17909600000000001</v>
      </c>
      <c r="CN278">
        <v>8.6842699999999995E-2</v>
      </c>
      <c r="CO278">
        <v>8.1753099999999995E-2</v>
      </c>
      <c r="CP278">
        <v>28696.5</v>
      </c>
      <c r="CQ278">
        <v>25279.599999999999</v>
      </c>
      <c r="CR278">
        <v>32451.9</v>
      </c>
      <c r="CS278">
        <v>30720.7</v>
      </c>
      <c r="CT278">
        <v>40135.800000000003</v>
      </c>
      <c r="CU278">
        <v>39679.599999999999</v>
      </c>
      <c r="CV278">
        <v>47394.1</v>
      </c>
      <c r="CW278">
        <v>46854.2</v>
      </c>
      <c r="CX278">
        <v>2.6212200000000001</v>
      </c>
      <c r="CY278">
        <v>2.13612</v>
      </c>
      <c r="CZ278">
        <v>0</v>
      </c>
      <c r="DA278">
        <v>0</v>
      </c>
      <c r="DB278">
        <v>999.9</v>
      </c>
      <c r="DC278">
        <v>999.9</v>
      </c>
      <c r="DD278">
        <v>50.22</v>
      </c>
      <c r="DE278">
        <v>27.300999999999998</v>
      </c>
      <c r="DF278">
        <v>18.309200000000001</v>
      </c>
      <c r="DG278">
        <v>30.4786</v>
      </c>
      <c r="DH278">
        <v>15.520799999999999</v>
      </c>
      <c r="DI278">
        <v>2</v>
      </c>
      <c r="DJ278">
        <v>-0.11239</v>
      </c>
      <c r="DK278">
        <v>2.57836</v>
      </c>
      <c r="DL278">
        <v>20.190200000000001</v>
      </c>
      <c r="DM278">
        <v>5.25251</v>
      </c>
      <c r="DN278">
        <v>12.033899999999999</v>
      </c>
      <c r="DO278">
        <v>4.9677600000000002</v>
      </c>
      <c r="DP278">
        <v>3.2909999999999999</v>
      </c>
      <c r="DQ278">
        <v>9999</v>
      </c>
      <c r="DR278">
        <v>9999</v>
      </c>
      <c r="DS278">
        <v>9999</v>
      </c>
      <c r="DT278">
        <v>605.29999999999995</v>
      </c>
      <c r="DU278">
        <v>1.8711899999999999</v>
      </c>
      <c r="DV278">
        <v>1.87622</v>
      </c>
      <c r="DW278">
        <v>1.8763700000000001</v>
      </c>
      <c r="DX278">
        <v>1.8829199999999999</v>
      </c>
      <c r="DY278">
        <v>1.87561</v>
      </c>
      <c r="DZ278">
        <v>1.87469</v>
      </c>
      <c r="EA278">
        <v>1.8708800000000001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-0.97399999999999998</v>
      </c>
      <c r="EQ278">
        <v>0.10920000000000001</v>
      </c>
      <c r="ER278">
        <v>-0.97454545454524999</v>
      </c>
      <c r="ES278">
        <v>0</v>
      </c>
      <c r="ET278">
        <v>0</v>
      </c>
      <c r="EU278">
        <v>0</v>
      </c>
      <c r="EV278">
        <v>0.109172727272727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9.5</v>
      </c>
      <c r="FE278">
        <v>9.6</v>
      </c>
      <c r="FF278">
        <v>2.5756800000000002</v>
      </c>
      <c r="FG278">
        <v>2.5769000000000002</v>
      </c>
      <c r="FH278">
        <v>2.19604</v>
      </c>
      <c r="FI278">
        <v>2.5756800000000002</v>
      </c>
      <c r="FJ278">
        <v>2.4462899999999999</v>
      </c>
      <c r="FK278">
        <v>2.2875999999999999</v>
      </c>
      <c r="FL278">
        <v>31.980499999999999</v>
      </c>
      <c r="FM278">
        <v>24.14</v>
      </c>
      <c r="FN278">
        <v>19</v>
      </c>
      <c r="FO278">
        <v>865.12400000000002</v>
      </c>
      <c r="FP278">
        <v>581.87699999999995</v>
      </c>
      <c r="FQ278">
        <v>17.819800000000001</v>
      </c>
      <c r="FR278">
        <v>25.599900000000002</v>
      </c>
      <c r="FS278">
        <v>30</v>
      </c>
      <c r="FT278">
        <v>25.5823</v>
      </c>
      <c r="FU278">
        <v>25.584299999999999</v>
      </c>
      <c r="FV278">
        <v>51.668399999999998</v>
      </c>
      <c r="FW278">
        <v>25.5001</v>
      </c>
      <c r="FX278">
        <v>34.408299999999997</v>
      </c>
      <c r="FY278">
        <v>17.8338</v>
      </c>
      <c r="FZ278">
        <v>1000</v>
      </c>
      <c r="GA278">
        <v>14.407400000000001</v>
      </c>
      <c r="GB278">
        <v>99.865399999999994</v>
      </c>
      <c r="GC278">
        <v>99.739099999999993</v>
      </c>
    </row>
    <row r="279" spans="1:185" x14ac:dyDescent="0.2">
      <c r="A279">
        <v>264</v>
      </c>
      <c r="B279">
        <v>1771090545</v>
      </c>
      <c r="C279">
        <v>5225</v>
      </c>
      <c r="D279" t="s">
        <v>829</v>
      </c>
      <c r="E279" t="s">
        <v>830</v>
      </c>
      <c r="F279">
        <v>15</v>
      </c>
      <c r="G279">
        <v>1771090537.5</v>
      </c>
      <c r="H279">
        <f t="shared" si="52"/>
        <v>8.2524671633597163E-4</v>
      </c>
      <c r="I279">
        <v>0</v>
      </c>
      <c r="J279">
        <f t="shared" si="64"/>
        <v>1.3529780297670609E-2</v>
      </c>
      <c r="K279">
        <f t="shared" si="53"/>
        <v>0.36673734704034483</v>
      </c>
      <c r="L279">
        <f t="shared" si="54"/>
        <v>69.792769156167395</v>
      </c>
      <c r="M279">
        <f t="shared" si="55"/>
        <v>1.5389892925007429</v>
      </c>
      <c r="N279">
        <f t="shared" si="56"/>
        <v>2.2050841528541736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26251.669816798407</v>
      </c>
      <c r="T279">
        <f t="shared" si="60"/>
        <v>800.000071428571</v>
      </c>
      <c r="U279">
        <f t="shared" si="61"/>
        <v>674.40030192859217</v>
      </c>
      <c r="V279">
        <f t="shared" si="62"/>
        <v>0.84300030214285659</v>
      </c>
      <c r="W279">
        <f t="shared" si="63"/>
        <v>0.15870089455714273</v>
      </c>
      <c r="X279">
        <v>1</v>
      </c>
      <c r="Y279">
        <v>1771090537.5</v>
      </c>
      <c r="Z279">
        <v>998.51721428571398</v>
      </c>
      <c r="AA279">
        <v>1000.0056428571399</v>
      </c>
      <c r="AB279">
        <v>15.3933571428571</v>
      </c>
      <c r="AC279">
        <v>14.3776928571429</v>
      </c>
      <c r="AD279">
        <v>999.49178571428604</v>
      </c>
      <c r="AE279">
        <v>15.284171428571399</v>
      </c>
      <c r="AF279">
        <v>800.01178571428602</v>
      </c>
      <c r="AG279">
        <v>99.913314285714307</v>
      </c>
      <c r="AH279">
        <v>6.4181085714285699E-2</v>
      </c>
      <c r="AI279">
        <v>18.999300000000002</v>
      </c>
      <c r="AJ279">
        <v>999.9</v>
      </c>
      <c r="AK279">
        <v>999.9</v>
      </c>
      <c r="AL279">
        <v>0</v>
      </c>
      <c r="AM279">
        <v>0</v>
      </c>
      <c r="AN279">
        <v>5008.6071428571404</v>
      </c>
      <c r="AO279">
        <v>0</v>
      </c>
      <c r="AP279">
        <v>2.2019299999999999</v>
      </c>
      <c r="AQ279">
        <v>-1.48842214285714</v>
      </c>
      <c r="AR279">
        <v>1014.12785714286</v>
      </c>
      <c r="AS279">
        <v>1014.59357142857</v>
      </c>
      <c r="AT279">
        <v>1.0156499999999999</v>
      </c>
      <c r="AU279">
        <v>1000.0056428571399</v>
      </c>
      <c r="AV279">
        <v>14.3776928571429</v>
      </c>
      <c r="AW279">
        <v>1.5380014285714301</v>
      </c>
      <c r="AX279">
        <v>1.4365228571428601</v>
      </c>
      <c r="AY279">
        <v>13.351257142857101</v>
      </c>
      <c r="AZ279">
        <v>12.30875</v>
      </c>
      <c r="BA279">
        <v>800.000071428571</v>
      </c>
      <c r="BB279">
        <v>0.89998785714285701</v>
      </c>
      <c r="BC279">
        <v>0</v>
      </c>
      <c r="BD279">
        <v>0.10001207142857101</v>
      </c>
      <c r="BE279">
        <v>0</v>
      </c>
      <c r="BF279">
        <v>26</v>
      </c>
      <c r="BG279">
        <v>13190.978571428601</v>
      </c>
      <c r="BH279">
        <v>1771089957.0999999</v>
      </c>
      <c r="BI279" t="s">
        <v>750</v>
      </c>
      <c r="BJ279">
        <v>1771089957.0999999</v>
      </c>
      <c r="BK279">
        <v>1771089951.0999999</v>
      </c>
      <c r="BL279">
        <v>9</v>
      </c>
      <c r="BM279">
        <v>-7.1999999999999995E-2</v>
      </c>
      <c r="BN279">
        <v>0</v>
      </c>
      <c r="BO279">
        <v>-0.97499999999999998</v>
      </c>
      <c r="BP279">
        <v>0.109</v>
      </c>
      <c r="BQ279">
        <v>1000</v>
      </c>
      <c r="BR279">
        <v>15</v>
      </c>
      <c r="BS279">
        <v>0.28999999999999998</v>
      </c>
      <c r="BT279">
        <v>0.06</v>
      </c>
      <c r="BU279">
        <v>-1.4726104761904799</v>
      </c>
      <c r="BV279">
        <v>-0.122457662337662</v>
      </c>
      <c r="BW279">
        <v>3.2841489218044903E-2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1.01631761904762</v>
      </c>
      <c r="CD279">
        <v>-5.1319480519481401E-3</v>
      </c>
      <c r="CE279">
        <v>1.5470768280916401E-3</v>
      </c>
      <c r="CF279">
        <v>1</v>
      </c>
      <c r="CG279">
        <v>2</v>
      </c>
      <c r="CH279">
        <v>2</v>
      </c>
      <c r="CI279" t="s">
        <v>310</v>
      </c>
      <c r="CJ279">
        <v>3.5325600000000001</v>
      </c>
      <c r="CK279">
        <v>2.7017000000000002</v>
      </c>
      <c r="CL279">
        <v>0.181591</v>
      </c>
      <c r="CM279">
        <v>0.179088</v>
      </c>
      <c r="CN279">
        <v>8.6846699999999999E-2</v>
      </c>
      <c r="CO279">
        <v>8.1759600000000002E-2</v>
      </c>
      <c r="CP279">
        <v>28696.7</v>
      </c>
      <c r="CQ279">
        <v>25279.9</v>
      </c>
      <c r="CR279">
        <v>32452.2</v>
      </c>
      <c r="CS279">
        <v>30720.9</v>
      </c>
      <c r="CT279">
        <v>40135.800000000003</v>
      </c>
      <c r="CU279">
        <v>39679.699999999997</v>
      </c>
      <c r="CV279">
        <v>47394.400000000001</v>
      </c>
      <c r="CW279">
        <v>46854.6</v>
      </c>
      <c r="CX279">
        <v>2.6212</v>
      </c>
      <c r="CY279">
        <v>2.1358799999999998</v>
      </c>
      <c r="CZ279">
        <v>0</v>
      </c>
      <c r="DA279">
        <v>0</v>
      </c>
      <c r="DB279">
        <v>999.9</v>
      </c>
      <c r="DC279">
        <v>999.9</v>
      </c>
      <c r="DD279">
        <v>50.170999999999999</v>
      </c>
      <c r="DE279">
        <v>27.332000000000001</v>
      </c>
      <c r="DF279">
        <v>18.325500000000002</v>
      </c>
      <c r="DG279">
        <v>30.448599999999999</v>
      </c>
      <c r="DH279">
        <v>15.3285</v>
      </c>
      <c r="DI279">
        <v>2</v>
      </c>
      <c r="DJ279">
        <v>-0.11208899999999999</v>
      </c>
      <c r="DK279">
        <v>2.6096900000000001</v>
      </c>
      <c r="DL279">
        <v>20.189499999999999</v>
      </c>
      <c r="DM279">
        <v>5.2522700000000002</v>
      </c>
      <c r="DN279">
        <v>12.033899999999999</v>
      </c>
      <c r="DO279">
        <v>4.9676799999999997</v>
      </c>
      <c r="DP279">
        <v>3.2909999999999999</v>
      </c>
      <c r="DQ279">
        <v>9999</v>
      </c>
      <c r="DR279">
        <v>9999</v>
      </c>
      <c r="DS279">
        <v>9999</v>
      </c>
      <c r="DT279">
        <v>605.29999999999995</v>
      </c>
      <c r="DU279">
        <v>1.8711899999999999</v>
      </c>
      <c r="DV279">
        <v>1.87622</v>
      </c>
      <c r="DW279">
        <v>1.8763799999999999</v>
      </c>
      <c r="DX279">
        <v>1.8829199999999999</v>
      </c>
      <c r="DY279">
        <v>1.8756200000000001</v>
      </c>
      <c r="DZ279">
        <v>1.87469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-0.97499999999999998</v>
      </c>
      <c r="EQ279">
        <v>0.10920000000000001</v>
      </c>
      <c r="ER279">
        <v>-0.97454545454524999</v>
      </c>
      <c r="ES279">
        <v>0</v>
      </c>
      <c r="ET279">
        <v>0</v>
      </c>
      <c r="EU279">
        <v>0</v>
      </c>
      <c r="EV279">
        <v>0.109172727272727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9.8000000000000007</v>
      </c>
      <c r="FE279">
        <v>9.9</v>
      </c>
      <c r="FF279">
        <v>2.5769000000000002</v>
      </c>
      <c r="FG279">
        <v>2.5817899999999998</v>
      </c>
      <c r="FH279">
        <v>2.19604</v>
      </c>
      <c r="FI279">
        <v>2.5756800000000002</v>
      </c>
      <c r="FJ279">
        <v>2.4462899999999999</v>
      </c>
      <c r="FK279">
        <v>2.3095699999999999</v>
      </c>
      <c r="FL279">
        <v>32.002400000000002</v>
      </c>
      <c r="FM279">
        <v>24.14</v>
      </c>
      <c r="FN279">
        <v>19</v>
      </c>
      <c r="FO279">
        <v>865.13199999999995</v>
      </c>
      <c r="FP279">
        <v>581.71600000000001</v>
      </c>
      <c r="FQ279">
        <v>17.836400000000001</v>
      </c>
      <c r="FR279">
        <v>25.6021</v>
      </c>
      <c r="FS279">
        <v>30.0001</v>
      </c>
      <c r="FT279">
        <v>25.584</v>
      </c>
      <c r="FU279">
        <v>25.586500000000001</v>
      </c>
      <c r="FV279">
        <v>51.6706</v>
      </c>
      <c r="FW279">
        <v>25.5001</v>
      </c>
      <c r="FX279">
        <v>34.408299999999997</v>
      </c>
      <c r="FY279">
        <v>17.8353</v>
      </c>
      <c r="FZ279">
        <v>1000</v>
      </c>
      <c r="GA279">
        <v>14.407400000000001</v>
      </c>
      <c r="GB279">
        <v>99.866100000000003</v>
      </c>
      <c r="GC279">
        <v>99.74</v>
      </c>
    </row>
    <row r="280" spans="1:185" x14ac:dyDescent="0.2">
      <c r="A280">
        <v>265</v>
      </c>
      <c r="B280">
        <v>1771090560</v>
      </c>
      <c r="C280">
        <v>5240</v>
      </c>
      <c r="D280" t="s">
        <v>831</v>
      </c>
      <c r="E280" t="s">
        <v>832</v>
      </c>
      <c r="F280">
        <v>15</v>
      </c>
      <c r="G280">
        <v>1771090552.5</v>
      </c>
      <c r="H280">
        <f t="shared" si="52"/>
        <v>8.2074846014578958E-4</v>
      </c>
      <c r="I280">
        <v>0</v>
      </c>
      <c r="J280">
        <f t="shared" si="64"/>
        <v>9.7782627808670024E-3</v>
      </c>
      <c r="K280">
        <f t="shared" si="53"/>
        <v>0.26504895659953265</v>
      </c>
      <c r="L280">
        <f t="shared" si="54"/>
        <v>69.720307127620089</v>
      </c>
      <c r="M280">
        <f t="shared" si="55"/>
        <v>1.5372838593975586</v>
      </c>
      <c r="N280">
        <f t="shared" si="56"/>
        <v>2.2049298443043646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26163.345422371567</v>
      </c>
      <c r="T280">
        <f t="shared" si="60"/>
        <v>800</v>
      </c>
      <c r="U280">
        <f t="shared" si="61"/>
        <v>674.4002177142853</v>
      </c>
      <c r="V280">
        <f t="shared" si="62"/>
        <v>0.84300027214285667</v>
      </c>
      <c r="W280">
        <f t="shared" si="63"/>
        <v>0.15870081955714277</v>
      </c>
      <c r="X280">
        <v>1</v>
      </c>
      <c r="Y280">
        <v>1771090552.5</v>
      </c>
      <c r="Z280">
        <v>998.659071428571</v>
      </c>
      <c r="AA280">
        <v>1000.01492857143</v>
      </c>
      <c r="AB280">
        <v>15.376407142857101</v>
      </c>
      <c r="AC280">
        <v>14.3662571428571</v>
      </c>
      <c r="AD280">
        <v>999.50807142857104</v>
      </c>
      <c r="AE280">
        <v>15.2814071428571</v>
      </c>
      <c r="AF280">
        <v>800.00821428571396</v>
      </c>
      <c r="AG280">
        <v>99.912721428571402</v>
      </c>
      <c r="AH280">
        <v>6.4070621428571395E-2</v>
      </c>
      <c r="AI280">
        <v>18.9981785714286</v>
      </c>
      <c r="AJ280">
        <v>999.9</v>
      </c>
      <c r="AK280">
        <v>999.9</v>
      </c>
      <c r="AL280">
        <v>0</v>
      </c>
      <c r="AM280">
        <v>0</v>
      </c>
      <c r="AN280">
        <v>4994.0357142857101</v>
      </c>
      <c r="AO280">
        <v>0</v>
      </c>
      <c r="AP280">
        <v>2.2019299999999999</v>
      </c>
      <c r="AQ280">
        <v>-1.48079071428571</v>
      </c>
      <c r="AR280">
        <v>1014.14142857143</v>
      </c>
      <c r="AS280">
        <v>1014.59071428571</v>
      </c>
      <c r="AT280">
        <v>1.02432285714286</v>
      </c>
      <c r="AU280">
        <v>1000.01492857143</v>
      </c>
      <c r="AV280">
        <v>14.3662571428571</v>
      </c>
      <c r="AW280">
        <v>1.5377157142857101</v>
      </c>
      <c r="AX280">
        <v>1.43537214285714</v>
      </c>
      <c r="AY280">
        <v>13.3484071428571</v>
      </c>
      <c r="AZ280">
        <v>12.2965571428571</v>
      </c>
      <c r="BA280">
        <v>800</v>
      </c>
      <c r="BB280">
        <v>0.89998885714285703</v>
      </c>
      <c r="BC280">
        <v>0</v>
      </c>
      <c r="BD280">
        <v>0.10001107142857101</v>
      </c>
      <c r="BE280">
        <v>0</v>
      </c>
      <c r="BF280">
        <v>26</v>
      </c>
      <c r="BG280">
        <v>13190.9857142857</v>
      </c>
      <c r="BH280">
        <v>1771090582</v>
      </c>
      <c r="BI280" t="s">
        <v>833</v>
      </c>
      <c r="BJ280">
        <v>1771090581</v>
      </c>
      <c r="BK280">
        <v>1771090582</v>
      </c>
      <c r="BL280">
        <v>10</v>
      </c>
      <c r="BM280">
        <v>0.125</v>
      </c>
      <c r="BN280">
        <v>-1.4E-2</v>
      </c>
      <c r="BO280">
        <v>-0.84899999999999998</v>
      </c>
      <c r="BP280">
        <v>9.5000000000000001E-2</v>
      </c>
      <c r="BQ280">
        <v>1000</v>
      </c>
      <c r="BR280">
        <v>14</v>
      </c>
      <c r="BS280">
        <v>0.37</v>
      </c>
      <c r="BT280">
        <v>0.05</v>
      </c>
      <c r="BU280">
        <v>-1.4740660000000001</v>
      </c>
      <c r="BV280">
        <v>-0.23816030075187899</v>
      </c>
      <c r="BW280">
        <v>4.1547791445514903E-2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1.0218195000000001</v>
      </c>
      <c r="CD280">
        <v>9.5552030075186603E-2</v>
      </c>
      <c r="CE280">
        <v>1.31336318187316E-2</v>
      </c>
      <c r="CF280">
        <v>1</v>
      </c>
      <c r="CG280">
        <v>2</v>
      </c>
      <c r="CH280">
        <v>2</v>
      </c>
      <c r="CI280" t="s">
        <v>310</v>
      </c>
      <c r="CJ280">
        <v>3.53247</v>
      </c>
      <c r="CK280">
        <v>2.7022200000000001</v>
      </c>
      <c r="CL280">
        <v>0.181589</v>
      </c>
      <c r="CM280">
        <v>0.17910000000000001</v>
      </c>
      <c r="CN280">
        <v>8.6783299999999994E-2</v>
      </c>
      <c r="CO280">
        <v>8.1540299999999996E-2</v>
      </c>
      <c r="CP280">
        <v>28695.7</v>
      </c>
      <c r="CQ280">
        <v>25279.4</v>
      </c>
      <c r="CR280">
        <v>32450.9</v>
      </c>
      <c r="CS280">
        <v>30720.7</v>
      </c>
      <c r="CT280">
        <v>40137.5</v>
      </c>
      <c r="CU280">
        <v>39688.699999999997</v>
      </c>
      <c r="CV280">
        <v>47393</v>
      </c>
      <c r="CW280">
        <v>46853.8</v>
      </c>
      <c r="CX280">
        <v>2.6211600000000002</v>
      </c>
      <c r="CY280">
        <v>2.1357599999999999</v>
      </c>
      <c r="CZ280">
        <v>0</v>
      </c>
      <c r="DA280">
        <v>0</v>
      </c>
      <c r="DB280">
        <v>999.9</v>
      </c>
      <c r="DC280">
        <v>999.9</v>
      </c>
      <c r="DD280">
        <v>50.097999999999999</v>
      </c>
      <c r="DE280">
        <v>27.311</v>
      </c>
      <c r="DF280">
        <v>18.2761</v>
      </c>
      <c r="DG280">
        <v>30.4786</v>
      </c>
      <c r="DH280">
        <v>15.5128</v>
      </c>
      <c r="DI280">
        <v>2</v>
      </c>
      <c r="DJ280">
        <v>-0.111896</v>
      </c>
      <c r="DK280">
        <v>2.5991900000000001</v>
      </c>
      <c r="DL280">
        <v>20.189800000000002</v>
      </c>
      <c r="DM280">
        <v>5.2522700000000002</v>
      </c>
      <c r="DN280">
        <v>12.033899999999999</v>
      </c>
      <c r="DO280">
        <v>4.9676799999999997</v>
      </c>
      <c r="DP280">
        <v>3.2909999999999999</v>
      </c>
      <c r="DQ280">
        <v>9999</v>
      </c>
      <c r="DR280">
        <v>9999</v>
      </c>
      <c r="DS280">
        <v>9999</v>
      </c>
      <c r="DT280">
        <v>605.29999999999995</v>
      </c>
      <c r="DU280">
        <v>1.8711800000000001</v>
      </c>
      <c r="DV280">
        <v>1.8762000000000001</v>
      </c>
      <c r="DW280">
        <v>1.8763700000000001</v>
      </c>
      <c r="DX280">
        <v>1.8828800000000001</v>
      </c>
      <c r="DY280">
        <v>1.87561</v>
      </c>
      <c r="DZ280">
        <v>1.87469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-0.84899999999999998</v>
      </c>
      <c r="EQ280">
        <v>9.5000000000000001E-2</v>
      </c>
      <c r="ER280">
        <v>-0.97454545454524999</v>
      </c>
      <c r="ES280">
        <v>0</v>
      </c>
      <c r="ET280">
        <v>0</v>
      </c>
      <c r="EU280">
        <v>0</v>
      </c>
      <c r="EV280">
        <v>0.109172727272727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10</v>
      </c>
      <c r="FE280">
        <v>10.1</v>
      </c>
      <c r="FF280">
        <v>2.5756800000000002</v>
      </c>
      <c r="FG280">
        <v>2.5744600000000002</v>
      </c>
      <c r="FH280">
        <v>2.19604</v>
      </c>
      <c r="FI280">
        <v>2.5769000000000002</v>
      </c>
      <c r="FJ280">
        <v>2.4462899999999999</v>
      </c>
      <c r="FK280">
        <v>2.2997999999999998</v>
      </c>
      <c r="FL280">
        <v>31.980499999999999</v>
      </c>
      <c r="FM280">
        <v>24.14</v>
      </c>
      <c r="FN280">
        <v>19</v>
      </c>
      <c r="FO280">
        <v>865.12400000000002</v>
      </c>
      <c r="FP280">
        <v>581.64499999999998</v>
      </c>
      <c r="FQ280">
        <v>17.8368</v>
      </c>
      <c r="FR280">
        <v>25.604199999999999</v>
      </c>
      <c r="FS280">
        <v>30.0002</v>
      </c>
      <c r="FT280">
        <v>25.585799999999999</v>
      </c>
      <c r="FU280">
        <v>25.5884</v>
      </c>
      <c r="FV280">
        <v>51.666499999999999</v>
      </c>
      <c r="FW280">
        <v>25.5001</v>
      </c>
      <c r="FX280">
        <v>34.032600000000002</v>
      </c>
      <c r="FY280">
        <v>17.838200000000001</v>
      </c>
      <c r="FZ280">
        <v>1000</v>
      </c>
      <c r="GA280">
        <v>14.407400000000001</v>
      </c>
      <c r="GB280">
        <v>99.862799999999993</v>
      </c>
      <c r="GC280">
        <v>99.738600000000005</v>
      </c>
    </row>
    <row r="281" spans="1:185" x14ac:dyDescent="0.2">
      <c r="A281">
        <v>266</v>
      </c>
      <c r="B281">
        <v>1771090584</v>
      </c>
      <c r="C281">
        <v>5264</v>
      </c>
      <c r="D281" t="s">
        <v>834</v>
      </c>
      <c r="E281" t="s">
        <v>835</v>
      </c>
      <c r="F281">
        <v>15</v>
      </c>
      <c r="G281">
        <v>1771090583</v>
      </c>
      <c r="H281">
        <f t="shared" si="52"/>
        <v>2.4349676778634404E-7</v>
      </c>
      <c r="I281">
        <v>0</v>
      </c>
      <c r="J281">
        <f t="shared" si="64"/>
        <v>-1.7503557551789319E-3</v>
      </c>
      <c r="K281">
        <f t="shared" si="53"/>
        <v>-4.7445029550231416E-2</v>
      </c>
      <c r="L281">
        <f t="shared" si="54"/>
        <v>64.994769161334943</v>
      </c>
      <c r="M281">
        <f t="shared" si="55"/>
        <v>1.43268859268964</v>
      </c>
      <c r="N281">
        <f t="shared" si="56"/>
        <v>2.2043136873573808</v>
      </c>
      <c r="O281">
        <v>468</v>
      </c>
      <c r="P281">
        <v>58</v>
      </c>
      <c r="Q281">
        <f t="shared" si="57"/>
        <v>1</v>
      </c>
      <c r="R281">
        <f t="shared" si="58"/>
        <v>0</v>
      </c>
      <c r="S281">
        <f t="shared" si="59"/>
        <v>26072.484823455885</v>
      </c>
      <c r="T281">
        <f t="shared" si="60"/>
        <v>800.00099999999998</v>
      </c>
      <c r="U281">
        <f t="shared" si="61"/>
        <v>674.40132300059997</v>
      </c>
      <c r="V281">
        <f t="shared" si="62"/>
        <v>0.84300059999999999</v>
      </c>
      <c r="W281">
        <f t="shared" si="63"/>
        <v>0.1587015</v>
      </c>
      <c r="X281">
        <v>1</v>
      </c>
      <c r="Y281">
        <v>1771090583</v>
      </c>
      <c r="Z281">
        <v>999.995</v>
      </c>
      <c r="AA281">
        <v>999.93600000000004</v>
      </c>
      <c r="AB281">
        <v>14.3286</v>
      </c>
      <c r="AC281">
        <v>14.3283</v>
      </c>
      <c r="AD281">
        <v>1000.84</v>
      </c>
      <c r="AE281">
        <v>14.233499999999999</v>
      </c>
      <c r="AF281">
        <v>800.02599999999995</v>
      </c>
      <c r="AG281">
        <v>99.912199999999999</v>
      </c>
      <c r="AH281">
        <v>7.5837399999999999E-2</v>
      </c>
      <c r="AI281">
        <v>18.9937</v>
      </c>
      <c r="AJ281">
        <v>999.9</v>
      </c>
      <c r="AK281">
        <v>999.9</v>
      </c>
      <c r="AL281">
        <v>0</v>
      </c>
      <c r="AM281">
        <v>0</v>
      </c>
      <c r="AN281">
        <v>4979</v>
      </c>
      <c r="AO281">
        <v>0</v>
      </c>
      <c r="AP281">
        <v>2.2245200000000001</v>
      </c>
      <c r="AQ281">
        <v>5.9265100000000001E-2</v>
      </c>
      <c r="AR281">
        <v>1014.53</v>
      </c>
      <c r="AS281">
        <v>1014.47</v>
      </c>
      <c r="AT281">
        <v>2.4700200000000002E-4</v>
      </c>
      <c r="AU281">
        <v>999.93600000000004</v>
      </c>
      <c r="AV281">
        <v>14.3283</v>
      </c>
      <c r="AW281">
        <v>1.4316</v>
      </c>
      <c r="AX281">
        <v>1.43157</v>
      </c>
      <c r="AY281">
        <v>12.256500000000001</v>
      </c>
      <c r="AZ281">
        <v>12.2563</v>
      </c>
      <c r="BA281">
        <v>800.00099999999998</v>
      </c>
      <c r="BB281">
        <v>0.89998</v>
      </c>
      <c r="BC281">
        <v>0</v>
      </c>
      <c r="BD281">
        <v>0.10002</v>
      </c>
      <c r="BE281">
        <v>0</v>
      </c>
      <c r="BF281">
        <v>26</v>
      </c>
      <c r="BG281">
        <v>13191</v>
      </c>
      <c r="BH281">
        <v>1771090582</v>
      </c>
      <c r="BI281" t="s">
        <v>833</v>
      </c>
      <c r="BJ281">
        <v>1771090581</v>
      </c>
      <c r="BK281">
        <v>1771090582</v>
      </c>
      <c r="BL281">
        <v>10</v>
      </c>
      <c r="BM281">
        <v>0.125</v>
      </c>
      <c r="BN281">
        <v>-1.4E-2</v>
      </c>
      <c r="BO281">
        <v>-0.84899999999999998</v>
      </c>
      <c r="BP281">
        <v>9.5000000000000001E-2</v>
      </c>
      <c r="BQ281">
        <v>1000</v>
      </c>
      <c r="BR281">
        <v>14</v>
      </c>
      <c r="BS281">
        <v>0.37</v>
      </c>
      <c r="BT281">
        <v>0.05</v>
      </c>
      <c r="BU281">
        <v>-0.21193837500000001</v>
      </c>
      <c r="BV281">
        <v>1.83630724060151</v>
      </c>
      <c r="BW281">
        <v>0.25076389709505398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8.1754065099999995E-2</v>
      </c>
      <c r="CD281">
        <v>-1.08030844790977</v>
      </c>
      <c r="CE281">
        <v>0.16669427584376101</v>
      </c>
      <c r="CF281">
        <v>0</v>
      </c>
      <c r="CG281">
        <v>0</v>
      </c>
      <c r="CH281">
        <v>2</v>
      </c>
      <c r="CI281" t="s">
        <v>290</v>
      </c>
      <c r="CJ281">
        <v>3.5339299999999998</v>
      </c>
      <c r="CK281">
        <v>2.7125900000000001</v>
      </c>
      <c r="CL281">
        <v>0.181699</v>
      </c>
      <c r="CM281">
        <v>0.17907699999999999</v>
      </c>
      <c r="CN281">
        <v>8.2471100000000006E-2</v>
      </c>
      <c r="CO281">
        <v>8.1540600000000005E-2</v>
      </c>
      <c r="CP281">
        <v>28692.2</v>
      </c>
      <c r="CQ281">
        <v>25280.6</v>
      </c>
      <c r="CR281">
        <v>32451.4</v>
      </c>
      <c r="CS281">
        <v>30721.200000000001</v>
      </c>
      <c r="CT281">
        <v>40333.5</v>
      </c>
      <c r="CU281">
        <v>39689.9</v>
      </c>
      <c r="CV281">
        <v>47393.9</v>
      </c>
      <c r="CW281">
        <v>46855.199999999997</v>
      </c>
      <c r="CX281">
        <v>1.7022200000000001</v>
      </c>
      <c r="CY281">
        <v>1.60806</v>
      </c>
      <c r="CZ281">
        <v>0</v>
      </c>
      <c r="DA281">
        <v>0</v>
      </c>
      <c r="DB281">
        <v>999.9</v>
      </c>
      <c r="DC281">
        <v>999.9</v>
      </c>
      <c r="DD281">
        <v>50.006</v>
      </c>
      <c r="DE281">
        <v>27.332000000000001</v>
      </c>
      <c r="DF281">
        <v>18.265599999999999</v>
      </c>
      <c r="DG281">
        <v>30.718599999999999</v>
      </c>
      <c r="DH281">
        <v>15.869400000000001</v>
      </c>
      <c r="DI281">
        <v>2</v>
      </c>
      <c r="DJ281">
        <v>-0.111827</v>
      </c>
      <c r="DK281">
        <v>2.5572900000000001</v>
      </c>
      <c r="DL281">
        <v>20.188199999999998</v>
      </c>
      <c r="DM281">
        <v>5.2434099999999999</v>
      </c>
      <c r="DN281">
        <v>12.033899999999999</v>
      </c>
      <c r="DO281">
        <v>4.9661200000000001</v>
      </c>
      <c r="DP281">
        <v>3.2898800000000001</v>
      </c>
      <c r="DQ281">
        <v>9999</v>
      </c>
      <c r="DR281">
        <v>9999</v>
      </c>
      <c r="DS281">
        <v>9999</v>
      </c>
      <c r="DT281">
        <v>605.29999999999995</v>
      </c>
      <c r="DU281">
        <v>1.8711800000000001</v>
      </c>
      <c r="DV281">
        <v>1.8762000000000001</v>
      </c>
      <c r="DW281">
        <v>1.8763700000000001</v>
      </c>
      <c r="DX281">
        <v>1.8829</v>
      </c>
      <c r="DY281">
        <v>1.87561</v>
      </c>
      <c r="DZ281">
        <v>1.87469</v>
      </c>
      <c r="EA281">
        <v>1.87087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-0.84599999999999997</v>
      </c>
      <c r="EQ281">
        <v>9.5000000000000001E-2</v>
      </c>
      <c r="ER281">
        <v>-0.84881818181838797</v>
      </c>
      <c r="ES281">
        <v>0</v>
      </c>
      <c r="ET281">
        <v>0</v>
      </c>
      <c r="EU281">
        <v>0</v>
      </c>
      <c r="EV281">
        <v>9.5019999999999896E-2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0.1</v>
      </c>
      <c r="FE281">
        <v>0</v>
      </c>
      <c r="FF281">
        <v>2.5756800000000002</v>
      </c>
      <c r="FG281">
        <v>2.5720200000000002</v>
      </c>
      <c r="FH281">
        <v>2.19604</v>
      </c>
      <c r="FI281">
        <v>2.5769000000000002</v>
      </c>
      <c r="FJ281">
        <v>2.4462899999999999</v>
      </c>
      <c r="FK281">
        <v>2.3083499999999999</v>
      </c>
      <c r="FL281">
        <v>32.002400000000002</v>
      </c>
      <c r="FM281">
        <v>24.14</v>
      </c>
      <c r="FN281">
        <v>19</v>
      </c>
      <c r="FO281">
        <v>305.86700000000002</v>
      </c>
      <c r="FP281">
        <v>281.05099999999999</v>
      </c>
      <c r="FQ281">
        <v>17.848400000000002</v>
      </c>
      <c r="FR281">
        <v>25.607600000000001</v>
      </c>
      <c r="FS281">
        <v>30.0001</v>
      </c>
      <c r="FT281">
        <v>25.607299999999999</v>
      </c>
      <c r="FU281">
        <v>25.605599999999999</v>
      </c>
      <c r="FV281">
        <v>51.664900000000003</v>
      </c>
      <c r="FW281">
        <v>23.03</v>
      </c>
      <c r="FX281">
        <v>34.032600000000002</v>
      </c>
      <c r="FY281">
        <v>17.852599999999999</v>
      </c>
      <c r="FZ281">
        <v>1000</v>
      </c>
      <c r="GA281">
        <v>14.9026</v>
      </c>
      <c r="GB281">
        <v>99.864500000000007</v>
      </c>
      <c r="GC281">
        <v>99.741100000000003</v>
      </c>
    </row>
    <row r="282" spans="1:185" x14ac:dyDescent="0.2">
      <c r="A282">
        <v>267</v>
      </c>
      <c r="B282">
        <v>1771090599</v>
      </c>
      <c r="C282">
        <v>5279</v>
      </c>
      <c r="D282" t="s">
        <v>836</v>
      </c>
      <c r="E282" t="s">
        <v>837</v>
      </c>
      <c r="F282">
        <v>15</v>
      </c>
      <c r="G282">
        <v>1771090590.9333301</v>
      </c>
      <c r="H282">
        <f t="shared" si="52"/>
        <v>5.6024157289508495E-4</v>
      </c>
      <c r="I282">
        <v>0</v>
      </c>
      <c r="J282">
        <f t="shared" si="64"/>
        <v>8.6822151287708552E-3</v>
      </c>
      <c r="K282">
        <f t="shared" si="53"/>
        <v>0.23533956004497483</v>
      </c>
      <c r="L282">
        <f t="shared" si="54"/>
        <v>68.907499294035432</v>
      </c>
      <c r="M282">
        <f t="shared" si="55"/>
        <v>1.5190701504316495</v>
      </c>
      <c r="N282">
        <f t="shared" si="56"/>
        <v>2.2045062816016872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26245.418514589233</v>
      </c>
      <c r="T282">
        <f t="shared" si="60"/>
        <v>799.99599999999998</v>
      </c>
      <c r="U282">
        <f t="shared" si="61"/>
        <v>674.39691119858446</v>
      </c>
      <c r="V282">
        <f t="shared" si="62"/>
        <v>0.84300035400000062</v>
      </c>
      <c r="W282">
        <f t="shared" si="63"/>
        <v>0.15870101492000013</v>
      </c>
      <c r="X282">
        <v>1</v>
      </c>
      <c r="Y282">
        <v>1771090590.9333301</v>
      </c>
      <c r="Z282">
        <v>998.89366666666695</v>
      </c>
      <c r="AA282">
        <v>999.88686666666695</v>
      </c>
      <c r="AB282">
        <v>15.19412</v>
      </c>
      <c r="AC282">
        <v>14.504806666666701</v>
      </c>
      <c r="AD282">
        <v>999.74233333333302</v>
      </c>
      <c r="AE282">
        <v>15.0991066666667</v>
      </c>
      <c r="AF282">
        <v>800.40406666666695</v>
      </c>
      <c r="AG282">
        <v>99.911299999999997</v>
      </c>
      <c r="AH282">
        <v>6.6201193333333297E-2</v>
      </c>
      <c r="AI282">
        <v>18.995100000000001</v>
      </c>
      <c r="AJ282">
        <v>999.9</v>
      </c>
      <c r="AK282">
        <v>999.9</v>
      </c>
      <c r="AL282">
        <v>0</v>
      </c>
      <c r="AM282">
        <v>0</v>
      </c>
      <c r="AN282">
        <v>5007.6000000000004</v>
      </c>
      <c r="AO282">
        <v>0</v>
      </c>
      <c r="AP282">
        <v>2.2087066666666701</v>
      </c>
      <c r="AQ282">
        <v>-0.993579193333333</v>
      </c>
      <c r="AR282">
        <v>1014.30466666667</v>
      </c>
      <c r="AS282">
        <v>1014.6033333333301</v>
      </c>
      <c r="AT282">
        <v>0.68929566679999998</v>
      </c>
      <c r="AU282">
        <v>999.88686666666695</v>
      </c>
      <c r="AV282">
        <v>14.504806666666701</v>
      </c>
      <c r="AW282">
        <v>1.5180626666666699</v>
      </c>
      <c r="AX282">
        <v>1.4491940000000001</v>
      </c>
      <c r="AY282">
        <v>13.1477466666667</v>
      </c>
      <c r="AZ282">
        <v>12.442159999999999</v>
      </c>
      <c r="BA282">
        <v>799.99599999999998</v>
      </c>
      <c r="BB282">
        <v>0.89998626666666703</v>
      </c>
      <c r="BC282">
        <v>0</v>
      </c>
      <c r="BD282">
        <v>0.100013666666667</v>
      </c>
      <c r="BE282">
        <v>0</v>
      </c>
      <c r="BF282">
        <v>26</v>
      </c>
      <c r="BG282">
        <v>13190.913333333299</v>
      </c>
      <c r="BH282">
        <v>1771090582</v>
      </c>
      <c r="BI282" t="s">
        <v>833</v>
      </c>
      <c r="BJ282">
        <v>1771090581</v>
      </c>
      <c r="BK282">
        <v>1771090582</v>
      </c>
      <c r="BL282">
        <v>10</v>
      </c>
      <c r="BM282">
        <v>0.125</v>
      </c>
      <c r="BN282">
        <v>-1.4E-2</v>
      </c>
      <c r="BO282">
        <v>-0.84899999999999998</v>
      </c>
      <c r="BP282">
        <v>9.5000000000000001E-2</v>
      </c>
      <c r="BQ282">
        <v>1000</v>
      </c>
      <c r="BR282">
        <v>14</v>
      </c>
      <c r="BS282">
        <v>0.37</v>
      </c>
      <c r="BT282">
        <v>0.05</v>
      </c>
      <c r="BU282">
        <v>-0.73410763714285698</v>
      </c>
      <c r="BV282">
        <v>-5.1982619672727299</v>
      </c>
      <c r="BW282">
        <v>0.58035680158299596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0.497893033428571</v>
      </c>
      <c r="CD282">
        <v>3.4680702771428602</v>
      </c>
      <c r="CE282">
        <v>0.37538628466267998</v>
      </c>
      <c r="CF282">
        <v>0</v>
      </c>
      <c r="CG282">
        <v>0</v>
      </c>
      <c r="CH282">
        <v>2</v>
      </c>
      <c r="CI282" t="s">
        <v>290</v>
      </c>
      <c r="CJ282">
        <v>3.5325299999999999</v>
      </c>
      <c r="CK282">
        <v>2.70173</v>
      </c>
      <c r="CL282">
        <v>0.18158299999999999</v>
      </c>
      <c r="CM282">
        <v>0.179093</v>
      </c>
      <c r="CN282">
        <v>8.7117399999999998E-2</v>
      </c>
      <c r="CO282">
        <v>8.2472500000000004E-2</v>
      </c>
      <c r="CP282">
        <v>28696.400000000001</v>
      </c>
      <c r="CQ282">
        <v>25279.7</v>
      </c>
      <c r="CR282">
        <v>32451.5</v>
      </c>
      <c r="CS282">
        <v>30720.9</v>
      </c>
      <c r="CT282">
        <v>40123.300000000003</v>
      </c>
      <c r="CU282">
        <v>39648.1</v>
      </c>
      <c r="CV282">
        <v>47394</v>
      </c>
      <c r="CW282">
        <v>46854.8</v>
      </c>
      <c r="CX282">
        <v>2.61836</v>
      </c>
      <c r="CY282">
        <v>2.1348400000000001</v>
      </c>
      <c r="CZ282">
        <v>0</v>
      </c>
      <c r="DA282">
        <v>0</v>
      </c>
      <c r="DB282">
        <v>999.9</v>
      </c>
      <c r="DC282">
        <v>999.9</v>
      </c>
      <c r="DD282">
        <v>49.988</v>
      </c>
      <c r="DE282">
        <v>27.341999999999999</v>
      </c>
      <c r="DF282">
        <v>18.271000000000001</v>
      </c>
      <c r="DG282">
        <v>30.028600000000001</v>
      </c>
      <c r="DH282">
        <v>15.4207</v>
      </c>
      <c r="DI282">
        <v>2</v>
      </c>
      <c r="DJ282">
        <v>-0.11179500000000001</v>
      </c>
      <c r="DK282">
        <v>2.5545</v>
      </c>
      <c r="DL282">
        <v>20.1907</v>
      </c>
      <c r="DM282">
        <v>5.2515499999999999</v>
      </c>
      <c r="DN282">
        <v>12.033899999999999</v>
      </c>
      <c r="DO282">
        <v>4.9675200000000004</v>
      </c>
      <c r="DP282">
        <v>3.2909999999999999</v>
      </c>
      <c r="DQ282">
        <v>9999</v>
      </c>
      <c r="DR282">
        <v>9999</v>
      </c>
      <c r="DS282">
        <v>9999</v>
      </c>
      <c r="DT282">
        <v>605.29999999999995</v>
      </c>
      <c r="DU282">
        <v>1.8711800000000001</v>
      </c>
      <c r="DV282">
        <v>1.8762099999999999</v>
      </c>
      <c r="DW282">
        <v>1.8763700000000001</v>
      </c>
      <c r="DX282">
        <v>1.8829199999999999</v>
      </c>
      <c r="DY282">
        <v>1.87561</v>
      </c>
      <c r="DZ282">
        <v>1.87469</v>
      </c>
      <c r="EA282">
        <v>1.8708800000000001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-0.84899999999999998</v>
      </c>
      <c r="EQ282">
        <v>9.5000000000000001E-2</v>
      </c>
      <c r="ER282">
        <v>-0.84881818181838797</v>
      </c>
      <c r="ES282">
        <v>0</v>
      </c>
      <c r="ET282">
        <v>0</v>
      </c>
      <c r="EU282">
        <v>0</v>
      </c>
      <c r="EV282">
        <v>9.5019999999999896E-2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0.3</v>
      </c>
      <c r="FE282">
        <v>0.3</v>
      </c>
      <c r="FF282">
        <v>2.5769000000000002</v>
      </c>
      <c r="FG282">
        <v>2.5830099999999998</v>
      </c>
      <c r="FH282">
        <v>2.19604</v>
      </c>
      <c r="FI282">
        <v>2.5769000000000002</v>
      </c>
      <c r="FJ282">
        <v>2.4462899999999999</v>
      </c>
      <c r="FK282">
        <v>2.2741699999999998</v>
      </c>
      <c r="FL282">
        <v>32.002400000000002</v>
      </c>
      <c r="FM282">
        <v>24.1313</v>
      </c>
      <c r="FN282">
        <v>19</v>
      </c>
      <c r="FO282">
        <v>862.62900000000002</v>
      </c>
      <c r="FP282">
        <v>580.98500000000001</v>
      </c>
      <c r="FQ282">
        <v>17.863700000000001</v>
      </c>
      <c r="FR282">
        <v>25.609300000000001</v>
      </c>
      <c r="FS282">
        <v>30.0001</v>
      </c>
      <c r="FT282">
        <v>25.592400000000001</v>
      </c>
      <c r="FU282">
        <v>25.5929</v>
      </c>
      <c r="FV282">
        <v>51.678699999999999</v>
      </c>
      <c r="FW282">
        <v>24.460599999999999</v>
      </c>
      <c r="FX282">
        <v>34.032600000000002</v>
      </c>
      <c r="FY282">
        <v>17.863800000000001</v>
      </c>
      <c r="FZ282">
        <v>1000</v>
      </c>
      <c r="GA282">
        <v>14.4801</v>
      </c>
      <c r="GB282">
        <v>99.864800000000002</v>
      </c>
      <c r="GC282">
        <v>99.74</v>
      </c>
    </row>
    <row r="283" spans="1:185" x14ac:dyDescent="0.2">
      <c r="A283">
        <v>268</v>
      </c>
      <c r="B283">
        <v>1771090614</v>
      </c>
      <c r="C283">
        <v>5294</v>
      </c>
      <c r="D283" t="s">
        <v>838</v>
      </c>
      <c r="E283" t="s">
        <v>839</v>
      </c>
      <c r="F283">
        <v>15</v>
      </c>
      <c r="G283">
        <v>1771090605.9333301</v>
      </c>
      <c r="H283">
        <f t="shared" si="52"/>
        <v>7.5186766104645166E-4</v>
      </c>
      <c r="I283">
        <v>0</v>
      </c>
      <c r="J283">
        <f t="shared" si="64"/>
        <v>1.0800281898736096E-2</v>
      </c>
      <c r="K283">
        <f t="shared" si="53"/>
        <v>0.29275174050773517</v>
      </c>
      <c r="L283">
        <f t="shared" si="54"/>
        <v>70.098583588658443</v>
      </c>
      <c r="M283">
        <f t="shared" si="55"/>
        <v>1.5456401602678396</v>
      </c>
      <c r="N283">
        <f t="shared" si="56"/>
        <v>2.204952056289359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26218.45939584995</v>
      </c>
      <c r="T283">
        <f t="shared" si="60"/>
        <v>800.00233333333301</v>
      </c>
      <c r="U283">
        <f t="shared" si="61"/>
        <v>674.40223740078807</v>
      </c>
      <c r="V283">
        <f t="shared" si="62"/>
        <v>0.84300033799999963</v>
      </c>
      <c r="W283">
        <f t="shared" si="63"/>
        <v>0.1587009749199999</v>
      </c>
      <c r="X283">
        <v>1</v>
      </c>
      <c r="Y283">
        <v>1771090605.9333301</v>
      </c>
      <c r="Z283">
        <v>998.69606666666698</v>
      </c>
      <c r="AA283">
        <v>1000.0006</v>
      </c>
      <c r="AB283">
        <v>15.46048</v>
      </c>
      <c r="AC283">
        <v>14.5351866666667</v>
      </c>
      <c r="AD283">
        <v>999.54499999999996</v>
      </c>
      <c r="AE283">
        <v>15.365453333333299</v>
      </c>
      <c r="AF283">
        <v>800.00946666666698</v>
      </c>
      <c r="AG283">
        <v>99.909693333333294</v>
      </c>
      <c r="AH283">
        <v>6.3927166666666702E-2</v>
      </c>
      <c r="AI283">
        <v>18.998339999999999</v>
      </c>
      <c r="AJ283">
        <v>999.9</v>
      </c>
      <c r="AK283">
        <v>999.9</v>
      </c>
      <c r="AL283">
        <v>0</v>
      </c>
      <c r="AM283">
        <v>0</v>
      </c>
      <c r="AN283">
        <v>5003.2666666666701</v>
      </c>
      <c r="AO283">
        <v>0</v>
      </c>
      <c r="AP283">
        <v>2.2019299999999999</v>
      </c>
      <c r="AQ283">
        <v>-1.3047326666666701</v>
      </c>
      <c r="AR283">
        <v>1014.37866666667</v>
      </c>
      <c r="AS283">
        <v>1014.74866666667</v>
      </c>
      <c r="AT283">
        <v>0.92529013333333299</v>
      </c>
      <c r="AU283">
        <v>1000.0006</v>
      </c>
      <c r="AV283">
        <v>14.5351866666667</v>
      </c>
      <c r="AW283">
        <v>1.54465133333333</v>
      </c>
      <c r="AX283">
        <v>1.4522060000000001</v>
      </c>
      <c r="AY283">
        <v>13.4174666666667</v>
      </c>
      <c r="AZ283">
        <v>12.474019999999999</v>
      </c>
      <c r="BA283">
        <v>800.00233333333301</v>
      </c>
      <c r="BB283">
        <v>0.89998679999999998</v>
      </c>
      <c r="BC283">
        <v>0</v>
      </c>
      <c r="BD283">
        <v>0.100013133333333</v>
      </c>
      <c r="BE283">
        <v>0</v>
      </c>
      <c r="BF283">
        <v>26</v>
      </c>
      <c r="BG283">
        <v>13190.9866666667</v>
      </c>
      <c r="BH283">
        <v>1771090582</v>
      </c>
      <c r="BI283" t="s">
        <v>833</v>
      </c>
      <c r="BJ283">
        <v>1771090581</v>
      </c>
      <c r="BK283">
        <v>1771090582</v>
      </c>
      <c r="BL283">
        <v>10</v>
      </c>
      <c r="BM283">
        <v>0.125</v>
      </c>
      <c r="BN283">
        <v>-1.4E-2</v>
      </c>
      <c r="BO283">
        <v>-0.84899999999999998</v>
      </c>
      <c r="BP283">
        <v>9.5000000000000001E-2</v>
      </c>
      <c r="BQ283">
        <v>1000</v>
      </c>
      <c r="BR283">
        <v>14</v>
      </c>
      <c r="BS283">
        <v>0.37</v>
      </c>
      <c r="BT283">
        <v>0.05</v>
      </c>
      <c r="BU283">
        <v>-1.3042205</v>
      </c>
      <c r="BV283">
        <v>0.16036556390977599</v>
      </c>
      <c r="BW283">
        <v>3.7185023393162001E-2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0.91232824999999995</v>
      </c>
      <c r="CD283">
        <v>0.25630939849624101</v>
      </c>
      <c r="CE283">
        <v>2.6340797258008301E-2</v>
      </c>
      <c r="CF283">
        <v>0</v>
      </c>
      <c r="CG283">
        <v>1</v>
      </c>
      <c r="CH283">
        <v>2</v>
      </c>
      <c r="CI283" t="s">
        <v>299</v>
      </c>
      <c r="CJ283">
        <v>3.5325299999999999</v>
      </c>
      <c r="CK283">
        <v>2.7017000000000002</v>
      </c>
      <c r="CL283">
        <v>0.181592</v>
      </c>
      <c r="CM283">
        <v>0.179089</v>
      </c>
      <c r="CN283">
        <v>8.7228899999999998E-2</v>
      </c>
      <c r="CO283">
        <v>8.2401299999999997E-2</v>
      </c>
      <c r="CP283">
        <v>28696.2</v>
      </c>
      <c r="CQ283">
        <v>25279.7</v>
      </c>
      <c r="CR283">
        <v>32451.599999999999</v>
      </c>
      <c r="CS283">
        <v>30720.6</v>
      </c>
      <c r="CT283">
        <v>40118.1</v>
      </c>
      <c r="CU283">
        <v>39651</v>
      </c>
      <c r="CV283">
        <v>47393.8</v>
      </c>
      <c r="CW283">
        <v>46854.400000000001</v>
      </c>
      <c r="CX283">
        <v>2.6202399999999999</v>
      </c>
      <c r="CY283">
        <v>2.1357599999999999</v>
      </c>
      <c r="CZ283">
        <v>0</v>
      </c>
      <c r="DA283">
        <v>0</v>
      </c>
      <c r="DB283">
        <v>999.9</v>
      </c>
      <c r="DC283">
        <v>999.9</v>
      </c>
      <c r="DD283">
        <v>49.963000000000001</v>
      </c>
      <c r="DE283">
        <v>27.352</v>
      </c>
      <c r="DF283">
        <v>18.273499999999999</v>
      </c>
      <c r="DG283">
        <v>30.268599999999999</v>
      </c>
      <c r="DH283">
        <v>15.3886</v>
      </c>
      <c r="DI283">
        <v>2</v>
      </c>
      <c r="DJ283">
        <v>-0.111516</v>
      </c>
      <c r="DK283">
        <v>2.5637500000000002</v>
      </c>
      <c r="DL283">
        <v>20.189900000000002</v>
      </c>
      <c r="DM283">
        <v>5.2495200000000004</v>
      </c>
      <c r="DN283">
        <v>12.033899999999999</v>
      </c>
      <c r="DO283">
        <v>4.9672799999999997</v>
      </c>
      <c r="DP283">
        <v>3.2907000000000002</v>
      </c>
      <c r="DQ283">
        <v>9999</v>
      </c>
      <c r="DR283">
        <v>9999</v>
      </c>
      <c r="DS283">
        <v>9999</v>
      </c>
      <c r="DT283">
        <v>605.29999999999995</v>
      </c>
      <c r="DU283">
        <v>1.8711899999999999</v>
      </c>
      <c r="DV283">
        <v>1.87622</v>
      </c>
      <c r="DW283">
        <v>1.8763700000000001</v>
      </c>
      <c r="DX283">
        <v>1.8829199999999999</v>
      </c>
      <c r="DY283">
        <v>1.8756200000000001</v>
      </c>
      <c r="DZ283">
        <v>1.87469</v>
      </c>
      <c r="EA283">
        <v>1.8708800000000001</v>
      </c>
      <c r="EB283">
        <v>1.8747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-0.84899999999999998</v>
      </c>
      <c r="EQ283">
        <v>9.5000000000000001E-2</v>
      </c>
      <c r="ER283">
        <v>-0.84881818181838797</v>
      </c>
      <c r="ES283">
        <v>0</v>
      </c>
      <c r="ET283">
        <v>0</v>
      </c>
      <c r="EU283">
        <v>0</v>
      </c>
      <c r="EV283">
        <v>9.5019999999999896E-2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0.6</v>
      </c>
      <c r="FE283">
        <v>0.5</v>
      </c>
      <c r="FF283">
        <v>2.5769000000000002</v>
      </c>
      <c r="FG283">
        <v>2.5720200000000002</v>
      </c>
      <c r="FH283">
        <v>2.19604</v>
      </c>
      <c r="FI283">
        <v>2.5769000000000002</v>
      </c>
      <c r="FJ283">
        <v>2.4462899999999999</v>
      </c>
      <c r="FK283">
        <v>2.32666</v>
      </c>
      <c r="FL283">
        <v>32.0244</v>
      </c>
      <c r="FM283">
        <v>24.14</v>
      </c>
      <c r="FN283">
        <v>19</v>
      </c>
      <c r="FO283">
        <v>864.37199999999996</v>
      </c>
      <c r="FP283">
        <v>581.69500000000005</v>
      </c>
      <c r="FQ283">
        <v>17.8674</v>
      </c>
      <c r="FR283">
        <v>25.610700000000001</v>
      </c>
      <c r="FS283">
        <v>30</v>
      </c>
      <c r="FT283">
        <v>25.592300000000002</v>
      </c>
      <c r="FU283">
        <v>25.5929</v>
      </c>
      <c r="FV283">
        <v>51.677700000000002</v>
      </c>
      <c r="FW283">
        <v>24.460599999999999</v>
      </c>
      <c r="FX283">
        <v>34.032600000000002</v>
      </c>
      <c r="FY283">
        <v>17.867599999999999</v>
      </c>
      <c r="FZ283">
        <v>1000</v>
      </c>
      <c r="GA283">
        <v>14.471399999999999</v>
      </c>
      <c r="GB283">
        <v>99.864699999999999</v>
      </c>
      <c r="GC283">
        <v>99.739199999999997</v>
      </c>
    </row>
    <row r="284" spans="1:185" x14ac:dyDescent="0.2">
      <c r="A284">
        <v>269</v>
      </c>
      <c r="B284">
        <v>1771090629</v>
      </c>
      <c r="C284">
        <v>5309</v>
      </c>
      <c r="D284" t="s">
        <v>840</v>
      </c>
      <c r="E284" t="s">
        <v>841</v>
      </c>
      <c r="F284">
        <v>15</v>
      </c>
      <c r="G284">
        <v>1771090620.9333301</v>
      </c>
      <c r="H284">
        <f t="shared" si="52"/>
        <v>7.8197208902729273E-4</v>
      </c>
      <c r="I284">
        <v>0</v>
      </c>
      <c r="J284">
        <f t="shared" si="64"/>
        <v>9.6842050518328015E-3</v>
      </c>
      <c r="K284">
        <f t="shared" si="53"/>
        <v>0.26249943389807523</v>
      </c>
      <c r="L284">
        <f t="shared" si="54"/>
        <v>70.151356309109104</v>
      </c>
      <c r="M284">
        <f t="shared" si="55"/>
        <v>1.5470862959188232</v>
      </c>
      <c r="N284">
        <f t="shared" si="56"/>
        <v>2.205354789010594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26195.161736355833</v>
      </c>
      <c r="T284">
        <f t="shared" si="60"/>
        <v>800</v>
      </c>
      <c r="U284">
        <f t="shared" si="61"/>
        <v>674.40033599999992</v>
      </c>
      <c r="V284">
        <f t="shared" si="62"/>
        <v>0.84300041999999997</v>
      </c>
      <c r="W284">
        <f t="shared" si="63"/>
        <v>0.15870105000000001</v>
      </c>
      <c r="X284">
        <v>1</v>
      </c>
      <c r="Y284">
        <v>1771090620.9333301</v>
      </c>
      <c r="Z284">
        <v>998.72253333333299</v>
      </c>
      <c r="AA284">
        <v>1000.02686666667</v>
      </c>
      <c r="AB284">
        <v>15.4750533333333</v>
      </c>
      <c r="AC284">
        <v>14.51272</v>
      </c>
      <c r="AD284">
        <v>999.57140000000004</v>
      </c>
      <c r="AE284">
        <v>15.38</v>
      </c>
      <c r="AF284">
        <v>800.00453333333303</v>
      </c>
      <c r="AG284">
        <v>99.908860000000004</v>
      </c>
      <c r="AH284">
        <v>6.4061746666666697E-2</v>
      </c>
      <c r="AI284">
        <v>19.001266666666702</v>
      </c>
      <c r="AJ284">
        <v>999.9</v>
      </c>
      <c r="AK284">
        <v>999.9</v>
      </c>
      <c r="AL284">
        <v>0</v>
      </c>
      <c r="AM284">
        <v>0</v>
      </c>
      <c r="AN284">
        <v>4999.5</v>
      </c>
      <c r="AO284">
        <v>0</v>
      </c>
      <c r="AP284">
        <v>2.2019299999999999</v>
      </c>
      <c r="AQ284">
        <v>-1.3046759999999999</v>
      </c>
      <c r="AR284">
        <v>1014.42133333333</v>
      </c>
      <c r="AS284">
        <v>1014.75333333333</v>
      </c>
      <c r="AT284">
        <v>0.96233426666666699</v>
      </c>
      <c r="AU284">
        <v>1000.02686666667</v>
      </c>
      <c r="AV284">
        <v>14.51272</v>
      </c>
      <c r="AW284">
        <v>1.54609333333333</v>
      </c>
      <c r="AX284">
        <v>1.44994933333333</v>
      </c>
      <c r="AY284">
        <v>13.43178</v>
      </c>
      <c r="AZ284">
        <v>12.4503</v>
      </c>
      <c r="BA284">
        <v>800</v>
      </c>
      <c r="BB284">
        <v>0.89998599999999995</v>
      </c>
      <c r="BC284">
        <v>0</v>
      </c>
      <c r="BD284">
        <v>0.10001400000000001</v>
      </c>
      <c r="BE284">
        <v>0</v>
      </c>
      <c r="BF284">
        <v>26</v>
      </c>
      <c r="BG284">
        <v>13190.9533333333</v>
      </c>
      <c r="BH284">
        <v>1771090582</v>
      </c>
      <c r="BI284" t="s">
        <v>833</v>
      </c>
      <c r="BJ284">
        <v>1771090581</v>
      </c>
      <c r="BK284">
        <v>1771090582</v>
      </c>
      <c r="BL284">
        <v>10</v>
      </c>
      <c r="BM284">
        <v>0.125</v>
      </c>
      <c r="BN284">
        <v>-1.4E-2</v>
      </c>
      <c r="BO284">
        <v>-0.84899999999999998</v>
      </c>
      <c r="BP284">
        <v>9.5000000000000001E-2</v>
      </c>
      <c r="BQ284">
        <v>1000</v>
      </c>
      <c r="BR284">
        <v>14</v>
      </c>
      <c r="BS284">
        <v>0.37</v>
      </c>
      <c r="BT284">
        <v>0.05</v>
      </c>
      <c r="BU284">
        <v>-1.2925338095238099</v>
      </c>
      <c r="BV284">
        <v>-0.158054805194806</v>
      </c>
      <c r="BW284">
        <v>4.3158613274446603E-2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0.95477261904761901</v>
      </c>
      <c r="CD284">
        <v>0.21255319480519699</v>
      </c>
      <c r="CE284">
        <v>2.4250572265169499E-2</v>
      </c>
      <c r="CF284">
        <v>0</v>
      </c>
      <c r="CG284">
        <v>1</v>
      </c>
      <c r="CH284">
        <v>2</v>
      </c>
      <c r="CI284" t="s">
        <v>299</v>
      </c>
      <c r="CJ284">
        <v>3.5325000000000002</v>
      </c>
      <c r="CK284">
        <v>2.7021000000000002</v>
      </c>
      <c r="CL284">
        <v>0.181586</v>
      </c>
      <c r="CM284">
        <v>0.179087</v>
      </c>
      <c r="CN284">
        <v>8.7225499999999997E-2</v>
      </c>
      <c r="CO284">
        <v>8.2152600000000006E-2</v>
      </c>
      <c r="CP284">
        <v>28696</v>
      </c>
      <c r="CQ284">
        <v>25280.1</v>
      </c>
      <c r="CR284">
        <v>32451.1</v>
      </c>
      <c r="CS284">
        <v>30721.1</v>
      </c>
      <c r="CT284">
        <v>40117.800000000003</v>
      </c>
      <c r="CU284">
        <v>39662.6</v>
      </c>
      <c r="CV284">
        <v>47393.3</v>
      </c>
      <c r="CW284">
        <v>46855</v>
      </c>
      <c r="CX284">
        <v>2.6208800000000001</v>
      </c>
      <c r="CY284">
        <v>2.13584</v>
      </c>
      <c r="CZ284">
        <v>0</v>
      </c>
      <c r="DA284">
        <v>0</v>
      </c>
      <c r="DB284">
        <v>999.9</v>
      </c>
      <c r="DC284">
        <v>999.9</v>
      </c>
      <c r="DD284">
        <v>49.939</v>
      </c>
      <c r="DE284">
        <v>27.352</v>
      </c>
      <c r="DF284">
        <v>18.262599999999999</v>
      </c>
      <c r="DG284">
        <v>30.268599999999999</v>
      </c>
      <c r="DH284">
        <v>15.488799999999999</v>
      </c>
      <c r="DI284">
        <v>2</v>
      </c>
      <c r="DJ284">
        <v>-0.11129500000000001</v>
      </c>
      <c r="DK284">
        <v>2.61612</v>
      </c>
      <c r="DL284">
        <v>20.1892</v>
      </c>
      <c r="DM284">
        <v>5.2507099999999998</v>
      </c>
      <c r="DN284">
        <v>12.033899999999999</v>
      </c>
      <c r="DO284">
        <v>4.9672000000000001</v>
      </c>
      <c r="DP284">
        <v>3.2909999999999999</v>
      </c>
      <c r="DQ284">
        <v>9999</v>
      </c>
      <c r="DR284">
        <v>9999</v>
      </c>
      <c r="DS284">
        <v>9999</v>
      </c>
      <c r="DT284">
        <v>605.29999999999995</v>
      </c>
      <c r="DU284">
        <v>1.87117</v>
      </c>
      <c r="DV284">
        <v>1.8762099999999999</v>
      </c>
      <c r="DW284">
        <v>1.8763700000000001</v>
      </c>
      <c r="DX284">
        <v>1.8829100000000001</v>
      </c>
      <c r="DY284">
        <v>1.87561</v>
      </c>
      <c r="DZ284">
        <v>1.87469</v>
      </c>
      <c r="EA284">
        <v>1.8708800000000001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-0.84899999999999998</v>
      </c>
      <c r="EQ284">
        <v>9.5000000000000001E-2</v>
      </c>
      <c r="ER284">
        <v>-0.84881818181838797</v>
      </c>
      <c r="ES284">
        <v>0</v>
      </c>
      <c r="ET284">
        <v>0</v>
      </c>
      <c r="EU284">
        <v>0</v>
      </c>
      <c r="EV284">
        <v>9.5019999999999896E-2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0.8</v>
      </c>
      <c r="FE284">
        <v>0.8</v>
      </c>
      <c r="FF284">
        <v>2.5769000000000002</v>
      </c>
      <c r="FG284">
        <v>2.5854499999999998</v>
      </c>
      <c r="FH284">
        <v>2.19604</v>
      </c>
      <c r="FI284">
        <v>2.5756800000000002</v>
      </c>
      <c r="FJ284">
        <v>2.4462899999999999</v>
      </c>
      <c r="FK284">
        <v>2.2460900000000001</v>
      </c>
      <c r="FL284">
        <v>32.0244</v>
      </c>
      <c r="FM284">
        <v>24.1313</v>
      </c>
      <c r="FN284">
        <v>19</v>
      </c>
      <c r="FO284">
        <v>865.00300000000004</v>
      </c>
      <c r="FP284">
        <v>581.78099999999995</v>
      </c>
      <c r="FQ284">
        <v>17.851500000000001</v>
      </c>
      <c r="FR284">
        <v>25.6129</v>
      </c>
      <c r="FS284">
        <v>30.0002</v>
      </c>
      <c r="FT284">
        <v>25.5945</v>
      </c>
      <c r="FU284">
        <v>25.595099999999999</v>
      </c>
      <c r="FV284">
        <v>51.672499999999999</v>
      </c>
      <c r="FW284">
        <v>24.740100000000002</v>
      </c>
      <c r="FX284">
        <v>34.032600000000002</v>
      </c>
      <c r="FY284">
        <v>17.848600000000001</v>
      </c>
      <c r="FZ284">
        <v>1000</v>
      </c>
      <c r="GA284">
        <v>14.464</v>
      </c>
      <c r="GB284">
        <v>99.863399999999999</v>
      </c>
      <c r="GC284">
        <v>99.740700000000004</v>
      </c>
    </row>
    <row r="285" spans="1:185" x14ac:dyDescent="0.2">
      <c r="A285">
        <v>270</v>
      </c>
      <c r="B285">
        <v>1771090644</v>
      </c>
      <c r="C285">
        <v>5324</v>
      </c>
      <c r="D285" t="s">
        <v>842</v>
      </c>
      <c r="E285" t="s">
        <v>843</v>
      </c>
      <c r="F285">
        <v>15</v>
      </c>
      <c r="G285">
        <v>1771090635.9333301</v>
      </c>
      <c r="H285">
        <f t="shared" si="52"/>
        <v>8.045926850943477E-4</v>
      </c>
      <c r="I285">
        <v>0</v>
      </c>
      <c r="J285">
        <f t="shared" si="64"/>
        <v>6.892578289960912E-3</v>
      </c>
      <c r="K285">
        <f t="shared" si="53"/>
        <v>0.18682977999009645</v>
      </c>
      <c r="L285">
        <f t="shared" si="54"/>
        <v>70.102445509761182</v>
      </c>
      <c r="M285">
        <f t="shared" si="55"/>
        <v>1.5459600459221241</v>
      </c>
      <c r="N285">
        <f t="shared" si="56"/>
        <v>2.2052868978827025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26160.25990978651</v>
      </c>
      <c r="T285">
        <f t="shared" si="60"/>
        <v>800.00040000000001</v>
      </c>
      <c r="U285">
        <f t="shared" si="61"/>
        <v>674.40071320018797</v>
      </c>
      <c r="V285">
        <f t="shared" si="62"/>
        <v>0.84300047</v>
      </c>
      <c r="W285">
        <f t="shared" si="63"/>
        <v>0.15870117500000003</v>
      </c>
      <c r="X285">
        <v>1</v>
      </c>
      <c r="Y285">
        <v>1771090635.9333301</v>
      </c>
      <c r="Z285">
        <v>998.73926666666705</v>
      </c>
      <c r="AA285">
        <v>999.97726666666699</v>
      </c>
      <c r="AB285">
        <v>15.463993333333301</v>
      </c>
      <c r="AC285">
        <v>14.4738133333333</v>
      </c>
      <c r="AD285">
        <v>999.58793333333301</v>
      </c>
      <c r="AE285">
        <v>15.3689466666667</v>
      </c>
      <c r="AF285">
        <v>800.00653333333298</v>
      </c>
      <c r="AG285">
        <v>99.90728</v>
      </c>
      <c r="AH285">
        <v>6.4312886666666694E-2</v>
      </c>
      <c r="AI285">
        <v>19.000773333333299</v>
      </c>
      <c r="AJ285">
        <v>999.9</v>
      </c>
      <c r="AK285">
        <v>999.9</v>
      </c>
      <c r="AL285">
        <v>0</v>
      </c>
      <c r="AM285">
        <v>0</v>
      </c>
      <c r="AN285">
        <v>4993.8</v>
      </c>
      <c r="AO285">
        <v>0</v>
      </c>
      <c r="AP285">
        <v>2.2019299999999999</v>
      </c>
      <c r="AQ285">
        <v>-1.2381219999999999</v>
      </c>
      <c r="AR285">
        <v>1014.424</v>
      </c>
      <c r="AS285">
        <v>1014.66333333333</v>
      </c>
      <c r="AT285">
        <v>0.99014919999999995</v>
      </c>
      <c r="AU285">
        <v>999.97726666666699</v>
      </c>
      <c r="AV285">
        <v>14.4738133333333</v>
      </c>
      <c r="AW285">
        <v>1.5449646666666701</v>
      </c>
      <c r="AX285">
        <v>1.44604</v>
      </c>
      <c r="AY285">
        <v>13.42056</v>
      </c>
      <c r="AZ285">
        <v>12.40924</v>
      </c>
      <c r="BA285">
        <v>800.00040000000001</v>
      </c>
      <c r="BB285">
        <v>0.89998433333333305</v>
      </c>
      <c r="BC285">
        <v>0</v>
      </c>
      <c r="BD285">
        <v>0.100015666666667</v>
      </c>
      <c r="BE285">
        <v>0</v>
      </c>
      <c r="BF285">
        <v>26</v>
      </c>
      <c r="BG285">
        <v>13190.96</v>
      </c>
      <c r="BH285">
        <v>1771090582</v>
      </c>
      <c r="BI285" t="s">
        <v>833</v>
      </c>
      <c r="BJ285">
        <v>1771090581</v>
      </c>
      <c r="BK285">
        <v>1771090582</v>
      </c>
      <c r="BL285">
        <v>10</v>
      </c>
      <c r="BM285">
        <v>0.125</v>
      </c>
      <c r="BN285">
        <v>-1.4E-2</v>
      </c>
      <c r="BO285">
        <v>-0.84899999999999998</v>
      </c>
      <c r="BP285">
        <v>9.5000000000000001E-2</v>
      </c>
      <c r="BQ285">
        <v>1000</v>
      </c>
      <c r="BR285">
        <v>14</v>
      </c>
      <c r="BS285">
        <v>0.37</v>
      </c>
      <c r="BT285">
        <v>0.05</v>
      </c>
      <c r="BU285">
        <v>-1.250607</v>
      </c>
      <c r="BV285">
        <v>0.323725714285715</v>
      </c>
      <c r="BW285">
        <v>4.2834446313685402E-2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0.99123804999999998</v>
      </c>
      <c r="CD285">
        <v>-3.1199864661655599E-2</v>
      </c>
      <c r="CE285">
        <v>4.5991801712370502E-3</v>
      </c>
      <c r="CF285">
        <v>1</v>
      </c>
      <c r="CG285">
        <v>2</v>
      </c>
      <c r="CH285">
        <v>2</v>
      </c>
      <c r="CI285" t="s">
        <v>310</v>
      </c>
      <c r="CJ285">
        <v>3.5325099999999998</v>
      </c>
      <c r="CK285">
        <v>2.7019700000000002</v>
      </c>
      <c r="CL285">
        <v>0.181584</v>
      </c>
      <c r="CM285">
        <v>0.17908299999999999</v>
      </c>
      <c r="CN285">
        <v>8.7179300000000001E-2</v>
      </c>
      <c r="CO285">
        <v>8.2154199999999997E-2</v>
      </c>
      <c r="CP285">
        <v>28696.400000000001</v>
      </c>
      <c r="CQ285">
        <v>25279.8</v>
      </c>
      <c r="CR285">
        <v>32451.5</v>
      </c>
      <c r="CS285">
        <v>30720.6</v>
      </c>
      <c r="CT285">
        <v>40120.400000000001</v>
      </c>
      <c r="CU285">
        <v>39661.800000000003</v>
      </c>
      <c r="CV285">
        <v>47393.9</v>
      </c>
      <c r="CW285">
        <v>46854.1</v>
      </c>
      <c r="CX285">
        <v>2.6209600000000002</v>
      </c>
      <c r="CY285">
        <v>2.1357200000000001</v>
      </c>
      <c r="CZ285">
        <v>0</v>
      </c>
      <c r="DA285">
        <v>0</v>
      </c>
      <c r="DB285">
        <v>999.9</v>
      </c>
      <c r="DC285">
        <v>999.9</v>
      </c>
      <c r="DD285">
        <v>49.914999999999999</v>
      </c>
      <c r="DE285">
        <v>27.372</v>
      </c>
      <c r="DF285">
        <v>18.2773</v>
      </c>
      <c r="DG285">
        <v>30.448599999999999</v>
      </c>
      <c r="DH285">
        <v>15.464700000000001</v>
      </c>
      <c r="DI285">
        <v>2</v>
      </c>
      <c r="DJ285">
        <v>-0.111285</v>
      </c>
      <c r="DK285">
        <v>2.59571</v>
      </c>
      <c r="DL285">
        <v>20.189900000000002</v>
      </c>
      <c r="DM285">
        <v>5.2509499999999996</v>
      </c>
      <c r="DN285">
        <v>12.033899999999999</v>
      </c>
      <c r="DO285">
        <v>4.9672000000000001</v>
      </c>
      <c r="DP285">
        <v>3.2909999999999999</v>
      </c>
      <c r="DQ285">
        <v>9999</v>
      </c>
      <c r="DR285">
        <v>9999</v>
      </c>
      <c r="DS285">
        <v>9999</v>
      </c>
      <c r="DT285">
        <v>605.29999999999995</v>
      </c>
      <c r="DU285">
        <v>1.8711800000000001</v>
      </c>
      <c r="DV285">
        <v>1.8762099999999999</v>
      </c>
      <c r="DW285">
        <v>1.8763700000000001</v>
      </c>
      <c r="DX285">
        <v>1.8829</v>
      </c>
      <c r="DY285">
        <v>1.87561</v>
      </c>
      <c r="DZ285">
        <v>1.87469</v>
      </c>
      <c r="EA285">
        <v>1.8708800000000001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-0.84899999999999998</v>
      </c>
      <c r="EQ285">
        <v>9.5100000000000004E-2</v>
      </c>
      <c r="ER285">
        <v>-0.84881818181838797</v>
      </c>
      <c r="ES285">
        <v>0</v>
      </c>
      <c r="ET285">
        <v>0</v>
      </c>
      <c r="EU285">
        <v>0</v>
      </c>
      <c r="EV285">
        <v>9.5019999999999896E-2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1.1000000000000001</v>
      </c>
      <c r="FE285">
        <v>1</v>
      </c>
      <c r="FF285">
        <v>2.5769000000000002</v>
      </c>
      <c r="FG285">
        <v>2.5805699999999998</v>
      </c>
      <c r="FH285">
        <v>2.19604</v>
      </c>
      <c r="FI285">
        <v>2.5769000000000002</v>
      </c>
      <c r="FJ285">
        <v>2.4462899999999999</v>
      </c>
      <c r="FK285">
        <v>2.3315399999999999</v>
      </c>
      <c r="FL285">
        <v>32.0244</v>
      </c>
      <c r="FM285">
        <v>24.148800000000001</v>
      </c>
      <c r="FN285">
        <v>19</v>
      </c>
      <c r="FO285">
        <v>865.077</v>
      </c>
      <c r="FP285">
        <v>581.68899999999996</v>
      </c>
      <c r="FQ285">
        <v>17.846499999999999</v>
      </c>
      <c r="FR285">
        <v>25.614000000000001</v>
      </c>
      <c r="FS285">
        <v>30.0001</v>
      </c>
      <c r="FT285">
        <v>25.5945</v>
      </c>
      <c r="FU285">
        <v>25.595099999999999</v>
      </c>
      <c r="FV285">
        <v>51.677</v>
      </c>
      <c r="FW285">
        <v>24.740100000000002</v>
      </c>
      <c r="FX285">
        <v>34.032600000000002</v>
      </c>
      <c r="FY285">
        <v>17.846399999999999</v>
      </c>
      <c r="FZ285">
        <v>1000</v>
      </c>
      <c r="GA285">
        <v>14.4665</v>
      </c>
      <c r="GB285">
        <v>99.864699999999999</v>
      </c>
      <c r="GC285">
        <v>99.738900000000001</v>
      </c>
    </row>
    <row r="286" spans="1:185" x14ac:dyDescent="0.2">
      <c r="A286">
        <v>271</v>
      </c>
      <c r="B286">
        <v>1771090659</v>
      </c>
      <c r="C286">
        <v>5339</v>
      </c>
      <c r="D286" t="s">
        <v>844</v>
      </c>
      <c r="E286" t="s">
        <v>845</v>
      </c>
      <c r="F286">
        <v>15</v>
      </c>
      <c r="G286">
        <v>1771090650.9333301</v>
      </c>
      <c r="H286">
        <f t="shared" si="52"/>
        <v>8.0027998955098031E-4</v>
      </c>
      <c r="I286">
        <v>0</v>
      </c>
      <c r="J286">
        <f t="shared" si="64"/>
        <v>9.1209468357462357E-3</v>
      </c>
      <c r="K286">
        <f t="shared" si="53"/>
        <v>0.24723179323270325</v>
      </c>
      <c r="L286">
        <f t="shared" si="54"/>
        <v>70.074050396533877</v>
      </c>
      <c r="M286">
        <f t="shared" si="55"/>
        <v>1.5454013563303814</v>
      </c>
      <c r="N286">
        <f t="shared" si="56"/>
        <v>2.2053832304330774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26208.662788927799</v>
      </c>
      <c r="T286">
        <f t="shared" si="60"/>
        <v>799.99973333333298</v>
      </c>
      <c r="U286">
        <f t="shared" si="61"/>
        <v>674.4000775998993</v>
      </c>
      <c r="V286">
        <f t="shared" si="62"/>
        <v>0.84300037800000049</v>
      </c>
      <c r="W286">
        <f t="shared" si="63"/>
        <v>0.15870107492000013</v>
      </c>
      <c r="X286">
        <v>1</v>
      </c>
      <c r="Y286">
        <v>1771090650.9333301</v>
      </c>
      <c r="Z286">
        <v>998.69439999999997</v>
      </c>
      <c r="AA286">
        <v>1000.00246666667</v>
      </c>
      <c r="AB286">
        <v>15.45844</v>
      </c>
      <c r="AC286">
        <v>14.4735666666667</v>
      </c>
      <c r="AD286">
        <v>999.54319999999996</v>
      </c>
      <c r="AE286">
        <v>15.363440000000001</v>
      </c>
      <c r="AF286">
        <v>800.0104</v>
      </c>
      <c r="AG286">
        <v>99.907286666666593</v>
      </c>
      <c r="AH286">
        <v>6.4078899999999994E-2</v>
      </c>
      <c r="AI286">
        <v>19.001473333333301</v>
      </c>
      <c r="AJ286">
        <v>999.9</v>
      </c>
      <c r="AK286">
        <v>999.9</v>
      </c>
      <c r="AL286">
        <v>0</v>
      </c>
      <c r="AM286">
        <v>0</v>
      </c>
      <c r="AN286">
        <v>5001.8</v>
      </c>
      <c r="AO286">
        <v>0</v>
      </c>
      <c r="AP286">
        <v>2.2019299999999999</v>
      </c>
      <c r="AQ286">
        <v>-1.308538</v>
      </c>
      <c r="AR286">
        <v>1014.37533333333</v>
      </c>
      <c r="AS286">
        <v>1014.68866666667</v>
      </c>
      <c r="AT286">
        <v>0.98486826666666705</v>
      </c>
      <c r="AU286">
        <v>1000.00246666667</v>
      </c>
      <c r="AV286">
        <v>14.4735666666667</v>
      </c>
      <c r="AW286">
        <v>1.54441133333333</v>
      </c>
      <c r="AX286">
        <v>1.4460173333333299</v>
      </c>
      <c r="AY286">
        <v>13.4150666666667</v>
      </c>
      <c r="AZ286">
        <v>12.4089733333333</v>
      </c>
      <c r="BA286">
        <v>799.99973333333298</v>
      </c>
      <c r="BB286">
        <v>0.89998546666666701</v>
      </c>
      <c r="BC286">
        <v>0</v>
      </c>
      <c r="BD286">
        <v>0.100014466666667</v>
      </c>
      <c r="BE286">
        <v>0</v>
      </c>
      <c r="BF286">
        <v>26</v>
      </c>
      <c r="BG286">
        <v>13190.9533333333</v>
      </c>
      <c r="BH286">
        <v>1771090582</v>
      </c>
      <c r="BI286" t="s">
        <v>833</v>
      </c>
      <c r="BJ286">
        <v>1771090581</v>
      </c>
      <c r="BK286">
        <v>1771090582</v>
      </c>
      <c r="BL286">
        <v>10</v>
      </c>
      <c r="BM286">
        <v>0.125</v>
      </c>
      <c r="BN286">
        <v>-1.4E-2</v>
      </c>
      <c r="BO286">
        <v>-0.84899999999999998</v>
      </c>
      <c r="BP286">
        <v>9.5000000000000001E-2</v>
      </c>
      <c r="BQ286">
        <v>1000</v>
      </c>
      <c r="BR286">
        <v>14</v>
      </c>
      <c r="BS286">
        <v>0.37</v>
      </c>
      <c r="BT286">
        <v>0.05</v>
      </c>
      <c r="BU286">
        <v>-1.2841866666666699</v>
      </c>
      <c r="BV286">
        <v>-0.46246129870129998</v>
      </c>
      <c r="BW286">
        <v>5.4554079619902003E-2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0.98550266666666697</v>
      </c>
      <c r="CD286">
        <v>3.44524675324626E-3</v>
      </c>
      <c r="CE286">
        <v>4.8110881586020801E-3</v>
      </c>
      <c r="CF286">
        <v>1</v>
      </c>
      <c r="CG286">
        <v>2</v>
      </c>
      <c r="CH286">
        <v>2</v>
      </c>
      <c r="CI286" t="s">
        <v>310</v>
      </c>
      <c r="CJ286">
        <v>3.5324900000000001</v>
      </c>
      <c r="CK286">
        <v>2.70201</v>
      </c>
      <c r="CL286">
        <v>0.18157999999999999</v>
      </c>
      <c r="CM286">
        <v>0.17907899999999999</v>
      </c>
      <c r="CN286">
        <v>8.7179199999999998E-2</v>
      </c>
      <c r="CO286">
        <v>8.2040600000000005E-2</v>
      </c>
      <c r="CP286">
        <v>28696.3</v>
      </c>
      <c r="CQ286">
        <v>25280.3</v>
      </c>
      <c r="CR286">
        <v>32451.3</v>
      </c>
      <c r="CS286">
        <v>30721.1</v>
      </c>
      <c r="CT286">
        <v>40120.199999999997</v>
      </c>
      <c r="CU286">
        <v>39667.300000000003</v>
      </c>
      <c r="CV286">
        <v>47393.7</v>
      </c>
      <c r="CW286">
        <v>46854.7</v>
      </c>
      <c r="CX286">
        <v>2.6211199999999999</v>
      </c>
      <c r="CY286">
        <v>2.1357599999999999</v>
      </c>
      <c r="CZ286">
        <v>0</v>
      </c>
      <c r="DA286">
        <v>0</v>
      </c>
      <c r="DB286">
        <v>999.9</v>
      </c>
      <c r="DC286">
        <v>999.9</v>
      </c>
      <c r="DD286">
        <v>49.841000000000001</v>
      </c>
      <c r="DE286">
        <v>27.372</v>
      </c>
      <c r="DF286">
        <v>18.2499</v>
      </c>
      <c r="DG286">
        <v>30.178599999999999</v>
      </c>
      <c r="DH286">
        <v>15.504799999999999</v>
      </c>
      <c r="DI286">
        <v>2</v>
      </c>
      <c r="DJ286">
        <v>-0.111329</v>
      </c>
      <c r="DK286">
        <v>2.6006999999999998</v>
      </c>
      <c r="DL286">
        <v>20.189599999999999</v>
      </c>
      <c r="DM286">
        <v>5.2511900000000002</v>
      </c>
      <c r="DN286">
        <v>12.033899999999999</v>
      </c>
      <c r="DO286">
        <v>4.9672799999999997</v>
      </c>
      <c r="DP286">
        <v>3.2909999999999999</v>
      </c>
      <c r="DQ286">
        <v>9999</v>
      </c>
      <c r="DR286">
        <v>9999</v>
      </c>
      <c r="DS286">
        <v>9999</v>
      </c>
      <c r="DT286">
        <v>605.29999999999995</v>
      </c>
      <c r="DU286">
        <v>1.87117</v>
      </c>
      <c r="DV286">
        <v>1.8762099999999999</v>
      </c>
      <c r="DW286">
        <v>1.8763700000000001</v>
      </c>
      <c r="DX286">
        <v>1.8828800000000001</v>
      </c>
      <c r="DY286">
        <v>1.87561</v>
      </c>
      <c r="DZ286">
        <v>1.87469</v>
      </c>
      <c r="EA286">
        <v>1.87087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-0.84899999999999998</v>
      </c>
      <c r="EQ286">
        <v>9.5100000000000004E-2</v>
      </c>
      <c r="ER286">
        <v>-0.84881818181838797</v>
      </c>
      <c r="ES286">
        <v>0</v>
      </c>
      <c r="ET286">
        <v>0</v>
      </c>
      <c r="EU286">
        <v>0</v>
      </c>
      <c r="EV286">
        <v>9.5019999999999896E-2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1.3</v>
      </c>
      <c r="FE286">
        <v>1.3</v>
      </c>
      <c r="FF286">
        <v>2.5769000000000002</v>
      </c>
      <c r="FG286">
        <v>2.5830099999999998</v>
      </c>
      <c r="FH286">
        <v>2.19604</v>
      </c>
      <c r="FI286">
        <v>2.5769000000000002</v>
      </c>
      <c r="FJ286">
        <v>2.4462899999999999</v>
      </c>
      <c r="FK286">
        <v>2.2790499999999998</v>
      </c>
      <c r="FL286">
        <v>32.0244</v>
      </c>
      <c r="FM286">
        <v>24.1313</v>
      </c>
      <c r="FN286">
        <v>19</v>
      </c>
      <c r="FO286">
        <v>865.226</v>
      </c>
      <c r="FP286">
        <v>581.72</v>
      </c>
      <c r="FQ286">
        <v>17.842700000000001</v>
      </c>
      <c r="FR286">
        <v>25.614999999999998</v>
      </c>
      <c r="FS286">
        <v>30.0001</v>
      </c>
      <c r="FT286">
        <v>25.5945</v>
      </c>
      <c r="FU286">
        <v>25.595099999999999</v>
      </c>
      <c r="FV286">
        <v>51.677100000000003</v>
      </c>
      <c r="FW286">
        <v>24.740100000000002</v>
      </c>
      <c r="FX286">
        <v>33.661799999999999</v>
      </c>
      <c r="FY286">
        <v>17.842300000000002</v>
      </c>
      <c r="FZ286">
        <v>1000</v>
      </c>
      <c r="GA286">
        <v>14.4665</v>
      </c>
      <c r="GB286">
        <v>99.864199999999997</v>
      </c>
      <c r="GC286">
        <v>99.740300000000005</v>
      </c>
    </row>
    <row r="287" spans="1:185" x14ac:dyDescent="0.2">
      <c r="A287">
        <v>272</v>
      </c>
      <c r="B287">
        <v>1771090674</v>
      </c>
      <c r="C287">
        <v>5354</v>
      </c>
      <c r="D287" t="s">
        <v>846</v>
      </c>
      <c r="E287" t="s">
        <v>847</v>
      </c>
      <c r="F287">
        <v>15</v>
      </c>
      <c r="G287">
        <v>1771090665.9333301</v>
      </c>
      <c r="H287">
        <f t="shared" si="52"/>
        <v>8.2994209882578888E-4</v>
      </c>
      <c r="I287">
        <v>0</v>
      </c>
      <c r="J287">
        <f t="shared" si="64"/>
        <v>8.3096375494002232E-3</v>
      </c>
      <c r="K287">
        <f t="shared" si="53"/>
        <v>0.22524049634852855</v>
      </c>
      <c r="L287">
        <f t="shared" si="54"/>
        <v>70.021790587874818</v>
      </c>
      <c r="M287">
        <f t="shared" si="55"/>
        <v>1.5442147788542802</v>
      </c>
      <c r="N287">
        <f t="shared" si="56"/>
        <v>2.2053346049703575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26201.735110785386</v>
      </c>
      <c r="T287">
        <f t="shared" si="60"/>
        <v>799.99873333333301</v>
      </c>
      <c r="U287">
        <f t="shared" si="61"/>
        <v>674.39922659953356</v>
      </c>
      <c r="V287">
        <f t="shared" si="62"/>
        <v>0.843000368</v>
      </c>
      <c r="W287">
        <f t="shared" si="63"/>
        <v>0.15870092000000002</v>
      </c>
      <c r="X287">
        <v>1</v>
      </c>
      <c r="Y287">
        <v>1771090665.9333301</v>
      </c>
      <c r="Z287">
        <v>998.68333333333305</v>
      </c>
      <c r="AA287">
        <v>1000.00093333333</v>
      </c>
      <c r="AB287">
        <v>15.446626666666701</v>
      </c>
      <c r="AC287">
        <v>14.425233333333299</v>
      </c>
      <c r="AD287">
        <v>999.53206666666699</v>
      </c>
      <c r="AE287">
        <v>15.351599999999999</v>
      </c>
      <c r="AF287">
        <v>800.00746666666703</v>
      </c>
      <c r="AG287">
        <v>99.906926666666607</v>
      </c>
      <c r="AH287">
        <v>6.4077499999999996E-2</v>
      </c>
      <c r="AI287">
        <v>19.00112</v>
      </c>
      <c r="AJ287">
        <v>999.9</v>
      </c>
      <c r="AK287">
        <v>999.9</v>
      </c>
      <c r="AL287">
        <v>0</v>
      </c>
      <c r="AM287">
        <v>0</v>
      </c>
      <c r="AN287">
        <v>5000.6666666666697</v>
      </c>
      <c r="AO287">
        <v>0</v>
      </c>
      <c r="AP287">
        <v>2.2019299999999999</v>
      </c>
      <c r="AQ287">
        <v>-1.3178879999999999</v>
      </c>
      <c r="AR287">
        <v>1014.352</v>
      </c>
      <c r="AS287">
        <v>1014.63666666667</v>
      </c>
      <c r="AT287">
        <v>1.02139333333333</v>
      </c>
      <c r="AU287">
        <v>1000.00093333333</v>
      </c>
      <c r="AV287">
        <v>14.425233333333299</v>
      </c>
      <c r="AW287">
        <v>1.5432253333333299</v>
      </c>
      <c r="AX287">
        <v>1.4411813333333301</v>
      </c>
      <c r="AY287">
        <v>13.403280000000001</v>
      </c>
      <c r="AZ287">
        <v>12.358000000000001</v>
      </c>
      <c r="BA287">
        <v>799.99873333333301</v>
      </c>
      <c r="BB287">
        <v>0.89998773333333304</v>
      </c>
      <c r="BC287">
        <v>0</v>
      </c>
      <c r="BD287">
        <v>0.100012266666667</v>
      </c>
      <c r="BE287">
        <v>0</v>
      </c>
      <c r="BF287">
        <v>26</v>
      </c>
      <c r="BG287">
        <v>13190.96</v>
      </c>
      <c r="BH287">
        <v>1771090582</v>
      </c>
      <c r="BI287" t="s">
        <v>833</v>
      </c>
      <c r="BJ287">
        <v>1771090581</v>
      </c>
      <c r="BK287">
        <v>1771090582</v>
      </c>
      <c r="BL287">
        <v>10</v>
      </c>
      <c r="BM287">
        <v>0.125</v>
      </c>
      <c r="BN287">
        <v>-1.4E-2</v>
      </c>
      <c r="BO287">
        <v>-0.84899999999999998</v>
      </c>
      <c r="BP287">
        <v>9.5000000000000001E-2</v>
      </c>
      <c r="BQ287">
        <v>1000</v>
      </c>
      <c r="BR287">
        <v>14</v>
      </c>
      <c r="BS287">
        <v>0.37</v>
      </c>
      <c r="BT287">
        <v>0.05</v>
      </c>
      <c r="BU287">
        <v>-1.322776</v>
      </c>
      <c r="BV287">
        <v>4.9589774436089397E-2</v>
      </c>
      <c r="BW287">
        <v>3.17109956324301E-2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1.0137924</v>
      </c>
      <c r="CD287">
        <v>9.8566917293231998E-2</v>
      </c>
      <c r="CE287">
        <v>1.5770876283200001E-2</v>
      </c>
      <c r="CF287">
        <v>1</v>
      </c>
      <c r="CG287">
        <v>2</v>
      </c>
      <c r="CH287">
        <v>2</v>
      </c>
      <c r="CI287" t="s">
        <v>310</v>
      </c>
      <c r="CJ287">
        <v>3.5325500000000001</v>
      </c>
      <c r="CK287">
        <v>2.70207</v>
      </c>
      <c r="CL287">
        <v>0.18157799999999999</v>
      </c>
      <c r="CM287">
        <v>0.17908399999999999</v>
      </c>
      <c r="CN287">
        <v>8.7055300000000002E-2</v>
      </c>
      <c r="CO287">
        <v>8.1925999999999999E-2</v>
      </c>
      <c r="CP287">
        <v>28696.7</v>
      </c>
      <c r="CQ287">
        <v>25280.400000000001</v>
      </c>
      <c r="CR287">
        <v>32451.7</v>
      </c>
      <c r="CS287">
        <v>30721.4</v>
      </c>
      <c r="CT287">
        <v>40126.1</v>
      </c>
      <c r="CU287">
        <v>39672.9</v>
      </c>
      <c r="CV287">
        <v>47394.1</v>
      </c>
      <c r="CW287">
        <v>46855.3</v>
      </c>
      <c r="CX287">
        <v>2.6210800000000001</v>
      </c>
      <c r="CY287">
        <v>2.1354199999999999</v>
      </c>
      <c r="CZ287">
        <v>0</v>
      </c>
      <c r="DA287">
        <v>0</v>
      </c>
      <c r="DB287">
        <v>999.9</v>
      </c>
      <c r="DC287">
        <v>999.9</v>
      </c>
      <c r="DD287">
        <v>49.768000000000001</v>
      </c>
      <c r="DE287">
        <v>27.382000000000001</v>
      </c>
      <c r="DF287">
        <v>18.234000000000002</v>
      </c>
      <c r="DG287">
        <v>30.328600000000002</v>
      </c>
      <c r="DH287">
        <v>15.3766</v>
      </c>
      <c r="DI287">
        <v>2</v>
      </c>
      <c r="DJ287">
        <v>-0.11118500000000001</v>
      </c>
      <c r="DK287">
        <v>2.60555</v>
      </c>
      <c r="DL287">
        <v>20.189699999999998</v>
      </c>
      <c r="DM287">
        <v>5.25047</v>
      </c>
      <c r="DN287">
        <v>12.033899999999999</v>
      </c>
      <c r="DO287">
        <v>4.9674399999999999</v>
      </c>
      <c r="DP287">
        <v>3.2909999999999999</v>
      </c>
      <c r="DQ287">
        <v>9999</v>
      </c>
      <c r="DR287">
        <v>9999</v>
      </c>
      <c r="DS287">
        <v>9999</v>
      </c>
      <c r="DT287">
        <v>605.29999999999995</v>
      </c>
      <c r="DU287">
        <v>1.87117</v>
      </c>
      <c r="DV287">
        <v>1.87622</v>
      </c>
      <c r="DW287">
        <v>1.8763700000000001</v>
      </c>
      <c r="DX287">
        <v>1.8828800000000001</v>
      </c>
      <c r="DY287">
        <v>1.87561</v>
      </c>
      <c r="DZ287">
        <v>1.87469</v>
      </c>
      <c r="EA287">
        <v>1.87087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-0.84899999999999998</v>
      </c>
      <c r="EQ287">
        <v>9.5100000000000004E-2</v>
      </c>
      <c r="ER287">
        <v>-0.84881818181838797</v>
      </c>
      <c r="ES287">
        <v>0</v>
      </c>
      <c r="ET287">
        <v>0</v>
      </c>
      <c r="EU287">
        <v>0</v>
      </c>
      <c r="EV287">
        <v>9.5019999999999896E-2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1.6</v>
      </c>
      <c r="FE287">
        <v>1.5</v>
      </c>
      <c r="FF287">
        <v>2.5769000000000002</v>
      </c>
      <c r="FG287">
        <v>2.5793499999999998</v>
      </c>
      <c r="FH287">
        <v>2.19604</v>
      </c>
      <c r="FI287">
        <v>2.5769000000000002</v>
      </c>
      <c r="FJ287">
        <v>2.4462899999999999</v>
      </c>
      <c r="FK287">
        <v>2.3034699999999999</v>
      </c>
      <c r="FL287">
        <v>32.0244</v>
      </c>
      <c r="FM287">
        <v>24.14</v>
      </c>
      <c r="FN287">
        <v>19</v>
      </c>
      <c r="FO287">
        <v>865.22299999999996</v>
      </c>
      <c r="FP287">
        <v>581.48099999999999</v>
      </c>
      <c r="FQ287">
        <v>17.8386</v>
      </c>
      <c r="FR287">
        <v>25.614999999999998</v>
      </c>
      <c r="FS287">
        <v>30.0002</v>
      </c>
      <c r="FT287">
        <v>25.596599999999999</v>
      </c>
      <c r="FU287">
        <v>25.597200000000001</v>
      </c>
      <c r="FV287">
        <v>51.676600000000001</v>
      </c>
      <c r="FW287">
        <v>24.740100000000002</v>
      </c>
      <c r="FX287">
        <v>33.661799999999999</v>
      </c>
      <c r="FY287">
        <v>17.838100000000001</v>
      </c>
      <c r="FZ287">
        <v>1000</v>
      </c>
      <c r="GA287">
        <v>14.4665</v>
      </c>
      <c r="GB287">
        <v>99.865099999999998</v>
      </c>
      <c r="GC287">
        <v>99.741399999999999</v>
      </c>
    </row>
    <row r="288" spans="1:185" x14ac:dyDescent="0.2">
      <c r="A288">
        <v>273</v>
      </c>
      <c r="B288">
        <v>1771090689</v>
      </c>
      <c r="C288">
        <v>5369</v>
      </c>
      <c r="D288" t="s">
        <v>848</v>
      </c>
      <c r="E288" t="s">
        <v>849</v>
      </c>
      <c r="F288">
        <v>15</v>
      </c>
      <c r="G288">
        <v>1771090680.9333301</v>
      </c>
      <c r="H288">
        <f t="shared" si="52"/>
        <v>8.1434883226524479E-4</v>
      </c>
      <c r="I288">
        <v>0</v>
      </c>
      <c r="J288">
        <f t="shared" si="64"/>
        <v>8.4888614911645503E-3</v>
      </c>
      <c r="K288">
        <f t="shared" si="53"/>
        <v>0.23009852888731847</v>
      </c>
      <c r="L288">
        <f t="shared" si="54"/>
        <v>69.919038850568143</v>
      </c>
      <c r="M288">
        <f t="shared" si="55"/>
        <v>1.5418172619587458</v>
      </c>
      <c r="N288">
        <f t="shared" si="56"/>
        <v>2.205146534199272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26248.687546666799</v>
      </c>
      <c r="T288">
        <f t="shared" si="60"/>
        <v>800.00126666666699</v>
      </c>
      <c r="U288">
        <f t="shared" si="61"/>
        <v>674.40138780050688</v>
      </c>
      <c r="V288">
        <f t="shared" si="62"/>
        <v>0.84300039999999998</v>
      </c>
      <c r="W288">
        <f t="shared" si="63"/>
        <v>0.15870099999999998</v>
      </c>
      <c r="X288">
        <v>1</v>
      </c>
      <c r="Y288">
        <v>1771090680.9333301</v>
      </c>
      <c r="Z288">
        <v>998.67766666666705</v>
      </c>
      <c r="AA288">
        <v>999.98186666666697</v>
      </c>
      <c r="AB288">
        <v>15.422646666666701</v>
      </c>
      <c r="AC288">
        <v>14.42042</v>
      </c>
      <c r="AD288">
        <v>999.52653333333296</v>
      </c>
      <c r="AE288">
        <v>15.327626666666699</v>
      </c>
      <c r="AF288">
        <v>800.00806666666699</v>
      </c>
      <c r="AG288">
        <v>99.906893333333301</v>
      </c>
      <c r="AH288">
        <v>6.4097073333333296E-2</v>
      </c>
      <c r="AI288">
        <v>18.999753333333299</v>
      </c>
      <c r="AJ288">
        <v>999.9</v>
      </c>
      <c r="AK288">
        <v>999.9</v>
      </c>
      <c r="AL288">
        <v>0</v>
      </c>
      <c r="AM288">
        <v>0</v>
      </c>
      <c r="AN288">
        <v>5008.3999999999996</v>
      </c>
      <c r="AO288">
        <v>0</v>
      </c>
      <c r="AP288">
        <v>2.2019299999999999</v>
      </c>
      <c r="AQ288">
        <v>-1.3043340000000001</v>
      </c>
      <c r="AR288">
        <v>1014.32133333333</v>
      </c>
      <c r="AS288">
        <v>1014.61333333333</v>
      </c>
      <c r="AT288">
        <v>1.0022161333333299</v>
      </c>
      <c r="AU288">
        <v>999.98186666666697</v>
      </c>
      <c r="AV288">
        <v>14.42042</v>
      </c>
      <c r="AW288">
        <v>1.54082733333333</v>
      </c>
      <c r="AX288">
        <v>1.4406986666666699</v>
      </c>
      <c r="AY288">
        <v>13.379433333333299</v>
      </c>
      <c r="AZ288">
        <v>12.3529133333333</v>
      </c>
      <c r="BA288">
        <v>800.00126666666699</v>
      </c>
      <c r="BB288">
        <v>0.89998666666666705</v>
      </c>
      <c r="BC288">
        <v>0</v>
      </c>
      <c r="BD288">
        <v>0.100013333333333</v>
      </c>
      <c r="BE288">
        <v>0</v>
      </c>
      <c r="BF288">
        <v>26</v>
      </c>
      <c r="BG288">
        <v>13190.98</v>
      </c>
      <c r="BH288">
        <v>1771090582</v>
      </c>
      <c r="BI288" t="s">
        <v>833</v>
      </c>
      <c r="BJ288">
        <v>1771090581</v>
      </c>
      <c r="BK288">
        <v>1771090582</v>
      </c>
      <c r="BL288">
        <v>10</v>
      </c>
      <c r="BM288">
        <v>0.125</v>
      </c>
      <c r="BN288">
        <v>-1.4E-2</v>
      </c>
      <c r="BO288">
        <v>-0.84899999999999998</v>
      </c>
      <c r="BP288">
        <v>9.5000000000000001E-2</v>
      </c>
      <c r="BQ288">
        <v>1000</v>
      </c>
      <c r="BR288">
        <v>14</v>
      </c>
      <c r="BS288">
        <v>0.37</v>
      </c>
      <c r="BT288">
        <v>0.05</v>
      </c>
      <c r="BU288">
        <v>-1.3062166666666699</v>
      </c>
      <c r="BV288">
        <v>1.7322077922077201E-2</v>
      </c>
      <c r="BW288">
        <v>3.3082791143452001E-2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1.006392</v>
      </c>
      <c r="CD288">
        <v>-8.2378129870129699E-2</v>
      </c>
      <c r="CE288">
        <v>8.3836265592948604E-3</v>
      </c>
      <c r="CF288">
        <v>1</v>
      </c>
      <c r="CG288">
        <v>2</v>
      </c>
      <c r="CH288">
        <v>2</v>
      </c>
      <c r="CI288" t="s">
        <v>310</v>
      </c>
      <c r="CJ288">
        <v>3.5325000000000002</v>
      </c>
      <c r="CK288">
        <v>2.7019199999999999</v>
      </c>
      <c r="CL288">
        <v>0.18157999999999999</v>
      </c>
      <c r="CM288">
        <v>0.17908299999999999</v>
      </c>
      <c r="CN288">
        <v>8.69949E-2</v>
      </c>
      <c r="CO288">
        <v>8.1928699999999993E-2</v>
      </c>
      <c r="CP288">
        <v>28697.200000000001</v>
      </c>
      <c r="CQ288">
        <v>25281.1</v>
      </c>
      <c r="CR288">
        <v>32452.3</v>
      </c>
      <c r="CS288">
        <v>30722.1</v>
      </c>
      <c r="CT288">
        <v>40129.599999999999</v>
      </c>
      <c r="CU288">
        <v>39673.9</v>
      </c>
      <c r="CV288">
        <v>47395</v>
      </c>
      <c r="CW288">
        <v>46856.7</v>
      </c>
      <c r="CX288">
        <v>2.6212599999999999</v>
      </c>
      <c r="CY288">
        <v>2.1353599999999999</v>
      </c>
      <c r="CZ288">
        <v>0</v>
      </c>
      <c r="DA288">
        <v>0</v>
      </c>
      <c r="DB288">
        <v>999.9</v>
      </c>
      <c r="DC288">
        <v>999.9</v>
      </c>
      <c r="DD288">
        <v>49.719000000000001</v>
      </c>
      <c r="DE288">
        <v>27.402000000000001</v>
      </c>
      <c r="DF288">
        <v>18.236899999999999</v>
      </c>
      <c r="DG288">
        <v>29.9986</v>
      </c>
      <c r="DH288">
        <v>15.476800000000001</v>
      </c>
      <c r="DI288">
        <v>2</v>
      </c>
      <c r="DJ288">
        <v>-0.111364</v>
      </c>
      <c r="DK288">
        <v>2.5904600000000002</v>
      </c>
      <c r="DL288">
        <v>20.189900000000002</v>
      </c>
      <c r="DM288">
        <v>5.25251</v>
      </c>
      <c r="DN288">
        <v>12.033899999999999</v>
      </c>
      <c r="DO288">
        <v>4.9676799999999997</v>
      </c>
      <c r="DP288">
        <v>3.2909999999999999</v>
      </c>
      <c r="DQ288">
        <v>9999</v>
      </c>
      <c r="DR288">
        <v>9999</v>
      </c>
      <c r="DS288">
        <v>9999</v>
      </c>
      <c r="DT288">
        <v>605.29999999999995</v>
      </c>
      <c r="DU288">
        <v>1.8711599999999999</v>
      </c>
      <c r="DV288">
        <v>1.8762000000000001</v>
      </c>
      <c r="DW288">
        <v>1.8763700000000001</v>
      </c>
      <c r="DX288">
        <v>1.88287</v>
      </c>
      <c r="DY288">
        <v>1.87561</v>
      </c>
      <c r="DZ288">
        <v>1.87469</v>
      </c>
      <c r="EA288">
        <v>1.87087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-0.84899999999999998</v>
      </c>
      <c r="EQ288">
        <v>9.5000000000000001E-2</v>
      </c>
      <c r="ER288">
        <v>-0.84881818181838797</v>
      </c>
      <c r="ES288">
        <v>0</v>
      </c>
      <c r="ET288">
        <v>0</v>
      </c>
      <c r="EU288">
        <v>0</v>
      </c>
      <c r="EV288">
        <v>9.5019999999999896E-2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1.8</v>
      </c>
      <c r="FE288">
        <v>1.8</v>
      </c>
      <c r="FF288">
        <v>2.5769000000000002</v>
      </c>
      <c r="FG288">
        <v>2.5817899999999998</v>
      </c>
      <c r="FH288">
        <v>2.19604</v>
      </c>
      <c r="FI288">
        <v>2.5756800000000002</v>
      </c>
      <c r="FJ288">
        <v>2.4462899999999999</v>
      </c>
      <c r="FK288">
        <v>2.2802699999999998</v>
      </c>
      <c r="FL288">
        <v>32.0244</v>
      </c>
      <c r="FM288">
        <v>24.14</v>
      </c>
      <c r="FN288">
        <v>19</v>
      </c>
      <c r="FO288">
        <v>865.39</v>
      </c>
      <c r="FP288">
        <v>581.43499999999995</v>
      </c>
      <c r="FQ288">
        <v>17.8462</v>
      </c>
      <c r="FR288">
        <v>25.614999999999998</v>
      </c>
      <c r="FS288">
        <v>30.0001</v>
      </c>
      <c r="FT288">
        <v>25.596599999999999</v>
      </c>
      <c r="FU288">
        <v>25.597200000000001</v>
      </c>
      <c r="FV288">
        <v>51.679400000000001</v>
      </c>
      <c r="FW288">
        <v>24.740100000000002</v>
      </c>
      <c r="FX288">
        <v>33.661799999999999</v>
      </c>
      <c r="FY288">
        <v>17.844899999999999</v>
      </c>
      <c r="FZ288">
        <v>1000</v>
      </c>
      <c r="GA288">
        <v>14.4665</v>
      </c>
      <c r="GB288">
        <v>99.867000000000004</v>
      </c>
      <c r="GC288">
        <v>99.744200000000006</v>
      </c>
    </row>
    <row r="289" spans="1:185" x14ac:dyDescent="0.2">
      <c r="A289">
        <v>274</v>
      </c>
      <c r="B289">
        <v>1771090704</v>
      </c>
      <c r="C289">
        <v>5384</v>
      </c>
      <c r="D289" t="s">
        <v>850</v>
      </c>
      <c r="E289" t="s">
        <v>851</v>
      </c>
      <c r="F289">
        <v>15</v>
      </c>
      <c r="G289">
        <v>1771090695.9333301</v>
      </c>
      <c r="H289">
        <f t="shared" si="52"/>
        <v>8.0773856011993243E-4</v>
      </c>
      <c r="I289">
        <v>0</v>
      </c>
      <c r="J289">
        <f t="shared" si="64"/>
        <v>8.9345833925203195E-3</v>
      </c>
      <c r="K289">
        <f t="shared" si="53"/>
        <v>0.24218023783045159</v>
      </c>
      <c r="L289">
        <f t="shared" si="54"/>
        <v>69.880107942282052</v>
      </c>
      <c r="M289">
        <f t="shared" si="55"/>
        <v>1.5411658558677803</v>
      </c>
      <c r="N289">
        <f t="shared" si="56"/>
        <v>2.2054428667178314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26129.230456233308</v>
      </c>
      <c r="T289">
        <f t="shared" si="60"/>
        <v>799.99913333333302</v>
      </c>
      <c r="U289">
        <f t="shared" si="61"/>
        <v>674.3996501995872</v>
      </c>
      <c r="V289">
        <f t="shared" si="62"/>
        <v>0.84300047599999994</v>
      </c>
      <c r="W289">
        <f t="shared" si="63"/>
        <v>0.15870119000000005</v>
      </c>
      <c r="X289">
        <v>1</v>
      </c>
      <c r="Y289">
        <v>1771090695.9333301</v>
      </c>
      <c r="Z289">
        <v>998.69153333333304</v>
      </c>
      <c r="AA289">
        <v>1000.0026</v>
      </c>
      <c r="AB289">
        <v>15.41596</v>
      </c>
      <c r="AC289">
        <v>14.421860000000001</v>
      </c>
      <c r="AD289">
        <v>999.54033333333302</v>
      </c>
      <c r="AE289">
        <v>15.32094</v>
      </c>
      <c r="AF289">
        <v>800.00653333333298</v>
      </c>
      <c r="AG289">
        <v>99.907953333333296</v>
      </c>
      <c r="AH289">
        <v>6.4144146666666693E-2</v>
      </c>
      <c r="AI289">
        <v>19.001906666666699</v>
      </c>
      <c r="AJ289">
        <v>999.9</v>
      </c>
      <c r="AK289">
        <v>999.9</v>
      </c>
      <c r="AL289">
        <v>0</v>
      </c>
      <c r="AM289">
        <v>0</v>
      </c>
      <c r="AN289">
        <v>4988.6666666666697</v>
      </c>
      <c r="AO289">
        <v>0</v>
      </c>
      <c r="AP289">
        <v>2.2019299999999999</v>
      </c>
      <c r="AQ289">
        <v>-1.31127066666667</v>
      </c>
      <c r="AR289">
        <v>1014.328</v>
      </c>
      <c r="AS289">
        <v>1014.636</v>
      </c>
      <c r="AT289">
        <v>0.99411173333333303</v>
      </c>
      <c r="AU289">
        <v>1000.0026</v>
      </c>
      <c r="AV289">
        <v>14.421860000000001</v>
      </c>
      <c r="AW289">
        <v>1.5401786666666699</v>
      </c>
      <c r="AX289">
        <v>1.4408586666666701</v>
      </c>
      <c r="AY289">
        <v>13.372973333333301</v>
      </c>
      <c r="AZ289">
        <v>12.3545933333333</v>
      </c>
      <c r="BA289">
        <v>799.99913333333302</v>
      </c>
      <c r="BB289">
        <v>0.89998413333333305</v>
      </c>
      <c r="BC289">
        <v>0</v>
      </c>
      <c r="BD289">
        <v>0.10001586666666699</v>
      </c>
      <c r="BE289">
        <v>0</v>
      </c>
      <c r="BF289">
        <v>26</v>
      </c>
      <c r="BG289">
        <v>13190.9533333333</v>
      </c>
      <c r="BH289">
        <v>1771090582</v>
      </c>
      <c r="BI289" t="s">
        <v>833</v>
      </c>
      <c r="BJ289">
        <v>1771090581</v>
      </c>
      <c r="BK289">
        <v>1771090582</v>
      </c>
      <c r="BL289">
        <v>10</v>
      </c>
      <c r="BM289">
        <v>0.125</v>
      </c>
      <c r="BN289">
        <v>-1.4E-2</v>
      </c>
      <c r="BO289">
        <v>-0.84899999999999998</v>
      </c>
      <c r="BP289">
        <v>9.5000000000000001E-2</v>
      </c>
      <c r="BQ289">
        <v>1000</v>
      </c>
      <c r="BR289">
        <v>14</v>
      </c>
      <c r="BS289">
        <v>0.37</v>
      </c>
      <c r="BT289">
        <v>0.05</v>
      </c>
      <c r="BU289">
        <v>-1.3148525</v>
      </c>
      <c r="BV289">
        <v>0.20329849624060001</v>
      </c>
      <c r="BW289">
        <v>3.14188796545962E-2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0.99451975000000004</v>
      </c>
      <c r="CD289">
        <v>-1.40348120300746E-2</v>
      </c>
      <c r="CE289">
        <v>1.7426260320275199E-3</v>
      </c>
      <c r="CF289">
        <v>1</v>
      </c>
      <c r="CG289">
        <v>2</v>
      </c>
      <c r="CH289">
        <v>2</v>
      </c>
      <c r="CI289" t="s">
        <v>310</v>
      </c>
      <c r="CJ289">
        <v>3.5325899999999999</v>
      </c>
      <c r="CK289">
        <v>2.7018900000000001</v>
      </c>
      <c r="CL289">
        <v>0.18157999999999999</v>
      </c>
      <c r="CM289">
        <v>0.17907799999999999</v>
      </c>
      <c r="CN289">
        <v>8.6989499999999997E-2</v>
      </c>
      <c r="CO289">
        <v>8.1934300000000002E-2</v>
      </c>
      <c r="CP289">
        <v>28697</v>
      </c>
      <c r="CQ289">
        <v>25281.200000000001</v>
      </c>
      <c r="CR289">
        <v>32452.1</v>
      </c>
      <c r="CS289">
        <v>30722.1</v>
      </c>
      <c r="CT289">
        <v>40129.800000000003</v>
      </c>
      <c r="CU289">
        <v>39673.5</v>
      </c>
      <c r="CV289">
        <v>47394.8</v>
      </c>
      <c r="CW289">
        <v>46856.4</v>
      </c>
      <c r="CX289">
        <v>2.62114</v>
      </c>
      <c r="CY289">
        <v>2.1353200000000001</v>
      </c>
      <c r="CZ289">
        <v>0</v>
      </c>
      <c r="DA289">
        <v>0</v>
      </c>
      <c r="DB289">
        <v>999.9</v>
      </c>
      <c r="DC289">
        <v>999.9</v>
      </c>
      <c r="DD289">
        <v>49.695</v>
      </c>
      <c r="DE289">
        <v>27.402000000000001</v>
      </c>
      <c r="DF289">
        <v>18.229399999999998</v>
      </c>
      <c r="DG289">
        <v>30.5686</v>
      </c>
      <c r="DH289">
        <v>15.348599999999999</v>
      </c>
      <c r="DI289">
        <v>2</v>
      </c>
      <c r="DJ289">
        <v>-0.111419</v>
      </c>
      <c r="DK289">
        <v>2.61328</v>
      </c>
      <c r="DL289">
        <v>20.189599999999999</v>
      </c>
      <c r="DM289">
        <v>5.2527499999999998</v>
      </c>
      <c r="DN289">
        <v>12.033899999999999</v>
      </c>
      <c r="DO289">
        <v>4.96732</v>
      </c>
      <c r="DP289">
        <v>3.2909999999999999</v>
      </c>
      <c r="DQ289">
        <v>9999</v>
      </c>
      <c r="DR289">
        <v>9999</v>
      </c>
      <c r="DS289">
        <v>9999</v>
      </c>
      <c r="DT289">
        <v>605.29999999999995</v>
      </c>
      <c r="DU289">
        <v>1.8711800000000001</v>
      </c>
      <c r="DV289">
        <v>1.8762099999999999</v>
      </c>
      <c r="DW289">
        <v>1.8763700000000001</v>
      </c>
      <c r="DX289">
        <v>1.8828800000000001</v>
      </c>
      <c r="DY289">
        <v>1.87561</v>
      </c>
      <c r="DZ289">
        <v>1.87469</v>
      </c>
      <c r="EA289">
        <v>1.87087</v>
      </c>
      <c r="EB289">
        <v>1.8746799999999999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-0.84899999999999998</v>
      </c>
      <c r="EQ289">
        <v>9.5000000000000001E-2</v>
      </c>
      <c r="ER289">
        <v>-0.84881818181838797</v>
      </c>
      <c r="ES289">
        <v>0</v>
      </c>
      <c r="ET289">
        <v>0</v>
      </c>
      <c r="EU289">
        <v>0</v>
      </c>
      <c r="EV289">
        <v>9.5019999999999896E-2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2</v>
      </c>
      <c r="FE289">
        <v>2</v>
      </c>
      <c r="FF289">
        <v>2.5769000000000002</v>
      </c>
      <c r="FG289">
        <v>2.5854499999999998</v>
      </c>
      <c r="FH289">
        <v>2.19604</v>
      </c>
      <c r="FI289">
        <v>2.5769000000000002</v>
      </c>
      <c r="FJ289">
        <v>2.4462899999999999</v>
      </c>
      <c r="FK289">
        <v>2.3315399999999999</v>
      </c>
      <c r="FL289">
        <v>32.046399999999998</v>
      </c>
      <c r="FM289">
        <v>24.14</v>
      </c>
      <c r="FN289">
        <v>19</v>
      </c>
      <c r="FO289">
        <v>865.27800000000002</v>
      </c>
      <c r="FP289">
        <v>581.404</v>
      </c>
      <c r="FQ289">
        <v>17.8401</v>
      </c>
      <c r="FR289">
        <v>25.614999999999998</v>
      </c>
      <c r="FS289">
        <v>30.0001</v>
      </c>
      <c r="FT289">
        <v>25.596599999999999</v>
      </c>
      <c r="FU289">
        <v>25.597200000000001</v>
      </c>
      <c r="FV289">
        <v>51.678699999999999</v>
      </c>
      <c r="FW289">
        <v>24.740100000000002</v>
      </c>
      <c r="FX289">
        <v>33.661799999999999</v>
      </c>
      <c r="FY289">
        <v>17.838699999999999</v>
      </c>
      <c r="FZ289">
        <v>1000</v>
      </c>
      <c r="GA289">
        <v>14.4665</v>
      </c>
      <c r="GB289">
        <v>99.866600000000005</v>
      </c>
      <c r="GC289">
        <v>99.743899999999996</v>
      </c>
    </row>
    <row r="290" spans="1:185" x14ac:dyDescent="0.2">
      <c r="A290">
        <v>275</v>
      </c>
      <c r="B290">
        <v>1771090719</v>
      </c>
      <c r="C290">
        <v>5399</v>
      </c>
      <c r="D290" t="s">
        <v>852</v>
      </c>
      <c r="E290" t="s">
        <v>853</v>
      </c>
      <c r="F290">
        <v>15</v>
      </c>
      <c r="G290">
        <v>1771090710.9333301</v>
      </c>
      <c r="H290">
        <f t="shared" si="52"/>
        <v>8.0236299701065463E-4</v>
      </c>
      <c r="I290">
        <v>0</v>
      </c>
      <c r="J290">
        <f t="shared" si="64"/>
        <v>8.3863124352778571E-3</v>
      </c>
      <c r="K290">
        <f t="shared" si="53"/>
        <v>0.22731884083104953</v>
      </c>
      <c r="L290">
        <f t="shared" si="54"/>
        <v>69.859371627448041</v>
      </c>
      <c r="M290">
        <f t="shared" si="55"/>
        <v>1.5406220015950653</v>
      </c>
      <c r="N290">
        <f t="shared" si="56"/>
        <v>2.205319008322927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26197.410639526064</v>
      </c>
      <c r="T290">
        <f t="shared" si="60"/>
        <v>800.00099999999998</v>
      </c>
      <c r="U290">
        <f t="shared" si="61"/>
        <v>674.40116140039788</v>
      </c>
      <c r="V290">
        <f t="shared" si="62"/>
        <v>0.84300039799999993</v>
      </c>
      <c r="W290">
        <f t="shared" si="63"/>
        <v>0.15870099500000004</v>
      </c>
      <c r="X290">
        <v>1</v>
      </c>
      <c r="Y290">
        <v>1771090710.9333301</v>
      </c>
      <c r="Z290">
        <v>998.71553333333304</v>
      </c>
      <c r="AA290">
        <v>1000.00133333333</v>
      </c>
      <c r="AB290">
        <v>15.410780000000001</v>
      </c>
      <c r="AC290">
        <v>14.4232933333333</v>
      </c>
      <c r="AD290">
        <v>999.56433333333302</v>
      </c>
      <c r="AE290">
        <v>15.315766666666701</v>
      </c>
      <c r="AF290">
        <v>800.008733333333</v>
      </c>
      <c r="AG290">
        <v>99.906566666666606</v>
      </c>
      <c r="AH290">
        <v>6.3843759999999999E-2</v>
      </c>
      <c r="AI290">
        <v>19.001006666666701</v>
      </c>
      <c r="AJ290">
        <v>999.9</v>
      </c>
      <c r="AK290">
        <v>999.9</v>
      </c>
      <c r="AL290">
        <v>0</v>
      </c>
      <c r="AM290">
        <v>0</v>
      </c>
      <c r="AN290">
        <v>4999.9666666666699</v>
      </c>
      <c r="AO290">
        <v>0</v>
      </c>
      <c r="AP290">
        <v>2.2019299999999999</v>
      </c>
      <c r="AQ290">
        <v>-1.284608</v>
      </c>
      <c r="AR290">
        <v>1014.34733333333</v>
      </c>
      <c r="AS290">
        <v>1014.63333333333</v>
      </c>
      <c r="AT290">
        <v>0.98748366666666698</v>
      </c>
      <c r="AU290">
        <v>1000.00133333333</v>
      </c>
      <c r="AV290">
        <v>14.4232933333333</v>
      </c>
      <c r="AW290">
        <v>1.5396386666666699</v>
      </c>
      <c r="AX290">
        <v>1.440982</v>
      </c>
      <c r="AY290">
        <v>13.3675933333333</v>
      </c>
      <c r="AZ290">
        <v>12.3559066666667</v>
      </c>
      <c r="BA290">
        <v>800.00099999999998</v>
      </c>
      <c r="BB290">
        <v>0.89998673333333301</v>
      </c>
      <c r="BC290">
        <v>0</v>
      </c>
      <c r="BD290">
        <v>0.100013266666667</v>
      </c>
      <c r="BE290">
        <v>0</v>
      </c>
      <c r="BF290">
        <v>26</v>
      </c>
      <c r="BG290">
        <v>13190.993333333299</v>
      </c>
      <c r="BH290">
        <v>1771090582</v>
      </c>
      <c r="BI290" t="s">
        <v>833</v>
      </c>
      <c r="BJ290">
        <v>1771090581</v>
      </c>
      <c r="BK290">
        <v>1771090582</v>
      </c>
      <c r="BL290">
        <v>10</v>
      </c>
      <c r="BM290">
        <v>0.125</v>
      </c>
      <c r="BN290">
        <v>-1.4E-2</v>
      </c>
      <c r="BO290">
        <v>-0.84899999999999998</v>
      </c>
      <c r="BP290">
        <v>9.5000000000000001E-2</v>
      </c>
      <c r="BQ290">
        <v>1000</v>
      </c>
      <c r="BR290">
        <v>14</v>
      </c>
      <c r="BS290">
        <v>0.37</v>
      </c>
      <c r="BT290">
        <v>0.05</v>
      </c>
      <c r="BU290">
        <v>-1.28270666666667</v>
      </c>
      <c r="BV290">
        <v>9.5568311688310897E-2</v>
      </c>
      <c r="BW290">
        <v>2.8776833992000799E-2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0.98885523809523801</v>
      </c>
      <c r="CD290">
        <v>-2.6761792207790899E-2</v>
      </c>
      <c r="CE290">
        <v>2.9839282658421298E-3</v>
      </c>
      <c r="CF290">
        <v>1</v>
      </c>
      <c r="CG290">
        <v>2</v>
      </c>
      <c r="CH290">
        <v>2</v>
      </c>
      <c r="CI290" t="s">
        <v>310</v>
      </c>
      <c r="CJ290">
        <v>3.5324900000000001</v>
      </c>
      <c r="CK290">
        <v>2.7018800000000001</v>
      </c>
      <c r="CL290">
        <v>0.18158299999999999</v>
      </c>
      <c r="CM290">
        <v>0.17907699999999999</v>
      </c>
      <c r="CN290">
        <v>8.6964399999999997E-2</v>
      </c>
      <c r="CO290">
        <v>8.1944699999999995E-2</v>
      </c>
      <c r="CP290">
        <v>28697.1</v>
      </c>
      <c r="CQ290">
        <v>25281.1</v>
      </c>
      <c r="CR290">
        <v>32452.400000000001</v>
      </c>
      <c r="CS290">
        <v>30722</v>
      </c>
      <c r="CT290">
        <v>40131.199999999997</v>
      </c>
      <c r="CU290">
        <v>39672.9</v>
      </c>
      <c r="CV290">
        <v>47395.1</v>
      </c>
      <c r="CW290">
        <v>46856.3</v>
      </c>
      <c r="CX290">
        <v>2.621</v>
      </c>
      <c r="CY290">
        <v>2.1352799999999998</v>
      </c>
      <c r="CZ290">
        <v>0</v>
      </c>
      <c r="DA290">
        <v>0</v>
      </c>
      <c r="DB290">
        <v>999.9</v>
      </c>
      <c r="DC290">
        <v>999.9</v>
      </c>
      <c r="DD290">
        <v>49.67</v>
      </c>
      <c r="DE290">
        <v>27.411999999999999</v>
      </c>
      <c r="DF290">
        <v>18.229199999999999</v>
      </c>
      <c r="DG290">
        <v>30.508600000000001</v>
      </c>
      <c r="DH290">
        <v>15.508800000000001</v>
      </c>
      <c r="DI290">
        <v>2</v>
      </c>
      <c r="DJ290">
        <v>-0.111488</v>
      </c>
      <c r="DK290">
        <v>2.60968</v>
      </c>
      <c r="DL290">
        <v>20.189599999999999</v>
      </c>
      <c r="DM290">
        <v>5.2513100000000001</v>
      </c>
      <c r="DN290">
        <v>12.033899999999999</v>
      </c>
      <c r="DO290">
        <v>4.9672400000000003</v>
      </c>
      <c r="DP290">
        <v>3.2910200000000001</v>
      </c>
      <c r="DQ290">
        <v>9999</v>
      </c>
      <c r="DR290">
        <v>9999</v>
      </c>
      <c r="DS290">
        <v>9999</v>
      </c>
      <c r="DT290">
        <v>605.29999999999995</v>
      </c>
      <c r="DU290">
        <v>1.8711800000000001</v>
      </c>
      <c r="DV290">
        <v>1.8762099999999999</v>
      </c>
      <c r="DW290">
        <v>1.8763700000000001</v>
      </c>
      <c r="DX290">
        <v>1.8828800000000001</v>
      </c>
      <c r="DY290">
        <v>1.87561</v>
      </c>
      <c r="DZ290">
        <v>1.87469</v>
      </c>
      <c r="EA290">
        <v>1.87086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-0.84899999999999998</v>
      </c>
      <c r="EQ290">
        <v>9.5000000000000001E-2</v>
      </c>
      <c r="ER290">
        <v>-0.84881818181838797</v>
      </c>
      <c r="ES290">
        <v>0</v>
      </c>
      <c r="ET290">
        <v>0</v>
      </c>
      <c r="EU290">
        <v>0</v>
      </c>
      <c r="EV290">
        <v>9.5019999999999896E-2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2.2999999999999998</v>
      </c>
      <c r="FE290">
        <v>2.2999999999999998</v>
      </c>
      <c r="FF290">
        <v>2.5769000000000002</v>
      </c>
      <c r="FG290">
        <v>2.5756800000000002</v>
      </c>
      <c r="FH290">
        <v>2.19604</v>
      </c>
      <c r="FI290">
        <v>2.5756800000000002</v>
      </c>
      <c r="FJ290">
        <v>2.4462899999999999</v>
      </c>
      <c r="FK290">
        <v>2.2936999999999999</v>
      </c>
      <c r="FL290">
        <v>32.046399999999998</v>
      </c>
      <c r="FM290">
        <v>24.14</v>
      </c>
      <c r="FN290">
        <v>19</v>
      </c>
      <c r="FO290">
        <v>865.14800000000002</v>
      </c>
      <c r="FP290">
        <v>581.37300000000005</v>
      </c>
      <c r="FQ290">
        <v>17.836400000000001</v>
      </c>
      <c r="FR290">
        <v>25.614999999999998</v>
      </c>
      <c r="FS290">
        <v>30</v>
      </c>
      <c r="FT290">
        <v>25.596599999999999</v>
      </c>
      <c r="FU290">
        <v>25.597200000000001</v>
      </c>
      <c r="FV290">
        <v>51.681600000000003</v>
      </c>
      <c r="FW290">
        <v>24.740100000000002</v>
      </c>
      <c r="FX290">
        <v>33.661799999999999</v>
      </c>
      <c r="FY290">
        <v>17.835899999999999</v>
      </c>
      <c r="FZ290">
        <v>1000</v>
      </c>
      <c r="GA290">
        <v>14.4665</v>
      </c>
      <c r="GB290">
        <v>99.8673</v>
      </c>
      <c r="GC290">
        <v>99.743499999999997</v>
      </c>
    </row>
    <row r="291" spans="1:185" x14ac:dyDescent="0.2">
      <c r="A291">
        <v>276</v>
      </c>
      <c r="B291">
        <v>1771090734</v>
      </c>
      <c r="C291">
        <v>5414</v>
      </c>
      <c r="D291" t="s">
        <v>854</v>
      </c>
      <c r="E291" t="s">
        <v>855</v>
      </c>
      <c r="F291">
        <v>15</v>
      </c>
      <c r="G291">
        <v>1771090725.9333301</v>
      </c>
      <c r="H291">
        <f t="shared" si="52"/>
        <v>8.0138596322218761E-4</v>
      </c>
      <c r="I291">
        <v>0</v>
      </c>
      <c r="J291">
        <f t="shared" si="64"/>
        <v>7.6786956811221458E-3</v>
      </c>
      <c r="K291">
        <f t="shared" si="53"/>
        <v>0.20813822699764939</v>
      </c>
      <c r="L291">
        <f t="shared" si="54"/>
        <v>69.854143249150908</v>
      </c>
      <c r="M291">
        <f t="shared" si="55"/>
        <v>1.5407066634722819</v>
      </c>
      <c r="N291">
        <f t="shared" si="56"/>
        <v>2.2056052680755047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26176.448909877879</v>
      </c>
      <c r="T291">
        <f t="shared" si="60"/>
        <v>799.99893333333296</v>
      </c>
      <c r="U291">
        <f t="shared" si="61"/>
        <v>674.39943679955161</v>
      </c>
      <c r="V291">
        <f t="shared" si="62"/>
        <v>0.84300041999999997</v>
      </c>
      <c r="W291">
        <f t="shared" si="63"/>
        <v>0.15870105000000001</v>
      </c>
      <c r="X291">
        <v>1</v>
      </c>
      <c r="Y291">
        <v>1771090725.9333301</v>
      </c>
      <c r="Z291">
        <v>998.71526666666705</v>
      </c>
      <c r="AA291">
        <v>999.975866666667</v>
      </c>
      <c r="AB291">
        <v>15.4114533333333</v>
      </c>
      <c r="AC291">
        <v>14.4251733333333</v>
      </c>
      <c r="AD291">
        <v>999.56426666666698</v>
      </c>
      <c r="AE291">
        <v>15.3164533333333</v>
      </c>
      <c r="AF291">
        <v>800.01160000000004</v>
      </c>
      <c r="AG291">
        <v>99.907426666666694</v>
      </c>
      <c r="AH291">
        <v>6.4109446666666695E-2</v>
      </c>
      <c r="AI291">
        <v>19.0030866666667</v>
      </c>
      <c r="AJ291">
        <v>999.9</v>
      </c>
      <c r="AK291">
        <v>999.9</v>
      </c>
      <c r="AL291">
        <v>0</v>
      </c>
      <c r="AM291">
        <v>0</v>
      </c>
      <c r="AN291">
        <v>4996.5</v>
      </c>
      <c r="AO291">
        <v>0</v>
      </c>
      <c r="AP291">
        <v>2.2019299999999999</v>
      </c>
      <c r="AQ291">
        <v>-1.26067666666667</v>
      </c>
      <c r="AR291">
        <v>1014.348</v>
      </c>
      <c r="AS291">
        <v>1014.61</v>
      </c>
      <c r="AT291">
        <v>0.98628766666666701</v>
      </c>
      <c r="AU291">
        <v>999.975866666667</v>
      </c>
      <c r="AV291">
        <v>14.4251733333333</v>
      </c>
      <c r="AW291">
        <v>1.5397206666666701</v>
      </c>
      <c r="AX291">
        <v>1.4411826666666701</v>
      </c>
      <c r="AY291">
        <v>13.368406666666701</v>
      </c>
      <c r="AZ291">
        <v>12.35802</v>
      </c>
      <c r="BA291">
        <v>799.99893333333296</v>
      </c>
      <c r="BB291">
        <v>0.89998599999999995</v>
      </c>
      <c r="BC291">
        <v>0</v>
      </c>
      <c r="BD291">
        <v>0.10001400000000001</v>
      </c>
      <c r="BE291">
        <v>0</v>
      </c>
      <c r="BF291">
        <v>26</v>
      </c>
      <c r="BG291">
        <v>13190.946666666699</v>
      </c>
      <c r="BH291">
        <v>1771090582</v>
      </c>
      <c r="BI291" t="s">
        <v>833</v>
      </c>
      <c r="BJ291">
        <v>1771090581</v>
      </c>
      <c r="BK291">
        <v>1771090582</v>
      </c>
      <c r="BL291">
        <v>10</v>
      </c>
      <c r="BM291">
        <v>0.125</v>
      </c>
      <c r="BN291">
        <v>-1.4E-2</v>
      </c>
      <c r="BO291">
        <v>-0.84899999999999998</v>
      </c>
      <c r="BP291">
        <v>9.5000000000000001E-2</v>
      </c>
      <c r="BQ291">
        <v>1000</v>
      </c>
      <c r="BR291">
        <v>14</v>
      </c>
      <c r="BS291">
        <v>0.37</v>
      </c>
      <c r="BT291">
        <v>0.05</v>
      </c>
      <c r="BU291">
        <v>-1.2610870000000001</v>
      </c>
      <c r="BV291">
        <v>2.17786466165397E-2</v>
      </c>
      <c r="BW291">
        <v>2.58062066371639E-2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0.98616194999999995</v>
      </c>
      <c r="CD291">
        <v>1.76386466165407E-3</v>
      </c>
      <c r="CE291">
        <v>1.0253159257029099E-3</v>
      </c>
      <c r="CF291">
        <v>1</v>
      </c>
      <c r="CG291">
        <v>2</v>
      </c>
      <c r="CH291">
        <v>2</v>
      </c>
      <c r="CI291" t="s">
        <v>310</v>
      </c>
      <c r="CJ291">
        <v>3.5325600000000001</v>
      </c>
      <c r="CK291">
        <v>2.7019500000000001</v>
      </c>
      <c r="CL291">
        <v>0.181585</v>
      </c>
      <c r="CM291">
        <v>0.17908399999999999</v>
      </c>
      <c r="CN291">
        <v>8.6982400000000001E-2</v>
      </c>
      <c r="CO291">
        <v>8.1949900000000006E-2</v>
      </c>
      <c r="CP291">
        <v>28696.6</v>
      </c>
      <c r="CQ291">
        <v>25281.8</v>
      </c>
      <c r="CR291">
        <v>32451.8</v>
      </c>
      <c r="CS291">
        <v>30723</v>
      </c>
      <c r="CT291">
        <v>40129.800000000003</v>
      </c>
      <c r="CU291">
        <v>39674</v>
      </c>
      <c r="CV291">
        <v>47394.5</v>
      </c>
      <c r="CW291">
        <v>46857.9</v>
      </c>
      <c r="CX291">
        <v>2.6210800000000001</v>
      </c>
      <c r="CY291">
        <v>2.1355</v>
      </c>
      <c r="CZ291">
        <v>0</v>
      </c>
      <c r="DA291">
        <v>0</v>
      </c>
      <c r="DB291">
        <v>999.9</v>
      </c>
      <c r="DC291">
        <v>999.9</v>
      </c>
      <c r="DD291">
        <v>49.622</v>
      </c>
      <c r="DE291">
        <v>27.411999999999999</v>
      </c>
      <c r="DF291">
        <v>18.2118</v>
      </c>
      <c r="DG291">
        <v>30.238600000000002</v>
      </c>
      <c r="DH291">
        <v>15.4046</v>
      </c>
      <c r="DI291">
        <v>2</v>
      </c>
      <c r="DJ291">
        <v>-0.111441</v>
      </c>
      <c r="DK291">
        <v>2.6350799999999999</v>
      </c>
      <c r="DL291">
        <v>20.1891</v>
      </c>
      <c r="DM291">
        <v>5.25143</v>
      </c>
      <c r="DN291">
        <v>12.033899999999999</v>
      </c>
      <c r="DO291">
        <v>4.96732</v>
      </c>
      <c r="DP291">
        <v>3.2909999999999999</v>
      </c>
      <c r="DQ291">
        <v>9999</v>
      </c>
      <c r="DR291">
        <v>9999</v>
      </c>
      <c r="DS291">
        <v>9999</v>
      </c>
      <c r="DT291">
        <v>605.29999999999995</v>
      </c>
      <c r="DU291">
        <v>1.8711599999999999</v>
      </c>
      <c r="DV291">
        <v>1.8762000000000001</v>
      </c>
      <c r="DW291">
        <v>1.8763700000000001</v>
      </c>
      <c r="DX291">
        <v>1.88289</v>
      </c>
      <c r="DY291">
        <v>1.87561</v>
      </c>
      <c r="DZ291">
        <v>1.87469</v>
      </c>
      <c r="EA291">
        <v>1.87086</v>
      </c>
      <c r="EB291">
        <v>1.8746799999999999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-0.84899999999999998</v>
      </c>
      <c r="EQ291">
        <v>9.5000000000000001E-2</v>
      </c>
      <c r="ER291">
        <v>-0.84881818181838797</v>
      </c>
      <c r="ES291">
        <v>0</v>
      </c>
      <c r="ET291">
        <v>0</v>
      </c>
      <c r="EU291">
        <v>0</v>
      </c>
      <c r="EV291">
        <v>9.5019999999999896E-2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2.5</v>
      </c>
      <c r="FE291">
        <v>2.5</v>
      </c>
      <c r="FF291">
        <v>2.5769000000000002</v>
      </c>
      <c r="FG291">
        <v>2.5805699999999998</v>
      </c>
      <c r="FH291">
        <v>2.19604</v>
      </c>
      <c r="FI291">
        <v>2.5756800000000002</v>
      </c>
      <c r="FJ291">
        <v>2.4462899999999999</v>
      </c>
      <c r="FK291">
        <v>2.2936999999999999</v>
      </c>
      <c r="FL291">
        <v>32.046399999999998</v>
      </c>
      <c r="FM291">
        <v>24.14</v>
      </c>
      <c r="FN291">
        <v>19</v>
      </c>
      <c r="FO291">
        <v>865.22199999999998</v>
      </c>
      <c r="FP291">
        <v>581.54300000000001</v>
      </c>
      <c r="FQ291">
        <v>17.829000000000001</v>
      </c>
      <c r="FR291">
        <v>25.614999999999998</v>
      </c>
      <c r="FS291">
        <v>30.0001</v>
      </c>
      <c r="FT291">
        <v>25.596599999999999</v>
      </c>
      <c r="FU291">
        <v>25.597200000000001</v>
      </c>
      <c r="FV291">
        <v>51.680700000000002</v>
      </c>
      <c r="FW291">
        <v>24.740100000000002</v>
      </c>
      <c r="FX291">
        <v>33.661799999999999</v>
      </c>
      <c r="FY291">
        <v>17.8264</v>
      </c>
      <c r="FZ291">
        <v>1000</v>
      </c>
      <c r="GA291">
        <v>14.4665</v>
      </c>
      <c r="GB291">
        <v>99.865799999999993</v>
      </c>
      <c r="GC291">
        <v>99.746799999999993</v>
      </c>
    </row>
    <row r="292" spans="1:185" x14ac:dyDescent="0.2">
      <c r="A292">
        <v>277</v>
      </c>
      <c r="B292">
        <v>1771090749</v>
      </c>
      <c r="C292">
        <v>5429</v>
      </c>
      <c r="D292" t="s">
        <v>856</v>
      </c>
      <c r="E292" t="s">
        <v>857</v>
      </c>
      <c r="F292">
        <v>15</v>
      </c>
      <c r="G292">
        <v>1771090740.9333301</v>
      </c>
      <c r="H292">
        <f t="shared" si="52"/>
        <v>8.1446655755798363E-4</v>
      </c>
      <c r="I292">
        <v>0</v>
      </c>
      <c r="J292">
        <f t="shared" si="64"/>
        <v>8.9448373303273147E-3</v>
      </c>
      <c r="K292">
        <f t="shared" si="53"/>
        <v>0.24245818040345118</v>
      </c>
      <c r="L292">
        <f t="shared" si="54"/>
        <v>69.883990776660653</v>
      </c>
      <c r="M292">
        <f t="shared" si="55"/>
        <v>1.5412322542623456</v>
      </c>
      <c r="N292">
        <f t="shared" si="56"/>
        <v>2.2054153421030374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26221.574357538386</v>
      </c>
      <c r="T292">
        <f t="shared" si="60"/>
        <v>800.00073333333296</v>
      </c>
      <c r="U292">
        <f t="shared" si="61"/>
        <v>674.40091420027068</v>
      </c>
      <c r="V292">
        <f t="shared" si="62"/>
        <v>0.84300036999999961</v>
      </c>
      <c r="W292">
        <f t="shared" si="63"/>
        <v>0.15870105491999995</v>
      </c>
      <c r="X292">
        <v>1</v>
      </c>
      <c r="Y292">
        <v>1771090740.9333301</v>
      </c>
      <c r="Z292">
        <v>998.68706666666696</v>
      </c>
      <c r="AA292">
        <v>1000.00686666667</v>
      </c>
      <c r="AB292">
        <v>15.4164666666667</v>
      </c>
      <c r="AC292">
        <v>14.4140933333333</v>
      </c>
      <c r="AD292">
        <v>999.53579999999999</v>
      </c>
      <c r="AE292">
        <v>15.321453333333301</v>
      </c>
      <c r="AF292">
        <v>800.011666666667</v>
      </c>
      <c r="AG292">
        <v>99.908866666666697</v>
      </c>
      <c r="AH292">
        <v>6.4252180000000006E-2</v>
      </c>
      <c r="AI292">
        <v>19.001706666666699</v>
      </c>
      <c r="AJ292">
        <v>999.9</v>
      </c>
      <c r="AK292">
        <v>999.9</v>
      </c>
      <c r="AL292">
        <v>0</v>
      </c>
      <c r="AM292">
        <v>0</v>
      </c>
      <c r="AN292">
        <v>5003.8666666666704</v>
      </c>
      <c r="AO292">
        <v>0</v>
      </c>
      <c r="AP292">
        <v>2.2019299999999999</v>
      </c>
      <c r="AQ292">
        <v>-1.3196366666666699</v>
      </c>
      <c r="AR292">
        <v>1014.3246666666701</v>
      </c>
      <c r="AS292">
        <v>1014.63133333333</v>
      </c>
      <c r="AT292">
        <v>1.0023827333333299</v>
      </c>
      <c r="AU292">
        <v>1000.00686666667</v>
      </c>
      <c r="AV292">
        <v>14.4140933333333</v>
      </c>
      <c r="AW292">
        <v>1.54024266666667</v>
      </c>
      <c r="AX292">
        <v>1.44009533333333</v>
      </c>
      <c r="AY292">
        <v>13.373613333333299</v>
      </c>
      <c r="AZ292">
        <v>12.34652</v>
      </c>
      <c r="BA292">
        <v>800.00073333333296</v>
      </c>
      <c r="BB292">
        <v>0.89998573333333298</v>
      </c>
      <c r="BC292">
        <v>0</v>
      </c>
      <c r="BD292">
        <v>0.1000142</v>
      </c>
      <c r="BE292">
        <v>0</v>
      </c>
      <c r="BF292">
        <v>26</v>
      </c>
      <c r="BG292">
        <v>13190.98</v>
      </c>
      <c r="BH292">
        <v>1771090582</v>
      </c>
      <c r="BI292" t="s">
        <v>833</v>
      </c>
      <c r="BJ292">
        <v>1771090581</v>
      </c>
      <c r="BK292">
        <v>1771090582</v>
      </c>
      <c r="BL292">
        <v>10</v>
      </c>
      <c r="BM292">
        <v>0.125</v>
      </c>
      <c r="BN292">
        <v>-1.4E-2</v>
      </c>
      <c r="BO292">
        <v>-0.84899999999999998</v>
      </c>
      <c r="BP292">
        <v>9.5000000000000001E-2</v>
      </c>
      <c r="BQ292">
        <v>1000</v>
      </c>
      <c r="BR292">
        <v>14</v>
      </c>
      <c r="BS292">
        <v>0.37</v>
      </c>
      <c r="BT292">
        <v>0.05</v>
      </c>
      <c r="BU292">
        <v>-1.3002590000000001</v>
      </c>
      <c r="BV292">
        <v>-0.24158706766917101</v>
      </c>
      <c r="BW292">
        <v>4.1787890219536099E-2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0.99627080000000001</v>
      </c>
      <c r="CD292">
        <v>0.120123699248119</v>
      </c>
      <c r="CE292">
        <v>1.3565842121298599E-2</v>
      </c>
      <c r="CF292">
        <v>0</v>
      </c>
      <c r="CG292">
        <v>1</v>
      </c>
      <c r="CH292">
        <v>2</v>
      </c>
      <c r="CI292" t="s">
        <v>299</v>
      </c>
      <c r="CJ292">
        <v>3.5324900000000001</v>
      </c>
      <c r="CK292">
        <v>2.7021899999999999</v>
      </c>
      <c r="CL292">
        <v>0.18158099999999999</v>
      </c>
      <c r="CM292">
        <v>0.17908099999999999</v>
      </c>
      <c r="CN292">
        <v>8.6960899999999994E-2</v>
      </c>
      <c r="CO292">
        <v>8.1772999999999998E-2</v>
      </c>
      <c r="CP292">
        <v>28696.9</v>
      </c>
      <c r="CQ292">
        <v>25281.9</v>
      </c>
      <c r="CR292">
        <v>32452</v>
      </c>
      <c r="CS292">
        <v>30723.1</v>
      </c>
      <c r="CT292">
        <v>40131.1</v>
      </c>
      <c r="CU292">
        <v>39682</v>
      </c>
      <c r="CV292">
        <v>47394.8</v>
      </c>
      <c r="CW292">
        <v>46858.1</v>
      </c>
      <c r="CX292">
        <v>2.6211199999999999</v>
      </c>
      <c r="CY292">
        <v>2.1356199999999999</v>
      </c>
      <c r="CZ292">
        <v>0</v>
      </c>
      <c r="DA292">
        <v>0</v>
      </c>
      <c r="DB292">
        <v>999.9</v>
      </c>
      <c r="DC292">
        <v>999.9</v>
      </c>
      <c r="DD292">
        <v>49.548000000000002</v>
      </c>
      <c r="DE292">
        <v>27.411999999999999</v>
      </c>
      <c r="DF292">
        <v>18.1843</v>
      </c>
      <c r="DG292">
        <v>30.3886</v>
      </c>
      <c r="DH292">
        <v>15.552899999999999</v>
      </c>
      <c r="DI292">
        <v>2</v>
      </c>
      <c r="DJ292">
        <v>-0.111445</v>
      </c>
      <c r="DK292">
        <v>2.63788</v>
      </c>
      <c r="DL292">
        <v>20.1891</v>
      </c>
      <c r="DM292">
        <v>5.25251</v>
      </c>
      <c r="DN292">
        <v>12.033899999999999</v>
      </c>
      <c r="DO292">
        <v>4.9676799999999997</v>
      </c>
      <c r="DP292">
        <v>3.2909999999999999</v>
      </c>
      <c r="DQ292">
        <v>9999</v>
      </c>
      <c r="DR292">
        <v>9999</v>
      </c>
      <c r="DS292">
        <v>9999</v>
      </c>
      <c r="DT292">
        <v>605.29999999999995</v>
      </c>
      <c r="DU292">
        <v>1.87117</v>
      </c>
      <c r="DV292">
        <v>1.8762000000000001</v>
      </c>
      <c r="DW292">
        <v>1.8763700000000001</v>
      </c>
      <c r="DX292">
        <v>1.8829</v>
      </c>
      <c r="DY292">
        <v>1.8756200000000001</v>
      </c>
      <c r="DZ292">
        <v>1.87469</v>
      </c>
      <c r="EA292">
        <v>1.87087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-0.84899999999999998</v>
      </c>
      <c r="EQ292">
        <v>9.5100000000000004E-2</v>
      </c>
      <c r="ER292">
        <v>-0.84881818181838797</v>
      </c>
      <c r="ES292">
        <v>0</v>
      </c>
      <c r="ET292">
        <v>0</v>
      </c>
      <c r="EU292">
        <v>0</v>
      </c>
      <c r="EV292">
        <v>9.5019999999999896E-2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2.8</v>
      </c>
      <c r="FE292">
        <v>2.8</v>
      </c>
      <c r="FF292">
        <v>2.5769000000000002</v>
      </c>
      <c r="FG292">
        <v>2.5744600000000002</v>
      </c>
      <c r="FH292">
        <v>2.19604</v>
      </c>
      <c r="FI292">
        <v>2.5769000000000002</v>
      </c>
      <c r="FJ292">
        <v>2.4462899999999999</v>
      </c>
      <c r="FK292">
        <v>2.34253</v>
      </c>
      <c r="FL292">
        <v>32.046399999999998</v>
      </c>
      <c r="FM292">
        <v>24.14</v>
      </c>
      <c r="FN292">
        <v>19</v>
      </c>
      <c r="FO292">
        <v>865.26</v>
      </c>
      <c r="FP292">
        <v>581.63499999999999</v>
      </c>
      <c r="FQ292">
        <v>17.822500000000002</v>
      </c>
      <c r="FR292">
        <v>25.614999999999998</v>
      </c>
      <c r="FS292">
        <v>30.0001</v>
      </c>
      <c r="FT292">
        <v>25.596599999999999</v>
      </c>
      <c r="FU292">
        <v>25.597200000000001</v>
      </c>
      <c r="FV292">
        <v>51.684600000000003</v>
      </c>
      <c r="FW292">
        <v>24.450399999999998</v>
      </c>
      <c r="FX292">
        <v>33.291600000000003</v>
      </c>
      <c r="FY292">
        <v>17.821300000000001</v>
      </c>
      <c r="FZ292">
        <v>1000</v>
      </c>
      <c r="GA292">
        <v>14.4665</v>
      </c>
      <c r="GB292">
        <v>99.866500000000002</v>
      </c>
      <c r="GC292">
        <v>99.747200000000007</v>
      </c>
    </row>
    <row r="293" spans="1:185" x14ac:dyDescent="0.2">
      <c r="A293">
        <v>278</v>
      </c>
      <c r="B293">
        <v>1771090764</v>
      </c>
      <c r="C293">
        <v>5444</v>
      </c>
      <c r="D293" t="s">
        <v>858</v>
      </c>
      <c r="E293" t="s">
        <v>859</v>
      </c>
      <c r="F293">
        <v>15</v>
      </c>
      <c r="G293">
        <v>1771090755.9333301</v>
      </c>
      <c r="H293">
        <f t="shared" si="52"/>
        <v>8.1230243266508192E-4</v>
      </c>
      <c r="I293">
        <v>0</v>
      </c>
      <c r="J293">
        <f t="shared" si="64"/>
        <v>8.8579677258096446E-3</v>
      </c>
      <c r="K293">
        <f t="shared" si="53"/>
        <v>0.24010349853882854</v>
      </c>
      <c r="L293">
        <f t="shared" si="54"/>
        <v>69.819765452655531</v>
      </c>
      <c r="M293">
        <f t="shared" si="55"/>
        <v>1.5398055698010686</v>
      </c>
      <c r="N293">
        <f t="shared" si="56"/>
        <v>2.2054006624316203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26202.140528227636</v>
      </c>
      <c r="T293">
        <f t="shared" si="60"/>
        <v>799.99933333333297</v>
      </c>
      <c r="U293">
        <f t="shared" si="61"/>
        <v>674.39975479973612</v>
      </c>
      <c r="V293">
        <f t="shared" si="62"/>
        <v>0.84300039600000054</v>
      </c>
      <c r="W293">
        <f t="shared" si="63"/>
        <v>0.15870111992000013</v>
      </c>
      <c r="X293">
        <v>1</v>
      </c>
      <c r="Y293">
        <v>1771090755.9333301</v>
      </c>
      <c r="Z293">
        <v>998.66279999999995</v>
      </c>
      <c r="AA293">
        <v>999.97693333333302</v>
      </c>
      <c r="AB293">
        <v>15.4021066666667</v>
      </c>
      <c r="AC293">
        <v>14.402380000000001</v>
      </c>
      <c r="AD293">
        <v>999.51173333333304</v>
      </c>
      <c r="AE293">
        <v>15.307093333333301</v>
      </c>
      <c r="AF293">
        <v>800.00993333333304</v>
      </c>
      <c r="AG293">
        <v>99.909406666666698</v>
      </c>
      <c r="AH293">
        <v>6.4291940000000006E-2</v>
      </c>
      <c r="AI293">
        <v>19.0016</v>
      </c>
      <c r="AJ293">
        <v>999.9</v>
      </c>
      <c r="AK293">
        <v>999.9</v>
      </c>
      <c r="AL293">
        <v>0</v>
      </c>
      <c r="AM293">
        <v>0</v>
      </c>
      <c r="AN293">
        <v>5000.6333333333296</v>
      </c>
      <c r="AO293">
        <v>0</v>
      </c>
      <c r="AP293">
        <v>2.2019299999999999</v>
      </c>
      <c r="AQ293">
        <v>-1.31444133333333</v>
      </c>
      <c r="AR293">
        <v>1014.28466666667</v>
      </c>
      <c r="AS293">
        <v>1014.58866666667</v>
      </c>
      <c r="AT293">
        <v>0.99973279999999998</v>
      </c>
      <c r="AU293">
        <v>999.97693333333302</v>
      </c>
      <c r="AV293">
        <v>14.402380000000001</v>
      </c>
      <c r="AW293">
        <v>1.5388153333333301</v>
      </c>
      <c r="AX293">
        <v>1.4389320000000001</v>
      </c>
      <c r="AY293">
        <v>13.359386666666699</v>
      </c>
      <c r="AZ293">
        <v>12.33426</v>
      </c>
      <c r="BA293">
        <v>799.99933333333297</v>
      </c>
      <c r="BB293">
        <v>0.89998486666666699</v>
      </c>
      <c r="BC293">
        <v>0</v>
      </c>
      <c r="BD293">
        <v>0.100015066666667</v>
      </c>
      <c r="BE293">
        <v>0</v>
      </c>
      <c r="BF293">
        <v>26</v>
      </c>
      <c r="BG293">
        <v>13190.9533333333</v>
      </c>
      <c r="BH293">
        <v>1771090582</v>
      </c>
      <c r="BI293" t="s">
        <v>833</v>
      </c>
      <c r="BJ293">
        <v>1771090581</v>
      </c>
      <c r="BK293">
        <v>1771090582</v>
      </c>
      <c r="BL293">
        <v>10</v>
      </c>
      <c r="BM293">
        <v>0.125</v>
      </c>
      <c r="BN293">
        <v>-1.4E-2</v>
      </c>
      <c r="BO293">
        <v>-0.84899999999999998</v>
      </c>
      <c r="BP293">
        <v>9.5000000000000001E-2</v>
      </c>
      <c r="BQ293">
        <v>1000</v>
      </c>
      <c r="BR293">
        <v>14</v>
      </c>
      <c r="BS293">
        <v>0.37</v>
      </c>
      <c r="BT293">
        <v>0.05</v>
      </c>
      <c r="BU293">
        <v>-1.3102680952381001</v>
      </c>
      <c r="BV293">
        <v>-8.0784155844157102E-2</v>
      </c>
      <c r="BW293">
        <v>3.5579683691820199E-2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1.0054504285714301</v>
      </c>
      <c r="CD293">
        <v>-8.6883584415584095E-2</v>
      </c>
      <c r="CE293">
        <v>1.34053884672986E-2</v>
      </c>
      <c r="CF293">
        <v>1</v>
      </c>
      <c r="CG293">
        <v>2</v>
      </c>
      <c r="CH293">
        <v>2</v>
      </c>
      <c r="CI293" t="s">
        <v>310</v>
      </c>
      <c r="CJ293">
        <v>3.5325600000000001</v>
      </c>
      <c r="CK293">
        <v>2.70214</v>
      </c>
      <c r="CL293">
        <v>0.181584</v>
      </c>
      <c r="CM293">
        <v>0.17908499999999999</v>
      </c>
      <c r="CN293">
        <v>8.6928000000000005E-2</v>
      </c>
      <c r="CO293">
        <v>8.1879400000000005E-2</v>
      </c>
      <c r="CP293">
        <v>28697</v>
      </c>
      <c r="CQ293">
        <v>25281.599999999999</v>
      </c>
      <c r="CR293">
        <v>32452.3</v>
      </c>
      <c r="CS293">
        <v>30722.799999999999</v>
      </c>
      <c r="CT293">
        <v>40132.800000000003</v>
      </c>
      <c r="CU293">
        <v>39677.1</v>
      </c>
      <c r="CV293">
        <v>47395.1</v>
      </c>
      <c r="CW293">
        <v>46857.9</v>
      </c>
      <c r="CX293">
        <v>2.6211600000000002</v>
      </c>
      <c r="CY293">
        <v>2.1353399999999998</v>
      </c>
      <c r="CZ293">
        <v>0</v>
      </c>
      <c r="DA293">
        <v>0</v>
      </c>
      <c r="DB293">
        <v>999.9</v>
      </c>
      <c r="DC293">
        <v>999.9</v>
      </c>
      <c r="DD293">
        <v>49.512</v>
      </c>
      <c r="DE293">
        <v>27.422000000000001</v>
      </c>
      <c r="DF293">
        <v>18.1814</v>
      </c>
      <c r="DG293">
        <v>30.448599999999999</v>
      </c>
      <c r="DH293">
        <v>15.348599999999999</v>
      </c>
      <c r="DI293">
        <v>2</v>
      </c>
      <c r="DJ293">
        <v>-0.111711</v>
      </c>
      <c r="DK293">
        <v>2.63991</v>
      </c>
      <c r="DL293">
        <v>20.1889</v>
      </c>
      <c r="DM293">
        <v>5.25251</v>
      </c>
      <c r="DN293">
        <v>12.033899999999999</v>
      </c>
      <c r="DO293">
        <v>4.9677199999999999</v>
      </c>
      <c r="DP293">
        <v>3.2909999999999999</v>
      </c>
      <c r="DQ293">
        <v>9999</v>
      </c>
      <c r="DR293">
        <v>9999</v>
      </c>
      <c r="DS293">
        <v>9999</v>
      </c>
      <c r="DT293">
        <v>605.29999999999995</v>
      </c>
      <c r="DU293">
        <v>1.87117</v>
      </c>
      <c r="DV293">
        <v>1.8762099999999999</v>
      </c>
      <c r="DW293">
        <v>1.8763700000000001</v>
      </c>
      <c r="DX293">
        <v>1.8829199999999999</v>
      </c>
      <c r="DY293">
        <v>1.87561</v>
      </c>
      <c r="DZ293">
        <v>1.87469</v>
      </c>
      <c r="EA293">
        <v>1.8708800000000001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-0.84899999999999998</v>
      </c>
      <c r="EQ293">
        <v>9.5000000000000001E-2</v>
      </c>
      <c r="ER293">
        <v>-0.84881818181838797</v>
      </c>
      <c r="ES293">
        <v>0</v>
      </c>
      <c r="ET293">
        <v>0</v>
      </c>
      <c r="EU293">
        <v>0</v>
      </c>
      <c r="EV293">
        <v>9.5019999999999896E-2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3</v>
      </c>
      <c r="FE293">
        <v>3</v>
      </c>
      <c r="FF293">
        <v>2.5769000000000002</v>
      </c>
      <c r="FG293">
        <v>2.5842299999999998</v>
      </c>
      <c r="FH293">
        <v>2.19604</v>
      </c>
      <c r="FI293">
        <v>2.5769000000000002</v>
      </c>
      <c r="FJ293">
        <v>2.4462899999999999</v>
      </c>
      <c r="FK293">
        <v>2.2936999999999999</v>
      </c>
      <c r="FL293">
        <v>32.068399999999997</v>
      </c>
      <c r="FM293">
        <v>24.14</v>
      </c>
      <c r="FN293">
        <v>19</v>
      </c>
      <c r="FO293">
        <v>865.29700000000003</v>
      </c>
      <c r="FP293">
        <v>581.41899999999998</v>
      </c>
      <c r="FQ293">
        <v>17.8184</v>
      </c>
      <c r="FR293">
        <v>25.614999999999998</v>
      </c>
      <c r="FS293">
        <v>30.0001</v>
      </c>
      <c r="FT293">
        <v>25.596599999999999</v>
      </c>
      <c r="FU293">
        <v>25.597200000000001</v>
      </c>
      <c r="FV293">
        <v>51.684800000000003</v>
      </c>
      <c r="FW293">
        <v>24.450399999999998</v>
      </c>
      <c r="FX293">
        <v>33.291600000000003</v>
      </c>
      <c r="FY293">
        <v>17.8171</v>
      </c>
      <c r="FZ293">
        <v>1000</v>
      </c>
      <c r="GA293">
        <v>14.47</v>
      </c>
      <c r="GB293">
        <v>99.867099999999994</v>
      </c>
      <c r="GC293">
        <v>99.746600000000001</v>
      </c>
    </row>
    <row r="294" spans="1:185" x14ac:dyDescent="0.2">
      <c r="A294">
        <v>279</v>
      </c>
      <c r="B294">
        <v>1771090779</v>
      </c>
      <c r="C294">
        <v>5459</v>
      </c>
      <c r="D294" t="s">
        <v>860</v>
      </c>
      <c r="E294" t="s">
        <v>861</v>
      </c>
      <c r="F294">
        <v>15</v>
      </c>
      <c r="G294">
        <v>1771090770.9333301</v>
      </c>
      <c r="H294">
        <f t="shared" si="52"/>
        <v>7.880784331076101E-4</v>
      </c>
      <c r="I294">
        <v>0</v>
      </c>
      <c r="J294">
        <f t="shared" si="64"/>
        <v>9.2941995487292595E-3</v>
      </c>
      <c r="K294">
        <f t="shared" si="53"/>
        <v>0.25192797003151468</v>
      </c>
      <c r="L294">
        <f t="shared" si="54"/>
        <v>69.818337627518133</v>
      </c>
      <c r="M294">
        <f t="shared" si="55"/>
        <v>1.539710025000143</v>
      </c>
      <c r="N294">
        <f t="shared" si="56"/>
        <v>2.2053089164261097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26205.324539166231</v>
      </c>
      <c r="T294">
        <f t="shared" si="60"/>
        <v>799.99886666666703</v>
      </c>
      <c r="U294">
        <f t="shared" si="61"/>
        <v>674.39917099982119</v>
      </c>
      <c r="V294">
        <f t="shared" si="62"/>
        <v>0.84300015799999994</v>
      </c>
      <c r="W294">
        <f t="shared" si="63"/>
        <v>0.15870078476000002</v>
      </c>
      <c r="X294">
        <v>1</v>
      </c>
      <c r="Y294">
        <v>1771090770.9333301</v>
      </c>
      <c r="Z294">
        <v>998.64760000000001</v>
      </c>
      <c r="AA294">
        <v>999.94626666666602</v>
      </c>
      <c r="AB294">
        <v>15.4007533333333</v>
      </c>
      <c r="AC294">
        <v>14.4308333333333</v>
      </c>
      <c r="AD294">
        <v>999.49646666666695</v>
      </c>
      <c r="AE294">
        <v>15.30574</v>
      </c>
      <c r="AF294">
        <v>800.00559999999996</v>
      </c>
      <c r="AG294">
        <v>99.912080000000003</v>
      </c>
      <c r="AH294">
        <v>6.4199839999999994E-2</v>
      </c>
      <c r="AI294">
        <v>19.0009333333333</v>
      </c>
      <c r="AJ294">
        <v>999.9</v>
      </c>
      <c r="AK294">
        <v>999.9</v>
      </c>
      <c r="AL294">
        <v>0</v>
      </c>
      <c r="AM294">
        <v>0</v>
      </c>
      <c r="AN294">
        <v>5001.0333333333301</v>
      </c>
      <c r="AO294">
        <v>0</v>
      </c>
      <c r="AP294">
        <v>2.2019299999999999</v>
      </c>
      <c r="AQ294">
        <v>-1.2985679999999999</v>
      </c>
      <c r="AR294">
        <v>1014.26733333333</v>
      </c>
      <c r="AS294">
        <v>1014.58666666667</v>
      </c>
      <c r="AT294">
        <v>0.9699198</v>
      </c>
      <c r="AU294">
        <v>999.94626666666602</v>
      </c>
      <c r="AV294">
        <v>14.4308333333333</v>
      </c>
      <c r="AW294">
        <v>1.5387219999999999</v>
      </c>
      <c r="AX294">
        <v>1.441816</v>
      </c>
      <c r="AY294">
        <v>13.3584533333333</v>
      </c>
      <c r="AZ294">
        <v>12.364660000000001</v>
      </c>
      <c r="BA294">
        <v>799.99886666666703</v>
      </c>
      <c r="BB294">
        <v>0.89998893333333296</v>
      </c>
      <c r="BC294">
        <v>0</v>
      </c>
      <c r="BD294">
        <v>0.100010866666667</v>
      </c>
      <c r="BE294">
        <v>0</v>
      </c>
      <c r="BF294">
        <v>26</v>
      </c>
      <c r="BG294">
        <v>13190.9533333333</v>
      </c>
      <c r="BH294">
        <v>1771090582</v>
      </c>
      <c r="BI294" t="s">
        <v>833</v>
      </c>
      <c r="BJ294">
        <v>1771090581</v>
      </c>
      <c r="BK294">
        <v>1771090582</v>
      </c>
      <c r="BL294">
        <v>10</v>
      </c>
      <c r="BM294">
        <v>0.125</v>
      </c>
      <c r="BN294">
        <v>-1.4E-2</v>
      </c>
      <c r="BO294">
        <v>-0.84899999999999998</v>
      </c>
      <c r="BP294">
        <v>9.5000000000000001E-2</v>
      </c>
      <c r="BQ294">
        <v>1000</v>
      </c>
      <c r="BR294">
        <v>14</v>
      </c>
      <c r="BS294">
        <v>0.37</v>
      </c>
      <c r="BT294">
        <v>0.05</v>
      </c>
      <c r="BU294">
        <v>-1.30171476190476</v>
      </c>
      <c r="BV294">
        <v>0.119368831168834</v>
      </c>
      <c r="BW294">
        <v>2.6447862568969902E-2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0.976657142857143</v>
      </c>
      <c r="CD294">
        <v>-0.17778522077922099</v>
      </c>
      <c r="CE294">
        <v>1.9865915028811899E-2</v>
      </c>
      <c r="CF294">
        <v>0</v>
      </c>
      <c r="CG294">
        <v>1</v>
      </c>
      <c r="CH294">
        <v>2</v>
      </c>
      <c r="CI294" t="s">
        <v>299</v>
      </c>
      <c r="CJ294">
        <v>3.5325199999999999</v>
      </c>
      <c r="CK294">
        <v>2.7017899999999999</v>
      </c>
      <c r="CL294">
        <v>0.181587</v>
      </c>
      <c r="CM294">
        <v>0.179094</v>
      </c>
      <c r="CN294">
        <v>8.6990300000000007E-2</v>
      </c>
      <c r="CO294">
        <v>8.2141000000000006E-2</v>
      </c>
      <c r="CP294">
        <v>28696.9</v>
      </c>
      <c r="CQ294">
        <v>25281.3</v>
      </c>
      <c r="CR294">
        <v>32452.2</v>
      </c>
      <c r="CS294">
        <v>30722.799999999999</v>
      </c>
      <c r="CT294">
        <v>40129.800000000003</v>
      </c>
      <c r="CU294">
        <v>39665.4</v>
      </c>
      <c r="CV294">
        <v>47394.8</v>
      </c>
      <c r="CW294">
        <v>46857.8</v>
      </c>
      <c r="CX294">
        <v>2.6212599999999999</v>
      </c>
      <c r="CY294">
        <v>2.1352799999999998</v>
      </c>
      <c r="CZ294">
        <v>0</v>
      </c>
      <c r="DA294">
        <v>0</v>
      </c>
      <c r="DB294">
        <v>999.9</v>
      </c>
      <c r="DC294">
        <v>999.9</v>
      </c>
      <c r="DD294">
        <v>49.463000000000001</v>
      </c>
      <c r="DE294">
        <v>27.442</v>
      </c>
      <c r="DF294">
        <v>18.1844</v>
      </c>
      <c r="DG294">
        <v>30.3886</v>
      </c>
      <c r="DH294">
        <v>15.4247</v>
      </c>
      <c r="DI294">
        <v>2</v>
      </c>
      <c r="DJ294">
        <v>-0.111793</v>
      </c>
      <c r="DK294">
        <v>2.6473499999999999</v>
      </c>
      <c r="DL294">
        <v>20.1889</v>
      </c>
      <c r="DM294">
        <v>5.2526299999999999</v>
      </c>
      <c r="DN294">
        <v>12.033899999999999</v>
      </c>
      <c r="DO294">
        <v>4.9677199999999999</v>
      </c>
      <c r="DP294">
        <v>3.2909999999999999</v>
      </c>
      <c r="DQ294">
        <v>9999</v>
      </c>
      <c r="DR294">
        <v>9999</v>
      </c>
      <c r="DS294">
        <v>9999</v>
      </c>
      <c r="DT294">
        <v>605.4</v>
      </c>
      <c r="DU294">
        <v>1.87117</v>
      </c>
      <c r="DV294">
        <v>1.8762099999999999</v>
      </c>
      <c r="DW294">
        <v>1.8763700000000001</v>
      </c>
      <c r="DX294">
        <v>1.88289</v>
      </c>
      <c r="DY294">
        <v>1.87561</v>
      </c>
      <c r="DZ294">
        <v>1.87469</v>
      </c>
      <c r="EA294">
        <v>1.8708800000000001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-0.84899999999999998</v>
      </c>
      <c r="EQ294">
        <v>9.5000000000000001E-2</v>
      </c>
      <c r="ER294">
        <v>-0.84881818181838797</v>
      </c>
      <c r="ES294">
        <v>0</v>
      </c>
      <c r="ET294">
        <v>0</v>
      </c>
      <c r="EU294">
        <v>0</v>
      </c>
      <c r="EV294">
        <v>9.5019999999999896E-2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3.3</v>
      </c>
      <c r="FE294">
        <v>3.3</v>
      </c>
      <c r="FF294">
        <v>2.5769000000000002</v>
      </c>
      <c r="FG294">
        <v>2.5744600000000002</v>
      </c>
      <c r="FH294">
        <v>2.19604</v>
      </c>
      <c r="FI294">
        <v>2.5769000000000002</v>
      </c>
      <c r="FJ294">
        <v>2.4462899999999999</v>
      </c>
      <c r="FK294">
        <v>2.32422</v>
      </c>
      <c r="FL294">
        <v>32.068399999999997</v>
      </c>
      <c r="FM294">
        <v>24.148800000000001</v>
      </c>
      <c r="FN294">
        <v>19</v>
      </c>
      <c r="FO294">
        <v>865.39</v>
      </c>
      <c r="FP294">
        <v>581.37300000000005</v>
      </c>
      <c r="FQ294">
        <v>17.814699999999998</v>
      </c>
      <c r="FR294">
        <v>25.614999999999998</v>
      </c>
      <c r="FS294">
        <v>30</v>
      </c>
      <c r="FT294">
        <v>25.596599999999999</v>
      </c>
      <c r="FU294">
        <v>25.597200000000001</v>
      </c>
      <c r="FV294">
        <v>51.689100000000003</v>
      </c>
      <c r="FW294">
        <v>24.174399999999999</v>
      </c>
      <c r="FX294">
        <v>33.291600000000003</v>
      </c>
      <c r="FY294">
        <v>17.813400000000001</v>
      </c>
      <c r="FZ294">
        <v>1000</v>
      </c>
      <c r="GA294">
        <v>14.4701</v>
      </c>
      <c r="GB294">
        <v>99.866799999999998</v>
      </c>
      <c r="GC294">
        <v>99.746399999999994</v>
      </c>
    </row>
    <row r="295" spans="1:185" x14ac:dyDescent="0.2">
      <c r="A295">
        <v>280</v>
      </c>
      <c r="B295">
        <v>1771090794</v>
      </c>
      <c r="C295">
        <v>5474</v>
      </c>
      <c r="D295" t="s">
        <v>862</v>
      </c>
      <c r="E295" t="s">
        <v>863</v>
      </c>
      <c r="F295">
        <v>15</v>
      </c>
      <c r="G295">
        <v>1771090785.9333301</v>
      </c>
      <c r="H295">
        <f t="shared" si="52"/>
        <v>7.7568058067600527E-4</v>
      </c>
      <c r="I295">
        <v>0</v>
      </c>
      <c r="J295">
        <f t="shared" si="64"/>
        <v>1.0872105851015152E-2</v>
      </c>
      <c r="K295">
        <f t="shared" si="53"/>
        <v>0.29469859589882447</v>
      </c>
      <c r="L295">
        <f t="shared" si="54"/>
        <v>69.941207213041864</v>
      </c>
      <c r="M295">
        <f t="shared" si="55"/>
        <v>1.5423458883151433</v>
      </c>
      <c r="N295">
        <f t="shared" si="56"/>
        <v>2.2052034126564855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26244.783011778247</v>
      </c>
      <c r="T295">
        <f t="shared" si="60"/>
        <v>799.99853333333294</v>
      </c>
      <c r="U295">
        <f t="shared" si="61"/>
        <v>674.39895719964443</v>
      </c>
      <c r="V295">
        <f t="shared" si="62"/>
        <v>0.84300024199999968</v>
      </c>
      <c r="W295">
        <f t="shared" si="63"/>
        <v>0.15870073491999992</v>
      </c>
      <c r="X295">
        <v>1</v>
      </c>
      <c r="Y295">
        <v>1771090785.9333301</v>
      </c>
      <c r="Z295">
        <v>998.6748</v>
      </c>
      <c r="AA295">
        <v>1000.01146666667</v>
      </c>
      <c r="AB295">
        <v>15.42704</v>
      </c>
      <c r="AC295">
        <v>14.4724133333333</v>
      </c>
      <c r="AD295">
        <v>999.52366666666705</v>
      </c>
      <c r="AE295">
        <v>15.3320333333333</v>
      </c>
      <c r="AF295">
        <v>800.01340000000005</v>
      </c>
      <c r="AG295">
        <v>99.91292</v>
      </c>
      <c r="AH295">
        <v>6.3866753333333304E-2</v>
      </c>
      <c r="AI295">
        <v>19.000166666666701</v>
      </c>
      <c r="AJ295">
        <v>999.9</v>
      </c>
      <c r="AK295">
        <v>999.9</v>
      </c>
      <c r="AL295">
        <v>0</v>
      </c>
      <c r="AM295">
        <v>0</v>
      </c>
      <c r="AN295">
        <v>5007.5</v>
      </c>
      <c r="AO295">
        <v>0</v>
      </c>
      <c r="AP295">
        <v>2.2019299999999999</v>
      </c>
      <c r="AQ295">
        <v>-1.3365400000000001</v>
      </c>
      <c r="AR295">
        <v>1014.32333333333</v>
      </c>
      <c r="AS295">
        <v>1014.696</v>
      </c>
      <c r="AT295">
        <v>0.954641133333333</v>
      </c>
      <c r="AU295">
        <v>1000.01146666667</v>
      </c>
      <c r="AV295">
        <v>14.4724133333333</v>
      </c>
      <c r="AW295">
        <v>1.5413600000000001</v>
      </c>
      <c r="AX295">
        <v>1.4459786666666701</v>
      </c>
      <c r="AY295">
        <v>13.384733333333299</v>
      </c>
      <c r="AZ295">
        <v>12.4086</v>
      </c>
      <c r="BA295">
        <v>799.99853333333294</v>
      </c>
      <c r="BB295">
        <v>0.89998999999999996</v>
      </c>
      <c r="BC295">
        <v>0</v>
      </c>
      <c r="BD295">
        <v>0.100009933333333</v>
      </c>
      <c r="BE295">
        <v>0</v>
      </c>
      <c r="BF295">
        <v>26</v>
      </c>
      <c r="BG295">
        <v>13190.96</v>
      </c>
      <c r="BH295">
        <v>1771090582</v>
      </c>
      <c r="BI295" t="s">
        <v>833</v>
      </c>
      <c r="BJ295">
        <v>1771090581</v>
      </c>
      <c r="BK295">
        <v>1771090582</v>
      </c>
      <c r="BL295">
        <v>10</v>
      </c>
      <c r="BM295">
        <v>0.125</v>
      </c>
      <c r="BN295">
        <v>-1.4E-2</v>
      </c>
      <c r="BO295">
        <v>-0.84899999999999998</v>
      </c>
      <c r="BP295">
        <v>9.5000000000000001E-2</v>
      </c>
      <c r="BQ295">
        <v>1000</v>
      </c>
      <c r="BR295">
        <v>14</v>
      </c>
      <c r="BS295">
        <v>0.37</v>
      </c>
      <c r="BT295">
        <v>0.05</v>
      </c>
      <c r="BU295">
        <v>-1.327863</v>
      </c>
      <c r="BV295">
        <v>4.2564812030075803E-2</v>
      </c>
      <c r="BW295">
        <v>4.3945517530232799E-2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0.95208035000000002</v>
      </c>
      <c r="CD295">
        <v>6.8485398496242494E-2</v>
      </c>
      <c r="CE295">
        <v>7.1903954361008599E-3</v>
      </c>
      <c r="CF295">
        <v>1</v>
      </c>
      <c r="CG295">
        <v>2</v>
      </c>
      <c r="CH295">
        <v>2</v>
      </c>
      <c r="CI295" t="s">
        <v>310</v>
      </c>
      <c r="CJ295">
        <v>3.53254</v>
      </c>
      <c r="CK295">
        <v>2.70173</v>
      </c>
      <c r="CL295">
        <v>0.181591</v>
      </c>
      <c r="CM295">
        <v>0.17909600000000001</v>
      </c>
      <c r="CN295">
        <v>8.7087899999999996E-2</v>
      </c>
      <c r="CO295">
        <v>8.2152199999999995E-2</v>
      </c>
      <c r="CP295">
        <v>28696.6</v>
      </c>
      <c r="CQ295">
        <v>25281.1</v>
      </c>
      <c r="CR295">
        <v>32452.1</v>
      </c>
      <c r="CS295">
        <v>30722.6</v>
      </c>
      <c r="CT295">
        <v>40125.300000000003</v>
      </c>
      <c r="CU295">
        <v>39664.6</v>
      </c>
      <c r="CV295">
        <v>47394.8</v>
      </c>
      <c r="CW295">
        <v>46857.4</v>
      </c>
      <c r="CX295">
        <v>2.6212399999999998</v>
      </c>
      <c r="CY295">
        <v>2.1355200000000001</v>
      </c>
      <c r="CZ295">
        <v>0</v>
      </c>
      <c r="DA295">
        <v>0</v>
      </c>
      <c r="DB295">
        <v>999.9</v>
      </c>
      <c r="DC295">
        <v>999.9</v>
      </c>
      <c r="DD295">
        <v>49.432000000000002</v>
      </c>
      <c r="DE295">
        <v>27.442</v>
      </c>
      <c r="DF295">
        <v>18.1722</v>
      </c>
      <c r="DG295">
        <v>30.178599999999999</v>
      </c>
      <c r="DH295">
        <v>15.4407</v>
      </c>
      <c r="DI295">
        <v>2</v>
      </c>
      <c r="DJ295">
        <v>-0.111524</v>
      </c>
      <c r="DK295">
        <v>2.6446299999999998</v>
      </c>
      <c r="DL295">
        <v>20.1891</v>
      </c>
      <c r="DM295">
        <v>5.2520300000000004</v>
      </c>
      <c r="DN295">
        <v>12.033899999999999</v>
      </c>
      <c r="DO295">
        <v>4.9677199999999999</v>
      </c>
      <c r="DP295">
        <v>3.2909999999999999</v>
      </c>
      <c r="DQ295">
        <v>9999</v>
      </c>
      <c r="DR295">
        <v>9999</v>
      </c>
      <c r="DS295">
        <v>9999</v>
      </c>
      <c r="DT295">
        <v>605.4</v>
      </c>
      <c r="DU295">
        <v>1.8711599999999999</v>
      </c>
      <c r="DV295">
        <v>1.87619</v>
      </c>
      <c r="DW295">
        <v>1.87635</v>
      </c>
      <c r="DX295">
        <v>1.8828800000000001</v>
      </c>
      <c r="DY295">
        <v>1.87561</v>
      </c>
      <c r="DZ295">
        <v>1.87469</v>
      </c>
      <c r="EA295">
        <v>1.87087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-0.84799999999999998</v>
      </c>
      <c r="EQ295">
        <v>9.5000000000000001E-2</v>
      </c>
      <c r="ER295">
        <v>-0.84881818181838797</v>
      </c>
      <c r="ES295">
        <v>0</v>
      </c>
      <c r="ET295">
        <v>0</v>
      </c>
      <c r="EU295">
        <v>0</v>
      </c>
      <c r="EV295">
        <v>9.5019999999999896E-2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3.5</v>
      </c>
      <c r="FE295">
        <v>3.5</v>
      </c>
      <c r="FF295">
        <v>2.5769000000000002</v>
      </c>
      <c r="FG295">
        <v>2.5854499999999998</v>
      </c>
      <c r="FH295">
        <v>2.19604</v>
      </c>
      <c r="FI295">
        <v>2.5769000000000002</v>
      </c>
      <c r="FJ295">
        <v>2.4462899999999999</v>
      </c>
      <c r="FK295">
        <v>2.2460900000000001</v>
      </c>
      <c r="FL295">
        <v>32.068399999999997</v>
      </c>
      <c r="FM295">
        <v>24.1313</v>
      </c>
      <c r="FN295">
        <v>19</v>
      </c>
      <c r="FO295">
        <v>865.37099999999998</v>
      </c>
      <c r="FP295">
        <v>581.55799999999999</v>
      </c>
      <c r="FQ295">
        <v>17.8127</v>
      </c>
      <c r="FR295">
        <v>25.614999999999998</v>
      </c>
      <c r="FS295">
        <v>30.0001</v>
      </c>
      <c r="FT295">
        <v>25.596599999999999</v>
      </c>
      <c r="FU295">
        <v>25.597200000000001</v>
      </c>
      <c r="FV295">
        <v>51.688200000000002</v>
      </c>
      <c r="FW295">
        <v>24.174399999999999</v>
      </c>
      <c r="FX295">
        <v>33.291600000000003</v>
      </c>
      <c r="FY295">
        <v>17.812799999999999</v>
      </c>
      <c r="FZ295">
        <v>1000</v>
      </c>
      <c r="GA295">
        <v>14.4701</v>
      </c>
      <c r="GB295">
        <v>99.866500000000002</v>
      </c>
      <c r="GC295">
        <v>99.745800000000003</v>
      </c>
    </row>
    <row r="296" spans="1:185" x14ac:dyDescent="0.2">
      <c r="A296">
        <v>281</v>
      </c>
      <c r="B296">
        <v>1771090809</v>
      </c>
      <c r="C296">
        <v>5489</v>
      </c>
      <c r="D296" t="s">
        <v>864</v>
      </c>
      <c r="E296" t="s">
        <v>865</v>
      </c>
      <c r="F296">
        <v>15</v>
      </c>
      <c r="G296">
        <v>1771090800.9333301</v>
      </c>
      <c r="H296">
        <f t="shared" si="52"/>
        <v>7.8506852356682909E-4</v>
      </c>
      <c r="I296">
        <v>0</v>
      </c>
      <c r="J296">
        <f t="shared" si="64"/>
        <v>9.092976787497882E-3</v>
      </c>
      <c r="K296">
        <f t="shared" si="53"/>
        <v>0.24647363891936547</v>
      </c>
      <c r="L296">
        <f t="shared" si="54"/>
        <v>69.999946725128197</v>
      </c>
      <c r="M296">
        <f t="shared" si="55"/>
        <v>1.5437060757080039</v>
      </c>
      <c r="N296">
        <f t="shared" si="56"/>
        <v>2.20529607225237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26172.692696849655</v>
      </c>
      <c r="T296">
        <f t="shared" si="60"/>
        <v>800.00120000000004</v>
      </c>
      <c r="U296">
        <f t="shared" si="61"/>
        <v>674.40123080032879</v>
      </c>
      <c r="V296">
        <f t="shared" si="62"/>
        <v>0.84300027399999999</v>
      </c>
      <c r="W296">
        <f t="shared" si="63"/>
        <v>0.15870068500000001</v>
      </c>
      <c r="X296">
        <v>1</v>
      </c>
      <c r="Y296">
        <v>1771090800.9333301</v>
      </c>
      <c r="Z296">
        <v>998.69446666666704</v>
      </c>
      <c r="AA296">
        <v>999.98260000000005</v>
      </c>
      <c r="AB296">
        <v>15.440606666666699</v>
      </c>
      <c r="AC296">
        <v>14.4744333333333</v>
      </c>
      <c r="AD296">
        <v>999.54319999999996</v>
      </c>
      <c r="AE296">
        <v>15.3455933333333</v>
      </c>
      <c r="AF296">
        <v>800.00819999999999</v>
      </c>
      <c r="AG296">
        <v>99.913133333333306</v>
      </c>
      <c r="AH296">
        <v>6.3901833333333297E-2</v>
      </c>
      <c r="AI296">
        <v>19.00084</v>
      </c>
      <c r="AJ296">
        <v>999.9</v>
      </c>
      <c r="AK296">
        <v>999.9</v>
      </c>
      <c r="AL296">
        <v>0</v>
      </c>
      <c r="AM296">
        <v>0</v>
      </c>
      <c r="AN296">
        <v>4995.6000000000004</v>
      </c>
      <c r="AO296">
        <v>0</v>
      </c>
      <c r="AP296">
        <v>2.2019299999999999</v>
      </c>
      <c r="AQ296">
        <v>-1.2877113333333301</v>
      </c>
      <c r="AR296">
        <v>1014.35666666667</v>
      </c>
      <c r="AS296">
        <v>1014.66866666667</v>
      </c>
      <c r="AT296">
        <v>0.96617853333333303</v>
      </c>
      <c r="AU296">
        <v>999.98260000000005</v>
      </c>
      <c r="AV296">
        <v>14.4744333333333</v>
      </c>
      <c r="AW296">
        <v>1.5427200000000001</v>
      </c>
      <c r="AX296">
        <v>1.4461853333333301</v>
      </c>
      <c r="AY296">
        <v>13.398260000000001</v>
      </c>
      <c r="AZ296">
        <v>12.410766666666699</v>
      </c>
      <c r="BA296">
        <v>800.00120000000004</v>
      </c>
      <c r="BB296">
        <v>0.89999086666666706</v>
      </c>
      <c r="BC296">
        <v>0</v>
      </c>
      <c r="BD296">
        <v>0.100009133333333</v>
      </c>
      <c r="BE296">
        <v>0</v>
      </c>
      <c r="BF296">
        <v>26</v>
      </c>
      <c r="BG296">
        <v>13191</v>
      </c>
      <c r="BH296">
        <v>1771090582</v>
      </c>
      <c r="BI296" t="s">
        <v>833</v>
      </c>
      <c r="BJ296">
        <v>1771090581</v>
      </c>
      <c r="BK296">
        <v>1771090582</v>
      </c>
      <c r="BL296">
        <v>10</v>
      </c>
      <c r="BM296">
        <v>0.125</v>
      </c>
      <c r="BN296">
        <v>-1.4E-2</v>
      </c>
      <c r="BO296">
        <v>-0.84899999999999998</v>
      </c>
      <c r="BP296">
        <v>9.5000000000000001E-2</v>
      </c>
      <c r="BQ296">
        <v>1000</v>
      </c>
      <c r="BR296">
        <v>14</v>
      </c>
      <c r="BS296">
        <v>0.37</v>
      </c>
      <c r="BT296">
        <v>0.05</v>
      </c>
      <c r="BU296">
        <v>-1.29053</v>
      </c>
      <c r="BV296">
        <v>5.5771168831166097E-2</v>
      </c>
      <c r="BW296">
        <v>3.3613833320170303E-2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0.96473119047619005</v>
      </c>
      <c r="CD296">
        <v>2.2249714285713599E-2</v>
      </c>
      <c r="CE296">
        <v>2.8545735836848201E-3</v>
      </c>
      <c r="CF296">
        <v>1</v>
      </c>
      <c r="CG296">
        <v>2</v>
      </c>
      <c r="CH296">
        <v>2</v>
      </c>
      <c r="CI296" t="s">
        <v>310</v>
      </c>
      <c r="CJ296">
        <v>3.53254</v>
      </c>
      <c r="CK296">
        <v>2.7016100000000001</v>
      </c>
      <c r="CL296">
        <v>0.181589</v>
      </c>
      <c r="CM296">
        <v>0.17909700000000001</v>
      </c>
      <c r="CN296">
        <v>8.7118200000000007E-2</v>
      </c>
      <c r="CO296">
        <v>8.2164799999999996E-2</v>
      </c>
      <c r="CP296">
        <v>28696.3</v>
      </c>
      <c r="CQ296">
        <v>25280.9</v>
      </c>
      <c r="CR296">
        <v>32451.599999999999</v>
      </c>
      <c r="CS296">
        <v>30722.5</v>
      </c>
      <c r="CT296">
        <v>40123.5</v>
      </c>
      <c r="CU296">
        <v>39663.9</v>
      </c>
      <c r="CV296">
        <v>47394.3</v>
      </c>
      <c r="CW296">
        <v>46857.2</v>
      </c>
      <c r="CX296">
        <v>2.6212200000000001</v>
      </c>
      <c r="CY296">
        <v>2.1355200000000001</v>
      </c>
      <c r="CZ296">
        <v>0</v>
      </c>
      <c r="DA296">
        <v>0</v>
      </c>
      <c r="DB296">
        <v>999.9</v>
      </c>
      <c r="DC296">
        <v>999.9</v>
      </c>
      <c r="DD296">
        <v>49.408000000000001</v>
      </c>
      <c r="DE296">
        <v>27.442</v>
      </c>
      <c r="DF296">
        <v>18.1647</v>
      </c>
      <c r="DG296">
        <v>30.538599999999999</v>
      </c>
      <c r="DH296">
        <v>15.400600000000001</v>
      </c>
      <c r="DI296">
        <v>2</v>
      </c>
      <c r="DJ296">
        <v>-0.111591</v>
      </c>
      <c r="DK296">
        <v>2.6333099999999998</v>
      </c>
      <c r="DL296">
        <v>20.1891</v>
      </c>
      <c r="DM296">
        <v>5.2528699999999997</v>
      </c>
      <c r="DN296">
        <v>12.033899999999999</v>
      </c>
      <c r="DO296">
        <v>4.9675599999999998</v>
      </c>
      <c r="DP296">
        <v>3.2909999999999999</v>
      </c>
      <c r="DQ296">
        <v>9999</v>
      </c>
      <c r="DR296">
        <v>9999</v>
      </c>
      <c r="DS296">
        <v>9999</v>
      </c>
      <c r="DT296">
        <v>605.4</v>
      </c>
      <c r="DU296">
        <v>1.8711599999999999</v>
      </c>
      <c r="DV296">
        <v>1.87619</v>
      </c>
      <c r="DW296">
        <v>1.8763700000000001</v>
      </c>
      <c r="DX296">
        <v>1.88289</v>
      </c>
      <c r="DY296">
        <v>1.87561</v>
      </c>
      <c r="DZ296">
        <v>1.87469</v>
      </c>
      <c r="EA296">
        <v>1.87087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-0.84899999999999998</v>
      </c>
      <c r="EQ296">
        <v>9.5100000000000004E-2</v>
      </c>
      <c r="ER296">
        <v>-0.84881818181838797</v>
      </c>
      <c r="ES296">
        <v>0</v>
      </c>
      <c r="ET296">
        <v>0</v>
      </c>
      <c r="EU296">
        <v>0</v>
      </c>
      <c r="EV296">
        <v>9.5019999999999896E-2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3.8</v>
      </c>
      <c r="FE296">
        <v>3.8</v>
      </c>
      <c r="FF296">
        <v>2.5781200000000002</v>
      </c>
      <c r="FG296">
        <v>2.5756800000000002</v>
      </c>
      <c r="FH296">
        <v>2.19604</v>
      </c>
      <c r="FI296">
        <v>2.5769000000000002</v>
      </c>
      <c r="FJ296">
        <v>2.4462899999999999</v>
      </c>
      <c r="FK296">
        <v>2.3010299999999999</v>
      </c>
      <c r="FL296">
        <v>32.068399999999997</v>
      </c>
      <c r="FM296">
        <v>24.14</v>
      </c>
      <c r="FN296">
        <v>19</v>
      </c>
      <c r="FO296">
        <v>865.35299999999995</v>
      </c>
      <c r="FP296">
        <v>581.55799999999999</v>
      </c>
      <c r="FQ296">
        <v>17.826799999999999</v>
      </c>
      <c r="FR296">
        <v>25.614000000000001</v>
      </c>
      <c r="FS296">
        <v>30.0002</v>
      </c>
      <c r="FT296">
        <v>25.596599999999999</v>
      </c>
      <c r="FU296">
        <v>25.597200000000001</v>
      </c>
      <c r="FV296">
        <v>51.688600000000001</v>
      </c>
      <c r="FW296">
        <v>24.174399999999999</v>
      </c>
      <c r="FX296">
        <v>33.291600000000003</v>
      </c>
      <c r="FY296">
        <v>17.823599999999999</v>
      </c>
      <c r="FZ296">
        <v>1000</v>
      </c>
      <c r="GA296">
        <v>14.4701</v>
      </c>
      <c r="GB296">
        <v>99.865300000000005</v>
      </c>
      <c r="GC296">
        <v>99.7453</v>
      </c>
    </row>
    <row r="297" spans="1:185" x14ac:dyDescent="0.2">
      <c r="A297">
        <v>282</v>
      </c>
      <c r="B297">
        <v>1771090824</v>
      </c>
      <c r="C297">
        <v>5504</v>
      </c>
      <c r="D297" t="s">
        <v>866</v>
      </c>
      <c r="E297" t="s">
        <v>867</v>
      </c>
      <c r="F297">
        <v>15</v>
      </c>
      <c r="G297">
        <v>1771090815.9333301</v>
      </c>
      <c r="H297">
        <f t="shared" si="52"/>
        <v>7.8404376486248357E-4</v>
      </c>
      <c r="I297">
        <v>0</v>
      </c>
      <c r="J297">
        <f t="shared" si="64"/>
        <v>9.7269024714227107E-3</v>
      </c>
      <c r="K297">
        <f t="shared" si="53"/>
        <v>0.26365678738359843</v>
      </c>
      <c r="L297">
        <f t="shared" si="54"/>
        <v>69.997767126875658</v>
      </c>
      <c r="M297">
        <f t="shared" si="55"/>
        <v>1.5437935156920541</v>
      </c>
      <c r="N297">
        <f t="shared" si="56"/>
        <v>2.2054896592541651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26178.119630182791</v>
      </c>
      <c r="T297">
        <f t="shared" si="60"/>
        <v>800.00019999999995</v>
      </c>
      <c r="U297">
        <f t="shared" si="61"/>
        <v>674.40037980005275</v>
      </c>
      <c r="V297">
        <f t="shared" si="62"/>
        <v>0.84300026400000005</v>
      </c>
      <c r="W297">
        <f t="shared" si="63"/>
        <v>0.15870065999999999</v>
      </c>
      <c r="X297">
        <v>1</v>
      </c>
      <c r="Y297">
        <v>1771090815.9333301</v>
      </c>
      <c r="Z297">
        <v>998.69246666666697</v>
      </c>
      <c r="AA297">
        <v>1000.0008</v>
      </c>
      <c r="AB297">
        <v>15.4413133333333</v>
      </c>
      <c r="AC297">
        <v>14.4764</v>
      </c>
      <c r="AD297">
        <v>999.54106666666701</v>
      </c>
      <c r="AE297">
        <v>15.346306666666701</v>
      </c>
      <c r="AF297">
        <v>800.006666666667</v>
      </c>
      <c r="AG297">
        <v>99.914286666666698</v>
      </c>
      <c r="AH297">
        <v>6.3835813333333297E-2</v>
      </c>
      <c r="AI297">
        <v>19.0022466666667</v>
      </c>
      <c r="AJ297">
        <v>999.9</v>
      </c>
      <c r="AK297">
        <v>999.9</v>
      </c>
      <c r="AL297">
        <v>0</v>
      </c>
      <c r="AM297">
        <v>0</v>
      </c>
      <c r="AN297">
        <v>4996.4666666666699</v>
      </c>
      <c r="AO297">
        <v>0</v>
      </c>
      <c r="AP297">
        <v>2.2015539999999998</v>
      </c>
      <c r="AQ297">
        <v>-1.3077019999999999</v>
      </c>
      <c r="AR297">
        <v>1014.356</v>
      </c>
      <c r="AS297">
        <v>1014.68933333333</v>
      </c>
      <c r="AT297">
        <v>0.96489793333333296</v>
      </c>
      <c r="AU297">
        <v>1000.0008</v>
      </c>
      <c r="AV297">
        <v>14.4764</v>
      </c>
      <c r="AW297">
        <v>1.542808</v>
      </c>
      <c r="AX297">
        <v>1.4464013333333301</v>
      </c>
      <c r="AY297">
        <v>13.399139999999999</v>
      </c>
      <c r="AZ297">
        <v>12.413026666666701</v>
      </c>
      <c r="BA297">
        <v>800.00019999999995</v>
      </c>
      <c r="BB297">
        <v>0.89999119999999999</v>
      </c>
      <c r="BC297">
        <v>0</v>
      </c>
      <c r="BD297">
        <v>0.10000879999999999</v>
      </c>
      <c r="BE297">
        <v>0</v>
      </c>
      <c r="BF297">
        <v>26</v>
      </c>
      <c r="BG297">
        <v>13190.993333333299</v>
      </c>
      <c r="BH297">
        <v>1771090582</v>
      </c>
      <c r="BI297" t="s">
        <v>833</v>
      </c>
      <c r="BJ297">
        <v>1771090581</v>
      </c>
      <c r="BK297">
        <v>1771090582</v>
      </c>
      <c r="BL297">
        <v>10</v>
      </c>
      <c r="BM297">
        <v>0.125</v>
      </c>
      <c r="BN297">
        <v>-1.4E-2</v>
      </c>
      <c r="BO297">
        <v>-0.84899999999999998</v>
      </c>
      <c r="BP297">
        <v>9.5000000000000001E-2</v>
      </c>
      <c r="BQ297">
        <v>1000</v>
      </c>
      <c r="BR297">
        <v>14</v>
      </c>
      <c r="BS297">
        <v>0.37</v>
      </c>
      <c r="BT297">
        <v>0.05</v>
      </c>
      <c r="BU297">
        <v>-1.29826</v>
      </c>
      <c r="BV297">
        <v>-0.18554796992481301</v>
      </c>
      <c r="BW297">
        <v>3.1884751841593499E-2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0.9653273</v>
      </c>
      <c r="CD297">
        <v>-1.9491879699248E-2</v>
      </c>
      <c r="CE297">
        <v>2.4498804276943801E-3</v>
      </c>
      <c r="CF297">
        <v>1</v>
      </c>
      <c r="CG297">
        <v>2</v>
      </c>
      <c r="CH297">
        <v>2</v>
      </c>
      <c r="CI297" t="s">
        <v>310</v>
      </c>
      <c r="CJ297">
        <v>3.5325199999999999</v>
      </c>
      <c r="CK297">
        <v>2.7017500000000001</v>
      </c>
      <c r="CL297">
        <v>0.18159400000000001</v>
      </c>
      <c r="CM297">
        <v>0.17910100000000001</v>
      </c>
      <c r="CN297">
        <v>8.7106900000000001E-2</v>
      </c>
      <c r="CO297">
        <v>8.2171800000000003E-2</v>
      </c>
      <c r="CP297">
        <v>28697</v>
      </c>
      <c r="CQ297">
        <v>25280.9</v>
      </c>
      <c r="CR297">
        <v>32452.6</v>
      </c>
      <c r="CS297">
        <v>30722.6</v>
      </c>
      <c r="CT297">
        <v>40125.1</v>
      </c>
      <c r="CU297">
        <v>39664.1</v>
      </c>
      <c r="CV297">
        <v>47395.6</v>
      </c>
      <c r="CW297">
        <v>46857.8</v>
      </c>
      <c r="CX297">
        <v>2.6210399999999998</v>
      </c>
      <c r="CY297">
        <v>2.1355</v>
      </c>
      <c r="CZ297">
        <v>0</v>
      </c>
      <c r="DA297">
        <v>0</v>
      </c>
      <c r="DB297">
        <v>999.9</v>
      </c>
      <c r="DC297">
        <v>999.9</v>
      </c>
      <c r="DD297">
        <v>49.383000000000003</v>
      </c>
      <c r="DE297">
        <v>27.452000000000002</v>
      </c>
      <c r="DF297">
        <v>18.1663</v>
      </c>
      <c r="DG297">
        <v>30.2986</v>
      </c>
      <c r="DH297">
        <v>15.460699999999999</v>
      </c>
      <c r="DI297">
        <v>2</v>
      </c>
      <c r="DJ297">
        <v>-0.111445</v>
      </c>
      <c r="DK297">
        <v>2.6517900000000001</v>
      </c>
      <c r="DL297">
        <v>20.1892</v>
      </c>
      <c r="DM297">
        <v>5.2523900000000001</v>
      </c>
      <c r="DN297">
        <v>12.033899999999999</v>
      </c>
      <c r="DO297">
        <v>4.9677199999999999</v>
      </c>
      <c r="DP297">
        <v>3.2910200000000001</v>
      </c>
      <c r="DQ297">
        <v>9999</v>
      </c>
      <c r="DR297">
        <v>9999</v>
      </c>
      <c r="DS297">
        <v>9999</v>
      </c>
      <c r="DT297">
        <v>605.4</v>
      </c>
      <c r="DU297">
        <v>1.87117</v>
      </c>
      <c r="DV297">
        <v>1.8762099999999999</v>
      </c>
      <c r="DW297">
        <v>1.8763700000000001</v>
      </c>
      <c r="DX297">
        <v>1.8829100000000001</v>
      </c>
      <c r="DY297">
        <v>1.87561</v>
      </c>
      <c r="DZ297">
        <v>1.87469</v>
      </c>
      <c r="EA297">
        <v>1.87087</v>
      </c>
      <c r="EB297">
        <v>1.8747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-0.84899999999999998</v>
      </c>
      <c r="EQ297">
        <v>9.5000000000000001E-2</v>
      </c>
      <c r="ER297">
        <v>-0.84881818181838797</v>
      </c>
      <c r="ES297">
        <v>0</v>
      </c>
      <c r="ET297">
        <v>0</v>
      </c>
      <c r="EU297">
        <v>0</v>
      </c>
      <c r="EV297">
        <v>9.5019999999999896E-2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4</v>
      </c>
      <c r="FE297">
        <v>4</v>
      </c>
      <c r="FF297">
        <v>2.5769000000000002</v>
      </c>
      <c r="FG297">
        <v>2.5817899999999998</v>
      </c>
      <c r="FH297">
        <v>2.19604</v>
      </c>
      <c r="FI297">
        <v>2.5769000000000002</v>
      </c>
      <c r="FJ297">
        <v>2.4462899999999999</v>
      </c>
      <c r="FK297">
        <v>2.2802699999999998</v>
      </c>
      <c r="FL297">
        <v>32.068399999999997</v>
      </c>
      <c r="FM297">
        <v>24.1313</v>
      </c>
      <c r="FN297">
        <v>19</v>
      </c>
      <c r="FO297">
        <v>865.18499999999995</v>
      </c>
      <c r="FP297">
        <v>581.54300000000001</v>
      </c>
      <c r="FQ297">
        <v>17.8187</v>
      </c>
      <c r="FR297">
        <v>25.613700000000001</v>
      </c>
      <c r="FS297">
        <v>30.0001</v>
      </c>
      <c r="FT297">
        <v>25.596599999999999</v>
      </c>
      <c r="FU297">
        <v>25.597200000000001</v>
      </c>
      <c r="FV297">
        <v>51.690600000000003</v>
      </c>
      <c r="FW297">
        <v>24.174399999999999</v>
      </c>
      <c r="FX297">
        <v>33.291600000000003</v>
      </c>
      <c r="FY297">
        <v>17.816800000000001</v>
      </c>
      <c r="FZ297">
        <v>1000</v>
      </c>
      <c r="GA297">
        <v>14.4701</v>
      </c>
      <c r="GB297">
        <v>99.868300000000005</v>
      </c>
      <c r="GC297">
        <v>99.746200000000002</v>
      </c>
    </row>
    <row r="298" spans="1:185" x14ac:dyDescent="0.2">
      <c r="A298">
        <v>283</v>
      </c>
      <c r="B298">
        <v>1771090839</v>
      </c>
      <c r="C298">
        <v>5519</v>
      </c>
      <c r="D298" t="s">
        <v>868</v>
      </c>
      <c r="E298" t="s">
        <v>869</v>
      </c>
      <c r="F298">
        <v>15</v>
      </c>
      <c r="G298">
        <v>1771090830.9333301</v>
      </c>
      <c r="H298">
        <f t="shared" si="52"/>
        <v>7.9153068680804721E-4</v>
      </c>
      <c r="I298">
        <v>0</v>
      </c>
      <c r="J298">
        <f t="shared" si="64"/>
        <v>9.1777400203605485E-3</v>
      </c>
      <c r="K298">
        <f t="shared" si="53"/>
        <v>0.24877122561055284</v>
      </c>
      <c r="L298">
        <f t="shared" si="54"/>
        <v>70.037411756181797</v>
      </c>
      <c r="M298">
        <f t="shared" si="55"/>
        <v>1.5443806552270072</v>
      </c>
      <c r="N298">
        <f t="shared" si="56"/>
        <v>2.2050795660516305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26198.251796594497</v>
      </c>
      <c r="T298">
        <f t="shared" si="60"/>
        <v>800.00026666666702</v>
      </c>
      <c r="U298">
        <f t="shared" si="61"/>
        <v>674.4004680000811</v>
      </c>
      <c r="V298">
        <f t="shared" si="62"/>
        <v>0.8430003039999997</v>
      </c>
      <c r="W298">
        <f t="shared" si="63"/>
        <v>0.15870088991999995</v>
      </c>
      <c r="X298">
        <v>1</v>
      </c>
      <c r="Y298">
        <v>1771090830.9333301</v>
      </c>
      <c r="Z298">
        <v>998.68859999999995</v>
      </c>
      <c r="AA298">
        <v>999.987666666667</v>
      </c>
      <c r="AB298">
        <v>15.4469866666667</v>
      </c>
      <c r="AC298">
        <v>14.4728666666667</v>
      </c>
      <c r="AD298">
        <v>999.53733333333298</v>
      </c>
      <c r="AE298">
        <v>15.351940000000001</v>
      </c>
      <c r="AF298">
        <v>800.00813333333303</v>
      </c>
      <c r="AG298">
        <v>99.91534</v>
      </c>
      <c r="AH298">
        <v>6.407272E-2</v>
      </c>
      <c r="AI298">
        <v>18.999266666666699</v>
      </c>
      <c r="AJ298">
        <v>999.9</v>
      </c>
      <c r="AK298">
        <v>999.9</v>
      </c>
      <c r="AL298">
        <v>0</v>
      </c>
      <c r="AM298">
        <v>0</v>
      </c>
      <c r="AN298">
        <v>4999.7</v>
      </c>
      <c r="AO298">
        <v>0</v>
      </c>
      <c r="AP298">
        <v>2.1522459999999999</v>
      </c>
      <c r="AQ298">
        <v>-1.300068</v>
      </c>
      <c r="AR298">
        <v>1014.3579999999999</v>
      </c>
      <c r="AS298">
        <v>1014.67266666667</v>
      </c>
      <c r="AT298">
        <v>0.974106266666667</v>
      </c>
      <c r="AU298">
        <v>999.987666666667</v>
      </c>
      <c r="AV298">
        <v>14.4728666666667</v>
      </c>
      <c r="AW298">
        <v>1.54339</v>
      </c>
      <c r="AX298">
        <v>1.44606066666667</v>
      </c>
      <c r="AY298">
        <v>13.404920000000001</v>
      </c>
      <c r="AZ298">
        <v>12.4094533333333</v>
      </c>
      <c r="BA298">
        <v>800.00026666666702</v>
      </c>
      <c r="BB298">
        <v>0.89998793333333305</v>
      </c>
      <c r="BC298">
        <v>0</v>
      </c>
      <c r="BD298">
        <v>0.100012</v>
      </c>
      <c r="BE298">
        <v>0</v>
      </c>
      <c r="BF298">
        <v>26</v>
      </c>
      <c r="BG298">
        <v>13190.98</v>
      </c>
      <c r="BH298">
        <v>1771090582</v>
      </c>
      <c r="BI298" t="s">
        <v>833</v>
      </c>
      <c r="BJ298">
        <v>1771090581</v>
      </c>
      <c r="BK298">
        <v>1771090582</v>
      </c>
      <c r="BL298">
        <v>10</v>
      </c>
      <c r="BM298">
        <v>0.125</v>
      </c>
      <c r="BN298">
        <v>-1.4E-2</v>
      </c>
      <c r="BO298">
        <v>-0.84899999999999998</v>
      </c>
      <c r="BP298">
        <v>9.5000000000000001E-2</v>
      </c>
      <c r="BQ298">
        <v>1000</v>
      </c>
      <c r="BR298">
        <v>14</v>
      </c>
      <c r="BS298">
        <v>0.37</v>
      </c>
      <c r="BT298">
        <v>0.05</v>
      </c>
      <c r="BU298">
        <v>-1.30641904761905</v>
      </c>
      <c r="BV298">
        <v>0.151303636363635</v>
      </c>
      <c r="BW298">
        <v>2.8098635775181399E-2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0.97066590476190495</v>
      </c>
      <c r="CD298">
        <v>9.2473324675325999E-2</v>
      </c>
      <c r="CE298">
        <v>1.1106649805215399E-2</v>
      </c>
      <c r="CF298">
        <v>1</v>
      </c>
      <c r="CG298">
        <v>2</v>
      </c>
      <c r="CH298">
        <v>2</v>
      </c>
      <c r="CI298" t="s">
        <v>310</v>
      </c>
      <c r="CJ298">
        <v>3.5325700000000002</v>
      </c>
      <c r="CK298">
        <v>2.7020200000000001</v>
      </c>
      <c r="CL298">
        <v>0.18159800000000001</v>
      </c>
      <c r="CM298">
        <v>0.17910200000000001</v>
      </c>
      <c r="CN298">
        <v>8.7138699999999999E-2</v>
      </c>
      <c r="CO298">
        <v>8.2006099999999998E-2</v>
      </c>
      <c r="CP298">
        <v>28696.5</v>
      </c>
      <c r="CQ298">
        <v>25281</v>
      </c>
      <c r="CR298">
        <v>32452.3</v>
      </c>
      <c r="CS298">
        <v>30722.799999999999</v>
      </c>
      <c r="CT298">
        <v>40123.199999999997</v>
      </c>
      <c r="CU298">
        <v>39671.699999999997</v>
      </c>
      <c r="CV298">
        <v>47395</v>
      </c>
      <c r="CW298">
        <v>46858.2</v>
      </c>
      <c r="CX298">
        <v>2.6210800000000001</v>
      </c>
      <c r="CY298">
        <v>2.1353200000000001</v>
      </c>
      <c r="CZ298">
        <v>0</v>
      </c>
      <c r="DA298">
        <v>0</v>
      </c>
      <c r="DB298">
        <v>999.9</v>
      </c>
      <c r="DC298">
        <v>999.9</v>
      </c>
      <c r="DD298">
        <v>49.335000000000001</v>
      </c>
      <c r="DE298">
        <v>27.452000000000002</v>
      </c>
      <c r="DF298">
        <v>18.147500000000001</v>
      </c>
      <c r="DG298">
        <v>30.2986</v>
      </c>
      <c r="DH298">
        <v>15.3325</v>
      </c>
      <c r="DI298">
        <v>2</v>
      </c>
      <c r="DJ298">
        <v>-0.11172799999999999</v>
      </c>
      <c r="DK298">
        <v>2.6249500000000001</v>
      </c>
      <c r="DL298">
        <v>20.189399999999999</v>
      </c>
      <c r="DM298">
        <v>5.2520300000000004</v>
      </c>
      <c r="DN298">
        <v>12.033899999999999</v>
      </c>
      <c r="DO298">
        <v>4.9677199999999999</v>
      </c>
      <c r="DP298">
        <v>3.2910200000000001</v>
      </c>
      <c r="DQ298">
        <v>9999</v>
      </c>
      <c r="DR298">
        <v>9999</v>
      </c>
      <c r="DS298">
        <v>9999</v>
      </c>
      <c r="DT298">
        <v>605.4</v>
      </c>
      <c r="DU298">
        <v>1.8711599999999999</v>
      </c>
      <c r="DV298">
        <v>1.8762000000000001</v>
      </c>
      <c r="DW298">
        <v>1.8763700000000001</v>
      </c>
      <c r="DX298">
        <v>1.8829</v>
      </c>
      <c r="DY298">
        <v>1.8756200000000001</v>
      </c>
      <c r="DZ298">
        <v>1.87469</v>
      </c>
      <c r="EA298">
        <v>1.8708800000000001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-0.84899999999999998</v>
      </c>
      <c r="EQ298">
        <v>9.5000000000000001E-2</v>
      </c>
      <c r="ER298">
        <v>-0.84881818181838797</v>
      </c>
      <c r="ES298">
        <v>0</v>
      </c>
      <c r="ET298">
        <v>0</v>
      </c>
      <c r="EU298">
        <v>0</v>
      </c>
      <c r="EV298">
        <v>9.5019999999999896E-2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4.3</v>
      </c>
      <c r="FE298">
        <v>4.3</v>
      </c>
      <c r="FF298">
        <v>2.5781200000000002</v>
      </c>
      <c r="FG298">
        <v>2.5817899999999998</v>
      </c>
      <c r="FH298">
        <v>2.19604</v>
      </c>
      <c r="FI298">
        <v>2.5769000000000002</v>
      </c>
      <c r="FJ298">
        <v>2.4462899999999999</v>
      </c>
      <c r="FK298">
        <v>2.3071299999999999</v>
      </c>
      <c r="FL298">
        <v>32.068399999999997</v>
      </c>
      <c r="FM298">
        <v>24.14</v>
      </c>
      <c r="FN298">
        <v>19</v>
      </c>
      <c r="FO298">
        <v>865.22299999999996</v>
      </c>
      <c r="FP298">
        <v>581.404</v>
      </c>
      <c r="FQ298">
        <v>17.818300000000001</v>
      </c>
      <c r="FR298">
        <v>25.6129</v>
      </c>
      <c r="FS298">
        <v>30.0002</v>
      </c>
      <c r="FT298">
        <v>25.596599999999999</v>
      </c>
      <c r="FU298">
        <v>25.597200000000001</v>
      </c>
      <c r="FV298">
        <v>51.691200000000002</v>
      </c>
      <c r="FW298">
        <v>24.174399999999999</v>
      </c>
      <c r="FX298">
        <v>32.9206</v>
      </c>
      <c r="FY298">
        <v>17.8188</v>
      </c>
      <c r="FZ298">
        <v>1000</v>
      </c>
      <c r="GA298">
        <v>14.4701</v>
      </c>
      <c r="GB298">
        <v>99.867000000000004</v>
      </c>
      <c r="GC298">
        <v>99.746899999999997</v>
      </c>
    </row>
    <row r="299" spans="1:185" x14ac:dyDescent="0.2">
      <c r="A299">
        <v>284</v>
      </c>
      <c r="B299">
        <v>1771090854</v>
      </c>
      <c r="C299">
        <v>5534</v>
      </c>
      <c r="D299" t="s">
        <v>870</v>
      </c>
      <c r="E299" t="s">
        <v>871</v>
      </c>
      <c r="F299">
        <v>15</v>
      </c>
      <c r="G299">
        <v>1771090845.9333301</v>
      </c>
      <c r="H299">
        <f t="shared" si="52"/>
        <v>8.1436165863340421E-4</v>
      </c>
      <c r="I299">
        <v>0</v>
      </c>
      <c r="J299">
        <f t="shared" si="64"/>
        <v>7.8101416766900578E-3</v>
      </c>
      <c r="K299">
        <f t="shared" si="53"/>
        <v>0.21170119362630577</v>
      </c>
      <c r="L299">
        <f t="shared" si="54"/>
        <v>69.985527683628987</v>
      </c>
      <c r="M299">
        <f t="shared" si="55"/>
        <v>1.543156961588372</v>
      </c>
      <c r="N299">
        <f t="shared" si="56"/>
        <v>2.2049658160244854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26200.114586402564</v>
      </c>
      <c r="T299">
        <f t="shared" si="60"/>
        <v>799.99959999999999</v>
      </c>
      <c r="U299">
        <f t="shared" si="61"/>
        <v>674.39995239985501</v>
      </c>
      <c r="V299">
        <f t="shared" si="62"/>
        <v>0.84300036199999973</v>
      </c>
      <c r="W299">
        <f t="shared" si="63"/>
        <v>0.15870103491999993</v>
      </c>
      <c r="X299">
        <v>1</v>
      </c>
      <c r="Y299">
        <v>1771090845.9333301</v>
      </c>
      <c r="Z299">
        <v>998.71973333333301</v>
      </c>
      <c r="AA299">
        <v>1000.001</v>
      </c>
      <c r="AB299">
        <v>15.434886666666699</v>
      </c>
      <c r="AC299">
        <v>14.432653333333301</v>
      </c>
      <c r="AD299">
        <v>999.56833333333304</v>
      </c>
      <c r="AE299">
        <v>15.339866666666699</v>
      </c>
      <c r="AF299">
        <v>800.00540000000001</v>
      </c>
      <c r="AG299">
        <v>99.914460000000005</v>
      </c>
      <c r="AH299">
        <v>6.4049393333333302E-2</v>
      </c>
      <c r="AI299">
        <v>18.998439999999999</v>
      </c>
      <c r="AJ299">
        <v>999.9</v>
      </c>
      <c r="AK299">
        <v>999.9</v>
      </c>
      <c r="AL299">
        <v>0</v>
      </c>
      <c r="AM299">
        <v>0</v>
      </c>
      <c r="AN299">
        <v>5000.0333333333301</v>
      </c>
      <c r="AO299">
        <v>0</v>
      </c>
      <c r="AP299">
        <v>2.14547</v>
      </c>
      <c r="AQ299">
        <v>-1.2821166666666699</v>
      </c>
      <c r="AR299">
        <v>1014.3773333333299</v>
      </c>
      <c r="AS299">
        <v>1014.646</v>
      </c>
      <c r="AT299">
        <v>1.0022376</v>
      </c>
      <c r="AU299">
        <v>1000.001</v>
      </c>
      <c r="AV299">
        <v>14.432653333333301</v>
      </c>
      <c r="AW299">
        <v>1.542168</v>
      </c>
      <c r="AX299">
        <v>1.4420313333333299</v>
      </c>
      <c r="AY299">
        <v>13.39278</v>
      </c>
      <c r="AZ299">
        <v>12.3669733333333</v>
      </c>
      <c r="BA299">
        <v>799.99959999999999</v>
      </c>
      <c r="BB299">
        <v>0.89998599999999995</v>
      </c>
      <c r="BC299">
        <v>0</v>
      </c>
      <c r="BD299">
        <v>0.100013933333333</v>
      </c>
      <c r="BE299">
        <v>0</v>
      </c>
      <c r="BF299">
        <v>26</v>
      </c>
      <c r="BG299">
        <v>13190.973333333301</v>
      </c>
      <c r="BH299">
        <v>1771090582</v>
      </c>
      <c r="BI299" t="s">
        <v>833</v>
      </c>
      <c r="BJ299">
        <v>1771090581</v>
      </c>
      <c r="BK299">
        <v>1771090582</v>
      </c>
      <c r="BL299">
        <v>10</v>
      </c>
      <c r="BM299">
        <v>0.125</v>
      </c>
      <c r="BN299">
        <v>-1.4E-2</v>
      </c>
      <c r="BO299">
        <v>-0.84899999999999998</v>
      </c>
      <c r="BP299">
        <v>9.5000000000000001E-2</v>
      </c>
      <c r="BQ299">
        <v>1000</v>
      </c>
      <c r="BR299">
        <v>14</v>
      </c>
      <c r="BS299">
        <v>0.37</v>
      </c>
      <c r="BT299">
        <v>0.05</v>
      </c>
      <c r="BU299">
        <v>-1.282986</v>
      </c>
      <c r="BV299">
        <v>4.9625864661653099E-2</v>
      </c>
      <c r="BW299">
        <v>3.0632647028946101E-2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0.99877145000000001</v>
      </c>
      <c r="CD299">
        <v>2.45111729323307E-2</v>
      </c>
      <c r="CE299">
        <v>1.0521198032899999E-2</v>
      </c>
      <c r="CF299">
        <v>1</v>
      </c>
      <c r="CG299">
        <v>2</v>
      </c>
      <c r="CH299">
        <v>2</v>
      </c>
      <c r="CI299" t="s">
        <v>310</v>
      </c>
      <c r="CJ299">
        <v>3.5324800000000001</v>
      </c>
      <c r="CK299">
        <v>2.702</v>
      </c>
      <c r="CL299">
        <v>0.18159700000000001</v>
      </c>
      <c r="CM299">
        <v>0.17909600000000001</v>
      </c>
      <c r="CN299">
        <v>8.7038099999999993E-2</v>
      </c>
      <c r="CO299">
        <v>8.1974699999999998E-2</v>
      </c>
      <c r="CP299">
        <v>28696.799999999999</v>
      </c>
      <c r="CQ299">
        <v>25281</v>
      </c>
      <c r="CR299">
        <v>32452.6</v>
      </c>
      <c r="CS299">
        <v>30722.6</v>
      </c>
      <c r="CT299">
        <v>40128.199999999997</v>
      </c>
      <c r="CU299">
        <v>39672.5</v>
      </c>
      <c r="CV299">
        <v>47395.6</v>
      </c>
      <c r="CW299">
        <v>46857.5</v>
      </c>
      <c r="CX299">
        <v>2.6213600000000001</v>
      </c>
      <c r="CY299">
        <v>2.13544</v>
      </c>
      <c r="CZ299">
        <v>0</v>
      </c>
      <c r="DA299">
        <v>0</v>
      </c>
      <c r="DB299">
        <v>999.9</v>
      </c>
      <c r="DC299">
        <v>999.9</v>
      </c>
      <c r="DD299">
        <v>49.261000000000003</v>
      </c>
      <c r="DE299">
        <v>27.472999999999999</v>
      </c>
      <c r="DF299">
        <v>18.144300000000001</v>
      </c>
      <c r="DG299">
        <v>30.058599999999998</v>
      </c>
      <c r="DH299">
        <v>15.5288</v>
      </c>
      <c r="DI299">
        <v>2</v>
      </c>
      <c r="DJ299">
        <v>-0.111799</v>
      </c>
      <c r="DK299">
        <v>2.6261299999999999</v>
      </c>
      <c r="DL299">
        <v>20.189399999999999</v>
      </c>
      <c r="DM299">
        <v>5.2517899999999997</v>
      </c>
      <c r="DN299">
        <v>12.033899999999999</v>
      </c>
      <c r="DO299">
        <v>4.9677199999999999</v>
      </c>
      <c r="DP299">
        <v>3.2909999999999999</v>
      </c>
      <c r="DQ299">
        <v>9999</v>
      </c>
      <c r="DR299">
        <v>9999</v>
      </c>
      <c r="DS299">
        <v>9999</v>
      </c>
      <c r="DT299">
        <v>605.4</v>
      </c>
      <c r="DU299">
        <v>1.8711899999999999</v>
      </c>
      <c r="DV299">
        <v>1.87622</v>
      </c>
      <c r="DW299">
        <v>1.8763700000000001</v>
      </c>
      <c r="DX299">
        <v>1.88293</v>
      </c>
      <c r="DY299">
        <v>1.87564</v>
      </c>
      <c r="DZ299">
        <v>1.87469</v>
      </c>
      <c r="EA299">
        <v>1.8708800000000001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-0.84799999999999998</v>
      </c>
      <c r="EQ299">
        <v>9.5000000000000001E-2</v>
      </c>
      <c r="ER299">
        <v>-0.84881818181838797</v>
      </c>
      <c r="ES299">
        <v>0</v>
      </c>
      <c r="ET299">
        <v>0</v>
      </c>
      <c r="EU299">
        <v>0</v>
      </c>
      <c r="EV299">
        <v>9.5019999999999896E-2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4.5</v>
      </c>
      <c r="FE299">
        <v>4.5</v>
      </c>
      <c r="FF299">
        <v>2.5769000000000002</v>
      </c>
      <c r="FG299">
        <v>2.5805699999999998</v>
      </c>
      <c r="FH299">
        <v>2.19604</v>
      </c>
      <c r="FI299">
        <v>2.5769000000000002</v>
      </c>
      <c r="FJ299">
        <v>2.4462899999999999</v>
      </c>
      <c r="FK299">
        <v>2.2949199999999998</v>
      </c>
      <c r="FL299">
        <v>32.090400000000002</v>
      </c>
      <c r="FM299">
        <v>24.14</v>
      </c>
      <c r="FN299">
        <v>19</v>
      </c>
      <c r="FO299">
        <v>865.48299999999995</v>
      </c>
      <c r="FP299">
        <v>581.51800000000003</v>
      </c>
      <c r="FQ299">
        <v>17.823399999999999</v>
      </c>
      <c r="FR299">
        <v>25.6129</v>
      </c>
      <c r="FS299">
        <v>30</v>
      </c>
      <c r="FT299">
        <v>25.596599999999999</v>
      </c>
      <c r="FU299">
        <v>25.5992</v>
      </c>
      <c r="FV299">
        <v>51.690800000000003</v>
      </c>
      <c r="FW299">
        <v>24.174399999999999</v>
      </c>
      <c r="FX299">
        <v>32.9206</v>
      </c>
      <c r="FY299">
        <v>17.822900000000001</v>
      </c>
      <c r="FZ299">
        <v>1000</v>
      </c>
      <c r="GA299">
        <v>14.4701</v>
      </c>
      <c r="GB299">
        <v>99.868200000000002</v>
      </c>
      <c r="GC299">
        <v>99.745699999999999</v>
      </c>
    </row>
    <row r="300" spans="1:185" x14ac:dyDescent="0.2">
      <c r="A300">
        <v>285</v>
      </c>
      <c r="B300">
        <v>1771090869</v>
      </c>
      <c r="C300">
        <v>5549</v>
      </c>
      <c r="D300" t="s">
        <v>872</v>
      </c>
      <c r="E300" t="s">
        <v>873</v>
      </c>
      <c r="F300">
        <v>15</v>
      </c>
      <c r="G300">
        <v>1771090860.9333301</v>
      </c>
      <c r="H300">
        <f t="shared" si="52"/>
        <v>8.0454808412484585E-4</v>
      </c>
      <c r="I300">
        <v>0</v>
      </c>
      <c r="J300">
        <f t="shared" si="64"/>
        <v>8.166674543101788E-3</v>
      </c>
      <c r="K300">
        <f t="shared" si="53"/>
        <v>0.2213653503741459</v>
      </c>
      <c r="L300">
        <f t="shared" si="54"/>
        <v>69.909893734013167</v>
      </c>
      <c r="M300">
        <f t="shared" si="55"/>
        <v>1.5418452142533596</v>
      </c>
      <c r="N300">
        <f t="shared" si="56"/>
        <v>2.2054749791490638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26238.140703713383</v>
      </c>
      <c r="T300">
        <f t="shared" si="60"/>
        <v>800.00046666666697</v>
      </c>
      <c r="U300">
        <f t="shared" si="61"/>
        <v>674.40068620017098</v>
      </c>
      <c r="V300">
        <f t="shared" si="62"/>
        <v>0.84300036599999995</v>
      </c>
      <c r="W300">
        <f t="shared" si="63"/>
        <v>0.158700915</v>
      </c>
      <c r="X300">
        <v>1</v>
      </c>
      <c r="Y300">
        <v>1771090860.9333301</v>
      </c>
      <c r="Z300">
        <v>998.70253333333301</v>
      </c>
      <c r="AA300">
        <v>999.98360000000002</v>
      </c>
      <c r="AB300">
        <v>15.421753333333299</v>
      </c>
      <c r="AC300">
        <v>14.4315933333333</v>
      </c>
      <c r="AD300">
        <v>999.55133333333299</v>
      </c>
      <c r="AE300">
        <v>15.3267333333333</v>
      </c>
      <c r="AF300">
        <v>800.01266666666697</v>
      </c>
      <c r="AG300">
        <v>99.914439999999999</v>
      </c>
      <c r="AH300">
        <v>6.4153933333333302E-2</v>
      </c>
      <c r="AI300">
        <v>19.002140000000001</v>
      </c>
      <c r="AJ300">
        <v>999.9</v>
      </c>
      <c r="AK300">
        <v>999.9</v>
      </c>
      <c r="AL300">
        <v>0</v>
      </c>
      <c r="AM300">
        <v>0</v>
      </c>
      <c r="AN300">
        <v>5006.3666666666704</v>
      </c>
      <c r="AO300">
        <v>0</v>
      </c>
      <c r="AP300">
        <v>2.14547</v>
      </c>
      <c r="AQ300">
        <v>-1.2808139999999999</v>
      </c>
      <c r="AR300">
        <v>1014.34466666667</v>
      </c>
      <c r="AS300">
        <v>1014.62666666667</v>
      </c>
      <c r="AT300">
        <v>0.99015073333333303</v>
      </c>
      <c r="AU300">
        <v>999.98360000000002</v>
      </c>
      <c r="AV300">
        <v>14.4315933333333</v>
      </c>
      <c r="AW300">
        <v>1.5408553333333299</v>
      </c>
      <c r="AX300">
        <v>1.44192533333333</v>
      </c>
      <c r="AY300">
        <v>13.379713333333299</v>
      </c>
      <c r="AZ300">
        <v>12.3658533333333</v>
      </c>
      <c r="BA300">
        <v>800.00046666666697</v>
      </c>
      <c r="BB300">
        <v>0.8999878</v>
      </c>
      <c r="BC300">
        <v>0</v>
      </c>
      <c r="BD300">
        <v>0.1000122</v>
      </c>
      <c r="BE300">
        <v>0</v>
      </c>
      <c r="BF300">
        <v>26</v>
      </c>
      <c r="BG300">
        <v>13190.9866666667</v>
      </c>
      <c r="BH300">
        <v>1771090582</v>
      </c>
      <c r="BI300" t="s">
        <v>833</v>
      </c>
      <c r="BJ300">
        <v>1771090581</v>
      </c>
      <c r="BK300">
        <v>1771090582</v>
      </c>
      <c r="BL300">
        <v>10</v>
      </c>
      <c r="BM300">
        <v>0.125</v>
      </c>
      <c r="BN300">
        <v>-1.4E-2</v>
      </c>
      <c r="BO300">
        <v>-0.84899999999999998</v>
      </c>
      <c r="BP300">
        <v>9.5000000000000001E-2</v>
      </c>
      <c r="BQ300">
        <v>1000</v>
      </c>
      <c r="BR300">
        <v>14</v>
      </c>
      <c r="BS300">
        <v>0.37</v>
      </c>
      <c r="BT300">
        <v>0.05</v>
      </c>
      <c r="BU300">
        <v>-1.2786195238095199</v>
      </c>
      <c r="BV300">
        <v>-0.118856103896104</v>
      </c>
      <c r="BW300">
        <v>3.4193718787741502E-2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0.99183233333333298</v>
      </c>
      <c r="CD300">
        <v>-3.0514753246751201E-2</v>
      </c>
      <c r="CE300">
        <v>3.29983090956886E-3</v>
      </c>
      <c r="CF300">
        <v>1</v>
      </c>
      <c r="CG300">
        <v>2</v>
      </c>
      <c r="CH300">
        <v>2</v>
      </c>
      <c r="CI300" t="s">
        <v>310</v>
      </c>
      <c r="CJ300">
        <v>3.5325199999999999</v>
      </c>
      <c r="CK300">
        <v>2.70181</v>
      </c>
      <c r="CL300">
        <v>0.181591</v>
      </c>
      <c r="CM300">
        <v>0.179093</v>
      </c>
      <c r="CN300">
        <v>8.7008799999999997E-2</v>
      </c>
      <c r="CO300">
        <v>8.19801E-2</v>
      </c>
      <c r="CP300">
        <v>28696.7</v>
      </c>
      <c r="CQ300">
        <v>25281.9</v>
      </c>
      <c r="CR300">
        <v>32452.1</v>
      </c>
      <c r="CS300">
        <v>30723.5</v>
      </c>
      <c r="CT300">
        <v>40129</v>
      </c>
      <c r="CU300">
        <v>39673.4</v>
      </c>
      <c r="CV300">
        <v>47394.9</v>
      </c>
      <c r="CW300">
        <v>46858.7</v>
      </c>
      <c r="CX300">
        <v>2.6211199999999999</v>
      </c>
      <c r="CY300">
        <v>2.1353399999999998</v>
      </c>
      <c r="CZ300">
        <v>0</v>
      </c>
      <c r="DA300">
        <v>0</v>
      </c>
      <c r="DB300">
        <v>999.9</v>
      </c>
      <c r="DC300">
        <v>999.9</v>
      </c>
      <c r="DD300">
        <v>49.237000000000002</v>
      </c>
      <c r="DE300">
        <v>27.483000000000001</v>
      </c>
      <c r="DF300">
        <v>18.146100000000001</v>
      </c>
      <c r="DG300">
        <v>30.118600000000001</v>
      </c>
      <c r="DH300">
        <v>15.3446</v>
      </c>
      <c r="DI300">
        <v>2</v>
      </c>
      <c r="DJ300">
        <v>-0.11128</v>
      </c>
      <c r="DK300">
        <v>2.6580400000000002</v>
      </c>
      <c r="DL300">
        <v>20.188700000000001</v>
      </c>
      <c r="DM300">
        <v>5.25143</v>
      </c>
      <c r="DN300">
        <v>12.033899999999999</v>
      </c>
      <c r="DO300">
        <v>4.9675599999999998</v>
      </c>
      <c r="DP300">
        <v>3.2909999999999999</v>
      </c>
      <c r="DQ300">
        <v>9999</v>
      </c>
      <c r="DR300">
        <v>9999</v>
      </c>
      <c r="DS300">
        <v>9999</v>
      </c>
      <c r="DT300">
        <v>605.4</v>
      </c>
      <c r="DU300">
        <v>1.8711899999999999</v>
      </c>
      <c r="DV300">
        <v>1.87622</v>
      </c>
      <c r="DW300">
        <v>1.8763799999999999</v>
      </c>
      <c r="DX300">
        <v>1.88293</v>
      </c>
      <c r="DY300">
        <v>1.87561</v>
      </c>
      <c r="DZ300">
        <v>1.8747100000000001</v>
      </c>
      <c r="EA300">
        <v>1.8708800000000001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-0.84799999999999998</v>
      </c>
      <c r="EQ300">
        <v>9.5000000000000001E-2</v>
      </c>
      <c r="ER300">
        <v>-0.84881818181838797</v>
      </c>
      <c r="ES300">
        <v>0</v>
      </c>
      <c r="ET300">
        <v>0</v>
      </c>
      <c r="EU300">
        <v>0</v>
      </c>
      <c r="EV300">
        <v>9.5019999999999896E-2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4.8</v>
      </c>
      <c r="FE300">
        <v>4.8</v>
      </c>
      <c r="FF300">
        <v>2.5781200000000002</v>
      </c>
      <c r="FG300">
        <v>2.5842299999999998</v>
      </c>
      <c r="FH300">
        <v>2.19604</v>
      </c>
      <c r="FI300">
        <v>2.5769000000000002</v>
      </c>
      <c r="FJ300">
        <v>2.4462899999999999</v>
      </c>
      <c r="FK300">
        <v>2.3034699999999999</v>
      </c>
      <c r="FL300">
        <v>32.090400000000002</v>
      </c>
      <c r="FM300">
        <v>24.14</v>
      </c>
      <c r="FN300">
        <v>19</v>
      </c>
      <c r="FO300">
        <v>865.29899999999998</v>
      </c>
      <c r="FP300">
        <v>581.46699999999998</v>
      </c>
      <c r="FQ300">
        <v>17.819900000000001</v>
      </c>
      <c r="FR300">
        <v>25.614999999999998</v>
      </c>
      <c r="FS300">
        <v>30.000299999999999</v>
      </c>
      <c r="FT300">
        <v>25.599</v>
      </c>
      <c r="FU300">
        <v>25.601500000000001</v>
      </c>
      <c r="FV300">
        <v>51.692399999999999</v>
      </c>
      <c r="FW300">
        <v>24.174399999999999</v>
      </c>
      <c r="FX300">
        <v>32.9206</v>
      </c>
      <c r="FY300">
        <v>17.817</v>
      </c>
      <c r="FZ300">
        <v>1000</v>
      </c>
      <c r="GA300">
        <v>14.4701</v>
      </c>
      <c r="GB300">
        <v>99.866699999999994</v>
      </c>
      <c r="GC300">
        <v>99.748500000000007</v>
      </c>
    </row>
    <row r="301" spans="1:185" x14ac:dyDescent="0.2">
      <c r="A301">
        <v>286</v>
      </c>
      <c r="B301">
        <v>1771090884</v>
      </c>
      <c r="C301">
        <v>5564</v>
      </c>
      <c r="D301" t="s">
        <v>874</v>
      </c>
      <c r="E301" t="s">
        <v>875</v>
      </c>
      <c r="F301">
        <v>15</v>
      </c>
      <c r="G301">
        <v>1771090875.9333301</v>
      </c>
      <c r="H301">
        <f t="shared" si="52"/>
        <v>7.9779809964463841E-4</v>
      </c>
      <c r="I301">
        <v>0</v>
      </c>
      <c r="J301">
        <f t="shared" si="64"/>
        <v>8.1161618001738302E-3</v>
      </c>
      <c r="K301">
        <f t="shared" si="53"/>
        <v>0.21999615524121977</v>
      </c>
      <c r="L301">
        <f t="shared" si="54"/>
        <v>69.862450447671023</v>
      </c>
      <c r="M301">
        <f t="shared" si="55"/>
        <v>1.5411661904972282</v>
      </c>
      <c r="N301">
        <f t="shared" si="56"/>
        <v>2.2060007638174759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26136.305340851177</v>
      </c>
      <c r="T301">
        <f t="shared" si="60"/>
        <v>799.99973333333298</v>
      </c>
      <c r="U301">
        <f t="shared" si="61"/>
        <v>674.40002639991565</v>
      </c>
      <c r="V301">
        <f t="shared" si="62"/>
        <v>0.84300031399999964</v>
      </c>
      <c r="W301">
        <f t="shared" si="63"/>
        <v>0.15870091491999994</v>
      </c>
      <c r="X301">
        <v>1</v>
      </c>
      <c r="Y301">
        <v>1771090875.9333301</v>
      </c>
      <c r="Z301">
        <v>998.69773333333296</v>
      </c>
      <c r="AA301">
        <v>999.96866666666699</v>
      </c>
      <c r="AB301">
        <v>15.415039999999999</v>
      </c>
      <c r="AC301">
        <v>14.433173333333301</v>
      </c>
      <c r="AD301">
        <v>999.54660000000001</v>
      </c>
      <c r="AE301">
        <v>15.32002</v>
      </c>
      <c r="AF301">
        <v>800.0068</v>
      </c>
      <c r="AG301">
        <v>99.913993333333295</v>
      </c>
      <c r="AH301">
        <v>6.4092386666666695E-2</v>
      </c>
      <c r="AI301">
        <v>19.005960000000002</v>
      </c>
      <c r="AJ301">
        <v>999.9</v>
      </c>
      <c r="AK301">
        <v>999.9</v>
      </c>
      <c r="AL301">
        <v>0</v>
      </c>
      <c r="AM301">
        <v>0</v>
      </c>
      <c r="AN301">
        <v>4989.6333333333296</v>
      </c>
      <c r="AO301">
        <v>0</v>
      </c>
      <c r="AP301">
        <v>2.14547</v>
      </c>
      <c r="AQ301">
        <v>-1.2708333333333299</v>
      </c>
      <c r="AR301">
        <v>1014.3339999999999</v>
      </c>
      <c r="AS301">
        <v>1014.612</v>
      </c>
      <c r="AT301">
        <v>0.98184439999999995</v>
      </c>
      <c r="AU301">
        <v>999.96866666666699</v>
      </c>
      <c r="AV301">
        <v>14.433173333333301</v>
      </c>
      <c r="AW301">
        <v>1.540178</v>
      </c>
      <c r="AX301">
        <v>1.442078</v>
      </c>
      <c r="AY301">
        <v>13.372973333333301</v>
      </c>
      <c r="AZ301">
        <v>12.367466666666701</v>
      </c>
      <c r="BA301">
        <v>799.99973333333298</v>
      </c>
      <c r="BB301">
        <v>0.8999876</v>
      </c>
      <c r="BC301">
        <v>0</v>
      </c>
      <c r="BD301">
        <v>0.100012333333333</v>
      </c>
      <c r="BE301">
        <v>0</v>
      </c>
      <c r="BF301">
        <v>26</v>
      </c>
      <c r="BG301">
        <v>13190.9666666667</v>
      </c>
      <c r="BH301">
        <v>1771090582</v>
      </c>
      <c r="BI301" t="s">
        <v>833</v>
      </c>
      <c r="BJ301">
        <v>1771090581</v>
      </c>
      <c r="BK301">
        <v>1771090582</v>
      </c>
      <c r="BL301">
        <v>10</v>
      </c>
      <c r="BM301">
        <v>0.125</v>
      </c>
      <c r="BN301">
        <v>-1.4E-2</v>
      </c>
      <c r="BO301">
        <v>-0.84899999999999998</v>
      </c>
      <c r="BP301">
        <v>9.5000000000000001E-2</v>
      </c>
      <c r="BQ301">
        <v>1000</v>
      </c>
      <c r="BR301">
        <v>14</v>
      </c>
      <c r="BS301">
        <v>0.37</v>
      </c>
      <c r="BT301">
        <v>0.05</v>
      </c>
      <c r="BU301">
        <v>-1.2805055000000001</v>
      </c>
      <c r="BV301">
        <v>0.28600646616541298</v>
      </c>
      <c r="BW301">
        <v>3.3442523301180499E-2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0.98336815</v>
      </c>
      <c r="CD301">
        <v>-2.7999563909774101E-2</v>
      </c>
      <c r="CE301">
        <v>3.28231478190316E-3</v>
      </c>
      <c r="CF301">
        <v>1</v>
      </c>
      <c r="CG301">
        <v>2</v>
      </c>
      <c r="CH301">
        <v>2</v>
      </c>
      <c r="CI301" t="s">
        <v>310</v>
      </c>
      <c r="CJ301">
        <v>3.5325199999999999</v>
      </c>
      <c r="CK301">
        <v>2.70174</v>
      </c>
      <c r="CL301">
        <v>0.181588</v>
      </c>
      <c r="CM301">
        <v>0.179086</v>
      </c>
      <c r="CN301">
        <v>8.7005399999999997E-2</v>
      </c>
      <c r="CO301">
        <v>8.1989400000000004E-2</v>
      </c>
      <c r="CP301">
        <v>28696.2</v>
      </c>
      <c r="CQ301">
        <v>25281.599999999999</v>
      </c>
      <c r="CR301">
        <v>32451.5</v>
      </c>
      <c r="CS301">
        <v>30722.9</v>
      </c>
      <c r="CT301">
        <v>40128.400000000001</v>
      </c>
      <c r="CU301">
        <v>39672.5</v>
      </c>
      <c r="CV301">
        <v>47394.1</v>
      </c>
      <c r="CW301">
        <v>46858.2</v>
      </c>
      <c r="CX301">
        <v>2.6209199999999999</v>
      </c>
      <c r="CY301">
        <v>2.1353399999999998</v>
      </c>
      <c r="CZ301">
        <v>0</v>
      </c>
      <c r="DA301">
        <v>0</v>
      </c>
      <c r="DB301">
        <v>999.9</v>
      </c>
      <c r="DC301">
        <v>999.9</v>
      </c>
      <c r="DD301">
        <v>49.188000000000002</v>
      </c>
      <c r="DE301">
        <v>27.483000000000001</v>
      </c>
      <c r="DF301">
        <v>18.1265</v>
      </c>
      <c r="DG301">
        <v>30.358599999999999</v>
      </c>
      <c r="DH301">
        <v>15.476800000000001</v>
      </c>
      <c r="DI301">
        <v>2</v>
      </c>
      <c r="DJ301">
        <v>-0.11057699999999999</v>
      </c>
      <c r="DK301">
        <v>2.6976800000000001</v>
      </c>
      <c r="DL301">
        <v>20.1875</v>
      </c>
      <c r="DM301">
        <v>5.2492799999999997</v>
      </c>
      <c r="DN301">
        <v>12.033899999999999</v>
      </c>
      <c r="DO301">
        <v>4.9673999999999996</v>
      </c>
      <c r="DP301">
        <v>3.2906200000000001</v>
      </c>
      <c r="DQ301">
        <v>9999</v>
      </c>
      <c r="DR301">
        <v>9999</v>
      </c>
      <c r="DS301">
        <v>9999</v>
      </c>
      <c r="DT301">
        <v>605.4</v>
      </c>
      <c r="DU301">
        <v>1.8711899999999999</v>
      </c>
      <c r="DV301">
        <v>1.87622</v>
      </c>
      <c r="DW301">
        <v>1.8763799999999999</v>
      </c>
      <c r="DX301">
        <v>1.88293</v>
      </c>
      <c r="DY301">
        <v>1.8756299999999999</v>
      </c>
      <c r="DZ301">
        <v>1.8747199999999999</v>
      </c>
      <c r="EA301">
        <v>1.8709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-0.84899999999999998</v>
      </c>
      <c r="EQ301">
        <v>9.5000000000000001E-2</v>
      </c>
      <c r="ER301">
        <v>-0.84881818181838797</v>
      </c>
      <c r="ES301">
        <v>0</v>
      </c>
      <c r="ET301">
        <v>0</v>
      </c>
      <c r="EU301">
        <v>0</v>
      </c>
      <c r="EV301">
        <v>9.5019999999999896E-2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5</v>
      </c>
      <c r="FE301">
        <v>5</v>
      </c>
      <c r="FF301">
        <v>2.5781200000000002</v>
      </c>
      <c r="FG301">
        <v>2.5793499999999998</v>
      </c>
      <c r="FH301">
        <v>2.19604</v>
      </c>
      <c r="FI301">
        <v>2.5769000000000002</v>
      </c>
      <c r="FJ301">
        <v>2.4462899999999999</v>
      </c>
      <c r="FK301">
        <v>2.3034699999999999</v>
      </c>
      <c r="FL301">
        <v>32.090400000000002</v>
      </c>
      <c r="FM301">
        <v>24.14</v>
      </c>
      <c r="FN301">
        <v>19</v>
      </c>
      <c r="FO301">
        <v>865.17499999999995</v>
      </c>
      <c r="FP301">
        <v>581.51199999999994</v>
      </c>
      <c r="FQ301">
        <v>17.804200000000002</v>
      </c>
      <c r="FR301">
        <v>25.6187</v>
      </c>
      <c r="FS301">
        <v>30.000299999999999</v>
      </c>
      <c r="FT301">
        <v>25.602900000000002</v>
      </c>
      <c r="FU301">
        <v>25.605599999999999</v>
      </c>
      <c r="FV301">
        <v>51.697099999999999</v>
      </c>
      <c r="FW301">
        <v>24.174399999999999</v>
      </c>
      <c r="FX301">
        <v>32.9206</v>
      </c>
      <c r="FY301">
        <v>17.799499999999998</v>
      </c>
      <c r="FZ301">
        <v>1000</v>
      </c>
      <c r="GA301">
        <v>14.4701</v>
      </c>
      <c r="GB301">
        <v>99.864900000000006</v>
      </c>
      <c r="GC301">
        <v>99.747100000000003</v>
      </c>
    </row>
    <row r="302" spans="1:185" x14ac:dyDescent="0.2">
      <c r="A302">
        <v>287</v>
      </c>
      <c r="B302">
        <v>1771090899</v>
      </c>
      <c r="C302">
        <v>5579</v>
      </c>
      <c r="D302" t="s">
        <v>876</v>
      </c>
      <c r="E302" t="s">
        <v>877</v>
      </c>
      <c r="F302">
        <v>15</v>
      </c>
      <c r="G302">
        <v>1771090890.9333301</v>
      </c>
      <c r="H302">
        <f t="shared" si="52"/>
        <v>7.9687563521839357E-4</v>
      </c>
      <c r="I302">
        <v>0</v>
      </c>
      <c r="J302">
        <f t="shared" si="64"/>
        <v>9.7226249227035585E-3</v>
      </c>
      <c r="K302">
        <f t="shared" si="53"/>
        <v>0.26354084042551162</v>
      </c>
      <c r="L302">
        <f t="shared" si="54"/>
        <v>69.866357998488382</v>
      </c>
      <c r="M302">
        <f t="shared" si="55"/>
        <v>1.5411998167206726</v>
      </c>
      <c r="N302">
        <f t="shared" si="56"/>
        <v>2.2059255138990039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26210.43019531684</v>
      </c>
      <c r="T302">
        <f t="shared" si="60"/>
        <v>799.99926666666704</v>
      </c>
      <c r="U302">
        <f t="shared" si="61"/>
        <v>674.39969059971725</v>
      </c>
      <c r="V302">
        <f t="shared" si="62"/>
        <v>0.84300038599999993</v>
      </c>
      <c r="W302">
        <f t="shared" si="63"/>
        <v>0.15870096500000005</v>
      </c>
      <c r="X302">
        <v>1</v>
      </c>
      <c r="Y302">
        <v>1771090890.9333301</v>
      </c>
      <c r="Z302">
        <v>998.69106666666698</v>
      </c>
      <c r="AA302">
        <v>1000.01526666667</v>
      </c>
      <c r="AB302">
        <v>15.415660000000001</v>
      </c>
      <c r="AC302">
        <v>14.4349333333333</v>
      </c>
      <c r="AD302">
        <v>999.53993333333301</v>
      </c>
      <c r="AE302">
        <v>15.3206466666667</v>
      </c>
      <c r="AF302">
        <v>800.01013333333299</v>
      </c>
      <c r="AG302">
        <v>99.912293333333295</v>
      </c>
      <c r="AH302">
        <v>6.3952686666666703E-2</v>
      </c>
      <c r="AI302">
        <v>19.005413333333301</v>
      </c>
      <c r="AJ302">
        <v>999.9</v>
      </c>
      <c r="AK302">
        <v>999.9</v>
      </c>
      <c r="AL302">
        <v>0</v>
      </c>
      <c r="AM302">
        <v>0</v>
      </c>
      <c r="AN302">
        <v>5001.9333333333298</v>
      </c>
      <c r="AO302">
        <v>0</v>
      </c>
      <c r="AP302">
        <v>2.14547</v>
      </c>
      <c r="AQ302">
        <v>-1.3243813333333301</v>
      </c>
      <c r="AR302">
        <v>1014.32733333333</v>
      </c>
      <c r="AS302">
        <v>1014.66133333333</v>
      </c>
      <c r="AT302">
        <v>0.98074413333333299</v>
      </c>
      <c r="AU302">
        <v>1000.01526666667</v>
      </c>
      <c r="AV302">
        <v>14.4349333333333</v>
      </c>
      <c r="AW302">
        <v>1.5402153333333299</v>
      </c>
      <c r="AX302">
        <v>1.4422253333333299</v>
      </c>
      <c r="AY302">
        <v>13.373333333333299</v>
      </c>
      <c r="AZ302">
        <v>12.3690333333333</v>
      </c>
      <c r="BA302">
        <v>799.99926666666704</v>
      </c>
      <c r="BB302">
        <v>0.89998713333333302</v>
      </c>
      <c r="BC302">
        <v>0</v>
      </c>
      <c r="BD302">
        <v>0.10001286666666701</v>
      </c>
      <c r="BE302">
        <v>0</v>
      </c>
      <c r="BF302">
        <v>26</v>
      </c>
      <c r="BG302">
        <v>13190.9666666667</v>
      </c>
      <c r="BH302">
        <v>1771090582</v>
      </c>
      <c r="BI302" t="s">
        <v>833</v>
      </c>
      <c r="BJ302">
        <v>1771090581</v>
      </c>
      <c r="BK302">
        <v>1771090582</v>
      </c>
      <c r="BL302">
        <v>10</v>
      </c>
      <c r="BM302">
        <v>0.125</v>
      </c>
      <c r="BN302">
        <v>-1.4E-2</v>
      </c>
      <c r="BO302">
        <v>-0.84899999999999998</v>
      </c>
      <c r="BP302">
        <v>9.5000000000000001E-2</v>
      </c>
      <c r="BQ302">
        <v>1000</v>
      </c>
      <c r="BR302">
        <v>14</v>
      </c>
      <c r="BS302">
        <v>0.37</v>
      </c>
      <c r="BT302">
        <v>0.05</v>
      </c>
      <c r="BU302">
        <v>-1.3010142857142899</v>
      </c>
      <c r="BV302">
        <v>-0.20668051948051999</v>
      </c>
      <c r="BW302">
        <v>5.8303139797133398E-2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0.98083633333333298</v>
      </c>
      <c r="CD302">
        <v>-1.34526233766209E-2</v>
      </c>
      <c r="CE302">
        <v>2.53305684581437E-3</v>
      </c>
      <c r="CF302">
        <v>1</v>
      </c>
      <c r="CG302">
        <v>2</v>
      </c>
      <c r="CH302">
        <v>2</v>
      </c>
      <c r="CI302" t="s">
        <v>310</v>
      </c>
      <c r="CJ302">
        <v>3.5324900000000001</v>
      </c>
      <c r="CK302">
        <v>2.7017199999999999</v>
      </c>
      <c r="CL302">
        <v>0.18158099999999999</v>
      </c>
      <c r="CM302">
        <v>0.17907899999999999</v>
      </c>
      <c r="CN302">
        <v>8.6980500000000002E-2</v>
      </c>
      <c r="CO302">
        <v>8.1987900000000002E-2</v>
      </c>
      <c r="CP302">
        <v>28696.400000000001</v>
      </c>
      <c r="CQ302">
        <v>25281.7</v>
      </c>
      <c r="CR302">
        <v>32451.5</v>
      </c>
      <c r="CS302">
        <v>30722.799999999999</v>
      </c>
      <c r="CT302">
        <v>40129.800000000003</v>
      </c>
      <c r="CU302">
        <v>39672.300000000003</v>
      </c>
      <c r="CV302">
        <v>47394.3</v>
      </c>
      <c r="CW302">
        <v>46857.9</v>
      </c>
      <c r="CX302">
        <v>2.6208999999999998</v>
      </c>
      <c r="CY302">
        <v>2.1350799999999999</v>
      </c>
      <c r="CZ302">
        <v>0</v>
      </c>
      <c r="DA302">
        <v>0</v>
      </c>
      <c r="DB302">
        <v>999.9</v>
      </c>
      <c r="DC302">
        <v>999.9</v>
      </c>
      <c r="DD302">
        <v>49.164000000000001</v>
      </c>
      <c r="DE302">
        <v>27.483000000000001</v>
      </c>
      <c r="DF302">
        <v>18.117999999999999</v>
      </c>
      <c r="DG302">
        <v>30.4786</v>
      </c>
      <c r="DH302">
        <v>15.3926</v>
      </c>
      <c r="DI302">
        <v>2</v>
      </c>
      <c r="DJ302">
        <v>-0.10986600000000001</v>
      </c>
      <c r="DK302">
        <v>2.7189199999999998</v>
      </c>
      <c r="DL302">
        <v>20.187799999999999</v>
      </c>
      <c r="DM302">
        <v>5.2517899999999997</v>
      </c>
      <c r="DN302">
        <v>12.033899999999999</v>
      </c>
      <c r="DO302">
        <v>4.9676400000000003</v>
      </c>
      <c r="DP302">
        <v>3.2909999999999999</v>
      </c>
      <c r="DQ302">
        <v>9999</v>
      </c>
      <c r="DR302">
        <v>9999</v>
      </c>
      <c r="DS302">
        <v>9999</v>
      </c>
      <c r="DT302">
        <v>605.4</v>
      </c>
      <c r="DU302">
        <v>1.8711800000000001</v>
      </c>
      <c r="DV302">
        <v>1.87622</v>
      </c>
      <c r="DW302">
        <v>1.8763700000000001</v>
      </c>
      <c r="DX302">
        <v>1.88293</v>
      </c>
      <c r="DY302">
        <v>1.8756299999999999</v>
      </c>
      <c r="DZ302">
        <v>1.8747100000000001</v>
      </c>
      <c r="EA302">
        <v>1.8708800000000001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-0.84799999999999998</v>
      </c>
      <c r="EQ302">
        <v>9.5000000000000001E-2</v>
      </c>
      <c r="ER302">
        <v>-0.84881818181838797</v>
      </c>
      <c r="ES302">
        <v>0</v>
      </c>
      <c r="ET302">
        <v>0</v>
      </c>
      <c r="EU302">
        <v>0</v>
      </c>
      <c r="EV302">
        <v>9.5019999999999896E-2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5.3</v>
      </c>
      <c r="FE302">
        <v>5.3</v>
      </c>
      <c r="FF302">
        <v>2.5781200000000002</v>
      </c>
      <c r="FG302">
        <v>2.5854499999999998</v>
      </c>
      <c r="FH302">
        <v>2.19604</v>
      </c>
      <c r="FI302">
        <v>2.5769000000000002</v>
      </c>
      <c r="FJ302">
        <v>2.4462899999999999</v>
      </c>
      <c r="FK302">
        <v>2.2729499999999998</v>
      </c>
      <c r="FL302">
        <v>32.090400000000002</v>
      </c>
      <c r="FM302">
        <v>24.14</v>
      </c>
      <c r="FN302">
        <v>19</v>
      </c>
      <c r="FO302">
        <v>865.21799999999996</v>
      </c>
      <c r="FP302">
        <v>581.36</v>
      </c>
      <c r="FQ302">
        <v>17.787500000000001</v>
      </c>
      <c r="FR302">
        <v>25.6235</v>
      </c>
      <c r="FS302">
        <v>30.000399999999999</v>
      </c>
      <c r="FT302">
        <v>25.6068</v>
      </c>
      <c r="FU302">
        <v>25.6099</v>
      </c>
      <c r="FV302">
        <v>51.695300000000003</v>
      </c>
      <c r="FW302">
        <v>24.174399999999999</v>
      </c>
      <c r="FX302">
        <v>32.9206</v>
      </c>
      <c r="FY302">
        <v>17.783300000000001</v>
      </c>
      <c r="FZ302">
        <v>1000</v>
      </c>
      <c r="GA302">
        <v>14.4701</v>
      </c>
      <c r="GB302">
        <v>99.865200000000002</v>
      </c>
      <c r="GC302">
        <v>99.746499999999997</v>
      </c>
    </row>
    <row r="303" spans="1:185" x14ac:dyDescent="0.2">
      <c r="A303">
        <v>288</v>
      </c>
      <c r="B303">
        <v>1771090914</v>
      </c>
      <c r="C303">
        <v>5594</v>
      </c>
      <c r="D303" t="s">
        <v>878</v>
      </c>
      <c r="E303" t="s">
        <v>879</v>
      </c>
      <c r="F303">
        <v>15</v>
      </c>
      <c r="G303">
        <v>1771090905.9333301</v>
      </c>
      <c r="H303">
        <f t="shared" si="52"/>
        <v>7.9473194556719639E-4</v>
      </c>
      <c r="I303">
        <v>0</v>
      </c>
      <c r="J303">
        <f t="shared" si="64"/>
        <v>8.9686775271785191E-3</v>
      </c>
      <c r="K303">
        <f t="shared" si="53"/>
        <v>0.24310439123273092</v>
      </c>
      <c r="L303">
        <f t="shared" si="54"/>
        <v>69.861168926628409</v>
      </c>
      <c r="M303">
        <f t="shared" si="55"/>
        <v>1.5410532952659235</v>
      </c>
      <c r="N303">
        <f t="shared" si="56"/>
        <v>2.2058796309068525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26183.414986774824</v>
      </c>
      <c r="T303">
        <f t="shared" si="60"/>
        <v>800.00113333333297</v>
      </c>
      <c r="U303">
        <f t="shared" si="61"/>
        <v>674.40125140041903</v>
      </c>
      <c r="V303">
        <f t="shared" si="62"/>
        <v>0.84300036999999994</v>
      </c>
      <c r="W303">
        <f t="shared" si="63"/>
        <v>0.15870092499999996</v>
      </c>
      <c r="X303">
        <v>1</v>
      </c>
      <c r="Y303">
        <v>1771090905.9333301</v>
      </c>
      <c r="Z303">
        <v>998.70773333333295</v>
      </c>
      <c r="AA303">
        <v>1000.00373333333</v>
      </c>
      <c r="AB303">
        <v>15.414300000000001</v>
      </c>
      <c r="AC303">
        <v>14.436206666666701</v>
      </c>
      <c r="AD303">
        <v>999.55626666666706</v>
      </c>
      <c r="AE303">
        <v>15.3192866666667</v>
      </c>
      <c r="AF303">
        <v>800.00720000000001</v>
      </c>
      <c r="AG303">
        <v>99.911573333333294</v>
      </c>
      <c r="AH303">
        <v>6.3988013333333302E-2</v>
      </c>
      <c r="AI303">
        <v>19.00508</v>
      </c>
      <c r="AJ303">
        <v>999.9</v>
      </c>
      <c r="AK303">
        <v>999.9</v>
      </c>
      <c r="AL303">
        <v>0</v>
      </c>
      <c r="AM303">
        <v>0</v>
      </c>
      <c r="AN303">
        <v>4997.5</v>
      </c>
      <c r="AO303">
        <v>0</v>
      </c>
      <c r="AP303">
        <v>2.14547</v>
      </c>
      <c r="AQ303">
        <v>-1.296098</v>
      </c>
      <c r="AR303">
        <v>1014.342</v>
      </c>
      <c r="AS303">
        <v>1014.6513333333299</v>
      </c>
      <c r="AT303">
        <v>0.97809166666666703</v>
      </c>
      <c r="AU303">
        <v>1000.00373333333</v>
      </c>
      <c r="AV303">
        <v>14.436206666666701</v>
      </c>
      <c r="AW303">
        <v>1.54006666666667</v>
      </c>
      <c r="AX303">
        <v>1.4423440000000001</v>
      </c>
      <c r="AY303">
        <v>13.3718466666667</v>
      </c>
      <c r="AZ303">
        <v>12.370286666666701</v>
      </c>
      <c r="BA303">
        <v>800.00113333333297</v>
      </c>
      <c r="BB303">
        <v>0.89998766666666696</v>
      </c>
      <c r="BC303">
        <v>0</v>
      </c>
      <c r="BD303">
        <v>0.100012333333333</v>
      </c>
      <c r="BE303">
        <v>0</v>
      </c>
      <c r="BF303">
        <v>26</v>
      </c>
      <c r="BG303">
        <v>13191</v>
      </c>
      <c r="BH303">
        <v>1771090582</v>
      </c>
      <c r="BI303" t="s">
        <v>833</v>
      </c>
      <c r="BJ303">
        <v>1771090581</v>
      </c>
      <c r="BK303">
        <v>1771090582</v>
      </c>
      <c r="BL303">
        <v>10</v>
      </c>
      <c r="BM303">
        <v>0.125</v>
      </c>
      <c r="BN303">
        <v>-1.4E-2</v>
      </c>
      <c r="BO303">
        <v>-0.84899999999999998</v>
      </c>
      <c r="BP303">
        <v>9.5000000000000001E-2</v>
      </c>
      <c r="BQ303">
        <v>1000</v>
      </c>
      <c r="BR303">
        <v>14</v>
      </c>
      <c r="BS303">
        <v>0.37</v>
      </c>
      <c r="BT303">
        <v>0.05</v>
      </c>
      <c r="BU303">
        <v>-1.2946839999999999</v>
      </c>
      <c r="BV303">
        <v>-4.2563909774436498E-2</v>
      </c>
      <c r="BW303">
        <v>2.49317055974917E-2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0.97807250000000001</v>
      </c>
      <c r="CD303">
        <v>3.5233082706736803E-4</v>
      </c>
      <c r="CE303">
        <v>6.1929294360585298E-4</v>
      </c>
      <c r="CF303">
        <v>1</v>
      </c>
      <c r="CG303">
        <v>2</v>
      </c>
      <c r="CH303">
        <v>2</v>
      </c>
      <c r="CI303" t="s">
        <v>310</v>
      </c>
      <c r="CJ303">
        <v>3.5325000000000002</v>
      </c>
      <c r="CK303">
        <v>2.7018499999999999</v>
      </c>
      <c r="CL303">
        <v>0.18157799999999999</v>
      </c>
      <c r="CM303">
        <v>0.17908099999999999</v>
      </c>
      <c r="CN303">
        <v>8.6980699999999994E-2</v>
      </c>
      <c r="CO303">
        <v>8.1995200000000004E-2</v>
      </c>
      <c r="CP303">
        <v>28695.5</v>
      </c>
      <c r="CQ303">
        <v>25280.799999999999</v>
      </c>
      <c r="CR303">
        <v>32450.3</v>
      </c>
      <c r="CS303">
        <v>30721.8</v>
      </c>
      <c r="CT303">
        <v>40128.400000000001</v>
      </c>
      <c r="CU303">
        <v>39670.699999999997</v>
      </c>
      <c r="CV303">
        <v>47392.7</v>
      </c>
      <c r="CW303">
        <v>46856.4</v>
      </c>
      <c r="CX303">
        <v>2.6209600000000002</v>
      </c>
      <c r="CY303">
        <v>2.1347399999999999</v>
      </c>
      <c r="CZ303">
        <v>0</v>
      </c>
      <c r="DA303">
        <v>0</v>
      </c>
      <c r="DB303">
        <v>999.9</v>
      </c>
      <c r="DC303">
        <v>999.9</v>
      </c>
      <c r="DD303">
        <v>49.139000000000003</v>
      </c>
      <c r="DE303">
        <v>27.492999999999999</v>
      </c>
      <c r="DF303">
        <v>18.119700000000002</v>
      </c>
      <c r="DG303">
        <v>30.5686</v>
      </c>
      <c r="DH303">
        <v>15.4046</v>
      </c>
      <c r="DI303">
        <v>2</v>
      </c>
      <c r="DJ303">
        <v>-0.109185</v>
      </c>
      <c r="DK303">
        <v>2.7378300000000002</v>
      </c>
      <c r="DL303">
        <v>20.186900000000001</v>
      </c>
      <c r="DM303">
        <v>5.2490399999999999</v>
      </c>
      <c r="DN303">
        <v>12.033899999999999</v>
      </c>
      <c r="DO303">
        <v>4.9673600000000002</v>
      </c>
      <c r="DP303">
        <v>3.2906399999999998</v>
      </c>
      <c r="DQ303">
        <v>9999</v>
      </c>
      <c r="DR303">
        <v>9999</v>
      </c>
      <c r="DS303">
        <v>9999</v>
      </c>
      <c r="DT303">
        <v>605.4</v>
      </c>
      <c r="DU303">
        <v>1.8711500000000001</v>
      </c>
      <c r="DV303">
        <v>1.8762099999999999</v>
      </c>
      <c r="DW303">
        <v>1.8763700000000001</v>
      </c>
      <c r="DX303">
        <v>1.88289</v>
      </c>
      <c r="DY303">
        <v>1.87561</v>
      </c>
      <c r="DZ303">
        <v>1.87469</v>
      </c>
      <c r="EA303">
        <v>1.87086</v>
      </c>
      <c r="EB303">
        <v>1.8746799999999999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-0.84899999999999998</v>
      </c>
      <c r="EQ303">
        <v>9.5100000000000004E-2</v>
      </c>
      <c r="ER303">
        <v>-0.84881818181838797</v>
      </c>
      <c r="ES303">
        <v>0</v>
      </c>
      <c r="ET303">
        <v>0</v>
      </c>
      <c r="EU303">
        <v>0</v>
      </c>
      <c r="EV303">
        <v>9.5019999999999896E-2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5.5</v>
      </c>
      <c r="FE303">
        <v>5.5</v>
      </c>
      <c r="FF303">
        <v>2.5781200000000002</v>
      </c>
      <c r="FG303">
        <v>2.5732400000000002</v>
      </c>
      <c r="FH303">
        <v>2.19604</v>
      </c>
      <c r="FI303">
        <v>2.5769000000000002</v>
      </c>
      <c r="FJ303">
        <v>2.4462899999999999</v>
      </c>
      <c r="FK303">
        <v>2.3278799999999999</v>
      </c>
      <c r="FL303">
        <v>32.090400000000002</v>
      </c>
      <c r="FM303">
        <v>24.14</v>
      </c>
      <c r="FN303">
        <v>19</v>
      </c>
      <c r="FO303">
        <v>865.35</v>
      </c>
      <c r="FP303">
        <v>581.149</v>
      </c>
      <c r="FQ303">
        <v>17.770800000000001</v>
      </c>
      <c r="FR303">
        <v>25.628699999999998</v>
      </c>
      <c r="FS303">
        <v>30.000399999999999</v>
      </c>
      <c r="FT303">
        <v>25.611499999999999</v>
      </c>
      <c r="FU303">
        <v>25.6144</v>
      </c>
      <c r="FV303">
        <v>51.695700000000002</v>
      </c>
      <c r="FW303">
        <v>24.174399999999999</v>
      </c>
      <c r="FX303">
        <v>32.9206</v>
      </c>
      <c r="FY303">
        <v>17.767499999999998</v>
      </c>
      <c r="FZ303">
        <v>1000</v>
      </c>
      <c r="GA303">
        <v>14.4701</v>
      </c>
      <c r="GB303">
        <v>99.861699999999999</v>
      </c>
      <c r="GC303">
        <v>99.743300000000005</v>
      </c>
    </row>
    <row r="304" spans="1:185" x14ac:dyDescent="0.2">
      <c r="A304">
        <v>289</v>
      </c>
      <c r="B304">
        <v>1771090929</v>
      </c>
      <c r="C304">
        <v>5609</v>
      </c>
      <c r="D304" t="s">
        <v>880</v>
      </c>
      <c r="E304" t="s">
        <v>881</v>
      </c>
      <c r="F304">
        <v>15</v>
      </c>
      <c r="G304">
        <v>1771090920.9333301</v>
      </c>
      <c r="H304">
        <f t="shared" si="52"/>
        <v>7.9007736477005306E-4</v>
      </c>
      <c r="I304">
        <v>0</v>
      </c>
      <c r="J304">
        <f t="shared" si="64"/>
        <v>8.5185561385081425E-3</v>
      </c>
      <c r="K304">
        <f t="shared" si="53"/>
        <v>0.23090343007185307</v>
      </c>
      <c r="L304">
        <f t="shared" si="54"/>
        <v>69.859999729141791</v>
      </c>
      <c r="M304">
        <f t="shared" si="55"/>
        <v>1.5406614905671188</v>
      </c>
      <c r="N304">
        <f t="shared" si="56"/>
        <v>2.2053557064708067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26246.032084163136</v>
      </c>
      <c r="T304">
        <f t="shared" si="60"/>
        <v>799.99839999999995</v>
      </c>
      <c r="U304">
        <f t="shared" si="61"/>
        <v>674.39897279935667</v>
      </c>
      <c r="V304">
        <f t="shared" si="62"/>
        <v>0.84300040199999993</v>
      </c>
      <c r="W304">
        <f t="shared" si="63"/>
        <v>0.15870100499999998</v>
      </c>
      <c r="X304">
        <v>1</v>
      </c>
      <c r="Y304">
        <v>1771090920.9333301</v>
      </c>
      <c r="Z304">
        <v>998.72273333333396</v>
      </c>
      <c r="AA304">
        <v>999.99766666666699</v>
      </c>
      <c r="AB304">
        <v>15.410693333333301</v>
      </c>
      <c r="AC304">
        <v>14.43834</v>
      </c>
      <c r="AD304">
        <v>999.57159999999999</v>
      </c>
      <c r="AE304">
        <v>15.315666666666701</v>
      </c>
      <c r="AF304">
        <v>800.01959999999997</v>
      </c>
      <c r="AG304">
        <v>99.909599999999998</v>
      </c>
      <c r="AH304">
        <v>6.3935080000000005E-2</v>
      </c>
      <c r="AI304">
        <v>19.001273333333302</v>
      </c>
      <c r="AJ304">
        <v>999.9</v>
      </c>
      <c r="AK304">
        <v>999.9</v>
      </c>
      <c r="AL304">
        <v>0</v>
      </c>
      <c r="AM304">
        <v>0</v>
      </c>
      <c r="AN304">
        <v>5007.8666666666704</v>
      </c>
      <c r="AO304">
        <v>0</v>
      </c>
      <c r="AP304">
        <v>2.14547</v>
      </c>
      <c r="AQ304">
        <v>-1.2750773333333301</v>
      </c>
      <c r="AR304">
        <v>1014.35533333333</v>
      </c>
      <c r="AS304">
        <v>1014.64733333333</v>
      </c>
      <c r="AT304">
        <v>0.972345666666667</v>
      </c>
      <c r="AU304">
        <v>999.99766666666699</v>
      </c>
      <c r="AV304">
        <v>14.43834</v>
      </c>
      <c r="AW304">
        <v>1.53967533333333</v>
      </c>
      <c r="AX304">
        <v>1.44252933333333</v>
      </c>
      <c r="AY304">
        <v>13.36796</v>
      </c>
      <c r="AZ304">
        <v>12.3722333333333</v>
      </c>
      <c r="BA304">
        <v>799.99839999999995</v>
      </c>
      <c r="BB304">
        <v>0.89998659999999997</v>
      </c>
      <c r="BC304">
        <v>0</v>
      </c>
      <c r="BD304">
        <v>0.1000134</v>
      </c>
      <c r="BE304">
        <v>0</v>
      </c>
      <c r="BF304">
        <v>26</v>
      </c>
      <c r="BG304">
        <v>13190.946666666699</v>
      </c>
      <c r="BH304">
        <v>1771090582</v>
      </c>
      <c r="BI304" t="s">
        <v>833</v>
      </c>
      <c r="BJ304">
        <v>1771090581</v>
      </c>
      <c r="BK304">
        <v>1771090582</v>
      </c>
      <c r="BL304">
        <v>10</v>
      </c>
      <c r="BM304">
        <v>0.125</v>
      </c>
      <c r="BN304">
        <v>-1.4E-2</v>
      </c>
      <c r="BO304">
        <v>-0.84899999999999998</v>
      </c>
      <c r="BP304">
        <v>9.5000000000000001E-2</v>
      </c>
      <c r="BQ304">
        <v>1000</v>
      </c>
      <c r="BR304">
        <v>14</v>
      </c>
      <c r="BS304">
        <v>0.37</v>
      </c>
      <c r="BT304">
        <v>0.05</v>
      </c>
      <c r="BU304">
        <v>-1.2831390476190501</v>
      </c>
      <c r="BV304">
        <v>4.98116883116871E-2</v>
      </c>
      <c r="BW304">
        <v>3.94974953883169E-2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0.97395799999999999</v>
      </c>
      <c r="CD304">
        <v>-2.94693506493496E-2</v>
      </c>
      <c r="CE304">
        <v>3.0900611182120099E-3</v>
      </c>
      <c r="CF304">
        <v>1</v>
      </c>
      <c r="CG304">
        <v>2</v>
      </c>
      <c r="CH304">
        <v>2</v>
      </c>
      <c r="CI304" t="s">
        <v>310</v>
      </c>
      <c r="CJ304">
        <v>3.5324900000000001</v>
      </c>
      <c r="CK304">
        <v>2.7018399999999998</v>
      </c>
      <c r="CL304">
        <v>0.18157899999999999</v>
      </c>
      <c r="CM304">
        <v>0.17908199999999999</v>
      </c>
      <c r="CN304">
        <v>8.6963700000000005E-2</v>
      </c>
      <c r="CO304">
        <v>8.1998000000000001E-2</v>
      </c>
      <c r="CP304">
        <v>28695.1</v>
      </c>
      <c r="CQ304">
        <v>25280.6</v>
      </c>
      <c r="CR304">
        <v>32450</v>
      </c>
      <c r="CS304">
        <v>30721.7</v>
      </c>
      <c r="CT304">
        <v>40128.5</v>
      </c>
      <c r="CU304">
        <v>39670.5</v>
      </c>
      <c r="CV304">
        <v>47391.9</v>
      </c>
      <c r="CW304">
        <v>46856.3</v>
      </c>
      <c r="CX304">
        <v>2.6207799999999999</v>
      </c>
      <c r="CY304">
        <v>2.1349</v>
      </c>
      <c r="CZ304">
        <v>0</v>
      </c>
      <c r="DA304">
        <v>0</v>
      </c>
      <c r="DB304">
        <v>999.9</v>
      </c>
      <c r="DC304">
        <v>999.9</v>
      </c>
      <c r="DD304">
        <v>49.115000000000002</v>
      </c>
      <c r="DE304">
        <v>27.492999999999999</v>
      </c>
      <c r="DF304">
        <v>18.110499999999998</v>
      </c>
      <c r="DG304">
        <v>30.2986</v>
      </c>
      <c r="DH304">
        <v>15.4848</v>
      </c>
      <c r="DI304">
        <v>2</v>
      </c>
      <c r="DJ304">
        <v>-0.108417</v>
      </c>
      <c r="DK304">
        <v>2.7278899999999999</v>
      </c>
      <c r="DL304">
        <v>20.187799999999999</v>
      </c>
      <c r="DM304">
        <v>5.25143</v>
      </c>
      <c r="DN304">
        <v>12.033899999999999</v>
      </c>
      <c r="DO304">
        <v>4.9677199999999999</v>
      </c>
      <c r="DP304">
        <v>3.2909999999999999</v>
      </c>
      <c r="DQ304">
        <v>9999</v>
      </c>
      <c r="DR304">
        <v>9999</v>
      </c>
      <c r="DS304">
        <v>9999</v>
      </c>
      <c r="DT304">
        <v>605.4</v>
      </c>
      <c r="DU304">
        <v>1.87117</v>
      </c>
      <c r="DV304">
        <v>1.87622</v>
      </c>
      <c r="DW304">
        <v>1.8763700000000001</v>
      </c>
      <c r="DX304">
        <v>1.88293</v>
      </c>
      <c r="DY304">
        <v>1.87561</v>
      </c>
      <c r="DZ304">
        <v>1.87469</v>
      </c>
      <c r="EA304">
        <v>1.8708800000000001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-0.84899999999999998</v>
      </c>
      <c r="EQ304">
        <v>9.5000000000000001E-2</v>
      </c>
      <c r="ER304">
        <v>-0.84881818181838797</v>
      </c>
      <c r="ES304">
        <v>0</v>
      </c>
      <c r="ET304">
        <v>0</v>
      </c>
      <c r="EU304">
        <v>0</v>
      </c>
      <c r="EV304">
        <v>9.5019999999999896E-2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5.8</v>
      </c>
      <c r="FE304">
        <v>5.8</v>
      </c>
      <c r="FF304">
        <v>2.5769000000000002</v>
      </c>
      <c r="FG304">
        <v>2.5903299999999998</v>
      </c>
      <c r="FH304">
        <v>2.19604</v>
      </c>
      <c r="FI304">
        <v>2.5756800000000002</v>
      </c>
      <c r="FJ304">
        <v>2.4462899999999999</v>
      </c>
      <c r="FK304">
        <v>2.2595200000000002</v>
      </c>
      <c r="FL304">
        <v>32.090400000000002</v>
      </c>
      <c r="FM304">
        <v>24.1313</v>
      </c>
      <c r="FN304">
        <v>19</v>
      </c>
      <c r="FO304">
        <v>865.25400000000002</v>
      </c>
      <c r="FP304">
        <v>581.327</v>
      </c>
      <c r="FQ304">
        <v>17.759499999999999</v>
      </c>
      <c r="FR304">
        <v>25.635200000000001</v>
      </c>
      <c r="FS304">
        <v>30.000299999999999</v>
      </c>
      <c r="FT304">
        <v>25.616</v>
      </c>
      <c r="FU304">
        <v>25.619399999999999</v>
      </c>
      <c r="FV304">
        <v>51.692999999999998</v>
      </c>
      <c r="FW304">
        <v>24.174399999999999</v>
      </c>
      <c r="FX304">
        <v>32.9206</v>
      </c>
      <c r="FY304">
        <v>17.7608</v>
      </c>
      <c r="FZ304">
        <v>1000</v>
      </c>
      <c r="GA304">
        <v>14.4701</v>
      </c>
      <c r="GB304">
        <v>99.860299999999995</v>
      </c>
      <c r="GC304">
        <v>99.742999999999995</v>
      </c>
    </row>
    <row r="305" spans="1:185" x14ac:dyDescent="0.2">
      <c r="A305">
        <v>290</v>
      </c>
      <c r="B305">
        <v>1771090944</v>
      </c>
      <c r="C305">
        <v>5624</v>
      </c>
      <c r="D305" t="s">
        <v>882</v>
      </c>
      <c r="E305" t="s">
        <v>883</v>
      </c>
      <c r="F305">
        <v>15</v>
      </c>
      <c r="G305">
        <v>1771090935.9333301</v>
      </c>
      <c r="H305">
        <f t="shared" si="52"/>
        <v>8.0091789382752063E-4</v>
      </c>
      <c r="I305">
        <v>0</v>
      </c>
      <c r="J305">
        <f t="shared" si="64"/>
        <v>8.7603876228126449E-3</v>
      </c>
      <c r="K305">
        <f t="shared" si="53"/>
        <v>0.23745849859724008</v>
      </c>
      <c r="L305">
        <f t="shared" si="54"/>
        <v>69.885773196875661</v>
      </c>
      <c r="M305">
        <f t="shared" si="55"/>
        <v>1.5409445878041608</v>
      </c>
      <c r="N305">
        <f t="shared" si="56"/>
        <v>2.2049474697277169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26203.849422148971</v>
      </c>
      <c r="T305">
        <f t="shared" si="60"/>
        <v>800.00120000000004</v>
      </c>
      <c r="U305">
        <f t="shared" si="61"/>
        <v>674.40126280037657</v>
      </c>
      <c r="V305">
        <f t="shared" si="62"/>
        <v>0.84300031399999964</v>
      </c>
      <c r="W305">
        <f t="shared" si="63"/>
        <v>0.15870091491999994</v>
      </c>
      <c r="X305">
        <v>1</v>
      </c>
      <c r="Y305">
        <v>1771090935.9333301</v>
      </c>
      <c r="Z305">
        <v>998.70986666666704</v>
      </c>
      <c r="AA305">
        <v>1000.00653333333</v>
      </c>
      <c r="AB305">
        <v>15.413733333333299</v>
      </c>
      <c r="AC305">
        <v>14.4280266666667</v>
      </c>
      <c r="AD305">
        <v>999.55873333333295</v>
      </c>
      <c r="AE305">
        <v>15.3187</v>
      </c>
      <c r="AF305">
        <v>800.00753333333296</v>
      </c>
      <c r="AG305">
        <v>99.907866666666706</v>
      </c>
      <c r="AH305">
        <v>6.4317520000000003E-2</v>
      </c>
      <c r="AI305">
        <v>18.9983066666667</v>
      </c>
      <c r="AJ305">
        <v>999.9</v>
      </c>
      <c r="AK305">
        <v>999.9</v>
      </c>
      <c r="AL305">
        <v>0</v>
      </c>
      <c r="AM305">
        <v>0</v>
      </c>
      <c r="AN305">
        <v>5000.9333333333298</v>
      </c>
      <c r="AO305">
        <v>0</v>
      </c>
      <c r="AP305">
        <v>2.14547</v>
      </c>
      <c r="AQ305">
        <v>-1.296144</v>
      </c>
      <c r="AR305">
        <v>1014.3440000000001</v>
      </c>
      <c r="AS305">
        <v>1014.64466666667</v>
      </c>
      <c r="AT305">
        <v>0.98570219999999997</v>
      </c>
      <c r="AU305">
        <v>1000.00653333333</v>
      </c>
      <c r="AV305">
        <v>14.4280266666667</v>
      </c>
      <c r="AW305">
        <v>1.539952</v>
      </c>
      <c r="AX305">
        <v>1.44147266666667</v>
      </c>
      <c r="AY305">
        <v>13.370706666666701</v>
      </c>
      <c r="AZ305">
        <v>12.3610666666667</v>
      </c>
      <c r="BA305">
        <v>800.00120000000004</v>
      </c>
      <c r="BB305">
        <v>0.8999876</v>
      </c>
      <c r="BC305">
        <v>0</v>
      </c>
      <c r="BD305">
        <v>0.100012333333333</v>
      </c>
      <c r="BE305">
        <v>0</v>
      </c>
      <c r="BF305">
        <v>26</v>
      </c>
      <c r="BG305">
        <v>13191</v>
      </c>
      <c r="BH305">
        <v>1771090582</v>
      </c>
      <c r="BI305" t="s">
        <v>833</v>
      </c>
      <c r="BJ305">
        <v>1771090581</v>
      </c>
      <c r="BK305">
        <v>1771090582</v>
      </c>
      <c r="BL305">
        <v>10</v>
      </c>
      <c r="BM305">
        <v>0.125</v>
      </c>
      <c r="BN305">
        <v>-1.4E-2</v>
      </c>
      <c r="BO305">
        <v>-0.84899999999999998</v>
      </c>
      <c r="BP305">
        <v>9.5000000000000001E-2</v>
      </c>
      <c r="BQ305">
        <v>1000</v>
      </c>
      <c r="BR305">
        <v>14</v>
      </c>
      <c r="BS305">
        <v>0.37</v>
      </c>
      <c r="BT305">
        <v>0.05</v>
      </c>
      <c r="BU305">
        <v>-1.2991865</v>
      </c>
      <c r="BV305">
        <v>9.0765563909774902E-2</v>
      </c>
      <c r="BW305">
        <v>2.6032626697089199E-2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0.98189099999999996</v>
      </c>
      <c r="CD305">
        <v>0.139811548872181</v>
      </c>
      <c r="CE305">
        <v>1.58373431610229E-2</v>
      </c>
      <c r="CF305">
        <v>0</v>
      </c>
      <c r="CG305">
        <v>1</v>
      </c>
      <c r="CH305">
        <v>2</v>
      </c>
      <c r="CI305" t="s">
        <v>299</v>
      </c>
      <c r="CJ305">
        <v>3.5325799999999998</v>
      </c>
      <c r="CK305">
        <v>2.70208</v>
      </c>
      <c r="CL305">
        <v>0.18157200000000001</v>
      </c>
      <c r="CM305">
        <v>0.17907100000000001</v>
      </c>
      <c r="CN305">
        <v>8.6964700000000006E-2</v>
      </c>
      <c r="CO305">
        <v>8.1802100000000003E-2</v>
      </c>
      <c r="CP305">
        <v>28695.1</v>
      </c>
      <c r="CQ305">
        <v>25280.7</v>
      </c>
      <c r="CR305">
        <v>32449.8</v>
      </c>
      <c r="CS305">
        <v>30721.4</v>
      </c>
      <c r="CT305">
        <v>40128.5</v>
      </c>
      <c r="CU305">
        <v>39678.9</v>
      </c>
      <c r="CV305">
        <v>47391.9</v>
      </c>
      <c r="CW305">
        <v>46856</v>
      </c>
      <c r="CX305">
        <v>2.6207400000000001</v>
      </c>
      <c r="CY305">
        <v>2.1343800000000002</v>
      </c>
      <c r="CZ305">
        <v>0</v>
      </c>
      <c r="DA305">
        <v>0</v>
      </c>
      <c r="DB305">
        <v>999.9</v>
      </c>
      <c r="DC305">
        <v>999.9</v>
      </c>
      <c r="DD305">
        <v>49.042000000000002</v>
      </c>
      <c r="DE305">
        <v>27.513000000000002</v>
      </c>
      <c r="DF305">
        <v>18.105599999999999</v>
      </c>
      <c r="DG305">
        <v>30.208600000000001</v>
      </c>
      <c r="DH305">
        <v>15.3726</v>
      </c>
      <c r="DI305">
        <v>2</v>
      </c>
      <c r="DJ305">
        <v>-0.108053</v>
      </c>
      <c r="DK305">
        <v>2.6620599999999999</v>
      </c>
      <c r="DL305">
        <v>20.188700000000001</v>
      </c>
      <c r="DM305">
        <v>5.2511900000000002</v>
      </c>
      <c r="DN305">
        <v>12.033899999999999</v>
      </c>
      <c r="DO305">
        <v>4.9671200000000004</v>
      </c>
      <c r="DP305">
        <v>3.2909999999999999</v>
      </c>
      <c r="DQ305">
        <v>9999</v>
      </c>
      <c r="DR305">
        <v>9999</v>
      </c>
      <c r="DS305">
        <v>9999</v>
      </c>
      <c r="DT305">
        <v>605.4</v>
      </c>
      <c r="DU305">
        <v>1.8711899999999999</v>
      </c>
      <c r="DV305">
        <v>1.87622</v>
      </c>
      <c r="DW305">
        <v>1.8763700000000001</v>
      </c>
      <c r="DX305">
        <v>1.88293</v>
      </c>
      <c r="DY305">
        <v>1.8756299999999999</v>
      </c>
      <c r="DZ305">
        <v>1.87469</v>
      </c>
      <c r="EA305">
        <v>1.8708800000000001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-0.84899999999999998</v>
      </c>
      <c r="EQ305">
        <v>9.5100000000000004E-2</v>
      </c>
      <c r="ER305">
        <v>-0.84881818181838797</v>
      </c>
      <c r="ES305">
        <v>0</v>
      </c>
      <c r="ET305">
        <v>0</v>
      </c>
      <c r="EU305">
        <v>0</v>
      </c>
      <c r="EV305">
        <v>9.5019999999999896E-2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6</v>
      </c>
      <c r="FE305">
        <v>6</v>
      </c>
      <c r="FF305">
        <v>2.5781200000000002</v>
      </c>
      <c r="FG305">
        <v>2.5805699999999998</v>
      </c>
      <c r="FH305">
        <v>2.19604</v>
      </c>
      <c r="FI305">
        <v>2.5769000000000002</v>
      </c>
      <c r="FJ305">
        <v>2.4462899999999999</v>
      </c>
      <c r="FK305">
        <v>2.32544</v>
      </c>
      <c r="FL305">
        <v>32.112400000000001</v>
      </c>
      <c r="FM305">
        <v>24.14</v>
      </c>
      <c r="FN305">
        <v>19</v>
      </c>
      <c r="FO305">
        <v>865.31100000000004</v>
      </c>
      <c r="FP305">
        <v>580.98800000000006</v>
      </c>
      <c r="FQ305">
        <v>17.7944</v>
      </c>
      <c r="FR305">
        <v>25.642099999999999</v>
      </c>
      <c r="FS305">
        <v>30.000299999999999</v>
      </c>
      <c r="FT305">
        <v>25.6219</v>
      </c>
      <c r="FU305">
        <v>25.625</v>
      </c>
      <c r="FV305">
        <v>51.693800000000003</v>
      </c>
      <c r="FW305">
        <v>24.174399999999999</v>
      </c>
      <c r="FX305">
        <v>32.5501</v>
      </c>
      <c r="FY305">
        <v>17.7928</v>
      </c>
      <c r="FZ305">
        <v>1000</v>
      </c>
      <c r="GA305">
        <v>14.4701</v>
      </c>
      <c r="GB305">
        <v>99.86</v>
      </c>
      <c r="GC305">
        <v>99.7423</v>
      </c>
    </row>
    <row r="306" spans="1:185" x14ac:dyDescent="0.2">
      <c r="A306">
        <v>291</v>
      </c>
      <c r="B306">
        <v>1771090959</v>
      </c>
      <c r="C306">
        <v>5639</v>
      </c>
      <c r="D306" t="s">
        <v>884</v>
      </c>
      <c r="E306" t="s">
        <v>885</v>
      </c>
      <c r="F306">
        <v>15</v>
      </c>
      <c r="G306">
        <v>1771090950.9333301</v>
      </c>
      <c r="H306">
        <f t="shared" si="52"/>
        <v>8.0790803972947674E-4</v>
      </c>
      <c r="I306">
        <v>0</v>
      </c>
      <c r="J306">
        <f t="shared" si="64"/>
        <v>9.1992373873422441E-3</v>
      </c>
      <c r="K306">
        <f t="shared" si="53"/>
        <v>0.24935393184537452</v>
      </c>
      <c r="L306">
        <f t="shared" si="54"/>
        <v>69.826862271124739</v>
      </c>
      <c r="M306">
        <f t="shared" si="55"/>
        <v>1.5398198655943909</v>
      </c>
      <c r="N306">
        <f t="shared" si="56"/>
        <v>2.2051969908307725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26222.037997214644</v>
      </c>
      <c r="T306">
        <f t="shared" si="60"/>
        <v>800.001933333333</v>
      </c>
      <c r="U306">
        <f t="shared" si="61"/>
        <v>674.4020186009393</v>
      </c>
      <c r="V306">
        <f t="shared" si="62"/>
        <v>0.84300048599999999</v>
      </c>
      <c r="W306">
        <f t="shared" si="63"/>
        <v>0.15870121500000001</v>
      </c>
      <c r="X306">
        <v>1</v>
      </c>
      <c r="Y306">
        <v>1771090950.9333301</v>
      </c>
      <c r="Z306">
        <v>998.65813333333301</v>
      </c>
      <c r="AA306">
        <v>999.97833333333301</v>
      </c>
      <c r="AB306">
        <v>15.40264</v>
      </c>
      <c r="AC306">
        <v>14.408326666666699</v>
      </c>
      <c r="AD306">
        <v>999.506933333333</v>
      </c>
      <c r="AE306">
        <v>15.30762</v>
      </c>
      <c r="AF306">
        <v>800.01353333333304</v>
      </c>
      <c r="AG306">
        <v>99.907013333333396</v>
      </c>
      <c r="AH306">
        <v>6.4151713333333305E-2</v>
      </c>
      <c r="AI306">
        <v>19.000119999999999</v>
      </c>
      <c r="AJ306">
        <v>999.9</v>
      </c>
      <c r="AK306">
        <v>999.9</v>
      </c>
      <c r="AL306">
        <v>0</v>
      </c>
      <c r="AM306">
        <v>0</v>
      </c>
      <c r="AN306">
        <v>5004</v>
      </c>
      <c r="AO306">
        <v>0</v>
      </c>
      <c r="AP306">
        <v>2.14547</v>
      </c>
      <c r="AQ306">
        <v>-1.3199259999999999</v>
      </c>
      <c r="AR306">
        <v>1014.28</v>
      </c>
      <c r="AS306">
        <v>1014.598</v>
      </c>
      <c r="AT306">
        <v>0.99433760000000004</v>
      </c>
      <c r="AU306">
        <v>999.97833333333301</v>
      </c>
      <c r="AV306">
        <v>14.408326666666699</v>
      </c>
      <c r="AW306">
        <v>1.5388313333333301</v>
      </c>
      <c r="AX306">
        <v>1.43949066666667</v>
      </c>
      <c r="AY306">
        <v>13.35956</v>
      </c>
      <c r="AZ306">
        <v>12.340146666666699</v>
      </c>
      <c r="BA306">
        <v>800.001933333333</v>
      </c>
      <c r="BB306">
        <v>0.8999838</v>
      </c>
      <c r="BC306">
        <v>0</v>
      </c>
      <c r="BD306">
        <v>0.1000162</v>
      </c>
      <c r="BE306">
        <v>0</v>
      </c>
      <c r="BF306">
        <v>26</v>
      </c>
      <c r="BG306">
        <v>13191.006666666701</v>
      </c>
      <c r="BH306">
        <v>1771090582</v>
      </c>
      <c r="BI306" t="s">
        <v>833</v>
      </c>
      <c r="BJ306">
        <v>1771090581</v>
      </c>
      <c r="BK306">
        <v>1771090582</v>
      </c>
      <c r="BL306">
        <v>10</v>
      </c>
      <c r="BM306">
        <v>0.125</v>
      </c>
      <c r="BN306">
        <v>-1.4E-2</v>
      </c>
      <c r="BO306">
        <v>-0.84899999999999998</v>
      </c>
      <c r="BP306">
        <v>9.5000000000000001E-2</v>
      </c>
      <c r="BQ306">
        <v>1000</v>
      </c>
      <c r="BR306">
        <v>14</v>
      </c>
      <c r="BS306">
        <v>0.37</v>
      </c>
      <c r="BT306">
        <v>0.05</v>
      </c>
      <c r="BU306">
        <v>-1.30769</v>
      </c>
      <c r="BV306">
        <v>-0.19796493506493601</v>
      </c>
      <c r="BW306">
        <v>4.8642971694152298E-2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0.99698385714285698</v>
      </c>
      <c r="CD306">
        <v>-9.8761792207793395E-2</v>
      </c>
      <c r="CE306">
        <v>1.5475440722351699E-2</v>
      </c>
      <c r="CF306">
        <v>1</v>
      </c>
      <c r="CG306">
        <v>2</v>
      </c>
      <c r="CH306">
        <v>2</v>
      </c>
      <c r="CI306" t="s">
        <v>310</v>
      </c>
      <c r="CJ306">
        <v>3.5325099999999998</v>
      </c>
      <c r="CK306">
        <v>2.7019799999999998</v>
      </c>
      <c r="CL306">
        <v>0.181565</v>
      </c>
      <c r="CM306">
        <v>0.179063</v>
      </c>
      <c r="CN306">
        <v>8.6904499999999996E-2</v>
      </c>
      <c r="CO306">
        <v>8.1920699999999999E-2</v>
      </c>
      <c r="CP306">
        <v>28695</v>
      </c>
      <c r="CQ306">
        <v>25280.5</v>
      </c>
      <c r="CR306">
        <v>32449.4</v>
      </c>
      <c r="CS306">
        <v>30720.9</v>
      </c>
      <c r="CT306">
        <v>40130.699999999997</v>
      </c>
      <c r="CU306">
        <v>39673.1</v>
      </c>
      <c r="CV306">
        <v>47391.3</v>
      </c>
      <c r="CW306">
        <v>46855.4</v>
      </c>
      <c r="CX306">
        <v>2.6206</v>
      </c>
      <c r="CY306">
        <v>2.13428</v>
      </c>
      <c r="CZ306">
        <v>0</v>
      </c>
      <c r="DA306">
        <v>0</v>
      </c>
      <c r="DB306">
        <v>999.9</v>
      </c>
      <c r="DC306">
        <v>999.9</v>
      </c>
      <c r="DD306">
        <v>48.993000000000002</v>
      </c>
      <c r="DE306">
        <v>27.513000000000002</v>
      </c>
      <c r="DF306">
        <v>18.088699999999999</v>
      </c>
      <c r="DG306">
        <v>30.2986</v>
      </c>
      <c r="DH306">
        <v>15.536899999999999</v>
      </c>
      <c r="DI306">
        <v>2</v>
      </c>
      <c r="DJ306">
        <v>-0.10707899999999999</v>
      </c>
      <c r="DK306">
        <v>2.69068</v>
      </c>
      <c r="DL306">
        <v>20.188300000000002</v>
      </c>
      <c r="DM306">
        <v>5.2505899999999999</v>
      </c>
      <c r="DN306">
        <v>12.033899999999999</v>
      </c>
      <c r="DO306">
        <v>4.9673600000000002</v>
      </c>
      <c r="DP306">
        <v>3.2909999999999999</v>
      </c>
      <c r="DQ306">
        <v>9999</v>
      </c>
      <c r="DR306">
        <v>9999</v>
      </c>
      <c r="DS306">
        <v>9999</v>
      </c>
      <c r="DT306">
        <v>605.4</v>
      </c>
      <c r="DU306">
        <v>1.87117</v>
      </c>
      <c r="DV306">
        <v>1.8762000000000001</v>
      </c>
      <c r="DW306">
        <v>1.8763700000000001</v>
      </c>
      <c r="DX306">
        <v>1.8829</v>
      </c>
      <c r="DY306">
        <v>1.87561</v>
      </c>
      <c r="DZ306">
        <v>1.87469</v>
      </c>
      <c r="EA306">
        <v>1.87087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-0.84899999999999998</v>
      </c>
      <c r="EQ306">
        <v>9.5000000000000001E-2</v>
      </c>
      <c r="ER306">
        <v>-0.84881818181838797</v>
      </c>
      <c r="ES306">
        <v>0</v>
      </c>
      <c r="ET306">
        <v>0</v>
      </c>
      <c r="EU306">
        <v>0</v>
      </c>
      <c r="EV306">
        <v>9.5019999999999896E-2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6.3</v>
      </c>
      <c r="FE306">
        <v>6.3</v>
      </c>
      <c r="FF306">
        <v>2.5781200000000002</v>
      </c>
      <c r="FG306">
        <v>2.5805699999999998</v>
      </c>
      <c r="FH306">
        <v>2.19604</v>
      </c>
      <c r="FI306">
        <v>2.5769000000000002</v>
      </c>
      <c r="FJ306">
        <v>2.4462899999999999</v>
      </c>
      <c r="FK306">
        <v>2.3010299999999999</v>
      </c>
      <c r="FL306">
        <v>32.112400000000001</v>
      </c>
      <c r="FM306">
        <v>24.14</v>
      </c>
      <c r="FN306">
        <v>19</v>
      </c>
      <c r="FO306">
        <v>865.27099999999996</v>
      </c>
      <c r="FP306">
        <v>580.97400000000005</v>
      </c>
      <c r="FQ306">
        <v>17.794599999999999</v>
      </c>
      <c r="FR306">
        <v>25.649699999999999</v>
      </c>
      <c r="FS306">
        <v>30.000399999999999</v>
      </c>
      <c r="FT306">
        <v>25.627500000000001</v>
      </c>
      <c r="FU306">
        <v>25.630600000000001</v>
      </c>
      <c r="FV306">
        <v>51.697699999999998</v>
      </c>
      <c r="FW306">
        <v>23.902100000000001</v>
      </c>
      <c r="FX306">
        <v>32.5501</v>
      </c>
      <c r="FY306">
        <v>17.793900000000001</v>
      </c>
      <c r="FZ306">
        <v>1000</v>
      </c>
      <c r="GA306">
        <v>14.474600000000001</v>
      </c>
      <c r="GB306">
        <v>99.858699999999999</v>
      </c>
      <c r="GC306">
        <v>99.740899999999996</v>
      </c>
    </row>
    <row r="307" spans="1:185" x14ac:dyDescent="0.2">
      <c r="A307">
        <v>292</v>
      </c>
      <c r="B307">
        <v>1771090974</v>
      </c>
      <c r="C307">
        <v>5654</v>
      </c>
      <c r="D307" t="s">
        <v>886</v>
      </c>
      <c r="E307" t="s">
        <v>887</v>
      </c>
      <c r="F307">
        <v>15</v>
      </c>
      <c r="G307">
        <v>1771090965.9333301</v>
      </c>
      <c r="H307">
        <f t="shared" si="52"/>
        <v>7.9245017905005071E-4</v>
      </c>
      <c r="I307">
        <v>0</v>
      </c>
      <c r="J307">
        <f t="shared" si="64"/>
        <v>9.3636621865637645E-3</v>
      </c>
      <c r="K307">
        <f t="shared" si="53"/>
        <v>0.25381081978645392</v>
      </c>
      <c r="L307">
        <f t="shared" si="54"/>
        <v>69.794174308110115</v>
      </c>
      <c r="M307">
        <f t="shared" si="55"/>
        <v>1.539344281157659</v>
      </c>
      <c r="N307">
        <f t="shared" si="56"/>
        <v>2.2055483805312193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26183.499093326202</v>
      </c>
      <c r="T307">
        <f t="shared" si="60"/>
        <v>799.99993333333305</v>
      </c>
      <c r="U307">
        <f t="shared" si="61"/>
        <v>674.40037099996403</v>
      </c>
      <c r="V307">
        <f t="shared" si="62"/>
        <v>0.84300053399999986</v>
      </c>
      <c r="W307">
        <f t="shared" si="63"/>
        <v>0.158701335</v>
      </c>
      <c r="X307">
        <v>1</v>
      </c>
      <c r="Y307">
        <v>1771090965.9333301</v>
      </c>
      <c r="Z307">
        <v>998.70806666666704</v>
      </c>
      <c r="AA307">
        <v>1000.0146</v>
      </c>
      <c r="AB307">
        <v>15.398206666666701</v>
      </c>
      <c r="AC307">
        <v>14.4229066666667</v>
      </c>
      <c r="AD307">
        <v>999.55693333333295</v>
      </c>
      <c r="AE307">
        <v>15.303179999999999</v>
      </c>
      <c r="AF307">
        <v>800.00806666666699</v>
      </c>
      <c r="AG307">
        <v>99.904906666666605</v>
      </c>
      <c r="AH307">
        <v>6.4155606666666698E-2</v>
      </c>
      <c r="AI307">
        <v>19.002673333333298</v>
      </c>
      <c r="AJ307">
        <v>999.9</v>
      </c>
      <c r="AK307">
        <v>999.9</v>
      </c>
      <c r="AL307">
        <v>0</v>
      </c>
      <c r="AM307">
        <v>0</v>
      </c>
      <c r="AN307">
        <v>4997.7666666666701</v>
      </c>
      <c r="AO307">
        <v>0</v>
      </c>
      <c r="AP307">
        <v>2.14547</v>
      </c>
      <c r="AQ307">
        <v>-1.30628266666667</v>
      </c>
      <c r="AR307">
        <v>1014.32666666667</v>
      </c>
      <c r="AS307">
        <v>1014.64933333333</v>
      </c>
      <c r="AT307">
        <v>0.97530373333333298</v>
      </c>
      <c r="AU307">
        <v>1000.0146</v>
      </c>
      <c r="AV307">
        <v>14.4229066666667</v>
      </c>
      <c r="AW307">
        <v>1.5383560000000001</v>
      </c>
      <c r="AX307">
        <v>1.44092</v>
      </c>
      <c r="AY307">
        <v>13.354799999999999</v>
      </c>
      <c r="AZ307">
        <v>12.35524</v>
      </c>
      <c r="BA307">
        <v>799.99993333333305</v>
      </c>
      <c r="BB307">
        <v>0.89998219999999995</v>
      </c>
      <c r="BC307">
        <v>0</v>
      </c>
      <c r="BD307">
        <v>0.1000178</v>
      </c>
      <c r="BE307">
        <v>0</v>
      </c>
      <c r="BF307">
        <v>26</v>
      </c>
      <c r="BG307">
        <v>13190.96</v>
      </c>
      <c r="BH307">
        <v>1771090582</v>
      </c>
      <c r="BI307" t="s">
        <v>833</v>
      </c>
      <c r="BJ307">
        <v>1771090581</v>
      </c>
      <c r="BK307">
        <v>1771090582</v>
      </c>
      <c r="BL307">
        <v>10</v>
      </c>
      <c r="BM307">
        <v>0.125</v>
      </c>
      <c r="BN307">
        <v>-1.4E-2</v>
      </c>
      <c r="BO307">
        <v>-0.84899999999999998</v>
      </c>
      <c r="BP307">
        <v>9.5000000000000001E-2</v>
      </c>
      <c r="BQ307">
        <v>1000</v>
      </c>
      <c r="BR307">
        <v>14</v>
      </c>
      <c r="BS307">
        <v>0.37</v>
      </c>
      <c r="BT307">
        <v>0.05</v>
      </c>
      <c r="BU307">
        <v>-1.3077885</v>
      </c>
      <c r="BV307">
        <v>-7.0160751879699404E-2</v>
      </c>
      <c r="BW307">
        <v>3.2651159592731203E-2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0.97613919999999998</v>
      </c>
      <c r="CD307">
        <v>-1.01489323308278E-2</v>
      </c>
      <c r="CE307">
        <v>1.84000382064821E-3</v>
      </c>
      <c r="CF307">
        <v>1</v>
      </c>
      <c r="CG307">
        <v>2</v>
      </c>
      <c r="CH307">
        <v>2</v>
      </c>
      <c r="CI307" t="s">
        <v>310</v>
      </c>
      <c r="CJ307">
        <v>3.53254</v>
      </c>
      <c r="CK307">
        <v>2.7016900000000001</v>
      </c>
      <c r="CL307">
        <v>0.18156</v>
      </c>
      <c r="CM307">
        <v>0.17907000000000001</v>
      </c>
      <c r="CN307">
        <v>8.6910000000000001E-2</v>
      </c>
      <c r="CO307">
        <v>8.1930299999999998E-2</v>
      </c>
      <c r="CP307">
        <v>28694.400000000001</v>
      </c>
      <c r="CQ307">
        <v>25279.599999999999</v>
      </c>
      <c r="CR307">
        <v>32448.6</v>
      </c>
      <c r="CS307">
        <v>30720.1</v>
      </c>
      <c r="CT307">
        <v>40129.599999999999</v>
      </c>
      <c r="CU307">
        <v>39671.800000000003</v>
      </c>
      <c r="CV307">
        <v>47390.2</v>
      </c>
      <c r="CW307">
        <v>46854.3</v>
      </c>
      <c r="CX307">
        <v>2.6203400000000001</v>
      </c>
      <c r="CY307">
        <v>2.1339199999999998</v>
      </c>
      <c r="CZ307">
        <v>0</v>
      </c>
      <c r="DA307">
        <v>0</v>
      </c>
      <c r="DB307">
        <v>999.9</v>
      </c>
      <c r="DC307">
        <v>999.9</v>
      </c>
      <c r="DD307">
        <v>48.944000000000003</v>
      </c>
      <c r="DE307">
        <v>27.523</v>
      </c>
      <c r="DF307">
        <v>18.081</v>
      </c>
      <c r="DG307">
        <v>29.9986</v>
      </c>
      <c r="DH307">
        <v>15.3886</v>
      </c>
      <c r="DI307">
        <v>2</v>
      </c>
      <c r="DJ307">
        <v>-0.10642500000000001</v>
      </c>
      <c r="DK307">
        <v>2.7086100000000002</v>
      </c>
      <c r="DL307">
        <v>20.188099999999999</v>
      </c>
      <c r="DM307">
        <v>5.2503500000000001</v>
      </c>
      <c r="DN307">
        <v>12.033899999999999</v>
      </c>
      <c r="DO307">
        <v>4.9671599999999998</v>
      </c>
      <c r="DP307">
        <v>3.2909999999999999</v>
      </c>
      <c r="DQ307">
        <v>9999</v>
      </c>
      <c r="DR307">
        <v>9999</v>
      </c>
      <c r="DS307">
        <v>9999</v>
      </c>
      <c r="DT307">
        <v>605.4</v>
      </c>
      <c r="DU307">
        <v>1.8711800000000001</v>
      </c>
      <c r="DV307">
        <v>1.8762099999999999</v>
      </c>
      <c r="DW307">
        <v>1.8763700000000001</v>
      </c>
      <c r="DX307">
        <v>1.88293</v>
      </c>
      <c r="DY307">
        <v>1.8756200000000001</v>
      </c>
      <c r="DZ307">
        <v>1.8747</v>
      </c>
      <c r="EA307">
        <v>1.8708800000000001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-0.84899999999999998</v>
      </c>
      <c r="EQ307">
        <v>9.5000000000000001E-2</v>
      </c>
      <c r="ER307">
        <v>-0.84881818181838797</v>
      </c>
      <c r="ES307">
        <v>0</v>
      </c>
      <c r="ET307">
        <v>0</v>
      </c>
      <c r="EU307">
        <v>0</v>
      </c>
      <c r="EV307">
        <v>9.5019999999999896E-2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6.5</v>
      </c>
      <c r="FE307">
        <v>6.5</v>
      </c>
      <c r="FF307">
        <v>2.5769000000000002</v>
      </c>
      <c r="FG307">
        <v>2.5817899999999998</v>
      </c>
      <c r="FH307">
        <v>2.19604</v>
      </c>
      <c r="FI307">
        <v>2.5769000000000002</v>
      </c>
      <c r="FJ307">
        <v>2.4462899999999999</v>
      </c>
      <c r="FK307">
        <v>2.3095699999999999</v>
      </c>
      <c r="FL307">
        <v>32.090400000000002</v>
      </c>
      <c r="FM307">
        <v>24.14</v>
      </c>
      <c r="FN307">
        <v>19</v>
      </c>
      <c r="FO307">
        <v>865.12099999999998</v>
      </c>
      <c r="FP307">
        <v>580.75800000000004</v>
      </c>
      <c r="FQ307">
        <v>17.792200000000001</v>
      </c>
      <c r="FR307">
        <v>25.6572</v>
      </c>
      <c r="FS307">
        <v>30.0002</v>
      </c>
      <c r="FT307">
        <v>25.633299999999998</v>
      </c>
      <c r="FU307">
        <v>25.636099999999999</v>
      </c>
      <c r="FV307">
        <v>51.692100000000003</v>
      </c>
      <c r="FW307">
        <v>23.902100000000001</v>
      </c>
      <c r="FX307">
        <v>32.5501</v>
      </c>
      <c r="FY307">
        <v>17.788699999999999</v>
      </c>
      <c r="FZ307">
        <v>1000</v>
      </c>
      <c r="GA307">
        <v>14.4765</v>
      </c>
      <c r="GB307">
        <v>99.856399999999994</v>
      </c>
      <c r="GC307">
        <v>99.738500000000002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2026-02-14T12:46:24Z</dcterms:created>
  <dcterms:modified xsi:type="dcterms:W3CDTF">2026-06-02T20:24:15Z</dcterms:modified>
</cp:coreProperties>
</file>