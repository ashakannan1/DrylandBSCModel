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akannan/Library/CloudStorage/OneDrive-Personal/Desktop/thesis/curves/crust_curves/lichens/lichen_licor/"/>
    </mc:Choice>
  </mc:AlternateContent>
  <xr:revisionPtr revIDLastSave="0" documentId="8_{AB153272-BBBE-5C44-A958-4D20D19043AD}" xr6:coauthVersionLast="47" xr6:coauthVersionMax="47" xr10:uidLastSave="{00000000-0000-0000-0000-000000000000}"/>
  <bookViews>
    <workbookView xWindow="240" yWindow="500" windowWidth="27440" windowHeight="1624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16" i="1"/>
  <c r="W307" i="1"/>
  <c r="V307" i="1"/>
  <c r="T307" i="1"/>
  <c r="U307" i="1" s="1"/>
  <c r="S307" i="1"/>
  <c r="Q307" i="1" s="1"/>
  <c r="N307" i="1"/>
  <c r="M307" i="1"/>
  <c r="W306" i="1"/>
  <c r="V306" i="1"/>
  <c r="T306" i="1"/>
  <c r="S306" i="1"/>
  <c r="Q306" i="1" s="1"/>
  <c r="H306" i="1" s="1"/>
  <c r="N306" i="1"/>
  <c r="M306" i="1"/>
  <c r="W305" i="1"/>
  <c r="V305" i="1"/>
  <c r="T305" i="1"/>
  <c r="U305" i="1" s="1"/>
  <c r="S305" i="1"/>
  <c r="Q305" i="1" s="1"/>
  <c r="H305" i="1" s="1"/>
  <c r="N305" i="1"/>
  <c r="M305" i="1"/>
  <c r="W304" i="1"/>
  <c r="V304" i="1"/>
  <c r="T304" i="1"/>
  <c r="S304" i="1"/>
  <c r="Q304" i="1" s="1"/>
  <c r="N304" i="1"/>
  <c r="M304" i="1"/>
  <c r="H304" i="1"/>
  <c r="W303" i="1"/>
  <c r="V303" i="1"/>
  <c r="T303" i="1"/>
  <c r="U303" i="1" s="1"/>
  <c r="S303" i="1"/>
  <c r="Q303" i="1" s="1"/>
  <c r="N303" i="1"/>
  <c r="M303" i="1"/>
  <c r="W302" i="1"/>
  <c r="V302" i="1"/>
  <c r="T302" i="1"/>
  <c r="S302" i="1"/>
  <c r="Q302" i="1" s="1"/>
  <c r="N302" i="1"/>
  <c r="M302" i="1"/>
  <c r="W301" i="1"/>
  <c r="V301" i="1"/>
  <c r="T301" i="1"/>
  <c r="S301" i="1"/>
  <c r="Q301" i="1" s="1"/>
  <c r="N301" i="1"/>
  <c r="M301" i="1"/>
  <c r="W300" i="1"/>
  <c r="V300" i="1"/>
  <c r="T300" i="1"/>
  <c r="S300" i="1"/>
  <c r="Q300" i="1" s="1"/>
  <c r="H300" i="1" s="1"/>
  <c r="N300" i="1"/>
  <c r="M300" i="1"/>
  <c r="L300" i="1" s="1"/>
  <c r="W299" i="1"/>
  <c r="V299" i="1"/>
  <c r="T299" i="1"/>
  <c r="U299" i="1" s="1"/>
  <c r="S299" i="1"/>
  <c r="Q299" i="1" s="1"/>
  <c r="N299" i="1"/>
  <c r="M299" i="1"/>
  <c r="W298" i="1"/>
  <c r="V298" i="1"/>
  <c r="T298" i="1"/>
  <c r="S298" i="1"/>
  <c r="Q298" i="1" s="1"/>
  <c r="N298" i="1"/>
  <c r="M298" i="1"/>
  <c r="H298" i="1"/>
  <c r="W297" i="1"/>
  <c r="V297" i="1"/>
  <c r="T297" i="1"/>
  <c r="S297" i="1"/>
  <c r="Q297" i="1" s="1"/>
  <c r="N297" i="1"/>
  <c r="M297" i="1"/>
  <c r="L297" i="1" s="1"/>
  <c r="H297" i="1"/>
  <c r="W296" i="1"/>
  <c r="V296" i="1"/>
  <c r="T296" i="1"/>
  <c r="U296" i="1" s="1"/>
  <c r="S296" i="1"/>
  <c r="Q296" i="1" s="1"/>
  <c r="H296" i="1" s="1"/>
  <c r="N296" i="1"/>
  <c r="M296" i="1"/>
  <c r="W295" i="1"/>
  <c r="V295" i="1"/>
  <c r="T295" i="1"/>
  <c r="S295" i="1"/>
  <c r="Q295" i="1" s="1"/>
  <c r="N295" i="1"/>
  <c r="M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N293" i="1"/>
  <c r="M293" i="1"/>
  <c r="L293" i="1" s="1"/>
  <c r="W292" i="1"/>
  <c r="V292" i="1"/>
  <c r="T292" i="1"/>
  <c r="S292" i="1"/>
  <c r="Q292" i="1" s="1"/>
  <c r="N292" i="1"/>
  <c r="M292" i="1"/>
  <c r="L292" i="1" s="1"/>
  <c r="H292" i="1"/>
  <c r="W291" i="1"/>
  <c r="V291" i="1"/>
  <c r="T291" i="1"/>
  <c r="U291" i="1" s="1"/>
  <c r="S291" i="1"/>
  <c r="Q291" i="1" s="1"/>
  <c r="N291" i="1"/>
  <c r="M291" i="1"/>
  <c r="W290" i="1"/>
  <c r="V290" i="1"/>
  <c r="T290" i="1"/>
  <c r="U290" i="1" s="1"/>
  <c r="S290" i="1"/>
  <c r="Q290" i="1" s="1"/>
  <c r="H290" i="1" s="1"/>
  <c r="N290" i="1"/>
  <c r="M290" i="1"/>
  <c r="W289" i="1"/>
  <c r="V289" i="1"/>
  <c r="T289" i="1"/>
  <c r="S289" i="1"/>
  <c r="Q289" i="1" s="1"/>
  <c r="H289" i="1" s="1"/>
  <c r="N289" i="1"/>
  <c r="M289" i="1"/>
  <c r="W288" i="1"/>
  <c r="V288" i="1"/>
  <c r="T288" i="1"/>
  <c r="S288" i="1"/>
  <c r="Q288" i="1" s="1"/>
  <c r="N288" i="1"/>
  <c r="M288" i="1"/>
  <c r="H288" i="1"/>
  <c r="W287" i="1"/>
  <c r="V287" i="1"/>
  <c r="T287" i="1"/>
  <c r="S287" i="1"/>
  <c r="Q287" i="1" s="1"/>
  <c r="N287" i="1"/>
  <c r="M287" i="1"/>
  <c r="L287" i="1" s="1"/>
  <c r="W286" i="1"/>
  <c r="V286" i="1"/>
  <c r="T286" i="1"/>
  <c r="S286" i="1"/>
  <c r="Q286" i="1" s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S284" i="1"/>
  <c r="Q284" i="1" s="1"/>
  <c r="H284" i="1" s="1"/>
  <c r="N284" i="1"/>
  <c r="M284" i="1"/>
  <c r="L284" i="1" s="1"/>
  <c r="W283" i="1"/>
  <c r="V283" i="1"/>
  <c r="T283" i="1"/>
  <c r="U283" i="1" s="1"/>
  <c r="S283" i="1"/>
  <c r="Q283" i="1" s="1"/>
  <c r="N283" i="1"/>
  <c r="M283" i="1"/>
  <c r="W282" i="1"/>
  <c r="V282" i="1"/>
  <c r="T282" i="1"/>
  <c r="S282" i="1"/>
  <c r="Q282" i="1" s="1"/>
  <c r="H282" i="1" s="1"/>
  <c r="N282" i="1"/>
  <c r="M282" i="1"/>
  <c r="W281" i="1"/>
  <c r="V281" i="1"/>
  <c r="T281" i="1"/>
  <c r="S281" i="1"/>
  <c r="Q281" i="1" s="1"/>
  <c r="H281" i="1" s="1"/>
  <c r="N281" i="1"/>
  <c r="M281" i="1"/>
  <c r="L281" i="1" s="1"/>
  <c r="W280" i="1"/>
  <c r="V280" i="1"/>
  <c r="T280" i="1"/>
  <c r="U280" i="1" s="1"/>
  <c r="S280" i="1"/>
  <c r="Q280" i="1" s="1"/>
  <c r="N280" i="1"/>
  <c r="M280" i="1"/>
  <c r="H280" i="1"/>
  <c r="W279" i="1"/>
  <c r="V279" i="1"/>
  <c r="T279" i="1"/>
  <c r="S279" i="1"/>
  <c r="Q279" i="1" s="1"/>
  <c r="N279" i="1"/>
  <c r="M279" i="1"/>
  <c r="W278" i="1"/>
  <c r="V278" i="1"/>
  <c r="T278" i="1"/>
  <c r="S278" i="1"/>
  <c r="Q278" i="1" s="1"/>
  <c r="N278" i="1"/>
  <c r="M278" i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R276" i="1" s="1"/>
  <c r="N276" i="1"/>
  <c r="M276" i="1"/>
  <c r="L276" i="1" s="1"/>
  <c r="W275" i="1"/>
  <c r="V275" i="1"/>
  <c r="T275" i="1"/>
  <c r="S275" i="1"/>
  <c r="Q275" i="1" s="1"/>
  <c r="N275" i="1"/>
  <c r="M275" i="1"/>
  <c r="W274" i="1"/>
  <c r="V274" i="1"/>
  <c r="U274" i="1" s="1"/>
  <c r="T274" i="1"/>
  <c r="S274" i="1"/>
  <c r="Q274" i="1" s="1"/>
  <c r="N274" i="1"/>
  <c r="M274" i="1"/>
  <c r="W273" i="1"/>
  <c r="V273" i="1"/>
  <c r="T273" i="1"/>
  <c r="S273" i="1"/>
  <c r="Q273" i="1" s="1"/>
  <c r="N273" i="1"/>
  <c r="M273" i="1"/>
  <c r="L273" i="1"/>
  <c r="W272" i="1"/>
  <c r="V272" i="1"/>
  <c r="T272" i="1"/>
  <c r="U272" i="1" s="1"/>
  <c r="S272" i="1"/>
  <c r="Q272" i="1" s="1"/>
  <c r="N272" i="1"/>
  <c r="M272" i="1"/>
  <c r="W271" i="1"/>
  <c r="V271" i="1"/>
  <c r="T271" i="1"/>
  <c r="S271" i="1"/>
  <c r="Q271" i="1" s="1"/>
  <c r="N271" i="1"/>
  <c r="M271" i="1"/>
  <c r="L271" i="1" s="1"/>
  <c r="W270" i="1"/>
  <c r="V270" i="1"/>
  <c r="T270" i="1"/>
  <c r="S270" i="1"/>
  <c r="Q270" i="1" s="1"/>
  <c r="K270" i="1" s="1"/>
  <c r="N270" i="1"/>
  <c r="M270" i="1"/>
  <c r="L270" i="1" s="1"/>
  <c r="W269" i="1"/>
  <c r="V269" i="1"/>
  <c r="T269" i="1"/>
  <c r="S269" i="1"/>
  <c r="Q269" i="1" s="1"/>
  <c r="N269" i="1"/>
  <c r="M269" i="1"/>
  <c r="W268" i="1"/>
  <c r="V268" i="1"/>
  <c r="T268" i="1"/>
  <c r="U268" i="1" s="1"/>
  <c r="S268" i="1"/>
  <c r="Q268" i="1" s="1"/>
  <c r="N268" i="1"/>
  <c r="M268" i="1"/>
  <c r="K268" i="1"/>
  <c r="W267" i="1"/>
  <c r="V267" i="1"/>
  <c r="T267" i="1"/>
  <c r="U267" i="1" s="1"/>
  <c r="S267" i="1"/>
  <c r="Q267" i="1" s="1"/>
  <c r="H267" i="1" s="1"/>
  <c r="N267" i="1"/>
  <c r="M267" i="1"/>
  <c r="W266" i="1"/>
  <c r="V266" i="1"/>
  <c r="T266" i="1"/>
  <c r="S266" i="1"/>
  <c r="Q266" i="1" s="1"/>
  <c r="R266" i="1" s="1"/>
  <c r="N266" i="1"/>
  <c r="M266" i="1"/>
  <c r="W265" i="1"/>
  <c r="V265" i="1"/>
  <c r="T265" i="1"/>
  <c r="U265" i="1" s="1"/>
  <c r="S265" i="1"/>
  <c r="Q265" i="1" s="1"/>
  <c r="N265" i="1"/>
  <c r="L265" i="1" s="1"/>
  <c r="M265" i="1"/>
  <c r="W264" i="1"/>
  <c r="V264" i="1"/>
  <c r="T264" i="1"/>
  <c r="U264" i="1" s="1"/>
  <c r="S264" i="1"/>
  <c r="Q264" i="1" s="1"/>
  <c r="K264" i="1" s="1"/>
  <c r="R264" i="1"/>
  <c r="N264" i="1"/>
  <c r="M264" i="1"/>
  <c r="W263" i="1"/>
  <c r="V263" i="1"/>
  <c r="T263" i="1"/>
  <c r="S263" i="1"/>
  <c r="Q263" i="1" s="1"/>
  <c r="H263" i="1" s="1"/>
  <c r="N263" i="1"/>
  <c r="M263" i="1"/>
  <c r="W262" i="1"/>
  <c r="V262" i="1"/>
  <c r="T262" i="1"/>
  <c r="S262" i="1"/>
  <c r="Q262" i="1" s="1"/>
  <c r="N262" i="1"/>
  <c r="M262" i="1"/>
  <c r="K262" i="1"/>
  <c r="W261" i="1"/>
  <c r="V261" i="1"/>
  <c r="T261" i="1"/>
  <c r="S261" i="1"/>
  <c r="Q261" i="1" s="1"/>
  <c r="N261" i="1"/>
  <c r="M261" i="1"/>
  <c r="W260" i="1"/>
  <c r="V260" i="1"/>
  <c r="T260" i="1"/>
  <c r="U260" i="1" s="1"/>
  <c r="S260" i="1"/>
  <c r="Q260" i="1" s="1"/>
  <c r="K260" i="1" s="1"/>
  <c r="N260" i="1"/>
  <c r="M260" i="1"/>
  <c r="L260" i="1" s="1"/>
  <c r="W259" i="1"/>
  <c r="V259" i="1"/>
  <c r="T259" i="1"/>
  <c r="U259" i="1" s="1"/>
  <c r="S259" i="1"/>
  <c r="Q259" i="1" s="1"/>
  <c r="N259" i="1"/>
  <c r="M259" i="1"/>
  <c r="W258" i="1"/>
  <c r="V258" i="1"/>
  <c r="U258" i="1" s="1"/>
  <c r="T258" i="1"/>
  <c r="S258" i="1"/>
  <c r="Q258" i="1" s="1"/>
  <c r="K258" i="1" s="1"/>
  <c r="N258" i="1"/>
  <c r="M258" i="1"/>
  <c r="W257" i="1"/>
  <c r="V257" i="1"/>
  <c r="T257" i="1"/>
  <c r="S257" i="1"/>
  <c r="Q257" i="1" s="1"/>
  <c r="N257" i="1"/>
  <c r="M257" i="1"/>
  <c r="W256" i="1"/>
  <c r="V256" i="1"/>
  <c r="T256" i="1"/>
  <c r="U256" i="1" s="1"/>
  <c r="S256" i="1"/>
  <c r="Q256" i="1" s="1"/>
  <c r="R256" i="1" s="1"/>
  <c r="N256" i="1"/>
  <c r="M256" i="1"/>
  <c r="H256" i="1"/>
  <c r="W255" i="1"/>
  <c r="V255" i="1"/>
  <c r="T255" i="1"/>
  <c r="S255" i="1"/>
  <c r="Q255" i="1" s="1"/>
  <c r="N255" i="1"/>
  <c r="M255" i="1"/>
  <c r="L255" i="1"/>
  <c r="W254" i="1"/>
  <c r="V254" i="1"/>
  <c r="T254" i="1"/>
  <c r="S254" i="1"/>
  <c r="Q254" i="1" s="1"/>
  <c r="N254" i="1"/>
  <c r="M254" i="1"/>
  <c r="W253" i="1"/>
  <c r="V253" i="1"/>
  <c r="T253" i="1"/>
  <c r="S253" i="1"/>
  <c r="Q253" i="1" s="1"/>
  <c r="N253" i="1"/>
  <c r="M253" i="1"/>
  <c r="W252" i="1"/>
  <c r="V252" i="1"/>
  <c r="T252" i="1"/>
  <c r="S252" i="1"/>
  <c r="Q252" i="1" s="1"/>
  <c r="K252" i="1" s="1"/>
  <c r="N252" i="1"/>
  <c r="M252" i="1"/>
  <c r="W251" i="1"/>
  <c r="V251" i="1"/>
  <c r="T251" i="1"/>
  <c r="S251" i="1"/>
  <c r="Q251" i="1" s="1"/>
  <c r="H251" i="1" s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H249" i="1" s="1"/>
  <c r="N249" i="1"/>
  <c r="M249" i="1"/>
  <c r="W248" i="1"/>
  <c r="V248" i="1"/>
  <c r="T248" i="1"/>
  <c r="U248" i="1" s="1"/>
  <c r="S248" i="1"/>
  <c r="Q248" i="1"/>
  <c r="N248" i="1"/>
  <c r="M248" i="1"/>
  <c r="W247" i="1"/>
  <c r="V247" i="1"/>
  <c r="T247" i="1"/>
  <c r="S247" i="1"/>
  <c r="Q247" i="1" s="1"/>
  <c r="N247" i="1"/>
  <c r="M247" i="1"/>
  <c r="L247" i="1" s="1"/>
  <c r="W246" i="1"/>
  <c r="V246" i="1"/>
  <c r="T246" i="1"/>
  <c r="S246" i="1"/>
  <c r="Q246" i="1" s="1"/>
  <c r="K246" i="1" s="1"/>
  <c r="N246" i="1"/>
  <c r="M246" i="1"/>
  <c r="H246" i="1"/>
  <c r="W245" i="1"/>
  <c r="V245" i="1"/>
  <c r="U245" i="1" s="1"/>
  <c r="T245" i="1"/>
  <c r="S245" i="1"/>
  <c r="Q245" i="1" s="1"/>
  <c r="N245" i="1"/>
  <c r="M245" i="1"/>
  <c r="W244" i="1"/>
  <c r="V244" i="1"/>
  <c r="T244" i="1"/>
  <c r="S244" i="1"/>
  <c r="Q244" i="1" s="1"/>
  <c r="N244" i="1"/>
  <c r="M244" i="1"/>
  <c r="W243" i="1"/>
  <c r="V243" i="1"/>
  <c r="T243" i="1"/>
  <c r="S243" i="1"/>
  <c r="Q243" i="1" s="1"/>
  <c r="H243" i="1" s="1"/>
  <c r="N243" i="1"/>
  <c r="M243" i="1"/>
  <c r="L243" i="1" s="1"/>
  <c r="W242" i="1"/>
  <c r="V242" i="1"/>
  <c r="T242" i="1"/>
  <c r="S242" i="1"/>
  <c r="Q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U240" i="1" s="1"/>
  <c r="S240" i="1"/>
  <c r="Q240" i="1" s="1"/>
  <c r="N240" i="1"/>
  <c r="L240" i="1" s="1"/>
  <c r="M240" i="1"/>
  <c r="W239" i="1"/>
  <c r="V239" i="1"/>
  <c r="T239" i="1"/>
  <c r="S239" i="1"/>
  <c r="Q239" i="1"/>
  <c r="N239" i="1"/>
  <c r="M239" i="1"/>
  <c r="W238" i="1"/>
  <c r="V238" i="1"/>
  <c r="T238" i="1"/>
  <c r="S238" i="1"/>
  <c r="Q238" i="1" s="1"/>
  <c r="H238" i="1" s="1"/>
  <c r="N238" i="1"/>
  <c r="M238" i="1"/>
  <c r="W237" i="1"/>
  <c r="V237" i="1"/>
  <c r="T237" i="1"/>
  <c r="S237" i="1"/>
  <c r="Q237" i="1" s="1"/>
  <c r="N237" i="1"/>
  <c r="M237" i="1"/>
  <c r="W236" i="1"/>
  <c r="V236" i="1"/>
  <c r="T236" i="1"/>
  <c r="U236" i="1" s="1"/>
  <c r="S236" i="1"/>
  <c r="Q236" i="1"/>
  <c r="N236" i="1"/>
  <c r="M236" i="1"/>
  <c r="W235" i="1"/>
  <c r="V235" i="1"/>
  <c r="T235" i="1"/>
  <c r="S235" i="1"/>
  <c r="Q235" i="1" s="1"/>
  <c r="H235" i="1" s="1"/>
  <c r="N235" i="1"/>
  <c r="M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 s="1"/>
  <c r="H232" i="1" s="1"/>
  <c r="N232" i="1"/>
  <c r="M232" i="1"/>
  <c r="W231" i="1"/>
  <c r="V231" i="1"/>
  <c r="U231" i="1" s="1"/>
  <c r="T231" i="1"/>
  <c r="S231" i="1"/>
  <c r="Q231" i="1" s="1"/>
  <c r="N231" i="1"/>
  <c r="M231" i="1"/>
  <c r="H231" i="1"/>
  <c r="W230" i="1"/>
  <c r="V230" i="1"/>
  <c r="T230" i="1"/>
  <c r="S230" i="1"/>
  <c r="Q230" i="1" s="1"/>
  <c r="N230" i="1"/>
  <c r="M230" i="1"/>
  <c r="W229" i="1"/>
  <c r="V229" i="1"/>
  <c r="T229" i="1"/>
  <c r="U229" i="1" s="1"/>
  <c r="S229" i="1"/>
  <c r="Q229" i="1" s="1"/>
  <c r="N229" i="1"/>
  <c r="M229" i="1"/>
  <c r="W228" i="1"/>
  <c r="V228" i="1"/>
  <c r="T228" i="1"/>
  <c r="U228" i="1" s="1"/>
  <c r="S228" i="1"/>
  <c r="Q228" i="1" s="1"/>
  <c r="H228" i="1" s="1"/>
  <c r="N228" i="1"/>
  <c r="M228" i="1"/>
  <c r="W227" i="1"/>
  <c r="V227" i="1"/>
  <c r="T227" i="1"/>
  <c r="U227" i="1" s="1"/>
  <c r="S227" i="1"/>
  <c r="R227" i="1"/>
  <c r="Q227" i="1"/>
  <c r="N227" i="1"/>
  <c r="M227" i="1"/>
  <c r="W226" i="1"/>
  <c r="V226" i="1"/>
  <c r="T226" i="1"/>
  <c r="U226" i="1" s="1"/>
  <c r="S226" i="1"/>
  <c r="Q226" i="1" s="1"/>
  <c r="H226" i="1" s="1"/>
  <c r="N226" i="1"/>
  <c r="M226" i="1"/>
  <c r="W225" i="1"/>
  <c r="V225" i="1"/>
  <c r="T225" i="1"/>
  <c r="U225" i="1" s="1"/>
  <c r="S225" i="1"/>
  <c r="Q225" i="1" s="1"/>
  <c r="H225" i="1" s="1"/>
  <c r="N225" i="1"/>
  <c r="M225" i="1"/>
  <c r="W224" i="1"/>
  <c r="V224" i="1"/>
  <c r="T224" i="1"/>
  <c r="S224" i="1"/>
  <c r="Q224" i="1"/>
  <c r="N224" i="1"/>
  <c r="M224" i="1"/>
  <c r="W223" i="1"/>
  <c r="V223" i="1"/>
  <c r="T223" i="1"/>
  <c r="S223" i="1"/>
  <c r="Q223" i="1" s="1"/>
  <c r="N223" i="1"/>
  <c r="M223" i="1"/>
  <c r="W222" i="1"/>
  <c r="V222" i="1"/>
  <c r="T222" i="1"/>
  <c r="S222" i="1"/>
  <c r="Q222" i="1"/>
  <c r="H222" i="1" s="1"/>
  <c r="N222" i="1"/>
  <c r="M222" i="1"/>
  <c r="W221" i="1"/>
  <c r="V221" i="1"/>
  <c r="T221" i="1"/>
  <c r="S221" i="1"/>
  <c r="Q221" i="1" s="1"/>
  <c r="H221" i="1" s="1"/>
  <c r="N221" i="1"/>
  <c r="M221" i="1"/>
  <c r="W220" i="1"/>
  <c r="V220" i="1"/>
  <c r="T220" i="1"/>
  <c r="U220" i="1" s="1"/>
  <c r="S220" i="1"/>
  <c r="Q220" i="1" s="1"/>
  <c r="N220" i="1"/>
  <c r="L220" i="1" s="1"/>
  <c r="M220" i="1"/>
  <c r="W219" i="1"/>
  <c r="V219" i="1"/>
  <c r="T219" i="1"/>
  <c r="U219" i="1" s="1"/>
  <c r="S219" i="1"/>
  <c r="Q219" i="1" s="1"/>
  <c r="H219" i="1" s="1"/>
  <c r="R219" i="1"/>
  <c r="N219" i="1"/>
  <c r="M219" i="1"/>
  <c r="W218" i="1"/>
  <c r="V218" i="1"/>
  <c r="T218" i="1"/>
  <c r="S218" i="1"/>
  <c r="Q218" i="1" s="1"/>
  <c r="N218" i="1"/>
  <c r="M218" i="1"/>
  <c r="W217" i="1"/>
  <c r="V217" i="1"/>
  <c r="T217" i="1"/>
  <c r="S217" i="1"/>
  <c r="Q217" i="1" s="1"/>
  <c r="H217" i="1" s="1"/>
  <c r="N217" i="1"/>
  <c r="M217" i="1"/>
  <c r="K217" i="1"/>
  <c r="W216" i="1"/>
  <c r="V216" i="1"/>
  <c r="T216" i="1"/>
  <c r="S216" i="1"/>
  <c r="Q216" i="1" s="1"/>
  <c r="H216" i="1" s="1"/>
  <c r="N216" i="1"/>
  <c r="M216" i="1"/>
  <c r="W215" i="1"/>
  <c r="V215" i="1"/>
  <c r="T215" i="1"/>
  <c r="S215" i="1"/>
  <c r="Q215" i="1"/>
  <c r="N215" i="1"/>
  <c r="M215" i="1"/>
  <c r="W214" i="1"/>
  <c r="V214" i="1"/>
  <c r="T214" i="1"/>
  <c r="S214" i="1"/>
  <c r="Q214" i="1" s="1"/>
  <c r="N214" i="1"/>
  <c r="M214" i="1"/>
  <c r="W213" i="1"/>
  <c r="V213" i="1"/>
  <c r="T213" i="1"/>
  <c r="U213" i="1" s="1"/>
  <c r="S213" i="1"/>
  <c r="Q213" i="1" s="1"/>
  <c r="N213" i="1"/>
  <c r="M213" i="1"/>
  <c r="W212" i="1"/>
  <c r="V212" i="1"/>
  <c r="T212" i="1"/>
  <c r="S212" i="1"/>
  <c r="Q212" i="1" s="1"/>
  <c r="H212" i="1" s="1"/>
  <c r="N212" i="1"/>
  <c r="L212" i="1" s="1"/>
  <c r="M212" i="1"/>
  <c r="W211" i="1"/>
  <c r="V211" i="1"/>
  <c r="U211" i="1" s="1"/>
  <c r="T211" i="1"/>
  <c r="S211" i="1"/>
  <c r="Q211" i="1" s="1"/>
  <c r="N211" i="1"/>
  <c r="M211" i="1"/>
  <c r="W210" i="1"/>
  <c r="V210" i="1"/>
  <c r="T210" i="1"/>
  <c r="U210" i="1" s="1"/>
  <c r="S210" i="1"/>
  <c r="Q210" i="1" s="1"/>
  <c r="N210" i="1"/>
  <c r="M210" i="1"/>
  <c r="W209" i="1"/>
  <c r="V209" i="1"/>
  <c r="T209" i="1"/>
  <c r="S209" i="1"/>
  <c r="Q209" i="1" s="1"/>
  <c r="N209" i="1"/>
  <c r="M209" i="1"/>
  <c r="W208" i="1"/>
  <c r="V208" i="1"/>
  <c r="T208" i="1"/>
  <c r="S208" i="1"/>
  <c r="Q208" i="1" s="1"/>
  <c r="N208" i="1"/>
  <c r="M208" i="1"/>
  <c r="W207" i="1"/>
  <c r="V207" i="1"/>
  <c r="U207" i="1"/>
  <c r="T207" i="1"/>
  <c r="S207" i="1"/>
  <c r="Q207" i="1" s="1"/>
  <c r="N207" i="1"/>
  <c r="M207" i="1"/>
  <c r="W206" i="1"/>
  <c r="V206" i="1"/>
  <c r="T206" i="1"/>
  <c r="S206" i="1"/>
  <c r="Q206" i="1" s="1"/>
  <c r="N206" i="1"/>
  <c r="M206" i="1"/>
  <c r="W205" i="1"/>
  <c r="V205" i="1"/>
  <c r="T205" i="1"/>
  <c r="S205" i="1"/>
  <c r="Q205" i="1" s="1"/>
  <c r="N205" i="1"/>
  <c r="M205" i="1"/>
  <c r="W204" i="1"/>
  <c r="V204" i="1"/>
  <c r="T204" i="1"/>
  <c r="S204" i="1"/>
  <c r="Q204" i="1" s="1"/>
  <c r="N204" i="1"/>
  <c r="L204" i="1" s="1"/>
  <c r="M204" i="1"/>
  <c r="W203" i="1"/>
  <c r="V203" i="1"/>
  <c r="T203" i="1"/>
  <c r="S203" i="1"/>
  <c r="Q203" i="1" s="1"/>
  <c r="N203" i="1"/>
  <c r="M203" i="1"/>
  <c r="W202" i="1"/>
  <c r="V202" i="1"/>
  <c r="T202" i="1"/>
  <c r="S202" i="1"/>
  <c r="Q202" i="1" s="1"/>
  <c r="H202" i="1" s="1"/>
  <c r="N202" i="1"/>
  <c r="M202" i="1"/>
  <c r="W201" i="1"/>
  <c r="V201" i="1"/>
  <c r="T201" i="1"/>
  <c r="S201" i="1"/>
  <c r="Q201" i="1" s="1"/>
  <c r="N201" i="1"/>
  <c r="M201" i="1"/>
  <c r="W200" i="1"/>
  <c r="V200" i="1"/>
  <c r="T200" i="1"/>
  <c r="U200" i="1" s="1"/>
  <c r="S200" i="1"/>
  <c r="Q200" i="1"/>
  <c r="N200" i="1"/>
  <c r="M200" i="1"/>
  <c r="W199" i="1"/>
  <c r="V199" i="1"/>
  <c r="T199" i="1"/>
  <c r="S199" i="1"/>
  <c r="Q199" i="1" s="1"/>
  <c r="H199" i="1" s="1"/>
  <c r="N199" i="1"/>
  <c r="M199" i="1"/>
  <c r="L199" i="1" s="1"/>
  <c r="W198" i="1"/>
  <c r="V198" i="1"/>
  <c r="T198" i="1"/>
  <c r="S198" i="1"/>
  <c r="Q198" i="1" s="1"/>
  <c r="N198" i="1"/>
  <c r="M198" i="1"/>
  <c r="W197" i="1"/>
  <c r="V197" i="1"/>
  <c r="T197" i="1"/>
  <c r="U197" i="1" s="1"/>
  <c r="S197" i="1"/>
  <c r="Q197" i="1" s="1"/>
  <c r="R197" i="1" s="1"/>
  <c r="N197" i="1"/>
  <c r="M197" i="1"/>
  <c r="W196" i="1"/>
  <c r="V196" i="1"/>
  <c r="T196" i="1"/>
  <c r="S196" i="1"/>
  <c r="Q196" i="1"/>
  <c r="N196" i="1"/>
  <c r="L196" i="1" s="1"/>
  <c r="M196" i="1"/>
  <c r="W195" i="1"/>
  <c r="V195" i="1"/>
  <c r="T195" i="1"/>
  <c r="U195" i="1" s="1"/>
  <c r="S195" i="1"/>
  <c r="Q195" i="1" s="1"/>
  <c r="H195" i="1" s="1"/>
  <c r="N195" i="1"/>
  <c r="M195" i="1"/>
  <c r="W194" i="1"/>
  <c r="V194" i="1"/>
  <c r="T194" i="1"/>
  <c r="U194" i="1" s="1"/>
  <c r="S194" i="1"/>
  <c r="Q194" i="1" s="1"/>
  <c r="N194" i="1"/>
  <c r="M194" i="1"/>
  <c r="H194" i="1"/>
  <c r="W193" i="1"/>
  <c r="V193" i="1"/>
  <c r="T193" i="1"/>
  <c r="S193" i="1"/>
  <c r="Q193" i="1" s="1"/>
  <c r="R193" i="1" s="1"/>
  <c r="N193" i="1"/>
  <c r="M193" i="1"/>
  <c r="H193" i="1"/>
  <c r="W192" i="1"/>
  <c r="V192" i="1"/>
  <c r="T192" i="1"/>
  <c r="S192" i="1"/>
  <c r="Q192" i="1" s="1"/>
  <c r="H192" i="1" s="1"/>
  <c r="N192" i="1"/>
  <c r="M192" i="1"/>
  <c r="W191" i="1"/>
  <c r="V191" i="1"/>
  <c r="T191" i="1"/>
  <c r="S191" i="1"/>
  <c r="Q191" i="1" s="1"/>
  <c r="R191" i="1" s="1"/>
  <c r="N191" i="1"/>
  <c r="M191" i="1"/>
  <c r="K191" i="1"/>
  <c r="W190" i="1"/>
  <c r="V190" i="1"/>
  <c r="T190" i="1"/>
  <c r="S190" i="1"/>
  <c r="Q190" i="1" s="1"/>
  <c r="N190" i="1"/>
  <c r="M190" i="1"/>
  <c r="W189" i="1"/>
  <c r="V189" i="1"/>
  <c r="T189" i="1"/>
  <c r="S189" i="1"/>
  <c r="Q189" i="1" s="1"/>
  <c r="R189" i="1" s="1"/>
  <c r="N189" i="1"/>
  <c r="M189" i="1"/>
  <c r="W188" i="1"/>
  <c r="V188" i="1"/>
  <c r="T188" i="1"/>
  <c r="S188" i="1"/>
  <c r="Q188" i="1" s="1"/>
  <c r="N188" i="1"/>
  <c r="M188" i="1"/>
  <c r="W187" i="1"/>
  <c r="V187" i="1"/>
  <c r="T187" i="1"/>
  <c r="U187" i="1" s="1"/>
  <c r="S187" i="1"/>
  <c r="Q187" i="1" s="1"/>
  <c r="N187" i="1"/>
  <c r="M187" i="1"/>
  <c r="W186" i="1"/>
  <c r="V186" i="1"/>
  <c r="T186" i="1"/>
  <c r="U186" i="1" s="1"/>
  <c r="S186" i="1"/>
  <c r="Q186" i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S183" i="1"/>
  <c r="Q183" i="1" s="1"/>
  <c r="N183" i="1"/>
  <c r="M183" i="1"/>
  <c r="W182" i="1"/>
  <c r="V182" i="1"/>
  <c r="T182" i="1"/>
  <c r="S182" i="1"/>
  <c r="Q182" i="1" s="1"/>
  <c r="N182" i="1"/>
  <c r="M182" i="1"/>
  <c r="W181" i="1"/>
  <c r="V181" i="1"/>
  <c r="T181" i="1"/>
  <c r="S181" i="1"/>
  <c r="Q181" i="1" s="1"/>
  <c r="R181" i="1" s="1"/>
  <c r="N181" i="1"/>
  <c r="M181" i="1"/>
  <c r="W180" i="1"/>
  <c r="V180" i="1"/>
  <c r="T180" i="1"/>
  <c r="S180" i="1"/>
  <c r="Q180" i="1" s="1"/>
  <c r="N180" i="1"/>
  <c r="M180" i="1"/>
  <c r="W179" i="1"/>
  <c r="V179" i="1"/>
  <c r="T179" i="1"/>
  <c r="U179" i="1" s="1"/>
  <c r="S179" i="1"/>
  <c r="Q179" i="1" s="1"/>
  <c r="H179" i="1" s="1"/>
  <c r="N179" i="1"/>
  <c r="M179" i="1"/>
  <c r="W178" i="1"/>
  <c r="V178" i="1"/>
  <c r="T178" i="1"/>
  <c r="U178" i="1" s="1"/>
  <c r="S178" i="1"/>
  <c r="Q178" i="1" s="1"/>
  <c r="N178" i="1"/>
  <c r="M178" i="1"/>
  <c r="W177" i="1"/>
  <c r="V177" i="1"/>
  <c r="T177" i="1"/>
  <c r="U177" i="1" s="1"/>
  <c r="S177" i="1"/>
  <c r="Q177" i="1" s="1"/>
  <c r="R177" i="1" s="1"/>
  <c r="N177" i="1"/>
  <c r="M177" i="1"/>
  <c r="K177" i="1"/>
  <c r="H177" i="1"/>
  <c r="W176" i="1"/>
  <c r="V176" i="1"/>
  <c r="T176" i="1"/>
  <c r="U176" i="1" s="1"/>
  <c r="S176" i="1"/>
  <c r="Q176" i="1"/>
  <c r="H176" i="1" s="1"/>
  <c r="N176" i="1"/>
  <c r="M176" i="1"/>
  <c r="L176" i="1" s="1"/>
  <c r="W175" i="1"/>
  <c r="V175" i="1"/>
  <c r="T175" i="1"/>
  <c r="S175" i="1"/>
  <c r="Q175" i="1" s="1"/>
  <c r="R175" i="1" s="1"/>
  <c r="N175" i="1"/>
  <c r="M175" i="1"/>
  <c r="L175" i="1" s="1"/>
  <c r="W174" i="1"/>
  <c r="V174" i="1"/>
  <c r="T174" i="1"/>
  <c r="S174" i="1"/>
  <c r="Q174" i="1" s="1"/>
  <c r="N174" i="1"/>
  <c r="M174" i="1"/>
  <c r="W173" i="1"/>
  <c r="V173" i="1"/>
  <c r="T173" i="1"/>
  <c r="S173" i="1"/>
  <c r="Q173" i="1" s="1"/>
  <c r="R173" i="1" s="1"/>
  <c r="N173" i="1"/>
  <c r="M173" i="1"/>
  <c r="W172" i="1"/>
  <c r="V172" i="1"/>
  <c r="T172" i="1"/>
  <c r="S172" i="1"/>
  <c r="Q172" i="1" s="1"/>
  <c r="N172" i="1"/>
  <c r="M172" i="1"/>
  <c r="W171" i="1"/>
  <c r="V171" i="1"/>
  <c r="T171" i="1"/>
  <c r="S171" i="1"/>
  <c r="Q171" i="1" s="1"/>
  <c r="N171" i="1"/>
  <c r="M171" i="1"/>
  <c r="L171" i="1" s="1"/>
  <c r="W170" i="1"/>
  <c r="V170" i="1"/>
  <c r="T170" i="1"/>
  <c r="S170" i="1"/>
  <c r="Q170" i="1" s="1"/>
  <c r="K170" i="1" s="1"/>
  <c r="N170" i="1"/>
  <c r="M170" i="1"/>
  <c r="W169" i="1"/>
  <c r="V169" i="1"/>
  <c r="T169" i="1"/>
  <c r="S169" i="1"/>
  <c r="Q169" i="1" s="1"/>
  <c r="R169" i="1" s="1"/>
  <c r="N169" i="1"/>
  <c r="M169" i="1"/>
  <c r="H169" i="1"/>
  <c r="W168" i="1"/>
  <c r="V168" i="1"/>
  <c r="T168" i="1"/>
  <c r="S168" i="1"/>
  <c r="Q168" i="1" s="1"/>
  <c r="N168" i="1"/>
  <c r="M168" i="1"/>
  <c r="W167" i="1"/>
  <c r="V167" i="1"/>
  <c r="U167" i="1"/>
  <c r="T167" i="1"/>
  <c r="S167" i="1"/>
  <c r="Q167" i="1" s="1"/>
  <c r="N167" i="1"/>
  <c r="M167" i="1"/>
  <c r="L167" i="1" s="1"/>
  <c r="W166" i="1"/>
  <c r="V166" i="1"/>
  <c r="T166" i="1"/>
  <c r="S166" i="1"/>
  <c r="Q166" i="1" s="1"/>
  <c r="R166" i="1" s="1"/>
  <c r="N166" i="1"/>
  <c r="M166" i="1"/>
  <c r="W165" i="1"/>
  <c r="V165" i="1"/>
  <c r="T165" i="1"/>
  <c r="S165" i="1"/>
  <c r="Q165" i="1" s="1"/>
  <c r="R165" i="1" s="1"/>
  <c r="N165" i="1"/>
  <c r="M165" i="1"/>
  <c r="W164" i="1"/>
  <c r="V164" i="1"/>
  <c r="T164" i="1"/>
  <c r="S164" i="1"/>
  <c r="Q164" i="1" s="1"/>
  <c r="N164" i="1"/>
  <c r="M164" i="1"/>
  <c r="W163" i="1"/>
  <c r="V163" i="1"/>
  <c r="T163" i="1"/>
  <c r="S163" i="1"/>
  <c r="Q163" i="1" s="1"/>
  <c r="R163" i="1" s="1"/>
  <c r="N163" i="1"/>
  <c r="M163" i="1"/>
  <c r="K163" i="1"/>
  <c r="H163" i="1"/>
  <c r="W162" i="1"/>
  <c r="V162" i="1"/>
  <c r="T162" i="1"/>
  <c r="S162" i="1"/>
  <c r="Q162" i="1"/>
  <c r="R162" i="1" s="1"/>
  <c r="N162" i="1"/>
  <c r="M162" i="1"/>
  <c r="W161" i="1"/>
  <c r="V161" i="1"/>
  <c r="T161" i="1"/>
  <c r="S161" i="1"/>
  <c r="Q161" i="1" s="1"/>
  <c r="H161" i="1" s="1"/>
  <c r="N161" i="1"/>
  <c r="M161" i="1"/>
  <c r="W160" i="1"/>
  <c r="V160" i="1"/>
  <c r="T160" i="1"/>
  <c r="S160" i="1"/>
  <c r="Q160" i="1" s="1"/>
  <c r="N160" i="1"/>
  <c r="M160" i="1"/>
  <c r="L160" i="1" s="1"/>
  <c r="W159" i="1"/>
  <c r="V159" i="1"/>
  <c r="T159" i="1"/>
  <c r="S159" i="1"/>
  <c r="Q159" i="1" s="1"/>
  <c r="N159" i="1"/>
  <c r="M159" i="1"/>
  <c r="K159" i="1"/>
  <c r="W158" i="1"/>
  <c r="V158" i="1"/>
  <c r="T158" i="1"/>
  <c r="S158" i="1"/>
  <c r="Q158" i="1" s="1"/>
  <c r="N158" i="1"/>
  <c r="M158" i="1"/>
  <c r="W157" i="1"/>
  <c r="V157" i="1"/>
  <c r="T157" i="1"/>
  <c r="S157" i="1"/>
  <c r="Q157" i="1" s="1"/>
  <c r="N157" i="1"/>
  <c r="M157" i="1"/>
  <c r="W156" i="1"/>
  <c r="V156" i="1"/>
  <c r="T156" i="1"/>
  <c r="S156" i="1"/>
  <c r="Q156" i="1" s="1"/>
  <c r="H156" i="1" s="1"/>
  <c r="N156" i="1"/>
  <c r="M156" i="1"/>
  <c r="W155" i="1"/>
  <c r="V155" i="1"/>
  <c r="T155" i="1"/>
  <c r="S155" i="1"/>
  <c r="Q155" i="1" s="1"/>
  <c r="R155" i="1" s="1"/>
  <c r="N155" i="1"/>
  <c r="M155" i="1"/>
  <c r="W154" i="1"/>
  <c r="V154" i="1"/>
  <c r="T154" i="1"/>
  <c r="S154" i="1"/>
  <c r="Q154" i="1" s="1"/>
  <c r="N154" i="1"/>
  <c r="M154" i="1"/>
  <c r="W153" i="1"/>
  <c r="V153" i="1"/>
  <c r="T153" i="1"/>
  <c r="U153" i="1" s="1"/>
  <c r="S153" i="1"/>
  <c r="Q153" i="1" s="1"/>
  <c r="R153" i="1" s="1"/>
  <c r="N153" i="1"/>
  <c r="M153" i="1"/>
  <c r="K153" i="1"/>
  <c r="W152" i="1"/>
  <c r="V152" i="1"/>
  <c r="T152" i="1"/>
  <c r="S152" i="1"/>
  <c r="Q152" i="1" s="1"/>
  <c r="R152" i="1" s="1"/>
  <c r="N152" i="1"/>
  <c r="M152" i="1"/>
  <c r="W151" i="1"/>
  <c r="V151" i="1"/>
  <c r="T151" i="1"/>
  <c r="S151" i="1"/>
  <c r="Q151" i="1" s="1"/>
  <c r="K151" i="1" s="1"/>
  <c r="R151" i="1"/>
  <c r="N151" i="1"/>
  <c r="M151" i="1"/>
  <c r="L151" i="1" s="1"/>
  <c r="W150" i="1"/>
  <c r="V150" i="1"/>
  <c r="T150" i="1"/>
  <c r="S150" i="1"/>
  <c r="Q150" i="1" s="1"/>
  <c r="N150" i="1"/>
  <c r="M150" i="1"/>
  <c r="W149" i="1"/>
  <c r="V149" i="1"/>
  <c r="T149" i="1"/>
  <c r="U149" i="1" s="1"/>
  <c r="S149" i="1"/>
  <c r="Q149" i="1" s="1"/>
  <c r="R149" i="1" s="1"/>
  <c r="N149" i="1"/>
  <c r="M149" i="1"/>
  <c r="L149" i="1" s="1"/>
  <c r="W148" i="1"/>
  <c r="V148" i="1"/>
  <c r="T148" i="1"/>
  <c r="U148" i="1" s="1"/>
  <c r="S148" i="1"/>
  <c r="Q148" i="1" s="1"/>
  <c r="N148" i="1"/>
  <c r="M148" i="1"/>
  <c r="L148" i="1" s="1"/>
  <c r="W147" i="1"/>
  <c r="V147" i="1"/>
  <c r="T147" i="1"/>
  <c r="S147" i="1"/>
  <c r="Q147" i="1" s="1"/>
  <c r="H147" i="1" s="1"/>
  <c r="N147" i="1"/>
  <c r="M147" i="1"/>
  <c r="L147" i="1" s="1"/>
  <c r="K147" i="1"/>
  <c r="W146" i="1"/>
  <c r="V146" i="1"/>
  <c r="T146" i="1"/>
  <c r="S146" i="1"/>
  <c r="Q146" i="1" s="1"/>
  <c r="N146" i="1"/>
  <c r="M146" i="1"/>
  <c r="W145" i="1"/>
  <c r="V145" i="1"/>
  <c r="T145" i="1"/>
  <c r="S145" i="1"/>
  <c r="Q145" i="1" s="1"/>
  <c r="H145" i="1" s="1"/>
  <c r="N145" i="1"/>
  <c r="M145" i="1"/>
  <c r="W144" i="1"/>
  <c r="V144" i="1"/>
  <c r="T144" i="1"/>
  <c r="S144" i="1"/>
  <c r="Q144" i="1" s="1"/>
  <c r="H144" i="1" s="1"/>
  <c r="N144" i="1"/>
  <c r="M144" i="1"/>
  <c r="W143" i="1"/>
  <c r="V143" i="1"/>
  <c r="T143" i="1"/>
  <c r="S143" i="1"/>
  <c r="Q143" i="1" s="1"/>
  <c r="R143" i="1"/>
  <c r="N143" i="1"/>
  <c r="M143" i="1"/>
  <c r="W142" i="1"/>
  <c r="V142" i="1"/>
  <c r="T142" i="1"/>
  <c r="S142" i="1"/>
  <c r="Q142" i="1" s="1"/>
  <c r="R142" i="1" s="1"/>
  <c r="N142" i="1"/>
  <c r="L142" i="1" s="1"/>
  <c r="M142" i="1"/>
  <c r="W141" i="1"/>
  <c r="V141" i="1"/>
  <c r="T141" i="1"/>
  <c r="S141" i="1"/>
  <c r="Q141" i="1" s="1"/>
  <c r="R141" i="1" s="1"/>
  <c r="N141" i="1"/>
  <c r="M141" i="1"/>
  <c r="L141" i="1"/>
  <c r="W140" i="1"/>
  <c r="V140" i="1"/>
  <c r="T140" i="1"/>
  <c r="S140" i="1"/>
  <c r="Q140" i="1" s="1"/>
  <c r="K140" i="1" s="1"/>
  <c r="N140" i="1"/>
  <c r="M140" i="1"/>
  <c r="W139" i="1"/>
  <c r="V139" i="1"/>
  <c r="T139" i="1"/>
  <c r="S139" i="1"/>
  <c r="Q139" i="1" s="1"/>
  <c r="N139" i="1"/>
  <c r="M139" i="1"/>
  <c r="W138" i="1"/>
  <c r="V138" i="1"/>
  <c r="T138" i="1"/>
  <c r="U138" i="1" s="1"/>
  <c r="S138" i="1"/>
  <c r="Q138" i="1" s="1"/>
  <c r="N138" i="1"/>
  <c r="M138" i="1"/>
  <c r="W137" i="1"/>
  <c r="V137" i="1"/>
  <c r="T137" i="1"/>
  <c r="S137" i="1"/>
  <c r="Q137" i="1" s="1"/>
  <c r="N137" i="1"/>
  <c r="M137" i="1"/>
  <c r="W136" i="1"/>
  <c r="V136" i="1"/>
  <c r="T136" i="1"/>
  <c r="U136" i="1" s="1"/>
  <c r="S136" i="1"/>
  <c r="Q136" i="1" s="1"/>
  <c r="N136" i="1"/>
  <c r="M136" i="1"/>
  <c r="L136" i="1" s="1"/>
  <c r="W135" i="1"/>
  <c r="V135" i="1"/>
  <c r="T135" i="1"/>
  <c r="S135" i="1"/>
  <c r="Q135" i="1" s="1"/>
  <c r="N135" i="1"/>
  <c r="M135" i="1"/>
  <c r="L135" i="1" s="1"/>
  <c r="W134" i="1"/>
  <c r="V134" i="1"/>
  <c r="U134" i="1" s="1"/>
  <c r="T134" i="1"/>
  <c r="S134" i="1"/>
  <c r="Q134" i="1" s="1"/>
  <c r="K134" i="1" s="1"/>
  <c r="N134" i="1"/>
  <c r="M134" i="1"/>
  <c r="W133" i="1"/>
  <c r="V133" i="1"/>
  <c r="T133" i="1"/>
  <c r="S133" i="1"/>
  <c r="Q133" i="1"/>
  <c r="H133" i="1" s="1"/>
  <c r="N133" i="1"/>
  <c r="M133" i="1"/>
  <c r="W132" i="1"/>
  <c r="V132" i="1"/>
  <c r="U132" i="1" s="1"/>
  <c r="T132" i="1"/>
  <c r="S132" i="1"/>
  <c r="Q132" i="1"/>
  <c r="N132" i="1"/>
  <c r="M132" i="1"/>
  <c r="W131" i="1"/>
  <c r="V131" i="1"/>
  <c r="T131" i="1"/>
  <c r="S131" i="1"/>
  <c r="Q131" i="1" s="1"/>
  <c r="R131" i="1" s="1"/>
  <c r="N131" i="1"/>
  <c r="M131" i="1"/>
  <c r="L131" i="1" s="1"/>
  <c r="W130" i="1"/>
  <c r="V130" i="1"/>
  <c r="T130" i="1"/>
  <c r="S130" i="1"/>
  <c r="Q130" i="1" s="1"/>
  <c r="K130" i="1" s="1"/>
  <c r="N130" i="1"/>
  <c r="M130" i="1"/>
  <c r="W129" i="1"/>
  <c r="V129" i="1"/>
  <c r="T129" i="1"/>
  <c r="S129" i="1"/>
  <c r="Q129" i="1" s="1"/>
  <c r="N129" i="1"/>
  <c r="M129" i="1"/>
  <c r="W128" i="1"/>
  <c r="V128" i="1"/>
  <c r="U128" i="1" s="1"/>
  <c r="T128" i="1"/>
  <c r="S128" i="1"/>
  <c r="Q128" i="1" s="1"/>
  <c r="K128" i="1" s="1"/>
  <c r="N128" i="1"/>
  <c r="M128" i="1"/>
  <c r="L128" i="1" s="1"/>
  <c r="W127" i="1"/>
  <c r="V127" i="1"/>
  <c r="T127" i="1"/>
  <c r="U127" i="1" s="1"/>
  <c r="S127" i="1"/>
  <c r="Q127" i="1"/>
  <c r="H127" i="1" s="1"/>
  <c r="N127" i="1"/>
  <c r="M127" i="1"/>
  <c r="W126" i="1"/>
  <c r="V126" i="1"/>
  <c r="T126" i="1"/>
  <c r="S126" i="1"/>
  <c r="Q126" i="1"/>
  <c r="N126" i="1"/>
  <c r="M126" i="1"/>
  <c r="W125" i="1"/>
  <c r="V125" i="1"/>
  <c r="T125" i="1"/>
  <c r="S125" i="1"/>
  <c r="Q125" i="1" s="1"/>
  <c r="H125" i="1" s="1"/>
  <c r="N125" i="1"/>
  <c r="M125" i="1"/>
  <c r="W124" i="1"/>
  <c r="V124" i="1"/>
  <c r="U124" i="1" s="1"/>
  <c r="T124" i="1"/>
  <c r="S124" i="1"/>
  <c r="Q124" i="1" s="1"/>
  <c r="K124" i="1" s="1"/>
  <c r="N124" i="1"/>
  <c r="M124" i="1"/>
  <c r="W123" i="1"/>
  <c r="V123" i="1"/>
  <c r="T123" i="1"/>
  <c r="S123" i="1"/>
  <c r="Q123" i="1" s="1"/>
  <c r="R123" i="1" s="1"/>
  <c r="N123" i="1"/>
  <c r="M123" i="1"/>
  <c r="W122" i="1"/>
  <c r="V122" i="1"/>
  <c r="T122" i="1"/>
  <c r="S122" i="1"/>
  <c r="Q122" i="1"/>
  <c r="N122" i="1"/>
  <c r="M122" i="1"/>
  <c r="L122" i="1" s="1"/>
  <c r="W121" i="1"/>
  <c r="V121" i="1"/>
  <c r="T121" i="1"/>
  <c r="S121" i="1"/>
  <c r="Q121" i="1"/>
  <c r="R121" i="1" s="1"/>
  <c r="N121" i="1"/>
  <c r="M121" i="1"/>
  <c r="W120" i="1"/>
  <c r="V120" i="1"/>
  <c r="T120" i="1"/>
  <c r="S120" i="1"/>
  <c r="Q120" i="1" s="1"/>
  <c r="N120" i="1"/>
  <c r="M120" i="1"/>
  <c r="W119" i="1"/>
  <c r="V119" i="1"/>
  <c r="T119" i="1"/>
  <c r="S119" i="1"/>
  <c r="Q119" i="1" s="1"/>
  <c r="H119" i="1" s="1"/>
  <c r="N119" i="1"/>
  <c r="M119" i="1"/>
  <c r="L119" i="1" s="1"/>
  <c r="W118" i="1"/>
  <c r="V118" i="1"/>
  <c r="U118" i="1" s="1"/>
  <c r="T118" i="1"/>
  <c r="S118" i="1"/>
  <c r="Q118" i="1"/>
  <c r="N118" i="1"/>
  <c r="M118" i="1"/>
  <c r="L118" i="1" s="1"/>
  <c r="K118" i="1"/>
  <c r="W117" i="1"/>
  <c r="V117" i="1"/>
  <c r="T117" i="1"/>
  <c r="S117" i="1"/>
  <c r="Q117" i="1" s="1"/>
  <c r="H117" i="1" s="1"/>
  <c r="N117" i="1"/>
  <c r="M117" i="1"/>
  <c r="W116" i="1"/>
  <c r="V116" i="1"/>
  <c r="T116" i="1"/>
  <c r="S116" i="1"/>
  <c r="Q116" i="1"/>
  <c r="N116" i="1"/>
  <c r="M116" i="1"/>
  <c r="W115" i="1"/>
  <c r="V115" i="1"/>
  <c r="T115" i="1"/>
  <c r="S115" i="1"/>
  <c r="Q115" i="1" s="1"/>
  <c r="R115" i="1" s="1"/>
  <c r="N115" i="1"/>
  <c r="M115" i="1"/>
  <c r="L115" i="1" s="1"/>
  <c r="W114" i="1"/>
  <c r="V114" i="1"/>
  <c r="U114" i="1" s="1"/>
  <c r="T114" i="1"/>
  <c r="S114" i="1"/>
  <c r="Q114" i="1" s="1"/>
  <c r="N114" i="1"/>
  <c r="M114" i="1"/>
  <c r="W113" i="1"/>
  <c r="V113" i="1"/>
  <c r="T113" i="1"/>
  <c r="S113" i="1"/>
  <c r="Q113" i="1" s="1"/>
  <c r="R113" i="1"/>
  <c r="N113" i="1"/>
  <c r="M113" i="1"/>
  <c r="W112" i="1"/>
  <c r="V112" i="1"/>
  <c r="U112" i="1" s="1"/>
  <c r="T112" i="1"/>
  <c r="S112" i="1"/>
  <c r="Q112" i="1" s="1"/>
  <c r="K112" i="1" s="1"/>
  <c r="N112" i="1"/>
  <c r="M112" i="1"/>
  <c r="L112" i="1" s="1"/>
  <c r="W111" i="1"/>
  <c r="V111" i="1"/>
  <c r="T111" i="1"/>
  <c r="U111" i="1" s="1"/>
  <c r="S111" i="1"/>
  <c r="Q111" i="1"/>
  <c r="H111" i="1" s="1"/>
  <c r="N111" i="1"/>
  <c r="M111" i="1"/>
  <c r="W110" i="1"/>
  <c r="V110" i="1"/>
  <c r="T110" i="1"/>
  <c r="U110" i="1" s="1"/>
  <c r="S110" i="1"/>
  <c r="Q110" i="1"/>
  <c r="N110" i="1"/>
  <c r="M110" i="1"/>
  <c r="W109" i="1"/>
  <c r="V109" i="1"/>
  <c r="T109" i="1"/>
  <c r="S109" i="1"/>
  <c r="Q109" i="1" s="1"/>
  <c r="R109" i="1" s="1"/>
  <c r="N109" i="1"/>
  <c r="M109" i="1"/>
  <c r="L109" i="1" s="1"/>
  <c r="W108" i="1"/>
  <c r="V108" i="1"/>
  <c r="T108" i="1"/>
  <c r="S108" i="1"/>
  <c r="Q108" i="1" s="1"/>
  <c r="K108" i="1" s="1"/>
  <c r="N108" i="1"/>
  <c r="M108" i="1"/>
  <c r="W107" i="1"/>
  <c r="V107" i="1"/>
  <c r="T107" i="1"/>
  <c r="U107" i="1" s="1"/>
  <c r="S107" i="1"/>
  <c r="Q107" i="1" s="1"/>
  <c r="N107" i="1"/>
  <c r="M107" i="1"/>
  <c r="W106" i="1"/>
  <c r="V106" i="1"/>
  <c r="T106" i="1"/>
  <c r="S106" i="1"/>
  <c r="Q106" i="1"/>
  <c r="N106" i="1"/>
  <c r="M106" i="1"/>
  <c r="L106" i="1" s="1"/>
  <c r="W105" i="1"/>
  <c r="V105" i="1"/>
  <c r="T105" i="1"/>
  <c r="S105" i="1"/>
  <c r="Q105" i="1" s="1"/>
  <c r="R105" i="1" s="1"/>
  <c r="N105" i="1"/>
  <c r="M105" i="1"/>
  <c r="W104" i="1"/>
  <c r="V104" i="1"/>
  <c r="T104" i="1"/>
  <c r="U104" i="1" s="1"/>
  <c r="S104" i="1"/>
  <c r="Q104" i="1" s="1"/>
  <c r="N104" i="1"/>
  <c r="M104" i="1"/>
  <c r="W103" i="1"/>
  <c r="V103" i="1"/>
  <c r="T103" i="1"/>
  <c r="U103" i="1" s="1"/>
  <c r="S103" i="1"/>
  <c r="Q103" i="1" s="1"/>
  <c r="N103" i="1"/>
  <c r="M103" i="1"/>
  <c r="W102" i="1"/>
  <c r="V102" i="1"/>
  <c r="T102" i="1"/>
  <c r="S102" i="1"/>
  <c r="Q102" i="1"/>
  <c r="K102" i="1" s="1"/>
  <c r="N102" i="1"/>
  <c r="M102" i="1"/>
  <c r="L102" i="1" s="1"/>
  <c r="W101" i="1"/>
  <c r="V101" i="1"/>
  <c r="T101" i="1"/>
  <c r="U101" i="1" s="1"/>
  <c r="S101" i="1"/>
  <c r="Q101" i="1"/>
  <c r="N101" i="1"/>
  <c r="M101" i="1"/>
  <c r="L101" i="1" s="1"/>
  <c r="W100" i="1"/>
  <c r="V100" i="1"/>
  <c r="T100" i="1"/>
  <c r="S100" i="1"/>
  <c r="Q100" i="1" s="1"/>
  <c r="H100" i="1" s="1"/>
  <c r="N100" i="1"/>
  <c r="M100" i="1"/>
  <c r="L100" i="1" s="1"/>
  <c r="W99" i="1"/>
  <c r="V99" i="1"/>
  <c r="T99" i="1"/>
  <c r="S99" i="1"/>
  <c r="Q99" i="1"/>
  <c r="N99" i="1"/>
  <c r="M99" i="1"/>
  <c r="L99" i="1" s="1"/>
  <c r="W98" i="1"/>
  <c r="V98" i="1"/>
  <c r="T98" i="1"/>
  <c r="S98" i="1"/>
  <c r="Q98" i="1" s="1"/>
  <c r="K98" i="1" s="1"/>
  <c r="N98" i="1"/>
  <c r="M98" i="1"/>
  <c r="W97" i="1"/>
  <c r="V97" i="1"/>
  <c r="T97" i="1"/>
  <c r="U97" i="1" s="1"/>
  <c r="S97" i="1"/>
  <c r="Q97" i="1" s="1"/>
  <c r="R97" i="1" s="1"/>
  <c r="N97" i="1"/>
  <c r="M97" i="1"/>
  <c r="L97" i="1" s="1"/>
  <c r="W96" i="1"/>
  <c r="V96" i="1"/>
  <c r="T96" i="1"/>
  <c r="S96" i="1"/>
  <c r="Q96" i="1" s="1"/>
  <c r="R96" i="1" s="1"/>
  <c r="N96" i="1"/>
  <c r="L96" i="1" s="1"/>
  <c r="M96" i="1"/>
  <c r="W95" i="1"/>
  <c r="V95" i="1"/>
  <c r="T95" i="1"/>
  <c r="S95" i="1"/>
  <c r="Q95" i="1" s="1"/>
  <c r="K95" i="1" s="1"/>
  <c r="N95" i="1"/>
  <c r="M95" i="1"/>
  <c r="W94" i="1"/>
  <c r="V94" i="1"/>
  <c r="T94" i="1"/>
  <c r="U94" i="1" s="1"/>
  <c r="S94" i="1"/>
  <c r="Q94" i="1" s="1"/>
  <c r="N94" i="1"/>
  <c r="M94" i="1"/>
  <c r="W93" i="1"/>
  <c r="V93" i="1"/>
  <c r="T93" i="1"/>
  <c r="S93" i="1"/>
  <c r="Q93" i="1" s="1"/>
  <c r="K93" i="1" s="1"/>
  <c r="N93" i="1"/>
  <c r="M93" i="1"/>
  <c r="L93" i="1" s="1"/>
  <c r="W92" i="1"/>
  <c r="V92" i="1"/>
  <c r="T92" i="1"/>
  <c r="S92" i="1"/>
  <c r="Q92" i="1" s="1"/>
  <c r="R92" i="1" s="1"/>
  <c r="N92" i="1"/>
  <c r="M92" i="1"/>
  <c r="L92" i="1" s="1"/>
  <c r="W91" i="1"/>
  <c r="V91" i="1"/>
  <c r="T91" i="1"/>
  <c r="S91" i="1"/>
  <c r="Q91" i="1" s="1"/>
  <c r="N91" i="1"/>
  <c r="M91" i="1"/>
  <c r="L91" i="1" s="1"/>
  <c r="W90" i="1"/>
  <c r="V90" i="1"/>
  <c r="T90" i="1"/>
  <c r="U90" i="1" s="1"/>
  <c r="S90" i="1"/>
  <c r="Q90" i="1"/>
  <c r="K90" i="1" s="1"/>
  <c r="N90" i="1"/>
  <c r="M90" i="1"/>
  <c r="W89" i="1"/>
  <c r="V89" i="1"/>
  <c r="T89" i="1"/>
  <c r="U89" i="1" s="1"/>
  <c r="S89" i="1"/>
  <c r="Q89" i="1" s="1"/>
  <c r="K89" i="1" s="1"/>
  <c r="R89" i="1"/>
  <c r="N89" i="1"/>
  <c r="M89" i="1"/>
  <c r="W88" i="1"/>
  <c r="V88" i="1"/>
  <c r="T88" i="1"/>
  <c r="S88" i="1"/>
  <c r="Q88" i="1" s="1"/>
  <c r="N88" i="1"/>
  <c r="M88" i="1"/>
  <c r="W87" i="1"/>
  <c r="V87" i="1"/>
  <c r="T87" i="1"/>
  <c r="S87" i="1"/>
  <c r="Q87" i="1" s="1"/>
  <c r="R87" i="1" s="1"/>
  <c r="N87" i="1"/>
  <c r="M87" i="1"/>
  <c r="W86" i="1"/>
  <c r="V86" i="1"/>
  <c r="T86" i="1"/>
  <c r="U86" i="1" s="1"/>
  <c r="S86" i="1"/>
  <c r="Q86" i="1" s="1"/>
  <c r="N86" i="1"/>
  <c r="M86" i="1"/>
  <c r="W85" i="1"/>
  <c r="V85" i="1"/>
  <c r="T85" i="1"/>
  <c r="S85" i="1"/>
  <c r="Q85" i="1"/>
  <c r="R85" i="1" s="1"/>
  <c r="N85" i="1"/>
  <c r="M85" i="1"/>
  <c r="L85" i="1" s="1"/>
  <c r="W84" i="1"/>
  <c r="V84" i="1"/>
  <c r="T84" i="1"/>
  <c r="S84" i="1"/>
  <c r="Q84" i="1" s="1"/>
  <c r="H84" i="1" s="1"/>
  <c r="N84" i="1"/>
  <c r="M84" i="1"/>
  <c r="L84" i="1"/>
  <c r="W83" i="1"/>
  <c r="V83" i="1"/>
  <c r="T83" i="1"/>
  <c r="S83" i="1"/>
  <c r="Q83" i="1"/>
  <c r="K83" i="1" s="1"/>
  <c r="N83" i="1"/>
  <c r="M83" i="1"/>
  <c r="W82" i="1"/>
  <c r="V82" i="1"/>
  <c r="T82" i="1"/>
  <c r="S82" i="1"/>
  <c r="Q82" i="1" s="1"/>
  <c r="N82" i="1"/>
  <c r="M82" i="1"/>
  <c r="W81" i="1"/>
  <c r="V81" i="1"/>
  <c r="T81" i="1"/>
  <c r="U81" i="1" s="1"/>
  <c r="S81" i="1"/>
  <c r="Q81" i="1" s="1"/>
  <c r="R81" i="1" s="1"/>
  <c r="N81" i="1"/>
  <c r="M81" i="1"/>
  <c r="W80" i="1"/>
  <c r="V80" i="1"/>
  <c r="T80" i="1"/>
  <c r="S80" i="1"/>
  <c r="Q80" i="1" s="1"/>
  <c r="N80" i="1"/>
  <c r="L80" i="1" s="1"/>
  <c r="M80" i="1"/>
  <c r="W79" i="1"/>
  <c r="V79" i="1"/>
  <c r="T79" i="1"/>
  <c r="S79" i="1"/>
  <c r="Q79" i="1" s="1"/>
  <c r="K79" i="1" s="1"/>
  <c r="N79" i="1"/>
  <c r="M79" i="1"/>
  <c r="L79" i="1" s="1"/>
  <c r="W78" i="1"/>
  <c r="V78" i="1"/>
  <c r="T78" i="1"/>
  <c r="S78" i="1"/>
  <c r="Q78" i="1" s="1"/>
  <c r="N78" i="1"/>
  <c r="M78" i="1"/>
  <c r="W77" i="1"/>
  <c r="V77" i="1"/>
  <c r="T77" i="1"/>
  <c r="S77" i="1"/>
  <c r="Q77" i="1" s="1"/>
  <c r="K77" i="1" s="1"/>
  <c r="R77" i="1"/>
  <c r="N77" i="1"/>
  <c r="M77" i="1"/>
  <c r="L77" i="1" s="1"/>
  <c r="W76" i="1"/>
  <c r="V76" i="1"/>
  <c r="T76" i="1"/>
  <c r="S76" i="1"/>
  <c r="Q76" i="1" s="1"/>
  <c r="R76" i="1" s="1"/>
  <c r="N76" i="1"/>
  <c r="M76" i="1"/>
  <c r="W75" i="1"/>
  <c r="V75" i="1"/>
  <c r="T75" i="1"/>
  <c r="S75" i="1"/>
  <c r="Q75" i="1" s="1"/>
  <c r="R75" i="1" s="1"/>
  <c r="N75" i="1"/>
  <c r="L75" i="1" s="1"/>
  <c r="M75" i="1"/>
  <c r="W74" i="1"/>
  <c r="V74" i="1"/>
  <c r="U74" i="1"/>
  <c r="T74" i="1"/>
  <c r="S74" i="1"/>
  <c r="Q74" i="1" s="1"/>
  <c r="K74" i="1" s="1"/>
  <c r="N74" i="1"/>
  <c r="M74" i="1"/>
  <c r="W73" i="1"/>
  <c r="V73" i="1"/>
  <c r="T73" i="1"/>
  <c r="S73" i="1"/>
  <c r="Q73" i="1" s="1"/>
  <c r="K73" i="1" s="1"/>
  <c r="N73" i="1"/>
  <c r="M73" i="1"/>
  <c r="L73" i="1" s="1"/>
  <c r="W72" i="1"/>
  <c r="V72" i="1"/>
  <c r="U72" i="1" s="1"/>
  <c r="T72" i="1"/>
  <c r="S72" i="1"/>
  <c r="Q72" i="1" s="1"/>
  <c r="N72" i="1"/>
  <c r="M72" i="1"/>
  <c r="L72" i="1" s="1"/>
  <c r="W71" i="1"/>
  <c r="V71" i="1"/>
  <c r="T71" i="1"/>
  <c r="S71" i="1"/>
  <c r="Q71" i="1" s="1"/>
  <c r="N71" i="1"/>
  <c r="M71" i="1"/>
  <c r="L71" i="1" s="1"/>
  <c r="W70" i="1"/>
  <c r="V70" i="1"/>
  <c r="T70" i="1"/>
  <c r="S70" i="1"/>
  <c r="Q70" i="1" s="1"/>
  <c r="K70" i="1" s="1"/>
  <c r="N70" i="1"/>
  <c r="M70" i="1"/>
  <c r="W69" i="1"/>
  <c r="V69" i="1"/>
  <c r="T69" i="1"/>
  <c r="S69" i="1"/>
  <c r="Q69" i="1" s="1"/>
  <c r="R69" i="1" s="1"/>
  <c r="N69" i="1"/>
  <c r="M69" i="1"/>
  <c r="L69" i="1" s="1"/>
  <c r="W68" i="1"/>
  <c r="V68" i="1"/>
  <c r="T68" i="1"/>
  <c r="S68" i="1"/>
  <c r="Q68" i="1" s="1"/>
  <c r="H68" i="1" s="1"/>
  <c r="R68" i="1"/>
  <c r="N68" i="1"/>
  <c r="M68" i="1"/>
  <c r="L68" i="1" s="1"/>
  <c r="W67" i="1"/>
  <c r="V67" i="1"/>
  <c r="T67" i="1"/>
  <c r="S67" i="1"/>
  <c r="Q67" i="1"/>
  <c r="K67" i="1" s="1"/>
  <c r="N67" i="1"/>
  <c r="M67" i="1"/>
  <c r="W66" i="1"/>
  <c r="V66" i="1"/>
  <c r="T66" i="1"/>
  <c r="U66" i="1" s="1"/>
  <c r="S66" i="1"/>
  <c r="Q66" i="1" s="1"/>
  <c r="N66" i="1"/>
  <c r="M66" i="1"/>
  <c r="L66" i="1" s="1"/>
  <c r="W65" i="1"/>
  <c r="V65" i="1"/>
  <c r="T65" i="1"/>
  <c r="S65" i="1"/>
  <c r="Q65" i="1" s="1"/>
  <c r="N65" i="1"/>
  <c r="M65" i="1"/>
  <c r="W64" i="1"/>
  <c r="V64" i="1"/>
  <c r="T64" i="1"/>
  <c r="U64" i="1" s="1"/>
  <c r="S64" i="1"/>
  <c r="Q64" i="1" s="1"/>
  <c r="K64" i="1" s="1"/>
  <c r="R64" i="1"/>
  <c r="N64" i="1"/>
  <c r="M64" i="1"/>
  <c r="H64" i="1"/>
  <c r="W63" i="1"/>
  <c r="V63" i="1"/>
  <c r="T63" i="1"/>
  <c r="U63" i="1" s="1"/>
  <c r="S63" i="1"/>
  <c r="Q63" i="1"/>
  <c r="R63" i="1" s="1"/>
  <c r="N63" i="1"/>
  <c r="M63" i="1"/>
  <c r="W62" i="1"/>
  <c r="V62" i="1"/>
  <c r="T62" i="1"/>
  <c r="U62" i="1" s="1"/>
  <c r="S62" i="1"/>
  <c r="Q62" i="1" s="1"/>
  <c r="N62" i="1"/>
  <c r="M62" i="1"/>
  <c r="W61" i="1"/>
  <c r="V61" i="1"/>
  <c r="T61" i="1"/>
  <c r="S61" i="1"/>
  <c r="Q61" i="1"/>
  <c r="R61" i="1" s="1"/>
  <c r="N61" i="1"/>
  <c r="M61" i="1"/>
  <c r="L61" i="1" s="1"/>
  <c r="W60" i="1"/>
  <c r="V60" i="1"/>
  <c r="T60" i="1"/>
  <c r="S60" i="1"/>
  <c r="Q60" i="1" s="1"/>
  <c r="K60" i="1" s="1"/>
  <c r="N60" i="1"/>
  <c r="L60" i="1" s="1"/>
  <c r="M60" i="1"/>
  <c r="W59" i="1"/>
  <c r="V59" i="1"/>
  <c r="T59" i="1"/>
  <c r="U59" i="1" s="1"/>
  <c r="S59" i="1"/>
  <c r="Q59" i="1"/>
  <c r="R59" i="1" s="1"/>
  <c r="N59" i="1"/>
  <c r="M59" i="1"/>
  <c r="W58" i="1"/>
  <c r="V58" i="1"/>
  <c r="T58" i="1"/>
  <c r="U58" i="1" s="1"/>
  <c r="S58" i="1"/>
  <c r="Q58" i="1" s="1"/>
  <c r="N58" i="1"/>
  <c r="M58" i="1"/>
  <c r="W57" i="1"/>
  <c r="V57" i="1"/>
  <c r="T57" i="1"/>
  <c r="S57" i="1"/>
  <c r="Q57" i="1" s="1"/>
  <c r="R57" i="1" s="1"/>
  <c r="N57" i="1"/>
  <c r="M57" i="1"/>
  <c r="W56" i="1"/>
  <c r="V56" i="1"/>
  <c r="T56" i="1"/>
  <c r="U56" i="1" s="1"/>
  <c r="S56" i="1"/>
  <c r="Q56" i="1" s="1"/>
  <c r="K56" i="1" s="1"/>
  <c r="N56" i="1"/>
  <c r="M56" i="1"/>
  <c r="W55" i="1"/>
  <c r="V55" i="1"/>
  <c r="T55" i="1"/>
  <c r="S55" i="1"/>
  <c r="Q55" i="1" s="1"/>
  <c r="R55" i="1" s="1"/>
  <c r="N55" i="1"/>
  <c r="M55" i="1"/>
  <c r="W54" i="1"/>
  <c r="V54" i="1"/>
  <c r="T54" i="1"/>
  <c r="U54" i="1" s="1"/>
  <c r="S54" i="1"/>
  <c r="Q54" i="1" s="1"/>
  <c r="N54" i="1"/>
  <c r="L54" i="1" s="1"/>
  <c r="M54" i="1"/>
  <c r="W53" i="1"/>
  <c r="V53" i="1"/>
  <c r="T53" i="1"/>
  <c r="U53" i="1" s="1"/>
  <c r="S53" i="1"/>
  <c r="Q53" i="1"/>
  <c r="R53" i="1" s="1"/>
  <c r="N53" i="1"/>
  <c r="M53" i="1"/>
  <c r="L53" i="1" s="1"/>
  <c r="W52" i="1"/>
  <c r="V52" i="1"/>
  <c r="T52" i="1"/>
  <c r="U52" i="1" s="1"/>
  <c r="S52" i="1"/>
  <c r="Q52" i="1" s="1"/>
  <c r="N52" i="1"/>
  <c r="M52" i="1"/>
  <c r="W51" i="1"/>
  <c r="V51" i="1"/>
  <c r="T51" i="1"/>
  <c r="S51" i="1"/>
  <c r="Q51" i="1" s="1"/>
  <c r="R51" i="1" s="1"/>
  <c r="N51" i="1"/>
  <c r="M51" i="1"/>
  <c r="W50" i="1"/>
  <c r="V50" i="1"/>
  <c r="T50" i="1"/>
  <c r="S50" i="1"/>
  <c r="Q50" i="1" s="1"/>
  <c r="N50" i="1"/>
  <c r="L50" i="1" s="1"/>
  <c r="M50" i="1"/>
  <c r="W49" i="1"/>
  <c r="V49" i="1"/>
  <c r="T49" i="1"/>
  <c r="S49" i="1"/>
  <c r="Q49" i="1" s="1"/>
  <c r="R49" i="1" s="1"/>
  <c r="N49" i="1"/>
  <c r="M49" i="1"/>
  <c r="W48" i="1"/>
  <c r="V48" i="1"/>
  <c r="T48" i="1"/>
  <c r="U48" i="1" s="1"/>
  <c r="S48" i="1"/>
  <c r="Q48" i="1"/>
  <c r="K48" i="1" s="1"/>
  <c r="N48" i="1"/>
  <c r="M48" i="1"/>
  <c r="W47" i="1"/>
  <c r="V47" i="1"/>
  <c r="T47" i="1"/>
  <c r="S47" i="1"/>
  <c r="Q47" i="1" s="1"/>
  <c r="R47" i="1" s="1"/>
  <c r="N47" i="1"/>
  <c r="M47" i="1"/>
  <c r="W46" i="1"/>
  <c r="V46" i="1"/>
  <c r="T46" i="1"/>
  <c r="S46" i="1"/>
  <c r="Q46" i="1" s="1"/>
  <c r="N46" i="1"/>
  <c r="M46" i="1"/>
  <c r="W45" i="1"/>
  <c r="V45" i="1"/>
  <c r="T45" i="1"/>
  <c r="U45" i="1" s="1"/>
  <c r="S45" i="1"/>
  <c r="Q45" i="1" s="1"/>
  <c r="R45" i="1" s="1"/>
  <c r="N45" i="1"/>
  <c r="M45" i="1"/>
  <c r="L45" i="1" s="1"/>
  <c r="W44" i="1"/>
  <c r="V44" i="1"/>
  <c r="T44" i="1"/>
  <c r="S44" i="1"/>
  <c r="Q44" i="1" s="1"/>
  <c r="R44" i="1" s="1"/>
  <c r="N44" i="1"/>
  <c r="M44" i="1"/>
  <c r="W43" i="1"/>
  <c r="V43" i="1"/>
  <c r="T43" i="1"/>
  <c r="U43" i="1" s="1"/>
  <c r="S43" i="1"/>
  <c r="Q43" i="1" s="1"/>
  <c r="R43" i="1" s="1"/>
  <c r="N43" i="1"/>
  <c r="M43" i="1"/>
  <c r="W42" i="1"/>
  <c r="V42" i="1"/>
  <c r="T42" i="1"/>
  <c r="U42" i="1" s="1"/>
  <c r="S42" i="1"/>
  <c r="Q42" i="1" s="1"/>
  <c r="N42" i="1"/>
  <c r="M42" i="1"/>
  <c r="W41" i="1"/>
  <c r="V41" i="1"/>
  <c r="T41" i="1"/>
  <c r="S41" i="1"/>
  <c r="Q41" i="1"/>
  <c r="R41" i="1" s="1"/>
  <c r="N41" i="1"/>
  <c r="M41" i="1"/>
  <c r="L41" i="1" s="1"/>
  <c r="W40" i="1"/>
  <c r="V40" i="1"/>
  <c r="T40" i="1"/>
  <c r="S40" i="1"/>
  <c r="Q40" i="1" s="1"/>
  <c r="K40" i="1" s="1"/>
  <c r="N40" i="1"/>
  <c r="L40" i="1" s="1"/>
  <c r="M40" i="1"/>
  <c r="W39" i="1"/>
  <c r="V39" i="1"/>
  <c r="T39" i="1"/>
  <c r="U39" i="1" s="1"/>
  <c r="S39" i="1"/>
  <c r="Q39" i="1" s="1"/>
  <c r="R39" i="1" s="1"/>
  <c r="N39" i="1"/>
  <c r="M39" i="1"/>
  <c r="L39" i="1" s="1"/>
  <c r="W38" i="1"/>
  <c r="V38" i="1"/>
  <c r="T38" i="1"/>
  <c r="S38" i="1"/>
  <c r="Q38" i="1" s="1"/>
  <c r="N38" i="1"/>
  <c r="M38" i="1"/>
  <c r="W37" i="1"/>
  <c r="V37" i="1"/>
  <c r="T37" i="1"/>
  <c r="S37" i="1"/>
  <c r="Q37" i="1" s="1"/>
  <c r="R37" i="1" s="1"/>
  <c r="N37" i="1"/>
  <c r="M37" i="1"/>
  <c r="W36" i="1"/>
  <c r="V36" i="1"/>
  <c r="T36" i="1"/>
  <c r="U36" i="1" s="1"/>
  <c r="S36" i="1"/>
  <c r="Q36" i="1"/>
  <c r="R36" i="1" s="1"/>
  <c r="N36" i="1"/>
  <c r="M36" i="1"/>
  <c r="W35" i="1"/>
  <c r="V35" i="1"/>
  <c r="T35" i="1"/>
  <c r="U35" i="1" s="1"/>
  <c r="S35" i="1"/>
  <c r="Q35" i="1" s="1"/>
  <c r="R35" i="1" s="1"/>
  <c r="N35" i="1"/>
  <c r="M35" i="1"/>
  <c r="W34" i="1"/>
  <c r="V34" i="1"/>
  <c r="T34" i="1"/>
  <c r="U34" i="1" s="1"/>
  <c r="S34" i="1"/>
  <c r="Q34" i="1" s="1"/>
  <c r="N34" i="1"/>
  <c r="M34" i="1"/>
  <c r="W33" i="1"/>
  <c r="V33" i="1"/>
  <c r="T33" i="1"/>
  <c r="S33" i="1"/>
  <c r="Q33" i="1" s="1"/>
  <c r="N33" i="1"/>
  <c r="M33" i="1"/>
  <c r="L33" i="1" s="1"/>
  <c r="W32" i="1"/>
  <c r="V32" i="1"/>
  <c r="T32" i="1"/>
  <c r="U32" i="1" s="1"/>
  <c r="S32" i="1"/>
  <c r="Q32" i="1" s="1"/>
  <c r="H32" i="1" s="1"/>
  <c r="N32" i="1"/>
  <c r="M32" i="1"/>
  <c r="W31" i="1"/>
  <c r="V31" i="1"/>
  <c r="T31" i="1"/>
  <c r="S31" i="1"/>
  <c r="Q31" i="1" s="1"/>
  <c r="N31" i="1"/>
  <c r="M31" i="1"/>
  <c r="W30" i="1"/>
  <c r="V30" i="1"/>
  <c r="T30" i="1"/>
  <c r="U30" i="1" s="1"/>
  <c r="S30" i="1"/>
  <c r="Q30" i="1" s="1"/>
  <c r="N30" i="1"/>
  <c r="M30" i="1"/>
  <c r="W29" i="1"/>
  <c r="V29" i="1"/>
  <c r="T29" i="1"/>
  <c r="U29" i="1" s="1"/>
  <c r="S29" i="1"/>
  <c r="Q29" i="1" s="1"/>
  <c r="R29" i="1" s="1"/>
  <c r="N29" i="1"/>
  <c r="M29" i="1"/>
  <c r="W28" i="1"/>
  <c r="V28" i="1"/>
  <c r="T28" i="1"/>
  <c r="U28" i="1" s="1"/>
  <c r="S28" i="1"/>
  <c r="Q28" i="1" s="1"/>
  <c r="R28" i="1" s="1"/>
  <c r="N28" i="1"/>
  <c r="M28" i="1"/>
  <c r="W27" i="1"/>
  <c r="V27" i="1"/>
  <c r="T27" i="1"/>
  <c r="S27" i="1"/>
  <c r="Q27" i="1" s="1"/>
  <c r="R27" i="1" s="1"/>
  <c r="N27" i="1"/>
  <c r="M27" i="1"/>
  <c r="W26" i="1"/>
  <c r="V26" i="1"/>
  <c r="T26" i="1"/>
  <c r="S26" i="1"/>
  <c r="Q26" i="1" s="1"/>
  <c r="N26" i="1"/>
  <c r="M26" i="1"/>
  <c r="W25" i="1"/>
  <c r="V25" i="1"/>
  <c r="T25" i="1"/>
  <c r="S25" i="1"/>
  <c r="Q25" i="1" s="1"/>
  <c r="N25" i="1"/>
  <c r="M25" i="1"/>
  <c r="L25" i="1" s="1"/>
  <c r="W24" i="1"/>
  <c r="V24" i="1"/>
  <c r="T24" i="1"/>
  <c r="U24" i="1" s="1"/>
  <c r="S24" i="1"/>
  <c r="Q24" i="1"/>
  <c r="K24" i="1" s="1"/>
  <c r="N24" i="1"/>
  <c r="M24" i="1"/>
  <c r="W23" i="1"/>
  <c r="V23" i="1"/>
  <c r="T23" i="1"/>
  <c r="U23" i="1" s="1"/>
  <c r="S23" i="1"/>
  <c r="Q23" i="1" s="1"/>
  <c r="H23" i="1" s="1"/>
  <c r="N23" i="1"/>
  <c r="M23" i="1"/>
  <c r="W22" i="1"/>
  <c r="V22" i="1"/>
  <c r="T22" i="1"/>
  <c r="S22" i="1"/>
  <c r="Q22" i="1"/>
  <c r="K22" i="1" s="1"/>
  <c r="N22" i="1"/>
  <c r="M22" i="1"/>
  <c r="W21" i="1"/>
  <c r="V21" i="1"/>
  <c r="T21" i="1"/>
  <c r="S21" i="1"/>
  <c r="Q21" i="1" s="1"/>
  <c r="N21" i="1"/>
  <c r="M21" i="1"/>
  <c r="L21" i="1" s="1"/>
  <c r="W20" i="1"/>
  <c r="V20" i="1"/>
  <c r="T20" i="1"/>
  <c r="S20" i="1"/>
  <c r="Q20" i="1"/>
  <c r="H20" i="1" s="1"/>
  <c r="N20" i="1"/>
  <c r="M20" i="1"/>
  <c r="W19" i="1"/>
  <c r="V19" i="1"/>
  <c r="T19" i="1"/>
  <c r="U19" i="1" s="1"/>
  <c r="S19" i="1"/>
  <c r="Q19" i="1" s="1"/>
  <c r="N19" i="1"/>
  <c r="M19" i="1"/>
  <c r="W18" i="1"/>
  <c r="V18" i="1"/>
  <c r="T18" i="1"/>
  <c r="U18" i="1" s="1"/>
  <c r="S18" i="1"/>
  <c r="Q18" i="1" s="1"/>
  <c r="K18" i="1" s="1"/>
  <c r="N18" i="1"/>
  <c r="M18" i="1"/>
  <c r="L18" i="1" s="1"/>
  <c r="W17" i="1"/>
  <c r="V17" i="1"/>
  <c r="T17" i="1"/>
  <c r="S17" i="1"/>
  <c r="Q17" i="1"/>
  <c r="R17" i="1" s="1"/>
  <c r="N17" i="1"/>
  <c r="L17" i="1" s="1"/>
  <c r="M17" i="1"/>
  <c r="W16" i="1"/>
  <c r="V16" i="1"/>
  <c r="T16" i="1"/>
  <c r="U16" i="1" s="1"/>
  <c r="S16" i="1"/>
  <c r="Q16" i="1" s="1"/>
  <c r="H16" i="1" s="1"/>
  <c r="N16" i="1"/>
  <c r="M16" i="1"/>
  <c r="R209" i="1" l="1"/>
  <c r="K209" i="1"/>
  <c r="H209" i="1"/>
  <c r="K213" i="1"/>
  <c r="H213" i="1"/>
  <c r="R223" i="1"/>
  <c r="K223" i="1"/>
  <c r="H223" i="1"/>
  <c r="K233" i="1"/>
  <c r="H233" i="1"/>
  <c r="R19" i="1"/>
  <c r="K19" i="1"/>
  <c r="R65" i="1"/>
  <c r="K65" i="1"/>
  <c r="H65" i="1"/>
  <c r="R211" i="1"/>
  <c r="K211" i="1"/>
  <c r="H211" i="1"/>
  <c r="H88" i="1"/>
  <c r="K88" i="1"/>
  <c r="R229" i="1"/>
  <c r="H229" i="1"/>
  <c r="L19" i="1"/>
  <c r="U22" i="1"/>
  <c r="U27" i="1"/>
  <c r="L31" i="1"/>
  <c r="U38" i="1"/>
  <c r="U44" i="1"/>
  <c r="L47" i="1"/>
  <c r="U50" i="1"/>
  <c r="U55" i="1"/>
  <c r="U69" i="1"/>
  <c r="U75" i="1"/>
  <c r="U80" i="1"/>
  <c r="K84" i="1"/>
  <c r="L86" i="1"/>
  <c r="U91" i="1"/>
  <c r="U92" i="1"/>
  <c r="U96" i="1"/>
  <c r="R125" i="1"/>
  <c r="U129" i="1"/>
  <c r="L153" i="1"/>
  <c r="L164" i="1"/>
  <c r="L165" i="1"/>
  <c r="K175" i="1"/>
  <c r="U183" i="1"/>
  <c r="U188" i="1"/>
  <c r="U189" i="1"/>
  <c r="K193" i="1"/>
  <c r="K199" i="1"/>
  <c r="L217" i="1"/>
  <c r="L218" i="1"/>
  <c r="L233" i="1"/>
  <c r="U242" i="1"/>
  <c r="U249" i="1"/>
  <c r="L253" i="1"/>
  <c r="H258" i="1"/>
  <c r="U266" i="1"/>
  <c r="U277" i="1"/>
  <c r="U282" i="1"/>
  <c r="L289" i="1"/>
  <c r="L303" i="1"/>
  <c r="L35" i="1"/>
  <c r="U37" i="1"/>
  <c r="L52" i="1"/>
  <c r="L57" i="1"/>
  <c r="L58" i="1"/>
  <c r="U60" i="1"/>
  <c r="U67" i="1"/>
  <c r="U68" i="1"/>
  <c r="L82" i="1"/>
  <c r="U87" i="1"/>
  <c r="L98" i="1"/>
  <c r="U108" i="1"/>
  <c r="U109" i="1"/>
  <c r="L116" i="1"/>
  <c r="U120" i="1"/>
  <c r="U126" i="1"/>
  <c r="L132" i="1"/>
  <c r="U135" i="1"/>
  <c r="L157" i="1"/>
  <c r="L162" i="1"/>
  <c r="L163" i="1"/>
  <c r="U165" i="1"/>
  <c r="L169" i="1"/>
  <c r="R170" i="1"/>
  <c r="U171" i="1"/>
  <c r="L174" i="1"/>
  <c r="L191" i="1"/>
  <c r="U201" i="1"/>
  <c r="R217" i="1"/>
  <c r="U218" i="1"/>
  <c r="L231" i="1"/>
  <c r="L232" i="1"/>
  <c r="U234" i="1"/>
  <c r="U235" i="1"/>
  <c r="R246" i="1"/>
  <c r="U253" i="1"/>
  <c r="L257" i="1"/>
  <c r="L269" i="1"/>
  <c r="U304" i="1"/>
  <c r="H173" i="1"/>
  <c r="H189" i="1"/>
  <c r="L23" i="1"/>
  <c r="L27" i="1"/>
  <c r="U47" i="1"/>
  <c r="L56" i="1"/>
  <c r="K63" i="1"/>
  <c r="L70" i="1"/>
  <c r="U78" i="1"/>
  <c r="L104" i="1"/>
  <c r="U117" i="1"/>
  <c r="U119" i="1"/>
  <c r="U122" i="1"/>
  <c r="L130" i="1"/>
  <c r="L138" i="1"/>
  <c r="U175" i="1"/>
  <c r="L179" i="1"/>
  <c r="L180" i="1"/>
  <c r="K189" i="1"/>
  <c r="U193" i="1"/>
  <c r="L207" i="1"/>
  <c r="L214" i="1"/>
  <c r="U216" i="1"/>
  <c r="U217" i="1"/>
  <c r="L230" i="1"/>
  <c r="L238" i="1"/>
  <c r="U246" i="1"/>
  <c r="U252" i="1"/>
  <c r="K266" i="1"/>
  <c r="U275" i="1"/>
  <c r="U41" i="1"/>
  <c r="U46" i="1"/>
  <c r="K61" i="1"/>
  <c r="L63" i="1"/>
  <c r="L67" i="1"/>
  <c r="H73" i="1"/>
  <c r="L74" i="1"/>
  <c r="U77" i="1"/>
  <c r="U83" i="1"/>
  <c r="U84" i="1"/>
  <c r="L89" i="1"/>
  <c r="L90" i="1"/>
  <c r="U99" i="1"/>
  <c r="U106" i="1"/>
  <c r="H109" i="1"/>
  <c r="L111" i="1"/>
  <c r="L113" i="1"/>
  <c r="U116" i="1"/>
  <c r="H121" i="1"/>
  <c r="K125" i="1"/>
  <c r="L126" i="1"/>
  <c r="L127" i="1"/>
  <c r="L129" i="1"/>
  <c r="R147" i="1"/>
  <c r="U151" i="1"/>
  <c r="U162" i="1"/>
  <c r="U163" i="1"/>
  <c r="U169" i="1"/>
  <c r="L172" i="1"/>
  <c r="U174" i="1"/>
  <c r="L183" i="1"/>
  <c r="U191" i="1"/>
  <c r="U215" i="1"/>
  <c r="U221" i="1"/>
  <c r="U222" i="1"/>
  <c r="U224" i="1"/>
  <c r="U239" i="1"/>
  <c r="L248" i="1"/>
  <c r="L254" i="1"/>
  <c r="L277" i="1"/>
  <c r="U288" i="1"/>
  <c r="L305" i="1"/>
  <c r="L37" i="1"/>
  <c r="U40" i="1"/>
  <c r="L49" i="1"/>
  <c r="U51" i="1"/>
  <c r="U57" i="1"/>
  <c r="L65" i="1"/>
  <c r="U82" i="1"/>
  <c r="L87" i="1"/>
  <c r="L88" i="1"/>
  <c r="U93" i="1"/>
  <c r="U98" i="1"/>
  <c r="U105" i="1"/>
  <c r="L108" i="1"/>
  <c r="K109" i="1"/>
  <c r="U115" i="1"/>
  <c r="K121" i="1"/>
  <c r="L125" i="1"/>
  <c r="U131" i="1"/>
  <c r="L154" i="1"/>
  <c r="L159" i="1"/>
  <c r="H165" i="1"/>
  <c r="U190" i="1"/>
  <c r="U214" i="1"/>
  <c r="U223" i="1"/>
  <c r="L235" i="1"/>
  <c r="U244" i="1"/>
  <c r="U262" i="1"/>
  <c r="U306" i="1"/>
  <c r="R33" i="1"/>
  <c r="K33" i="1"/>
  <c r="R21" i="1"/>
  <c r="K21" i="1"/>
  <c r="H21" i="1"/>
  <c r="K52" i="1"/>
  <c r="H52" i="1"/>
  <c r="R245" i="1"/>
  <c r="K245" i="1"/>
  <c r="H245" i="1"/>
  <c r="R137" i="1"/>
  <c r="K137" i="1"/>
  <c r="H137" i="1"/>
  <c r="R31" i="1"/>
  <c r="K31" i="1"/>
  <c r="H31" i="1"/>
  <c r="H72" i="1"/>
  <c r="K72" i="1"/>
  <c r="R205" i="1"/>
  <c r="K205" i="1"/>
  <c r="H205" i="1"/>
  <c r="R25" i="1"/>
  <c r="K25" i="1"/>
  <c r="K28" i="1"/>
  <c r="L20" i="1"/>
  <c r="K23" i="1"/>
  <c r="L29" i="1"/>
  <c r="L30" i="1"/>
  <c r="K39" i="1"/>
  <c r="K41" i="1"/>
  <c r="K47" i="1"/>
  <c r="K49" i="1"/>
  <c r="L55" i="1"/>
  <c r="K57" i="1"/>
  <c r="K59" i="1"/>
  <c r="H60" i="1"/>
  <c r="H61" i="1"/>
  <c r="H63" i="1"/>
  <c r="L78" i="1"/>
  <c r="L81" i="1"/>
  <c r="K97" i="1"/>
  <c r="K105" i="1"/>
  <c r="U113" i="1"/>
  <c r="U125" i="1"/>
  <c r="U145" i="1"/>
  <c r="H175" i="1"/>
  <c r="L219" i="1"/>
  <c r="R221" i="1"/>
  <c r="R239" i="1"/>
  <c r="K239" i="1"/>
  <c r="H239" i="1"/>
  <c r="L22" i="1"/>
  <c r="L24" i="1"/>
  <c r="L26" i="1"/>
  <c r="L32" i="1"/>
  <c r="L34" i="1"/>
  <c r="L38" i="1"/>
  <c r="L42" i="1"/>
  <c r="L46" i="1"/>
  <c r="L59" i="1"/>
  <c r="U71" i="1"/>
  <c r="U73" i="1"/>
  <c r="L83" i="1"/>
  <c r="L94" i="1"/>
  <c r="L95" i="1"/>
  <c r="L103" i="1"/>
  <c r="L105" i="1"/>
  <c r="L107" i="1"/>
  <c r="L110" i="1"/>
  <c r="L117" i="1"/>
  <c r="U157" i="1"/>
  <c r="L195" i="1"/>
  <c r="U198" i="1"/>
  <c r="U199" i="1"/>
  <c r="L203" i="1"/>
  <c r="R225" i="1"/>
  <c r="R237" i="1"/>
  <c r="K237" i="1"/>
  <c r="H237" i="1"/>
  <c r="L62" i="1"/>
  <c r="L64" i="1"/>
  <c r="U70" i="1"/>
  <c r="U76" i="1"/>
  <c r="L120" i="1"/>
  <c r="H143" i="1"/>
  <c r="K143" i="1"/>
  <c r="R203" i="1"/>
  <c r="K203" i="1"/>
  <c r="H203" i="1"/>
  <c r="L216" i="1"/>
  <c r="R243" i="1"/>
  <c r="K243" i="1"/>
  <c r="U17" i="1"/>
  <c r="U20" i="1"/>
  <c r="U26" i="1"/>
  <c r="R117" i="1"/>
  <c r="L194" i="1"/>
  <c r="L202" i="1"/>
  <c r="L208" i="1"/>
  <c r="K215" i="1"/>
  <c r="H215" i="1"/>
  <c r="R235" i="1"/>
  <c r="K235" i="1"/>
  <c r="L249" i="1"/>
  <c r="R262" i="1"/>
  <c r="H262" i="1"/>
  <c r="H77" i="1"/>
  <c r="U79" i="1"/>
  <c r="U95" i="1"/>
  <c r="K150" i="1"/>
  <c r="H150" i="1"/>
  <c r="H159" i="1"/>
  <c r="R159" i="1"/>
  <c r="L192" i="1"/>
  <c r="K201" i="1"/>
  <c r="H201" i="1"/>
  <c r="R207" i="1"/>
  <c r="K207" i="1"/>
  <c r="H207" i="1"/>
  <c r="R215" i="1"/>
  <c r="K221" i="1"/>
  <c r="K229" i="1"/>
  <c r="R241" i="1"/>
  <c r="K241" i="1"/>
  <c r="H241" i="1"/>
  <c r="U243" i="1"/>
  <c r="K274" i="1"/>
  <c r="R274" i="1"/>
  <c r="H274" i="1"/>
  <c r="H17" i="1"/>
  <c r="L16" i="1"/>
  <c r="K17" i="1"/>
  <c r="H19" i="1"/>
  <c r="U21" i="1"/>
  <c r="U25" i="1"/>
  <c r="H28" i="1"/>
  <c r="U31" i="1"/>
  <c r="U33" i="1"/>
  <c r="H36" i="1"/>
  <c r="H44" i="1"/>
  <c r="H53" i="1"/>
  <c r="H55" i="1"/>
  <c r="L76" i="1"/>
  <c r="H81" i="1"/>
  <c r="R150" i="1"/>
  <c r="R201" i="1"/>
  <c r="L206" i="1"/>
  <c r="R213" i="1"/>
  <c r="K225" i="1"/>
  <c r="R233" i="1"/>
  <c r="R248" i="1"/>
  <c r="K248" i="1"/>
  <c r="H248" i="1"/>
  <c r="K36" i="1"/>
  <c r="H39" i="1"/>
  <c r="L43" i="1"/>
  <c r="K44" i="1"/>
  <c r="H47" i="1"/>
  <c r="U49" i="1"/>
  <c r="L51" i="1"/>
  <c r="K53" i="1"/>
  <c r="K55" i="1"/>
  <c r="H56" i="1"/>
  <c r="H57" i="1"/>
  <c r="H59" i="1"/>
  <c r="U61" i="1"/>
  <c r="K81" i="1"/>
  <c r="U88" i="1"/>
  <c r="H97" i="1"/>
  <c r="U100" i="1"/>
  <c r="U102" i="1"/>
  <c r="H105" i="1"/>
  <c r="U121" i="1"/>
  <c r="U123" i="1"/>
  <c r="L144" i="1"/>
  <c r="U146" i="1"/>
  <c r="U158" i="1"/>
  <c r="U181" i="1"/>
  <c r="L184" i="1"/>
  <c r="U185" i="1"/>
  <c r="L190" i="1"/>
  <c r="R199" i="1"/>
  <c r="U212" i="1"/>
  <c r="K219" i="1"/>
  <c r="K227" i="1"/>
  <c r="H227" i="1"/>
  <c r="L228" i="1"/>
  <c r="K231" i="1"/>
  <c r="R231" i="1"/>
  <c r="U232" i="1"/>
  <c r="L246" i="1"/>
  <c r="R272" i="1"/>
  <c r="K272" i="1"/>
  <c r="H272" i="1"/>
  <c r="U141" i="1"/>
  <c r="L146" i="1"/>
  <c r="L161" i="1"/>
  <c r="U166" i="1"/>
  <c r="L173" i="1"/>
  <c r="L182" i="1"/>
  <c r="L186" i="1"/>
  <c r="U192" i="1"/>
  <c r="U203" i="1"/>
  <c r="U205" i="1"/>
  <c r="U208" i="1"/>
  <c r="L224" i="1"/>
  <c r="R258" i="1"/>
  <c r="L274" i="1"/>
  <c r="L275" i="1"/>
  <c r="L280" i="1"/>
  <c r="U287" i="1"/>
  <c r="U293" i="1"/>
  <c r="L296" i="1"/>
  <c r="U130" i="1"/>
  <c r="H141" i="1"/>
  <c r="H151" i="1"/>
  <c r="L198" i="1"/>
  <c r="L279" i="1"/>
  <c r="L285" i="1"/>
  <c r="L295" i="1"/>
  <c r="U298" i="1"/>
  <c r="L301" i="1"/>
  <c r="L307" i="1"/>
  <c r="L121" i="1"/>
  <c r="L123" i="1"/>
  <c r="L124" i="1"/>
  <c r="L133" i="1"/>
  <c r="L134" i="1"/>
  <c r="L137" i="1"/>
  <c r="L139" i="1"/>
  <c r="K141" i="1"/>
  <c r="L143" i="1"/>
  <c r="L145" i="1"/>
  <c r="L150" i="1"/>
  <c r="L152" i="1"/>
  <c r="H153" i="1"/>
  <c r="L155" i="1"/>
  <c r="L156" i="1"/>
  <c r="L158" i="1"/>
  <c r="U161" i="1"/>
  <c r="U164" i="1"/>
  <c r="L168" i="1"/>
  <c r="K169" i="1"/>
  <c r="U172" i="1"/>
  <c r="U173" i="1"/>
  <c r="U182" i="1"/>
  <c r="H191" i="1"/>
  <c r="L200" i="1"/>
  <c r="L201" i="1"/>
  <c r="U209" i="1"/>
  <c r="L215" i="1"/>
  <c r="L226" i="1"/>
  <c r="U230" i="1"/>
  <c r="L234" i="1"/>
  <c r="L236" i="1"/>
  <c r="L237" i="1"/>
  <c r="L241" i="1"/>
  <c r="L242" i="1"/>
  <c r="L244" i="1"/>
  <c r="L245" i="1"/>
  <c r="L250" i="1"/>
  <c r="L251" i="1"/>
  <c r="L252" i="1"/>
  <c r="U254" i="1"/>
  <c r="U255" i="1"/>
  <c r="U257" i="1"/>
  <c r="H266" i="1"/>
  <c r="U276" i="1"/>
  <c r="U281" i="1"/>
  <c r="U286" i="1"/>
  <c r="U292" i="1"/>
  <c r="U297" i="1"/>
  <c r="U302" i="1"/>
  <c r="L306" i="1"/>
  <c r="L261" i="1"/>
  <c r="L262" i="1"/>
  <c r="L263" i="1"/>
  <c r="L267" i="1"/>
  <c r="L268" i="1"/>
  <c r="U270" i="1"/>
  <c r="U271" i="1"/>
  <c r="U273" i="1"/>
  <c r="U279" i="1"/>
  <c r="U285" i="1"/>
  <c r="L288" i="1"/>
  <c r="U295" i="1"/>
  <c r="U301" i="1"/>
  <c r="U133" i="1"/>
  <c r="U137" i="1"/>
  <c r="U139" i="1"/>
  <c r="U142" i="1"/>
  <c r="U143" i="1"/>
  <c r="U150" i="1"/>
  <c r="U155" i="1"/>
  <c r="U168" i="1"/>
  <c r="U170" i="1"/>
  <c r="K173" i="1"/>
  <c r="U180" i="1"/>
  <c r="U184" i="1"/>
  <c r="L187" i="1"/>
  <c r="L188" i="1"/>
  <c r="L189" i="1"/>
  <c r="U196" i="1"/>
  <c r="U202" i="1"/>
  <c r="U204" i="1"/>
  <c r="U206" i="1"/>
  <c r="L210" i="1"/>
  <c r="L222" i="1"/>
  <c r="L223" i="1"/>
  <c r="U233" i="1"/>
  <c r="U237" i="1"/>
  <c r="U238" i="1"/>
  <c r="U241" i="1"/>
  <c r="U247" i="1"/>
  <c r="U250" i="1"/>
  <c r="U251" i="1"/>
  <c r="K256" i="1"/>
  <c r="L258" i="1"/>
  <c r="L259" i="1"/>
  <c r="K276" i="1"/>
  <c r="U278" i="1"/>
  <c r="U284" i="1"/>
  <c r="U289" i="1"/>
  <c r="U294" i="1"/>
  <c r="U300" i="1"/>
  <c r="R26" i="1"/>
  <c r="K26" i="1"/>
  <c r="H26" i="1"/>
  <c r="R50" i="1"/>
  <c r="K50" i="1"/>
  <c r="H50" i="1"/>
  <c r="K107" i="1"/>
  <c r="H107" i="1"/>
  <c r="R107" i="1"/>
  <c r="K62" i="1"/>
  <c r="H62" i="1"/>
  <c r="R62" i="1"/>
  <c r="K135" i="1"/>
  <c r="R135" i="1"/>
  <c r="H135" i="1"/>
  <c r="K54" i="1"/>
  <c r="H54" i="1"/>
  <c r="R54" i="1"/>
  <c r="H104" i="1"/>
  <c r="R104" i="1"/>
  <c r="K104" i="1"/>
  <c r="R34" i="1"/>
  <c r="K34" i="1"/>
  <c r="H34" i="1"/>
  <c r="R42" i="1"/>
  <c r="K42" i="1"/>
  <c r="H42" i="1"/>
  <c r="K103" i="1"/>
  <c r="R103" i="1"/>
  <c r="H103" i="1"/>
  <c r="R91" i="1"/>
  <c r="K91" i="1"/>
  <c r="H91" i="1"/>
  <c r="K30" i="1"/>
  <c r="H30" i="1"/>
  <c r="R30" i="1"/>
  <c r="K38" i="1"/>
  <c r="H38" i="1"/>
  <c r="R38" i="1"/>
  <c r="K46" i="1"/>
  <c r="H46" i="1"/>
  <c r="R46" i="1"/>
  <c r="K58" i="1"/>
  <c r="H58" i="1"/>
  <c r="R58" i="1"/>
  <c r="H94" i="1"/>
  <c r="K94" i="1"/>
  <c r="R94" i="1"/>
  <c r="H66" i="1"/>
  <c r="R66" i="1"/>
  <c r="K66" i="1"/>
  <c r="H80" i="1"/>
  <c r="K80" i="1"/>
  <c r="H122" i="1"/>
  <c r="R122" i="1"/>
  <c r="K174" i="1"/>
  <c r="R174" i="1"/>
  <c r="H174" i="1"/>
  <c r="R16" i="1"/>
  <c r="R18" i="1"/>
  <c r="R48" i="1"/>
  <c r="H99" i="1"/>
  <c r="R99" i="1"/>
  <c r="H114" i="1"/>
  <c r="R114" i="1"/>
  <c r="R133" i="1"/>
  <c r="R187" i="1"/>
  <c r="K187" i="1"/>
  <c r="H187" i="1"/>
  <c r="K129" i="1"/>
  <c r="H129" i="1"/>
  <c r="K287" i="1"/>
  <c r="R287" i="1"/>
  <c r="H287" i="1"/>
  <c r="K303" i="1"/>
  <c r="R303" i="1"/>
  <c r="H303" i="1"/>
  <c r="R22" i="1"/>
  <c r="R24" i="1"/>
  <c r="R32" i="1"/>
  <c r="R40" i="1"/>
  <c r="H86" i="1"/>
  <c r="R86" i="1"/>
  <c r="L28" i="1"/>
  <c r="L36" i="1"/>
  <c r="L44" i="1"/>
  <c r="K69" i="1"/>
  <c r="H69" i="1"/>
  <c r="H76" i="1"/>
  <c r="K76" i="1"/>
  <c r="U85" i="1"/>
  <c r="R93" i="1"/>
  <c r="H106" i="1"/>
  <c r="R106" i="1"/>
  <c r="K113" i="1"/>
  <c r="H113" i="1"/>
  <c r="K172" i="1"/>
  <c r="H172" i="1"/>
  <c r="R172" i="1"/>
  <c r="K186" i="1"/>
  <c r="R186" i="1"/>
  <c r="H186" i="1"/>
  <c r="R20" i="1"/>
  <c r="H18" i="1"/>
  <c r="K71" i="1"/>
  <c r="H71" i="1"/>
  <c r="H82" i="1"/>
  <c r="R82" i="1"/>
  <c r="H90" i="1"/>
  <c r="R90" i="1"/>
  <c r="R100" i="1"/>
  <c r="H136" i="1"/>
  <c r="R136" i="1"/>
  <c r="K136" i="1"/>
  <c r="K160" i="1"/>
  <c r="R160" i="1"/>
  <c r="H160" i="1"/>
  <c r="K16" i="1"/>
  <c r="K29" i="1"/>
  <c r="H70" i="1"/>
  <c r="R70" i="1"/>
  <c r="K101" i="1"/>
  <c r="H101" i="1"/>
  <c r="K119" i="1"/>
  <c r="R119" i="1"/>
  <c r="K122" i="1"/>
  <c r="H126" i="1"/>
  <c r="R126" i="1"/>
  <c r="K126" i="1"/>
  <c r="H131" i="1"/>
  <c r="K148" i="1"/>
  <c r="R148" i="1"/>
  <c r="H148" i="1"/>
  <c r="K158" i="1"/>
  <c r="H158" i="1"/>
  <c r="R158" i="1"/>
  <c r="R79" i="1"/>
  <c r="H79" i="1"/>
  <c r="K123" i="1"/>
  <c r="H123" i="1"/>
  <c r="H29" i="1"/>
  <c r="H37" i="1"/>
  <c r="H45" i="1"/>
  <c r="K20" i="1"/>
  <c r="K37" i="1"/>
  <c r="H40" i="1"/>
  <c r="H48" i="1"/>
  <c r="R52" i="1"/>
  <c r="R56" i="1"/>
  <c r="R60" i="1"/>
  <c r="R71" i="1"/>
  <c r="H75" i="1"/>
  <c r="H83" i="1"/>
  <c r="R83" i="1"/>
  <c r="R23" i="1"/>
  <c r="H27" i="1"/>
  <c r="K32" i="1"/>
  <c r="H35" i="1"/>
  <c r="H43" i="1"/>
  <c r="H51" i="1"/>
  <c r="K68" i="1"/>
  <c r="K75" i="1"/>
  <c r="H78" i="1"/>
  <c r="K78" i="1"/>
  <c r="K86" i="1"/>
  <c r="H93" i="1"/>
  <c r="R95" i="1"/>
  <c r="H95" i="1"/>
  <c r="H96" i="1"/>
  <c r="K96" i="1"/>
  <c r="R101" i="1"/>
  <c r="H120" i="1"/>
  <c r="R120" i="1"/>
  <c r="K120" i="1"/>
  <c r="R127" i="1"/>
  <c r="K127" i="1"/>
  <c r="K131" i="1"/>
  <c r="K133" i="1"/>
  <c r="H138" i="1"/>
  <c r="R138" i="1"/>
  <c r="K138" i="1"/>
  <c r="R139" i="1"/>
  <c r="K139" i="1"/>
  <c r="H139" i="1"/>
  <c r="H140" i="1"/>
  <c r="R140" i="1"/>
  <c r="R157" i="1"/>
  <c r="K157" i="1"/>
  <c r="H157" i="1"/>
  <c r="K87" i="1"/>
  <c r="H87" i="1"/>
  <c r="H98" i="1"/>
  <c r="R98" i="1"/>
  <c r="K210" i="1"/>
  <c r="R210" i="1"/>
  <c r="H210" i="1"/>
  <c r="H22" i="1"/>
  <c r="H24" i="1"/>
  <c r="K45" i="1"/>
  <c r="K27" i="1"/>
  <c r="K35" i="1"/>
  <c r="K43" i="1"/>
  <c r="L48" i="1"/>
  <c r="K51" i="1"/>
  <c r="R73" i="1"/>
  <c r="H74" i="1"/>
  <c r="R74" i="1"/>
  <c r="R78" i="1"/>
  <c r="R84" i="1"/>
  <c r="K99" i="1"/>
  <c r="K106" i="1"/>
  <c r="H110" i="1"/>
  <c r="R110" i="1"/>
  <c r="K110" i="1"/>
  <c r="K114" i="1"/>
  <c r="H115" i="1"/>
  <c r="R167" i="1"/>
  <c r="H167" i="1"/>
  <c r="K167" i="1"/>
  <c r="K184" i="1"/>
  <c r="R184" i="1"/>
  <c r="H184" i="1"/>
  <c r="H25" i="1"/>
  <c r="H33" i="1"/>
  <c r="H41" i="1"/>
  <c r="H49" i="1"/>
  <c r="U65" i="1"/>
  <c r="H67" i="1"/>
  <c r="R67" i="1"/>
  <c r="R80" i="1"/>
  <c r="K82" i="1"/>
  <c r="K85" i="1"/>
  <c r="H85" i="1"/>
  <c r="H89" i="1"/>
  <c r="H92" i="1"/>
  <c r="K92" i="1"/>
  <c r="K100" i="1"/>
  <c r="R111" i="1"/>
  <c r="K111" i="1"/>
  <c r="L114" i="1"/>
  <c r="K115" i="1"/>
  <c r="K117" i="1"/>
  <c r="R129" i="1"/>
  <c r="H130" i="1"/>
  <c r="R130" i="1"/>
  <c r="K154" i="1"/>
  <c r="R154" i="1"/>
  <c r="H154" i="1"/>
  <c r="K178" i="1"/>
  <c r="R178" i="1"/>
  <c r="H178" i="1"/>
  <c r="H116" i="1"/>
  <c r="R116" i="1"/>
  <c r="H132" i="1"/>
  <c r="R132" i="1"/>
  <c r="L140" i="1"/>
  <c r="U147" i="1"/>
  <c r="K149" i="1"/>
  <c r="H149" i="1"/>
  <c r="U154" i="1"/>
  <c r="U159" i="1"/>
  <c r="K166" i="1"/>
  <c r="H166" i="1"/>
  <c r="R185" i="1"/>
  <c r="H185" i="1"/>
  <c r="K255" i="1"/>
  <c r="R255" i="1"/>
  <c r="H255" i="1"/>
  <c r="K259" i="1"/>
  <c r="R259" i="1"/>
  <c r="H259" i="1"/>
  <c r="K164" i="1"/>
  <c r="R164" i="1"/>
  <c r="R183" i="1"/>
  <c r="K183" i="1"/>
  <c r="H183" i="1"/>
  <c r="K198" i="1"/>
  <c r="R198" i="1"/>
  <c r="H198" i="1"/>
  <c r="K224" i="1"/>
  <c r="R224" i="1"/>
  <c r="H224" i="1"/>
  <c r="K254" i="1"/>
  <c r="H254" i="1"/>
  <c r="R254" i="1"/>
  <c r="K152" i="1"/>
  <c r="H152" i="1"/>
  <c r="K200" i="1"/>
  <c r="R200" i="1"/>
  <c r="H200" i="1"/>
  <c r="K271" i="1"/>
  <c r="R271" i="1"/>
  <c r="H271" i="1"/>
  <c r="K275" i="1"/>
  <c r="R275" i="1"/>
  <c r="H275" i="1"/>
  <c r="K291" i="1"/>
  <c r="R291" i="1"/>
  <c r="H291" i="1"/>
  <c r="K145" i="1"/>
  <c r="R145" i="1"/>
  <c r="K146" i="1"/>
  <c r="H146" i="1"/>
  <c r="K182" i="1"/>
  <c r="R182" i="1"/>
  <c r="H182" i="1"/>
  <c r="K196" i="1"/>
  <c r="R196" i="1"/>
  <c r="H196" i="1"/>
  <c r="K226" i="1"/>
  <c r="R226" i="1"/>
  <c r="K234" i="1"/>
  <c r="R234" i="1"/>
  <c r="H234" i="1"/>
  <c r="K242" i="1"/>
  <c r="R242" i="1"/>
  <c r="H242" i="1"/>
  <c r="H108" i="1"/>
  <c r="R108" i="1"/>
  <c r="K116" i="1"/>
  <c r="H124" i="1"/>
  <c r="R124" i="1"/>
  <c r="K132" i="1"/>
  <c r="K142" i="1"/>
  <c r="H142" i="1"/>
  <c r="K144" i="1"/>
  <c r="R144" i="1"/>
  <c r="R146" i="1"/>
  <c r="H170" i="1"/>
  <c r="R195" i="1"/>
  <c r="K195" i="1"/>
  <c r="K202" i="1"/>
  <c r="R202" i="1"/>
  <c r="K204" i="1"/>
  <c r="R204" i="1"/>
  <c r="H204" i="1"/>
  <c r="K206" i="1"/>
  <c r="R206" i="1"/>
  <c r="H206" i="1"/>
  <c r="K214" i="1"/>
  <c r="R214" i="1"/>
  <c r="H214" i="1"/>
  <c r="K238" i="1"/>
  <c r="R238" i="1"/>
  <c r="K240" i="1"/>
  <c r="R240" i="1"/>
  <c r="H240" i="1"/>
  <c r="H250" i="1"/>
  <c r="K250" i="1"/>
  <c r="R250" i="1"/>
  <c r="R252" i="1"/>
  <c r="H252" i="1"/>
  <c r="R72" i="1"/>
  <c r="R88" i="1"/>
  <c r="H102" i="1"/>
  <c r="R102" i="1"/>
  <c r="H118" i="1"/>
  <c r="R118" i="1"/>
  <c r="H134" i="1"/>
  <c r="R134" i="1"/>
  <c r="K156" i="1"/>
  <c r="R156" i="1"/>
  <c r="K180" i="1"/>
  <c r="R180" i="1"/>
  <c r="H180" i="1"/>
  <c r="K185" i="1"/>
  <c r="K190" i="1"/>
  <c r="R190" i="1"/>
  <c r="H190" i="1"/>
  <c r="K194" i="1"/>
  <c r="R194" i="1"/>
  <c r="K208" i="1"/>
  <c r="R208" i="1"/>
  <c r="H208" i="1"/>
  <c r="R247" i="1"/>
  <c r="K247" i="1"/>
  <c r="H247" i="1"/>
  <c r="H112" i="1"/>
  <c r="R112" i="1"/>
  <c r="H128" i="1"/>
  <c r="R128" i="1"/>
  <c r="K155" i="1"/>
  <c r="H155" i="1"/>
  <c r="K161" i="1"/>
  <c r="R161" i="1"/>
  <c r="K162" i="1"/>
  <c r="H162" i="1"/>
  <c r="H164" i="1"/>
  <c r="K168" i="1"/>
  <c r="R168" i="1"/>
  <c r="H168" i="1"/>
  <c r="R171" i="1"/>
  <c r="K171" i="1"/>
  <c r="H171" i="1"/>
  <c r="R179" i="1"/>
  <c r="K179" i="1"/>
  <c r="K188" i="1"/>
  <c r="R188" i="1"/>
  <c r="H188" i="1"/>
  <c r="K218" i="1"/>
  <c r="R218" i="1"/>
  <c r="H218" i="1"/>
  <c r="K220" i="1"/>
  <c r="R220" i="1"/>
  <c r="H220" i="1"/>
  <c r="U144" i="1"/>
  <c r="U160" i="1"/>
  <c r="L185" i="1"/>
  <c r="L205" i="1"/>
  <c r="L221" i="1"/>
  <c r="K230" i="1"/>
  <c r="R230" i="1"/>
  <c r="K236" i="1"/>
  <c r="R236" i="1"/>
  <c r="K244" i="1"/>
  <c r="R244" i="1"/>
  <c r="K253" i="1"/>
  <c r="R253" i="1"/>
  <c r="H253" i="1"/>
  <c r="K257" i="1"/>
  <c r="R257" i="1"/>
  <c r="H257" i="1"/>
  <c r="L211" i="1"/>
  <c r="L227" i="1"/>
  <c r="L239" i="1"/>
  <c r="K216" i="1"/>
  <c r="R216" i="1"/>
  <c r="K232" i="1"/>
  <c r="R232" i="1"/>
  <c r="K273" i="1"/>
  <c r="R273" i="1"/>
  <c r="H273" i="1"/>
  <c r="K279" i="1"/>
  <c r="R279" i="1"/>
  <c r="H279" i="1"/>
  <c r="K295" i="1"/>
  <c r="R295" i="1"/>
  <c r="H295" i="1"/>
  <c r="U152" i="1"/>
  <c r="K165" i="1"/>
  <c r="L170" i="1"/>
  <c r="L177" i="1"/>
  <c r="L178" i="1"/>
  <c r="H181" i="1"/>
  <c r="L193" i="1"/>
  <c r="H197" i="1"/>
  <c r="L213" i="1"/>
  <c r="K222" i="1"/>
  <c r="R222" i="1"/>
  <c r="L229" i="1"/>
  <c r="K176" i="1"/>
  <c r="R176" i="1"/>
  <c r="K181" i="1"/>
  <c r="K192" i="1"/>
  <c r="R192" i="1"/>
  <c r="K197" i="1"/>
  <c r="K212" i="1"/>
  <c r="R212" i="1"/>
  <c r="K228" i="1"/>
  <c r="R228" i="1"/>
  <c r="H230" i="1"/>
  <c r="H236" i="1"/>
  <c r="H244" i="1"/>
  <c r="K261" i="1"/>
  <c r="R261" i="1"/>
  <c r="H261" i="1"/>
  <c r="K263" i="1"/>
  <c r="R263" i="1"/>
  <c r="K265" i="1"/>
  <c r="R265" i="1"/>
  <c r="H265" i="1"/>
  <c r="R268" i="1"/>
  <c r="H268" i="1"/>
  <c r="U140" i="1"/>
  <c r="U156" i="1"/>
  <c r="L166" i="1"/>
  <c r="L181" i="1"/>
  <c r="L197" i="1"/>
  <c r="L209" i="1"/>
  <c r="L225" i="1"/>
  <c r="R249" i="1"/>
  <c r="K249" i="1"/>
  <c r="L256" i="1"/>
  <c r="H260" i="1"/>
  <c r="R260" i="1"/>
  <c r="K283" i="1"/>
  <c r="R283" i="1"/>
  <c r="H283" i="1"/>
  <c r="K299" i="1"/>
  <c r="R299" i="1"/>
  <c r="H299" i="1"/>
  <c r="K269" i="1"/>
  <c r="R269" i="1"/>
  <c r="R278" i="1"/>
  <c r="K278" i="1"/>
  <c r="R286" i="1"/>
  <c r="K286" i="1"/>
  <c r="R294" i="1"/>
  <c r="K294" i="1"/>
  <c r="R302" i="1"/>
  <c r="K302" i="1"/>
  <c r="U263" i="1"/>
  <c r="L266" i="1"/>
  <c r="R270" i="1"/>
  <c r="K277" i="1"/>
  <c r="R277" i="1"/>
  <c r="L283" i="1"/>
  <c r="K285" i="1"/>
  <c r="R285" i="1"/>
  <c r="L291" i="1"/>
  <c r="K293" i="1"/>
  <c r="R293" i="1"/>
  <c r="L299" i="1"/>
  <c r="K301" i="1"/>
  <c r="R301" i="1"/>
  <c r="U269" i="1"/>
  <c r="L272" i="1"/>
  <c r="L282" i="1"/>
  <c r="R284" i="1"/>
  <c r="K284" i="1"/>
  <c r="L290" i="1"/>
  <c r="R292" i="1"/>
  <c r="K292" i="1"/>
  <c r="L298" i="1"/>
  <c r="R300" i="1"/>
  <c r="K300" i="1"/>
  <c r="K307" i="1"/>
  <c r="H307" i="1"/>
  <c r="R307" i="1"/>
  <c r="H264" i="1"/>
  <c r="H269" i="1"/>
  <c r="R282" i="1"/>
  <c r="K282" i="1"/>
  <c r="R290" i="1"/>
  <c r="K290" i="1"/>
  <c r="R298" i="1"/>
  <c r="K298" i="1"/>
  <c r="L304" i="1"/>
  <c r="R306" i="1"/>
  <c r="K306" i="1"/>
  <c r="K251" i="1"/>
  <c r="R251" i="1"/>
  <c r="K267" i="1"/>
  <c r="R267" i="1"/>
  <c r="H270" i="1"/>
  <c r="H278" i="1"/>
  <c r="K281" i="1"/>
  <c r="R281" i="1"/>
  <c r="H286" i="1"/>
  <c r="K289" i="1"/>
  <c r="R289" i="1"/>
  <c r="H294" i="1"/>
  <c r="K297" i="1"/>
  <c r="R297" i="1"/>
  <c r="H302" i="1"/>
  <c r="K305" i="1"/>
  <c r="R305" i="1"/>
  <c r="U261" i="1"/>
  <c r="L264" i="1"/>
  <c r="H276" i="1"/>
  <c r="H277" i="1"/>
  <c r="L278" i="1"/>
  <c r="R280" i="1"/>
  <c r="K280" i="1"/>
  <c r="H285" i="1"/>
  <c r="L286" i="1"/>
  <c r="R288" i="1"/>
  <c r="K288" i="1"/>
  <c r="H293" i="1"/>
  <c r="L294" i="1"/>
  <c r="R296" i="1"/>
  <c r="K296" i="1"/>
  <c r="H301" i="1"/>
  <c r="L302" i="1"/>
  <c r="R304" i="1"/>
  <c r="K304" i="1"/>
</calcChain>
</file>

<file path=xl/sharedStrings.xml><?xml version="1.0" encoding="utf-8"?>
<sst xmlns="http://schemas.openxmlformats.org/spreadsheetml/2006/main" count="3384" uniqueCount="896">
  <si>
    <t>File opened</t>
  </si>
  <si>
    <t>2026-02-13 11:01:19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</si>
  <si>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</si>
  <si>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</si>
  <si>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</si>
  <si>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</si>
  <si>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</si>
  <si>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</si>
  <si>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</si>
  <si>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</si>
  <si>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</si>
  <si>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</si>
  <si>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</si>
  <si>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{"co2bzero": "0.99384", "co2aspan2b": "0.296788", "h2obspan2b": "0.0728367", "co2aspanconc2": "301.4", "co2aspanconc1": "2473", "h2oaspan1": "1.01335", "h2oaspanconc1": "12.29", "h2obspan1": "1.03315", "flowbzero": "0.30857", "h2obzero": "1.08151", "chamberpressurezero": "2.63782", "h2obspanconc2": "0", "tbzero": "0.0726261", "h2oaspan2": "0", "co2aspan2": "-0.033915", "co2bspanconc2": "301.4", "co2aspan2a": "0.299679", "h2oaspanconc2": "0", "co2aspan1": "1.00052", "flowmeterzero": "1.00472", "tazero": "0.0117626", "co2bspan2a": "0.295418", "co2azero": "0.922307", "co2bspanconc1": "2473", "ssa_ref": "39976.8", "ssb_ref": "38888.9", "h2oaspan2b": "0.0721966", "h2obspan2": "0", "co2bspan2b": "0.292556", "h2oaspan2a": "0.0712457", "co2bspan1": "1.00094", "flowazero": "0.34786", "h2oazero": "1.07438", "oxygen": "21", "h2obspan2a": "0.0704999", "co2bspan2": "-0.0359676", "h2obspanconc1": "12.29"}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</si>
  <si>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</si>
  <si>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</si>
  <si>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</si>
  <si>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</si>
  <si>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</si>
  <si>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</si>
  <si>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</si>
  <si>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</si>
  <si>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</si>
  <si>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</si>
  <si>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</si>
  <si>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</si>
  <si>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</si>
  <si>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</si>
  <si>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</si>
  <si>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</si>
  <si>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</si>
  <si>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</si>
  <si>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</si>
  <si>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</si>
  <si>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11:01:19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</si>
  <si>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</si>
  <si>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</si>
  <si>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</si>
  <si>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</si>
  <si>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</si>
  <si>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</si>
  <si>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</si>
  <si>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</si>
  <si>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</si>
  <si>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</si>
  <si>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</si>
  <si>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</si>
  <si>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</si>
  <si>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</si>
  <si>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</si>
  <si>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</si>
  <si>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</si>
  <si>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</si>
  <si>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</si>
  <si>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</si>
  <si>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</si>
  <si>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</si>
  <si>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</si>
  <si>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</si>
  <si>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</si>
  <si>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</si>
  <si>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</si>
  <si>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</si>
  <si>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</si>
  <si>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</si>
  <si>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</si>
  <si>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</si>
  <si>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</si>
  <si>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</si>
  <si>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</si>
  <si>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</si>
  <si>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</si>
  <si>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</si>
  <si>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</si>
  <si>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</si>
  <si>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</si>
  <si>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</si>
  <si>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</si>
  <si>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</si>
  <si>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</si>
  <si>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</si>
  <si>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</si>
  <si>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</si>
  <si>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</si>
  <si>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</si>
  <si>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</si>
  <si>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</si>
  <si>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7.78412 88.7235 371.739 613.779 841.316 1046.79 1235.73 1413.11</t>
  </si>
  <si>
    <t>Fs_true</t>
  </si>
  <si>
    <t>0.100506 102.468 401.899 601.366 801.647 1000.62 1201.23 1400.43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</si>
  <si>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</si>
  <si>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</si>
  <si>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</si>
  <si>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</si>
  <si>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</si>
  <si>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</si>
  <si>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</si>
  <si>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</si>
  <si>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</si>
  <si>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</si>
  <si>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</si>
  <si>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</si>
  <si>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</si>
  <si>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</si>
  <si>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</si>
  <si>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</si>
  <si>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</si>
  <si>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</si>
  <si>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</si>
  <si>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</si>
  <si>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</si>
  <si>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</si>
  <si>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</si>
  <si>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</si>
  <si>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</si>
  <si>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</si>
  <si>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</si>
  <si>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</si>
  <si>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</si>
  <si>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</si>
  <si>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</si>
  <si>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</si>
  <si>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</si>
  <si>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</si>
  <si>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</si>
  <si>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</si>
  <si>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</si>
  <si>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</si>
  <si>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</si>
  <si>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</si>
  <si>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</si>
  <si>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</si>
  <si>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</si>
  <si>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</si>
  <si>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</si>
  <si>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</si>
  <si>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</si>
  <si>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</si>
  <si>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</si>
  <si>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</si>
  <si>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</si>
  <si>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</si>
  <si>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</si>
  <si>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</si>
  <si>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</si>
  <si>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</si>
  <si>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</si>
  <si>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</si>
  <si>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</si>
  <si>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</si>
  <si>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</si>
  <si>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</si>
  <si>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</si>
  <si>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</si>
  <si>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</si>
  <si>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</si>
  <si>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</si>
  <si>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</si>
  <si>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</si>
  <si>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</si>
  <si>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</si>
  <si>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</si>
  <si>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</si>
  <si>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</si>
  <si>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</si>
  <si>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</si>
  <si>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</si>
  <si>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</si>
  <si>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</si>
  <si>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</si>
  <si>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</si>
  <si>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</si>
  <si>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</si>
  <si>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</si>
  <si>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</si>
  <si>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</si>
  <si>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</si>
  <si>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</si>
  <si>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</si>
  <si>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</si>
  <si>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</si>
  <si>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</si>
  <si>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</si>
  <si>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</si>
  <si>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</si>
  <si>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</si>
  <si>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</si>
  <si>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</si>
  <si>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</si>
  <si>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</si>
  <si>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</si>
  <si>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</si>
  <si>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</si>
  <si>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</si>
  <si>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</si>
  <si>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</si>
  <si>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</si>
  <si>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</si>
  <si>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</si>
  <si>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</si>
  <si>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</si>
  <si>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</si>
  <si>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</si>
  <si>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</si>
  <si>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</si>
  <si>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</si>
  <si>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</si>
  <si>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</si>
  <si>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</si>
  <si>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</si>
  <si>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</si>
  <si>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</si>
  <si>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</si>
  <si>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</si>
  <si>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</si>
  <si>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</si>
  <si>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</si>
  <si>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</si>
  <si>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</si>
  <si>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</si>
  <si>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</si>
  <si>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</si>
  <si>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</si>
  <si>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</si>
  <si>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CO2_hrs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</si>
  <si>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</si>
  <si>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</si>
  <si>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</si>
  <si>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</si>
  <si>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</si>
  <si>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</si>
  <si>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</si>
  <si>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</si>
  <si>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</si>
  <si>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</si>
  <si>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</si>
  <si>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</si>
  <si>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</si>
  <si>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</si>
  <si>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</si>
  <si>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</si>
  <si>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</si>
  <si>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</si>
  <si>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</si>
  <si>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</si>
  <si>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</si>
  <si>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</si>
  <si>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</si>
  <si>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</si>
  <si>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</si>
  <si>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</si>
  <si>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</si>
  <si>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</si>
  <si>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</si>
  <si>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</si>
  <si>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</si>
  <si>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</si>
  <si>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</si>
  <si>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</si>
  <si>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</si>
  <si>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</si>
  <si>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</si>
  <si>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</si>
  <si>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</si>
  <si>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</si>
  <si>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</si>
  <si>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</si>
  <si>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</si>
  <si>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</si>
  <si>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</si>
  <si>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</si>
  <si>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</si>
  <si>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</si>
  <si>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</si>
  <si>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</si>
  <si>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</si>
  <si>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</si>
  <si>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</si>
  <si>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</si>
  <si>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</si>
  <si>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</si>
  <si>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</si>
  <si>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</si>
  <si>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</si>
  <si>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</si>
  <si>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</si>
  <si>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</si>
  <si>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20260213 11:03:43</t>
  </si>
  <si>
    <t>11:03:43</t>
  </si>
  <si>
    <t>11:04:07</t>
  </si>
  <si>
    <t>1/2</t>
  </si>
  <si>
    <t>10111111</t>
  </si>
  <si>
    <t>oioooooo</t>
  </si>
  <si>
    <t>off</t>
  </si>
  <si>
    <t>on</t>
  </si>
  <si>
    <t>20260213 11:04:09</t>
  </si>
  <si>
    <t>11:04:09</t>
  </si>
  <si>
    <t>20260213 11:04:24</t>
  </si>
  <si>
    <t>11:04:24</t>
  </si>
  <si>
    <t>0/2</t>
  </si>
  <si>
    <t>20260213 11:04:39</t>
  </si>
  <si>
    <t>11:04:39</t>
  </si>
  <si>
    <t>20260213 11:04:54</t>
  </si>
  <si>
    <t>11:04:54</t>
  </si>
  <si>
    <t>2/2</t>
  </si>
  <si>
    <t>20260213 11:05:09</t>
  </si>
  <si>
    <t>11:05:09</t>
  </si>
  <si>
    <t>20260213 11:05:24</t>
  </si>
  <si>
    <t>11:05:24</t>
  </si>
  <si>
    <t>20260213 11:05:39</t>
  </si>
  <si>
    <t>11:05:39</t>
  </si>
  <si>
    <t>20260213 11:05:54</t>
  </si>
  <si>
    <t>11:05:54</t>
  </si>
  <si>
    <t>20260213 11:06:09</t>
  </si>
  <si>
    <t>11:06:09</t>
  </si>
  <si>
    <t>20260213 11:06:24</t>
  </si>
  <si>
    <t>11:06:24</t>
  </si>
  <si>
    <t>20260213 11:06:39</t>
  </si>
  <si>
    <t>11:06:39</t>
  </si>
  <si>
    <t>20260213 11:06:54</t>
  </si>
  <si>
    <t>11:06:54</t>
  </si>
  <si>
    <t>20260213 11:07:09</t>
  </si>
  <si>
    <t>11:07:09</t>
  </si>
  <si>
    <t>20260213 11:07:24</t>
  </si>
  <si>
    <t>11:07:24</t>
  </si>
  <si>
    <t>20260213 11:07:39</t>
  </si>
  <si>
    <t>11:07:39</t>
  </si>
  <si>
    <t>20260213 11:07:54</t>
  </si>
  <si>
    <t>11:07:54</t>
  </si>
  <si>
    <t>20260213 11:08:10</t>
  </si>
  <si>
    <t>11:08:10</t>
  </si>
  <si>
    <t>20260213 11:08:25</t>
  </si>
  <si>
    <t>11:08:25</t>
  </si>
  <si>
    <t>20260213 11:08:40</t>
  </si>
  <si>
    <t>11:08:40</t>
  </si>
  <si>
    <t>20260213 11:08:55</t>
  </si>
  <si>
    <t>11:08:55</t>
  </si>
  <si>
    <t>20260213 11:09:10</t>
  </si>
  <si>
    <t>11:09:10</t>
  </si>
  <si>
    <t>20260213 11:09:25</t>
  </si>
  <si>
    <t>11:09:25</t>
  </si>
  <si>
    <t>20260213 11:09:40</t>
  </si>
  <si>
    <t>11:09:40</t>
  </si>
  <si>
    <t>20260213 11:09:55</t>
  </si>
  <si>
    <t>11:09:55</t>
  </si>
  <si>
    <t>20260213 11:10:10</t>
  </si>
  <si>
    <t>11:10:10</t>
  </si>
  <si>
    <t>20260213 11:10:25</t>
  </si>
  <si>
    <t>11:10:25</t>
  </si>
  <si>
    <t>20260213 11:10:40</t>
  </si>
  <si>
    <t>11:10:40</t>
  </si>
  <si>
    <t>20260213 11:10:55</t>
  </si>
  <si>
    <t>11:10:55</t>
  </si>
  <si>
    <t>20260213 11:11:10</t>
  </si>
  <si>
    <t>11:11:10</t>
  </si>
  <si>
    <t>20260213 11:11:25</t>
  </si>
  <si>
    <t>11:11:25</t>
  </si>
  <si>
    <t>20260213 11:11:40</t>
  </si>
  <si>
    <t>11:11:40</t>
  </si>
  <si>
    <t>20260213 11:11:55</t>
  </si>
  <si>
    <t>11:11:55</t>
  </si>
  <si>
    <t>20260213 11:12:10</t>
  </si>
  <si>
    <t>11:12:10</t>
  </si>
  <si>
    <t>20260213 11:12:25</t>
  </si>
  <si>
    <t>11:12:25</t>
  </si>
  <si>
    <t>20260213 11:12:40</t>
  </si>
  <si>
    <t>11:12:40</t>
  </si>
  <si>
    <t>20260213 11:12:55</t>
  </si>
  <si>
    <t>11:12:55</t>
  </si>
  <si>
    <t>20260213 11:13:10</t>
  </si>
  <si>
    <t>11:13:10</t>
  </si>
  <si>
    <t>20260213 11:13:25</t>
  </si>
  <si>
    <t>11:13:25</t>
  </si>
  <si>
    <t>20260213 11:13:40</t>
  </si>
  <si>
    <t>11:13:40</t>
  </si>
  <si>
    <t>20260213 11:13:55</t>
  </si>
  <si>
    <t>11:13:55</t>
  </si>
  <si>
    <t>20260213 11:14:10</t>
  </si>
  <si>
    <t>11:14:10</t>
  </si>
  <si>
    <t>11:14:34</t>
  </si>
  <si>
    <t>20260213 11:14:36</t>
  </si>
  <si>
    <t>11:14:36</t>
  </si>
  <si>
    <t>20260213 11:14:51</t>
  </si>
  <si>
    <t>11:14:51</t>
  </si>
  <si>
    <t>20260213 11:15:06</t>
  </si>
  <si>
    <t>11:15:06</t>
  </si>
  <si>
    <t>20260213 11:15:21</t>
  </si>
  <si>
    <t>11:15:21</t>
  </si>
  <si>
    <t>20260213 11:15:36</t>
  </si>
  <si>
    <t>11:15:36</t>
  </si>
  <si>
    <t>20260213 11:15:51</t>
  </si>
  <si>
    <t>11:15:51</t>
  </si>
  <si>
    <t>20260213 11:19:50</t>
  </si>
  <si>
    <t>11:19:50</t>
  </si>
  <si>
    <t>20260213 11:20:05</t>
  </si>
  <si>
    <t>11:20:05</t>
  </si>
  <si>
    <t>20260213 11:20:20</t>
  </si>
  <si>
    <t>11:20:20</t>
  </si>
  <si>
    <t>20260213 11:20:35</t>
  </si>
  <si>
    <t>11:20:35</t>
  </si>
  <si>
    <t>20260213 11:20:50</t>
  </si>
  <si>
    <t>11:20:50</t>
  </si>
  <si>
    <t>20260213 11:21:05</t>
  </si>
  <si>
    <t>11:21:05</t>
  </si>
  <si>
    <t>20260213 11:21:20</t>
  </si>
  <si>
    <t>11:21:20</t>
  </si>
  <si>
    <t>20260213 11:21:35</t>
  </si>
  <si>
    <t>11:21:35</t>
  </si>
  <si>
    <t>20260213 11:21:50</t>
  </si>
  <si>
    <t>11:21:50</t>
  </si>
  <si>
    <t>20260213 11:22:05</t>
  </si>
  <si>
    <t>11:22:05</t>
  </si>
  <si>
    <t>20260213 11:22:20</t>
  </si>
  <si>
    <t>11:22:20</t>
  </si>
  <si>
    <t>20260213 11:22:35</t>
  </si>
  <si>
    <t>11:22:35</t>
  </si>
  <si>
    <t>20260213 11:22:50</t>
  </si>
  <si>
    <t>11:22:50</t>
  </si>
  <si>
    <t>20260213 11:23:05</t>
  </si>
  <si>
    <t>11:23:05</t>
  </si>
  <si>
    <t>20260213 11:23:20</t>
  </si>
  <si>
    <t>11:23:20</t>
  </si>
  <si>
    <t>20260213 11:23:35</t>
  </si>
  <si>
    <t>11:23:35</t>
  </si>
  <si>
    <t>20260213 11:23:50</t>
  </si>
  <si>
    <t>11:23:50</t>
  </si>
  <si>
    <t>20260213 11:24:05</t>
  </si>
  <si>
    <t>11:24:05</t>
  </si>
  <si>
    <t>20260213 11:24:20</t>
  </si>
  <si>
    <t>11:24:20</t>
  </si>
  <si>
    <t>20260213 11:24:35</t>
  </si>
  <si>
    <t>11:24:35</t>
  </si>
  <si>
    <t>11:24:59</t>
  </si>
  <si>
    <t>20260213 11:25:01</t>
  </si>
  <si>
    <t>11:25:01</t>
  </si>
  <si>
    <t>20260213 11:25:16</t>
  </si>
  <si>
    <t>11:25:16</t>
  </si>
  <si>
    <t>20260213 11:25:31</t>
  </si>
  <si>
    <t>11:25:31</t>
  </si>
  <si>
    <t>20260213 11:25:46</t>
  </si>
  <si>
    <t>11:25:46</t>
  </si>
  <si>
    <t>20260213 11:26:01</t>
  </si>
  <si>
    <t>11:26:01</t>
  </si>
  <si>
    <t>20260213 11:26:16</t>
  </si>
  <si>
    <t>11:26:16</t>
  </si>
  <si>
    <t>20260213 11:26:31</t>
  </si>
  <si>
    <t>11:26:31</t>
  </si>
  <si>
    <t>20260213 11:26:46</t>
  </si>
  <si>
    <t>11:26:46</t>
  </si>
  <si>
    <t>20260213 11:27:01</t>
  </si>
  <si>
    <t>11:27:01</t>
  </si>
  <si>
    <t>20260213 11:27:16</t>
  </si>
  <si>
    <t>11:27:16</t>
  </si>
  <si>
    <t>20260213 11:27:31</t>
  </si>
  <si>
    <t>11:27:31</t>
  </si>
  <si>
    <t>20260213 11:27:46</t>
  </si>
  <si>
    <t>11:27:46</t>
  </si>
  <si>
    <t>20260213 11:28:01</t>
  </si>
  <si>
    <t>11:28:01</t>
  </si>
  <si>
    <t>20260213 11:28:16</t>
  </si>
  <si>
    <t>11:28:16</t>
  </si>
  <si>
    <t>20260213 11:28:31</t>
  </si>
  <si>
    <t>11:28:31</t>
  </si>
  <si>
    <t>20260213 11:28:46</t>
  </si>
  <si>
    <t>11:28:46</t>
  </si>
  <si>
    <t>20260213 11:29:01</t>
  </si>
  <si>
    <t>11:29:01</t>
  </si>
  <si>
    <t>20260213 11:29:16</t>
  </si>
  <si>
    <t>11:29:16</t>
  </si>
  <si>
    <t>20260213 11:29:31</t>
  </si>
  <si>
    <t>11:29:31</t>
  </si>
  <si>
    <t>20260213 11:29:46</t>
  </si>
  <si>
    <t>11:29:46</t>
  </si>
  <si>
    <t>20260213 11:33:27</t>
  </si>
  <si>
    <t>11:33:27</t>
  </si>
  <si>
    <t>20260213 11:33:42</t>
  </si>
  <si>
    <t>11:33:42</t>
  </si>
  <si>
    <t>20260213 11:33:57</t>
  </si>
  <si>
    <t>11:33:57</t>
  </si>
  <si>
    <t>20260213 11:34:12</t>
  </si>
  <si>
    <t>11:34:12</t>
  </si>
  <si>
    <t>20260213 11:34:27</t>
  </si>
  <si>
    <t>11:34:27</t>
  </si>
  <si>
    <t>20260213 11:34:42</t>
  </si>
  <si>
    <t>11:34:42</t>
  </si>
  <si>
    <t>20260213 11:34:57</t>
  </si>
  <si>
    <t>11:34:57</t>
  </si>
  <si>
    <t>11:35:21</t>
  </si>
  <si>
    <t>20260213 11:35:23</t>
  </si>
  <si>
    <t>11:35:23</t>
  </si>
  <si>
    <t>11:35:43</t>
  </si>
  <si>
    <t>20260213 11:35:45</t>
  </si>
  <si>
    <t>11:35:45</t>
  </si>
  <si>
    <t>20260213 11:36:00</t>
  </si>
  <si>
    <t>11:36:00</t>
  </si>
  <si>
    <t>20260213 11:36:15</t>
  </si>
  <si>
    <t>11:36:15</t>
  </si>
  <si>
    <t>20260213 11:36:30</t>
  </si>
  <si>
    <t>11:36:30</t>
  </si>
  <si>
    <t>20260213 11:36:45</t>
  </si>
  <si>
    <t>11:36:45</t>
  </si>
  <si>
    <t>20260213 11:37:00</t>
  </si>
  <si>
    <t>11:37:00</t>
  </si>
  <si>
    <t>20260213 11:37:15</t>
  </si>
  <si>
    <t>11:37:15</t>
  </si>
  <si>
    <t>20260213 11:37:30</t>
  </si>
  <si>
    <t>11:37:30</t>
  </si>
  <si>
    <t>20260213 11:37:45</t>
  </si>
  <si>
    <t>11:37:45</t>
  </si>
  <si>
    <t>20260213 11:38:00</t>
  </si>
  <si>
    <t>11:38:00</t>
  </si>
  <si>
    <t>20260213 11:38:15</t>
  </si>
  <si>
    <t>11:38:15</t>
  </si>
  <si>
    <t>20260213 11:38:30</t>
  </si>
  <si>
    <t>11:38:30</t>
  </si>
  <si>
    <t>20260213 11:38:45</t>
  </si>
  <si>
    <t>11:38:45</t>
  </si>
  <si>
    <t>20260213 11:39:00</t>
  </si>
  <si>
    <t>11:39:00</t>
  </si>
  <si>
    <t>20260213 11:39:15</t>
  </si>
  <si>
    <t>11:39:15</t>
  </si>
  <si>
    <t>20260213 11:39:30</t>
  </si>
  <si>
    <t>11:39:30</t>
  </si>
  <si>
    <t>20260213 11:39:45</t>
  </si>
  <si>
    <t>11:39:45</t>
  </si>
  <si>
    <t>20260213 11:40:00</t>
  </si>
  <si>
    <t>11:40:00</t>
  </si>
  <si>
    <t>20260213 11:40:15</t>
  </si>
  <si>
    <t>11:40:15</t>
  </si>
  <si>
    <t>20260213 11:40:30</t>
  </si>
  <si>
    <t>11:40:30</t>
  </si>
  <si>
    <t>20260213 11:40:45</t>
  </si>
  <si>
    <t>11:40:45</t>
  </si>
  <si>
    <t>20260213 11:41:00</t>
  </si>
  <si>
    <t>11:41:00</t>
  </si>
  <si>
    <t>20260213 11:41:15</t>
  </si>
  <si>
    <t>11:41:15</t>
  </si>
  <si>
    <t>20260213 11:41:30</t>
  </si>
  <si>
    <t>11:41:30</t>
  </si>
  <si>
    <t>20260213 11:41:45</t>
  </si>
  <si>
    <t>11:41:45</t>
  </si>
  <si>
    <t>20260213 11:42:00</t>
  </si>
  <si>
    <t>11:42:00</t>
  </si>
  <si>
    <t>20260213 11:42:15</t>
  </si>
  <si>
    <t>11:42:15</t>
  </si>
  <si>
    <t>20260213 11:42:30</t>
  </si>
  <si>
    <t>11:42:30</t>
  </si>
  <si>
    <t>20260213 11:42:45</t>
  </si>
  <si>
    <t>11:42:45</t>
  </si>
  <si>
    <t>20260213 11:43:00</t>
  </si>
  <si>
    <t>11:43:00</t>
  </si>
  <si>
    <t>20260213 11:43:15</t>
  </si>
  <si>
    <t>11:43:15</t>
  </si>
  <si>
    <t>20260213 11:43:30</t>
  </si>
  <si>
    <t>11:43:30</t>
  </si>
  <si>
    <t>20260213 11:43:45</t>
  </si>
  <si>
    <t>11:43:45</t>
  </si>
  <si>
    <t>20260213 11:44:00</t>
  </si>
  <si>
    <t>11:44:00</t>
  </si>
  <si>
    <t>20260213 11:44:15</t>
  </si>
  <si>
    <t>11:44:15</t>
  </si>
  <si>
    <t>20260213 11:44:30</t>
  </si>
  <si>
    <t>11:44:30</t>
  </si>
  <si>
    <t>20260213 11:44:45</t>
  </si>
  <si>
    <t>11:44:45</t>
  </si>
  <si>
    <t>20260213 11:45:00</t>
  </si>
  <si>
    <t>11:45:00</t>
  </si>
  <si>
    <t>20260213 11:45:15</t>
  </si>
  <si>
    <t>11:45:15</t>
  </si>
  <si>
    <t>20260213 11:45:30</t>
  </si>
  <si>
    <t>11:45:30</t>
  </si>
  <si>
    <t>11:45:50</t>
  </si>
  <si>
    <t>20260213 11:45:52</t>
  </si>
  <si>
    <t>11:45:52</t>
  </si>
  <si>
    <t>11:46:12</t>
  </si>
  <si>
    <t>20260213 11:46:14</t>
  </si>
  <si>
    <t>11:46:14</t>
  </si>
  <si>
    <t>20260213 11:51:43</t>
  </si>
  <si>
    <t>11:51:43</t>
  </si>
  <si>
    <t>20260213 11:51:58</t>
  </si>
  <si>
    <t>11:51:58</t>
  </si>
  <si>
    <t>20260213 11:52:13</t>
  </si>
  <si>
    <t>11:52:13</t>
  </si>
  <si>
    <t>20260213 11:52:28</t>
  </si>
  <si>
    <t>11:52:28</t>
  </si>
  <si>
    <t>20260213 11:52:43</t>
  </si>
  <si>
    <t>11:52:43</t>
  </si>
  <si>
    <t>20260213 11:52:58</t>
  </si>
  <si>
    <t>11:52:58</t>
  </si>
  <si>
    <t>20260213 11:53:13</t>
  </si>
  <si>
    <t>11:53:13</t>
  </si>
  <si>
    <t>20260213 11:53:28</t>
  </si>
  <si>
    <t>11:53:28</t>
  </si>
  <si>
    <t>20260213 11:53:43</t>
  </si>
  <si>
    <t>11:53:43</t>
  </si>
  <si>
    <t>20260213 11:53:58</t>
  </si>
  <si>
    <t>11:53:58</t>
  </si>
  <si>
    <t>20260213 11:54:13</t>
  </si>
  <si>
    <t>11:54:13</t>
  </si>
  <si>
    <t>20260213 11:54:28</t>
  </si>
  <si>
    <t>11:54:28</t>
  </si>
  <si>
    <t>20260213 11:54:43</t>
  </si>
  <si>
    <t>11:54:43</t>
  </si>
  <si>
    <t>20260213 11:54:58</t>
  </si>
  <si>
    <t>11:54:58</t>
  </si>
  <si>
    <t>20260213 11:55:13</t>
  </si>
  <si>
    <t>11:55:13</t>
  </si>
  <si>
    <t>20260213 11:55:28</t>
  </si>
  <si>
    <t>11:55:28</t>
  </si>
  <si>
    <t>20260213 11:55:43</t>
  </si>
  <si>
    <t>11:55:43</t>
  </si>
  <si>
    <t>20260213 11:55:58</t>
  </si>
  <si>
    <t>11:55:58</t>
  </si>
  <si>
    <t>11:56:22</t>
  </si>
  <si>
    <t>20260213 11:56:24</t>
  </si>
  <si>
    <t>11:56:24</t>
  </si>
  <si>
    <t>11:56:44</t>
  </si>
  <si>
    <t>20260213 11:56:46</t>
  </si>
  <si>
    <t>11:56:46</t>
  </si>
  <si>
    <t>20260213 11:57:01</t>
  </si>
  <si>
    <t>11:57:01</t>
  </si>
  <si>
    <t>20260213 11:57:16</t>
  </si>
  <si>
    <t>11:57:16</t>
  </si>
  <si>
    <t>20260213 11:57:31</t>
  </si>
  <si>
    <t>11:57:31</t>
  </si>
  <si>
    <t>20260213 12:00:47</t>
  </si>
  <si>
    <t>12:00:47</t>
  </si>
  <si>
    <t>20260213 12:01:02</t>
  </si>
  <si>
    <t>12:01:02</t>
  </si>
  <si>
    <t>20260213 12:01:17</t>
  </si>
  <si>
    <t>12:01:17</t>
  </si>
  <si>
    <t>20260213 12:01:32</t>
  </si>
  <si>
    <t>12:01:32</t>
  </si>
  <si>
    <t>20260213 12:01:47</t>
  </si>
  <si>
    <t>12:01:47</t>
  </si>
  <si>
    <t>20260213 12:02:02</t>
  </si>
  <si>
    <t>12:02:02</t>
  </si>
  <si>
    <t>20260213 12:02:17</t>
  </si>
  <si>
    <t>12:02:17</t>
  </si>
  <si>
    <t>20260213 12:02:32</t>
  </si>
  <si>
    <t>12:02:32</t>
  </si>
  <si>
    <t>20260213 12:02:47</t>
  </si>
  <si>
    <t>12:02:47</t>
  </si>
  <si>
    <t>20260213 12:03:02</t>
  </si>
  <si>
    <t>12:03:02</t>
  </si>
  <si>
    <t>20260213 12:03:17</t>
  </si>
  <si>
    <t>12:03:17</t>
  </si>
  <si>
    <t>20260213 12:03:32</t>
  </si>
  <si>
    <t>12:03:32</t>
  </si>
  <si>
    <t>20260213 12:03:47</t>
  </si>
  <si>
    <t>12:03:47</t>
  </si>
  <si>
    <t>20260213 12:04:02</t>
  </si>
  <si>
    <t>12:04:02</t>
  </si>
  <si>
    <t>20260213 12:04:17</t>
  </si>
  <si>
    <t>12:04:17</t>
  </si>
  <si>
    <t>20260213 12:04:32</t>
  </si>
  <si>
    <t>12:04:32</t>
  </si>
  <si>
    <t>20260213 12:04:47</t>
  </si>
  <si>
    <t>12:04:47</t>
  </si>
  <si>
    <t>20260213 12:05:02</t>
  </si>
  <si>
    <t>12:05:02</t>
  </si>
  <si>
    <t>20260213 12:05:17</t>
  </si>
  <si>
    <t>12:05:17</t>
  </si>
  <si>
    <t>20260213 12:05:32</t>
  </si>
  <si>
    <t>12:05:32</t>
  </si>
  <si>
    <t>20260213 12:05:47</t>
  </si>
  <si>
    <t>12:05:47</t>
  </si>
  <si>
    <t>20260213 12:06:02</t>
  </si>
  <si>
    <t>12:06:02</t>
  </si>
  <si>
    <t>20260213 12:06:17</t>
  </si>
  <si>
    <t>12:06:17</t>
  </si>
  <si>
    <t>20260213 12:06:32</t>
  </si>
  <si>
    <t>12:06:32</t>
  </si>
  <si>
    <t>12:06:52</t>
  </si>
  <si>
    <t>20260213 12:06:54</t>
  </si>
  <si>
    <t>12:06:54</t>
  </si>
  <si>
    <t>12:07:14</t>
  </si>
  <si>
    <t>20260213 12:07:16</t>
  </si>
  <si>
    <t>12:07:16</t>
  </si>
  <si>
    <t>20260213 12:07:31</t>
  </si>
  <si>
    <t>12:07:31</t>
  </si>
  <si>
    <t>20260213 12:07:46</t>
  </si>
  <si>
    <t>12:07:46</t>
  </si>
  <si>
    <t>20260213 12:08:01</t>
  </si>
  <si>
    <t>12:08:01</t>
  </si>
  <si>
    <t>20260213 12:09:46</t>
  </si>
  <si>
    <t>12:09:46</t>
  </si>
  <si>
    <t>20260213 12:10:01</t>
  </si>
  <si>
    <t>12:10:01</t>
  </si>
  <si>
    <t>20260213 12:10:16</t>
  </si>
  <si>
    <t>12:10:16</t>
  </si>
  <si>
    <t>20260213 12:10:31</t>
  </si>
  <si>
    <t>12:10:31</t>
  </si>
  <si>
    <t>20260213 12:10:46</t>
  </si>
  <si>
    <t>12:10:46</t>
  </si>
  <si>
    <t>20260213 12:11:01</t>
  </si>
  <si>
    <t>12:11:01</t>
  </si>
  <si>
    <t>20260213 12:11:16</t>
  </si>
  <si>
    <t>12:11:16</t>
  </si>
  <si>
    <t>20260213 12:11:31</t>
  </si>
  <si>
    <t>12:11:31</t>
  </si>
  <si>
    <t>20260213 12:11:46</t>
  </si>
  <si>
    <t>12:11:46</t>
  </si>
  <si>
    <t>20260213 12:12:01</t>
  </si>
  <si>
    <t>12:12:01</t>
  </si>
  <si>
    <t>20260213 12:12:16</t>
  </si>
  <si>
    <t>12:12:16</t>
  </si>
  <si>
    <t>20260213 12:12:31</t>
  </si>
  <si>
    <t>12:12:31</t>
  </si>
  <si>
    <t>20260213 12:12:46</t>
  </si>
  <si>
    <t>12:12:46</t>
  </si>
  <si>
    <t>20260213 12:13:01</t>
  </si>
  <si>
    <t>12:13:01</t>
  </si>
  <si>
    <t>20260213 12:13:16</t>
  </si>
  <si>
    <t>12:13:16</t>
  </si>
  <si>
    <t>20260213 12:13:31</t>
  </si>
  <si>
    <t>12:13:31</t>
  </si>
  <si>
    <t>20260213 12:13:46</t>
  </si>
  <si>
    <t>12:13:46</t>
  </si>
  <si>
    <t>20260213 12:14:01</t>
  </si>
  <si>
    <t>12:14:01</t>
  </si>
  <si>
    <t>20260213 12:14:16</t>
  </si>
  <si>
    <t>12:14:16</t>
  </si>
  <si>
    <t>20260213 12:14:31</t>
  </si>
  <si>
    <t>12:14:31</t>
  </si>
  <si>
    <t>20260213 12:14:46</t>
  </si>
  <si>
    <t>12:14:46</t>
  </si>
  <si>
    <t>20260213 12:15:01</t>
  </si>
  <si>
    <t>12:15:01</t>
  </si>
  <si>
    <t>20260213 12:15:16</t>
  </si>
  <si>
    <t>12:15:16</t>
  </si>
  <si>
    <t>20260213 12:15:31</t>
  </si>
  <si>
    <t>12:15:31</t>
  </si>
  <si>
    <t>20260213 12:15:46</t>
  </si>
  <si>
    <t>12:15:46</t>
  </si>
  <si>
    <t>20260213 12:16:01</t>
  </si>
  <si>
    <t>12:16:01</t>
  </si>
  <si>
    <t>20260213 12:16:16</t>
  </si>
  <si>
    <t>12:16:16</t>
  </si>
  <si>
    <t>20260213 12:16:31</t>
  </si>
  <si>
    <t>12:16:31</t>
  </si>
  <si>
    <t>20260213 12:16:46</t>
  </si>
  <si>
    <t>12:16:46</t>
  </si>
  <si>
    <t>20260213 12:17:01</t>
  </si>
  <si>
    <t>12:17:01</t>
  </si>
  <si>
    <t>12:17:25</t>
  </si>
  <si>
    <t>20260213 12:17:27</t>
  </si>
  <si>
    <t>12:17:27</t>
  </si>
  <si>
    <t>12:17:47</t>
  </si>
  <si>
    <t>20260213 12:17:49</t>
  </si>
  <si>
    <t>12:17:49</t>
  </si>
  <si>
    <t>20260213 12:18:04</t>
  </si>
  <si>
    <t>12:18:04</t>
  </si>
  <si>
    <t>20260213 12:18:19</t>
  </si>
  <si>
    <t>12:18:19</t>
  </si>
  <si>
    <t>20260213 12:18:34</t>
  </si>
  <si>
    <t>12:18:34</t>
  </si>
  <si>
    <t>20260213 12:18:49</t>
  </si>
  <si>
    <t>12:18:49</t>
  </si>
  <si>
    <t>20260213 12:21:01</t>
  </si>
  <si>
    <t>12:21:01</t>
  </si>
  <si>
    <t>20260213 12:21:16</t>
  </si>
  <si>
    <t>12:21:16</t>
  </si>
  <si>
    <t>20260213 12:21:31</t>
  </si>
  <si>
    <t>12:21:31</t>
  </si>
  <si>
    <t>20260213 12:21:46</t>
  </si>
  <si>
    <t>12:21:46</t>
  </si>
  <si>
    <t>20260213 12:22:01</t>
  </si>
  <si>
    <t>12:22:01</t>
  </si>
  <si>
    <t>20260213 12:22:16</t>
  </si>
  <si>
    <t>12:22:16</t>
  </si>
  <si>
    <t>20260213 12:22:31</t>
  </si>
  <si>
    <t>12:22:31</t>
  </si>
  <si>
    <t>20260213 12:22:46</t>
  </si>
  <si>
    <t>12:22:46</t>
  </si>
  <si>
    <t>20260213 12:23:01</t>
  </si>
  <si>
    <t>12:23:01</t>
  </si>
  <si>
    <t>20260213 12:23:16</t>
  </si>
  <si>
    <t>12:23:16</t>
  </si>
  <si>
    <t>20260213 12:23:31</t>
  </si>
  <si>
    <t>12:23:31</t>
  </si>
  <si>
    <t>20260213 12:23:46</t>
  </si>
  <si>
    <t>12:23:46</t>
  </si>
  <si>
    <t>20260213 12:24:01</t>
  </si>
  <si>
    <t>12:24:01</t>
  </si>
  <si>
    <t>20260213 12:24:16</t>
  </si>
  <si>
    <t>12:24:16</t>
  </si>
  <si>
    <t>20260213 12:24:31</t>
  </si>
  <si>
    <t>12:24:31</t>
  </si>
  <si>
    <t>20260213 12:24:46</t>
  </si>
  <si>
    <t>12:24:46</t>
  </si>
  <si>
    <t>20260213 12:25:01</t>
  </si>
  <si>
    <t>12:25:01</t>
  </si>
  <si>
    <t>20260213 12:25:16</t>
  </si>
  <si>
    <t>12:25:16</t>
  </si>
  <si>
    <t>20260213 12:25:31</t>
  </si>
  <si>
    <t>12:25:31</t>
  </si>
  <si>
    <t>20260213 12:25:46</t>
  </si>
  <si>
    <t>12:25:46</t>
  </si>
  <si>
    <t>20260213 12:26:01</t>
  </si>
  <si>
    <t>12:26:01</t>
  </si>
  <si>
    <t>20260213 12:26:16</t>
  </si>
  <si>
    <t>12:26:16</t>
  </si>
  <si>
    <t>20260213 12:26:31</t>
  </si>
  <si>
    <t>12:26:31</t>
  </si>
  <si>
    <t>20260213 12:26:46</t>
  </si>
  <si>
    <t>12:26:46</t>
  </si>
  <si>
    <t>20260213 12:27:01</t>
  </si>
  <si>
    <t>12:27:01</t>
  </si>
  <si>
    <t>20260213 12:27:16</t>
  </si>
  <si>
    <t>12:27:16</t>
  </si>
  <si>
    <t>20260213 12:27:31</t>
  </si>
  <si>
    <t>12:27:31</t>
  </si>
  <si>
    <t>12:27:51</t>
  </si>
  <si>
    <t>20260213 12:27:53</t>
  </si>
  <si>
    <t>12:27:53</t>
  </si>
  <si>
    <t>12:28:13</t>
  </si>
  <si>
    <t>20260213 12:28:15</t>
  </si>
  <si>
    <t>12:28:15</t>
  </si>
  <si>
    <t>20260213 12:29:44</t>
  </si>
  <si>
    <t>12:29:44</t>
  </si>
  <si>
    <t>20260213 12:29:59</t>
  </si>
  <si>
    <t>12:29:59</t>
  </si>
  <si>
    <t>20260213 12:30:14</t>
  </si>
  <si>
    <t>12:30:14</t>
  </si>
  <si>
    <t>20260213 12:30:29</t>
  </si>
  <si>
    <t>12:30:29</t>
  </si>
  <si>
    <t>20260213 12:30:44</t>
  </si>
  <si>
    <t>12:30:44</t>
  </si>
  <si>
    <t>20260213 12:30:59</t>
  </si>
  <si>
    <t>12:30:59</t>
  </si>
  <si>
    <t>20260213 12:31:14</t>
  </si>
  <si>
    <t>12:31:14</t>
  </si>
  <si>
    <t>20260213 12:31:29</t>
  </si>
  <si>
    <t>12:31:29</t>
  </si>
  <si>
    <t>20260213 12:31:44</t>
  </si>
  <si>
    <t>12:31:44</t>
  </si>
  <si>
    <t>20260213 12:31:59</t>
  </si>
  <si>
    <t>12:31:59</t>
  </si>
  <si>
    <t>20260213 12:32:14</t>
  </si>
  <si>
    <t>12:32:14</t>
  </si>
  <si>
    <t>20260213 12:32:29</t>
  </si>
  <si>
    <t>12:32:29</t>
  </si>
  <si>
    <t>20260213 12:32:44</t>
  </si>
  <si>
    <t>12:32:44</t>
  </si>
  <si>
    <t>20260213 12:32:59</t>
  </si>
  <si>
    <t>12:32:59</t>
  </si>
  <si>
    <t>20260213 12:33:14</t>
  </si>
  <si>
    <t>12:33:14</t>
  </si>
  <si>
    <t>20260213 12:33:29</t>
  </si>
  <si>
    <t>12:33:29</t>
  </si>
  <si>
    <t>20260213 12:33:44</t>
  </si>
  <si>
    <t>12:33:44</t>
  </si>
  <si>
    <t>20260213 12:33:59</t>
  </si>
  <si>
    <t>12:33:59</t>
  </si>
  <si>
    <t>20260213 12:35:51</t>
  </si>
  <si>
    <t>12:35:51</t>
  </si>
  <si>
    <t>20260213 12:36:06</t>
  </si>
  <si>
    <t>12:36:06</t>
  </si>
  <si>
    <t>20260213 12:36:21</t>
  </si>
  <si>
    <t>12:36:21</t>
  </si>
  <si>
    <t>20260213 12:36:36</t>
  </si>
  <si>
    <t>12:36:36</t>
  </si>
  <si>
    <t>20260213 12:36:51</t>
  </si>
  <si>
    <t>12:36:51</t>
  </si>
  <si>
    <t>20260213 12:37:06</t>
  </si>
  <si>
    <t>12:37:06</t>
  </si>
  <si>
    <t>20260213 12:37:21</t>
  </si>
  <si>
    <t>12:37:21</t>
  </si>
  <si>
    <t>20260213 12:37:36</t>
  </si>
  <si>
    <t>12:37:36</t>
  </si>
  <si>
    <t>20260213 12:37:51</t>
  </si>
  <si>
    <t>12:37:51</t>
  </si>
  <si>
    <t>20260213 12:38:06</t>
  </si>
  <si>
    <t>12:38:06</t>
  </si>
  <si>
    <t>12:38:24</t>
  </si>
  <si>
    <t>20260213 12:38:26</t>
  </si>
  <si>
    <t>12:38:26</t>
  </si>
  <si>
    <t>12:38:46</t>
  </si>
  <si>
    <t>20260213 12:38:48</t>
  </si>
  <si>
    <t>12:38:48</t>
  </si>
  <si>
    <t>20260213 12:39:03</t>
  </si>
  <si>
    <t>12:39:03</t>
  </si>
  <si>
    <t>20260213 12:39:18</t>
  </si>
  <si>
    <t>12:39:18</t>
  </si>
  <si>
    <t>20260213 12:39:33</t>
  </si>
  <si>
    <t>12:39:33</t>
  </si>
  <si>
    <t>20260213 12:39:48</t>
  </si>
  <si>
    <t>12:39:48</t>
  </si>
  <si>
    <t>20260213 12:40:03</t>
  </si>
  <si>
    <t>12:40:03</t>
  </si>
  <si>
    <t>20260213 12:40:18</t>
  </si>
  <si>
    <t>12:40:18</t>
  </si>
  <si>
    <t>20260213 12:40:33</t>
  </si>
  <si>
    <t>12:40:33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</si>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</sst>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07"/>
  <sheetViews>
    <sheetView tabSelected="1" topLeftCell="A284" workbookViewId="0">
      <selection activeCell="K313" sqref="K313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895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1770998623.0999999</v>
      </c>
      <c r="C16">
        <v>0</v>
      </c>
      <c r="D16" t="s">
        <v>287</v>
      </c>
      <c r="E16" t="s">
        <v>288</v>
      </c>
      <c r="F16">
        <v>15</v>
      </c>
      <c r="G16">
        <v>1770998615.0999999</v>
      </c>
      <c r="H16">
        <f t="shared" ref="H16:H79" si="0">AF16*Q16*(AB16-AC16)/(1000*X16*(1000-Q16*AB16))</f>
        <v>1.4765619269343725E-3</v>
      </c>
      <c r="I16">
        <v>0</v>
      </c>
      <c r="J16">
        <f>K16*(0.0007335/0.0131159)</f>
        <v>7.5543534614152729E-3</v>
      </c>
      <c r="K16">
        <f t="shared" ref="K16:K79" si="1">AF16*Q16*(AA16-Z16*(1000-Q16*AC16)/(1000-Q16*AB16))/(1000*X16)</f>
        <v>0.13508131501646431</v>
      </c>
      <c r="L16">
        <f t="shared" ref="L16:L79" si="2">(M16/N16*100)</f>
        <v>70.15101721522224</v>
      </c>
      <c r="M16">
        <f t="shared" ref="M16:M79" si="3">AB16*(AG16+AH16)/1000</f>
        <v>1.5490403356467926</v>
      </c>
      <c r="N16">
        <f t="shared" ref="N16:N79" si="4">0.61365*EXP(17.502*AI16/(240.97+AI16))</f>
        <v>2.2081509251595892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26336.265627257726</v>
      </c>
      <c r="T16">
        <f t="shared" ref="T16:T79" si="8">$B$11*AO16+$C$11*AP16+$D$11*BA16</f>
        <v>300.00073333333302</v>
      </c>
      <c r="U16">
        <f t="shared" ref="U16:U79" si="9">T16*V16</f>
        <v>252.9001885989496</v>
      </c>
      <c r="V16">
        <f t="shared" ref="V16:V79" si="10">($B$11*$D$9+$C$11*$D$9+$D$11*(BB16*$E$9+BC16*$F$9+BD16*$G$9+BE16*$H$9))/($B$11+$C$11+$D$11)</f>
        <v>0.84299856799999995</v>
      </c>
      <c r="W16">
        <f t="shared" ref="W16:W79" si="11">($B$11*$L$9+$C$11*$L$9+$D$11*(BB16*$M$9+BC16*$N$9+BD16*$O$9+BE16*$P$9))/($B$11+$C$11+$D$11)</f>
        <v>0.15869616015999999</v>
      </c>
      <c r="X16">
        <v>1</v>
      </c>
      <c r="Y16">
        <v>1770998615.0999999</v>
      </c>
      <c r="Z16">
        <v>409.07479999999998</v>
      </c>
      <c r="AA16">
        <v>409.99866666666702</v>
      </c>
      <c r="AB16">
        <v>15.408193333333299</v>
      </c>
      <c r="AC16">
        <v>13.590960000000001</v>
      </c>
      <c r="AD16">
        <v>410.26580000000001</v>
      </c>
      <c r="AE16">
        <v>15.3181933333333</v>
      </c>
      <c r="AF16">
        <v>800.01326666666705</v>
      </c>
      <c r="AG16">
        <v>100.46873333333301</v>
      </c>
      <c r="AH16">
        <v>6.4814120000000003E-2</v>
      </c>
      <c r="AI16">
        <v>19.021573333333301</v>
      </c>
      <c r="AJ16">
        <v>999.9</v>
      </c>
      <c r="AK16">
        <v>999.9</v>
      </c>
      <c r="AL16">
        <v>0</v>
      </c>
      <c r="AM16">
        <v>0</v>
      </c>
      <c r="AN16">
        <v>4998.8666666666704</v>
      </c>
      <c r="AO16">
        <v>0</v>
      </c>
      <c r="AP16">
        <v>1.86317</v>
      </c>
      <c r="AQ16">
        <v>-0.54779060000000002</v>
      </c>
      <c r="AR16">
        <v>415.84059999999999</v>
      </c>
      <c r="AS16">
        <v>415.647533333333</v>
      </c>
      <c r="AT16">
        <v>1.7752333333333301</v>
      </c>
      <c r="AU16">
        <v>409.99866666666702</v>
      </c>
      <c r="AV16">
        <v>13.590960000000001</v>
      </c>
      <c r="AW16">
        <v>1.54382333333333</v>
      </c>
      <c r="AX16">
        <v>1.3654660000000001</v>
      </c>
      <c r="AY16">
        <v>13.4092133333333</v>
      </c>
      <c r="AZ16">
        <v>11.5394733333333</v>
      </c>
      <c r="BA16">
        <v>300.00073333333302</v>
      </c>
      <c r="BB16">
        <v>0.90005159999999995</v>
      </c>
      <c r="BC16">
        <v>0</v>
      </c>
      <c r="BD16">
        <v>9.9948533333333298E-2</v>
      </c>
      <c r="BE16">
        <v>0</v>
      </c>
      <c r="BF16">
        <v>24</v>
      </c>
      <c r="BG16">
        <v>4946.7206666666698</v>
      </c>
      <c r="BH16">
        <v>1770998647.0999999</v>
      </c>
      <c r="BI16" t="s">
        <v>289</v>
      </c>
      <c r="BJ16">
        <v>1770998646.0999999</v>
      </c>
      <c r="BK16">
        <v>1770998647.0999999</v>
      </c>
      <c r="BL16">
        <v>1</v>
      </c>
      <c r="BM16">
        <v>-0.376</v>
      </c>
      <c r="BN16">
        <v>4.2000000000000003E-2</v>
      </c>
      <c r="BO16">
        <v>-1.1910000000000001</v>
      </c>
      <c r="BP16">
        <v>0.09</v>
      </c>
      <c r="BQ16">
        <v>410</v>
      </c>
      <c r="BR16">
        <v>14</v>
      </c>
      <c r="BS16">
        <v>0.41</v>
      </c>
      <c r="BT16">
        <v>0.04</v>
      </c>
      <c r="BU16">
        <v>-0.54454195000000005</v>
      </c>
      <c r="BV16">
        <v>-0.18869156390977401</v>
      </c>
      <c r="BW16">
        <v>2.9912602662548401E-2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1.783215</v>
      </c>
      <c r="CD16">
        <v>-0.21264180451127801</v>
      </c>
      <c r="CE16">
        <v>2.1070595269237199E-2</v>
      </c>
      <c r="CF16">
        <v>0</v>
      </c>
      <c r="CG16">
        <v>1</v>
      </c>
      <c r="CH16">
        <v>2</v>
      </c>
      <c r="CI16" t="s">
        <v>290</v>
      </c>
      <c r="CJ16">
        <v>3.5324900000000001</v>
      </c>
      <c r="CK16">
        <v>2.7024499999999998</v>
      </c>
      <c r="CL16">
        <v>9.8576200000000003E-2</v>
      </c>
      <c r="CM16">
        <v>9.7300800000000007E-2</v>
      </c>
      <c r="CN16">
        <v>8.7613999999999997E-2</v>
      </c>
      <c r="CO16">
        <v>7.9228400000000004E-2</v>
      </c>
      <c r="CP16">
        <v>31648.3</v>
      </c>
      <c r="CQ16">
        <v>27759.1</v>
      </c>
      <c r="CR16">
        <v>32489.4</v>
      </c>
      <c r="CS16">
        <v>30672.400000000001</v>
      </c>
      <c r="CT16">
        <v>40109.9</v>
      </c>
      <c r="CU16">
        <v>39692.800000000003</v>
      </c>
      <c r="CV16">
        <v>47419.7</v>
      </c>
      <c r="CW16">
        <v>46744.1</v>
      </c>
      <c r="CX16">
        <v>2.6443599999999998</v>
      </c>
      <c r="CY16">
        <v>2.20092</v>
      </c>
      <c r="CZ16">
        <v>0</v>
      </c>
      <c r="DA16">
        <v>0</v>
      </c>
      <c r="DB16">
        <v>999.9</v>
      </c>
      <c r="DC16">
        <v>999.9</v>
      </c>
      <c r="DD16">
        <v>77.903000000000006</v>
      </c>
      <c r="DE16">
        <v>22.396000000000001</v>
      </c>
      <c r="DF16">
        <v>21.077000000000002</v>
      </c>
      <c r="DG16">
        <v>30.27</v>
      </c>
      <c r="DH16">
        <v>15.821300000000001</v>
      </c>
      <c r="DI16">
        <v>2</v>
      </c>
      <c r="DJ16">
        <v>-0.21937799999999999</v>
      </c>
      <c r="DK16">
        <v>2.9951699999999999</v>
      </c>
      <c r="DL16">
        <v>20.197600000000001</v>
      </c>
      <c r="DM16">
        <v>5.2498800000000001</v>
      </c>
      <c r="DN16">
        <v>12.033899999999999</v>
      </c>
      <c r="DO16">
        <v>4.9672400000000003</v>
      </c>
      <c r="DP16">
        <v>3.2906</v>
      </c>
      <c r="DQ16">
        <v>9999</v>
      </c>
      <c r="DR16">
        <v>9999</v>
      </c>
      <c r="DS16">
        <v>596.29999999999995</v>
      </c>
      <c r="DT16">
        <v>9999</v>
      </c>
      <c r="DU16">
        <v>1.8708800000000001</v>
      </c>
      <c r="DV16">
        <v>1.8760300000000001</v>
      </c>
      <c r="DW16">
        <v>1.8762000000000001</v>
      </c>
      <c r="DX16">
        <v>1.88273</v>
      </c>
      <c r="DY16">
        <v>1.8754599999999999</v>
      </c>
      <c r="DZ16">
        <v>1.8745400000000001</v>
      </c>
      <c r="EA16">
        <v>1.8706499999999999</v>
      </c>
      <c r="EB16">
        <v>1.87456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-1.1910000000000001</v>
      </c>
      <c r="EQ16">
        <v>0.09</v>
      </c>
      <c r="ER16">
        <v>-0.81499999999999995</v>
      </c>
      <c r="ES16">
        <v>0</v>
      </c>
      <c r="ET16">
        <v>0</v>
      </c>
      <c r="EU16">
        <v>0</v>
      </c>
      <c r="EV16">
        <v>4.8000000000000001E-2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1136.7</v>
      </c>
      <c r="FE16">
        <v>1136.5999999999999</v>
      </c>
      <c r="FF16">
        <v>1.22559</v>
      </c>
      <c r="FG16">
        <v>2.5512700000000001</v>
      </c>
      <c r="FH16">
        <v>2.19604</v>
      </c>
      <c r="FI16">
        <v>2.5878899999999998</v>
      </c>
      <c r="FJ16">
        <v>2.4462899999999999</v>
      </c>
      <c r="FK16">
        <v>2.2558600000000002</v>
      </c>
      <c r="FL16">
        <v>27.724599999999999</v>
      </c>
      <c r="FM16">
        <v>24.157499999999999</v>
      </c>
      <c r="FN16">
        <v>19</v>
      </c>
      <c r="FO16">
        <v>860.56</v>
      </c>
      <c r="FP16">
        <v>614.01800000000003</v>
      </c>
      <c r="FQ16">
        <v>18.3414</v>
      </c>
      <c r="FR16">
        <v>24.128</v>
      </c>
      <c r="FS16">
        <v>30.002400000000002</v>
      </c>
      <c r="FT16">
        <v>23.9816</v>
      </c>
      <c r="FU16">
        <v>23.974699999999999</v>
      </c>
      <c r="FV16">
        <v>24.605499999999999</v>
      </c>
      <c r="FW16">
        <v>40.690600000000003</v>
      </c>
      <c r="FX16">
        <v>91.712000000000003</v>
      </c>
      <c r="FY16">
        <v>18.310700000000001</v>
      </c>
      <c r="FZ16">
        <v>410</v>
      </c>
      <c r="GA16">
        <v>13.7135</v>
      </c>
      <c r="GB16">
        <v>99.944400000000002</v>
      </c>
      <c r="GC16">
        <v>99.535399999999996</v>
      </c>
    </row>
    <row r="17" spans="1:185" x14ac:dyDescent="0.2">
      <c r="A17">
        <v>2</v>
      </c>
      <c r="B17">
        <v>1770998649.0999999</v>
      </c>
      <c r="C17">
        <v>26</v>
      </c>
      <c r="D17" t="s">
        <v>295</v>
      </c>
      <c r="E17" t="s">
        <v>296</v>
      </c>
      <c r="F17">
        <v>15</v>
      </c>
      <c r="G17">
        <v>1770998648.0999999</v>
      </c>
      <c r="H17">
        <f t="shared" si="0"/>
        <v>-4.8666876669769524E-7</v>
      </c>
      <c r="I17">
        <v>0</v>
      </c>
      <c r="J17">
        <f t="shared" ref="J17:J80" si="12">K17*(0.0007335/0.0131159)</f>
        <v>-1.2415980342158936E-3</v>
      </c>
      <c r="K17">
        <f t="shared" si="1"/>
        <v>-2.2201330139021456E-2</v>
      </c>
      <c r="L17">
        <f t="shared" si="2"/>
        <v>62.459791404548717</v>
      </c>
      <c r="M17">
        <f t="shared" si="3"/>
        <v>1.3740026274130199</v>
      </c>
      <c r="N17">
        <f t="shared" si="4"/>
        <v>2.1998194302534229</v>
      </c>
      <c r="O17">
        <v>458</v>
      </c>
      <c r="P17">
        <v>57</v>
      </c>
      <c r="Q17">
        <f t="shared" si="5"/>
        <v>1</v>
      </c>
      <c r="R17">
        <f t="shared" si="6"/>
        <v>0</v>
      </c>
      <c r="S17">
        <f t="shared" si="7"/>
        <v>26454.766562921668</v>
      </c>
      <c r="T17">
        <f t="shared" si="8"/>
        <v>300.00900000000001</v>
      </c>
      <c r="U17">
        <f t="shared" si="9"/>
        <v>252.90722788922699</v>
      </c>
      <c r="V17">
        <f t="shared" si="10"/>
        <v>0.84299880299999996</v>
      </c>
      <c r="W17">
        <f t="shared" si="11"/>
        <v>0.15869720238000001</v>
      </c>
      <c r="X17">
        <v>1</v>
      </c>
      <c r="Y17">
        <v>1770998648.0999999</v>
      </c>
      <c r="Z17">
        <v>409.95</v>
      </c>
      <c r="AA17">
        <v>409.92200000000003</v>
      </c>
      <c r="AB17">
        <v>13.665900000000001</v>
      </c>
      <c r="AC17">
        <v>13.666499999999999</v>
      </c>
      <c r="AD17">
        <v>411.14</v>
      </c>
      <c r="AE17">
        <v>13.5763</v>
      </c>
      <c r="AF17">
        <v>800.03</v>
      </c>
      <c r="AG17">
        <v>100.467</v>
      </c>
      <c r="AH17">
        <v>7.5417799999999993E-2</v>
      </c>
      <c r="AI17">
        <v>18.960999999999999</v>
      </c>
      <c r="AJ17">
        <v>999.9</v>
      </c>
      <c r="AK17">
        <v>999.9</v>
      </c>
      <c r="AL17">
        <v>0</v>
      </c>
      <c r="AM17">
        <v>0</v>
      </c>
      <c r="AN17">
        <v>5017.5</v>
      </c>
      <c r="AO17">
        <v>0</v>
      </c>
      <c r="AP17">
        <v>1.86317</v>
      </c>
      <c r="AQ17">
        <v>2.7954099999999999E-2</v>
      </c>
      <c r="AR17">
        <v>415.63</v>
      </c>
      <c r="AS17">
        <v>415.60199999999998</v>
      </c>
      <c r="AT17">
        <v>-5.53131E-4</v>
      </c>
      <c r="AU17">
        <v>409.92200000000003</v>
      </c>
      <c r="AV17">
        <v>13.666499999999999</v>
      </c>
      <c r="AW17">
        <v>1.37297</v>
      </c>
      <c r="AX17">
        <v>1.3730199999999999</v>
      </c>
      <c r="AY17">
        <v>11.622299999999999</v>
      </c>
      <c r="AZ17">
        <v>11.6229</v>
      </c>
      <c r="BA17">
        <v>300.00900000000001</v>
      </c>
      <c r="BB17">
        <v>0.90003699999999998</v>
      </c>
      <c r="BC17">
        <v>0</v>
      </c>
      <c r="BD17">
        <v>9.9962899999999993E-2</v>
      </c>
      <c r="BE17">
        <v>0</v>
      </c>
      <c r="BF17">
        <v>24</v>
      </c>
      <c r="BG17">
        <v>4946.83</v>
      </c>
      <c r="BH17">
        <v>1770998647.0999999</v>
      </c>
      <c r="BI17" t="s">
        <v>289</v>
      </c>
      <c r="BJ17">
        <v>1770998646.0999999</v>
      </c>
      <c r="BK17">
        <v>1770998647.0999999</v>
      </c>
      <c r="BL17">
        <v>1</v>
      </c>
      <c r="BM17">
        <v>-0.376</v>
      </c>
      <c r="BN17">
        <v>4.2000000000000003E-2</v>
      </c>
      <c r="BO17">
        <v>-1.1910000000000001</v>
      </c>
      <c r="BP17">
        <v>0.09</v>
      </c>
      <c r="BQ17">
        <v>410</v>
      </c>
      <c r="BR17">
        <v>14</v>
      </c>
      <c r="BS17">
        <v>0.41</v>
      </c>
      <c r="BT17">
        <v>0.04</v>
      </c>
      <c r="BU17">
        <v>0.31416930999999998</v>
      </c>
      <c r="BV17">
        <v>-0.174663266165413</v>
      </c>
      <c r="BW17">
        <v>0.111075580904287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-1.5272521549999999E-2</v>
      </c>
      <c r="CD17">
        <v>-0.36248237544360901</v>
      </c>
      <c r="CE17">
        <v>8.0366157251435394E-2</v>
      </c>
      <c r="CF17">
        <v>0</v>
      </c>
      <c r="CG17">
        <v>1</v>
      </c>
      <c r="CH17">
        <v>2</v>
      </c>
      <c r="CI17" t="s">
        <v>290</v>
      </c>
      <c r="CJ17">
        <v>3.5340500000000001</v>
      </c>
      <c r="CK17">
        <v>2.7118899999999999</v>
      </c>
      <c r="CL17">
        <v>9.8697599999999996E-2</v>
      </c>
      <c r="CM17">
        <v>9.72779E-2</v>
      </c>
      <c r="CN17">
        <v>8.0496100000000001E-2</v>
      </c>
      <c r="CO17">
        <v>7.9473199999999994E-2</v>
      </c>
      <c r="CP17">
        <v>31644.9</v>
      </c>
      <c r="CQ17">
        <v>27761.1</v>
      </c>
      <c r="CR17">
        <v>32490.5</v>
      </c>
      <c r="CS17">
        <v>30673.8</v>
      </c>
      <c r="CT17">
        <v>40435.5</v>
      </c>
      <c r="CU17">
        <v>39684.1</v>
      </c>
      <c r="CV17">
        <v>47421.5</v>
      </c>
      <c r="CW17">
        <v>46746.7</v>
      </c>
      <c r="CX17">
        <v>1.7457</v>
      </c>
      <c r="CY17">
        <v>1.66364</v>
      </c>
      <c r="CZ17">
        <v>0</v>
      </c>
      <c r="DA17">
        <v>0</v>
      </c>
      <c r="DB17">
        <v>999.9</v>
      </c>
      <c r="DC17">
        <v>999.9</v>
      </c>
      <c r="DD17">
        <v>77.841999999999999</v>
      </c>
      <c r="DE17">
        <v>22.425999999999998</v>
      </c>
      <c r="DF17">
        <v>21.100200000000001</v>
      </c>
      <c r="DG17">
        <v>30.59</v>
      </c>
      <c r="DH17">
        <v>15.849399999999999</v>
      </c>
      <c r="DI17">
        <v>2</v>
      </c>
      <c r="DJ17">
        <v>-0.224659</v>
      </c>
      <c r="DK17">
        <v>1.67038</v>
      </c>
      <c r="DL17">
        <v>20.220700000000001</v>
      </c>
      <c r="DM17">
        <v>5.2444800000000003</v>
      </c>
      <c r="DN17">
        <v>12.033899999999999</v>
      </c>
      <c r="DO17">
        <v>4.9660799999999998</v>
      </c>
      <c r="DP17">
        <v>3.2899400000000001</v>
      </c>
      <c r="DQ17">
        <v>9999</v>
      </c>
      <c r="DR17">
        <v>9999</v>
      </c>
      <c r="DS17">
        <v>596.29999999999995</v>
      </c>
      <c r="DT17">
        <v>9999</v>
      </c>
      <c r="DU17">
        <v>1.8708899999999999</v>
      </c>
      <c r="DV17">
        <v>1.87601</v>
      </c>
      <c r="DW17">
        <v>1.8762099999999999</v>
      </c>
      <c r="DX17">
        <v>1.8827400000000001</v>
      </c>
      <c r="DY17">
        <v>1.8754599999999999</v>
      </c>
      <c r="DZ17">
        <v>1.8745400000000001</v>
      </c>
      <c r="EA17">
        <v>1.8706799999999999</v>
      </c>
      <c r="EB17">
        <v>1.8745400000000001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-1.19</v>
      </c>
      <c r="EQ17">
        <v>8.9499999999999996E-2</v>
      </c>
      <c r="ER17">
        <v>-1.1905454545454901</v>
      </c>
      <c r="ES17">
        <v>0</v>
      </c>
      <c r="ET17">
        <v>0</v>
      </c>
      <c r="EU17">
        <v>0</v>
      </c>
      <c r="EV17">
        <v>8.95600000000005E-2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0.1</v>
      </c>
      <c r="FE17">
        <v>0</v>
      </c>
      <c r="FF17">
        <v>1.22559</v>
      </c>
      <c r="FG17">
        <v>2.5512700000000001</v>
      </c>
      <c r="FH17">
        <v>2.19604</v>
      </c>
      <c r="FI17">
        <v>2.5878899999999998</v>
      </c>
      <c r="FJ17">
        <v>2.4462899999999999</v>
      </c>
      <c r="FK17">
        <v>2.3034699999999999</v>
      </c>
      <c r="FL17">
        <v>27.766400000000001</v>
      </c>
      <c r="FM17">
        <v>24.1663</v>
      </c>
      <c r="FN17">
        <v>19</v>
      </c>
      <c r="FO17">
        <v>315.786</v>
      </c>
      <c r="FP17">
        <v>298.03100000000001</v>
      </c>
      <c r="FQ17">
        <v>18.2866</v>
      </c>
      <c r="FR17">
        <v>24.142299999999999</v>
      </c>
      <c r="FS17">
        <v>29.9998</v>
      </c>
      <c r="FT17">
        <v>24.039200000000001</v>
      </c>
      <c r="FU17">
        <v>24.0273</v>
      </c>
      <c r="FV17">
        <v>24.605899999999998</v>
      </c>
      <c r="FW17">
        <v>38.370199999999997</v>
      </c>
      <c r="FX17">
        <v>91.712000000000003</v>
      </c>
      <c r="FY17">
        <v>18.3292</v>
      </c>
      <c r="FZ17">
        <v>410</v>
      </c>
      <c r="GA17">
        <v>14.2936</v>
      </c>
      <c r="GB17">
        <v>99.947900000000004</v>
      </c>
      <c r="GC17">
        <v>99.540599999999998</v>
      </c>
    </row>
    <row r="18" spans="1:185" x14ac:dyDescent="0.2">
      <c r="A18">
        <v>3</v>
      </c>
      <c r="B18">
        <v>1770998664.0999999</v>
      </c>
      <c r="C18">
        <v>41</v>
      </c>
      <c r="D18" t="s">
        <v>297</v>
      </c>
      <c r="E18" t="s">
        <v>298</v>
      </c>
      <c r="F18">
        <v>15</v>
      </c>
      <c r="G18">
        <v>1770998656.03333</v>
      </c>
      <c r="H18">
        <f t="shared" si="0"/>
        <v>1.0065390545571057E-3</v>
      </c>
      <c r="I18">
        <v>0</v>
      </c>
      <c r="J18">
        <f t="shared" si="12"/>
        <v>1.1830170443099993E-2</v>
      </c>
      <c r="K18">
        <f t="shared" si="1"/>
        <v>0.21153828563688507</v>
      </c>
      <c r="L18">
        <f t="shared" si="2"/>
        <v>68.830292379799786</v>
      </c>
      <c r="M18">
        <f t="shared" si="3"/>
        <v>1.5134170521458818</v>
      </c>
      <c r="N18">
        <f t="shared" si="4"/>
        <v>2.1987659790764411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26343.494003131502</v>
      </c>
      <c r="T18">
        <f t="shared" si="8"/>
        <v>299.99913333333302</v>
      </c>
      <c r="U18">
        <f t="shared" si="9"/>
        <v>252.89892938098191</v>
      </c>
      <c r="V18">
        <f t="shared" si="10"/>
        <v>0.84299886659999967</v>
      </c>
      <c r="W18">
        <f t="shared" si="11"/>
        <v>0.15869707555599993</v>
      </c>
      <c r="X18">
        <v>1</v>
      </c>
      <c r="Y18">
        <v>1770998656.03333</v>
      </c>
      <c r="Z18">
        <v>409.16466666666702</v>
      </c>
      <c r="AA18">
        <v>409.94353333333299</v>
      </c>
      <c r="AB18">
        <v>15.0537666666667</v>
      </c>
      <c r="AC18">
        <v>13.815099999999999</v>
      </c>
      <c r="AD18">
        <v>410.35533333333302</v>
      </c>
      <c r="AE18">
        <v>14.964226666666701</v>
      </c>
      <c r="AF18">
        <v>800.36613333333298</v>
      </c>
      <c r="AG18">
        <v>100.4674</v>
      </c>
      <c r="AH18">
        <v>6.6711206666666703E-2</v>
      </c>
      <c r="AI18">
        <v>18.953326666666701</v>
      </c>
      <c r="AJ18">
        <v>999.9</v>
      </c>
      <c r="AK18">
        <v>999.9</v>
      </c>
      <c r="AL18">
        <v>0</v>
      </c>
      <c r="AM18">
        <v>0</v>
      </c>
      <c r="AN18">
        <v>4999.1000000000004</v>
      </c>
      <c r="AO18">
        <v>0</v>
      </c>
      <c r="AP18">
        <v>1.86317</v>
      </c>
      <c r="AQ18">
        <v>-0.778735326666667</v>
      </c>
      <c r="AR18">
        <v>415.41833333333301</v>
      </c>
      <c r="AS18">
        <v>415.686266666667</v>
      </c>
      <c r="AT18">
        <v>1.2386775245999999</v>
      </c>
      <c r="AU18">
        <v>409.94353333333299</v>
      </c>
      <c r="AV18">
        <v>13.815099999999999</v>
      </c>
      <c r="AW18">
        <v>1.51241466666667</v>
      </c>
      <c r="AX18">
        <v>1.3879693333333301</v>
      </c>
      <c r="AY18">
        <v>13.085153333333301</v>
      </c>
      <c r="AZ18">
        <v>11.7866533333333</v>
      </c>
      <c r="BA18">
        <v>299.99913333333302</v>
      </c>
      <c r="BB18">
        <v>0.90003913333333296</v>
      </c>
      <c r="BC18">
        <v>0</v>
      </c>
      <c r="BD18">
        <v>9.9960913333333304E-2</v>
      </c>
      <c r="BE18">
        <v>0</v>
      </c>
      <c r="BF18">
        <v>24</v>
      </c>
      <c r="BG18">
        <v>4946.6773333333304</v>
      </c>
      <c r="BH18">
        <v>1770998647.0999999</v>
      </c>
      <c r="BI18" t="s">
        <v>289</v>
      </c>
      <c r="BJ18">
        <v>1770998646.0999999</v>
      </c>
      <c r="BK18">
        <v>1770998647.0999999</v>
      </c>
      <c r="BL18">
        <v>1</v>
      </c>
      <c r="BM18">
        <v>-0.376</v>
      </c>
      <c r="BN18">
        <v>4.2000000000000003E-2</v>
      </c>
      <c r="BO18">
        <v>-1.1910000000000001</v>
      </c>
      <c r="BP18">
        <v>0.09</v>
      </c>
      <c r="BQ18">
        <v>410</v>
      </c>
      <c r="BR18">
        <v>14</v>
      </c>
      <c r="BS18">
        <v>0.41</v>
      </c>
      <c r="BT18">
        <v>0.04</v>
      </c>
      <c r="BU18">
        <v>-0.48468309047619001</v>
      </c>
      <c r="BV18">
        <v>-5.1430594051948004</v>
      </c>
      <c r="BW18">
        <v>0.55214415357287605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0.87880197947618999</v>
      </c>
      <c r="CD18">
        <v>6.4933835809090903</v>
      </c>
      <c r="CE18">
        <v>0.70131991216952305</v>
      </c>
      <c r="CF18">
        <v>0</v>
      </c>
      <c r="CG18">
        <v>0</v>
      </c>
      <c r="CH18">
        <v>2</v>
      </c>
      <c r="CI18" t="s">
        <v>299</v>
      </c>
      <c r="CJ18">
        <v>3.5324499999999999</v>
      </c>
      <c r="CK18">
        <v>2.7029000000000001</v>
      </c>
      <c r="CL18">
        <v>9.8553399999999999E-2</v>
      </c>
      <c r="CM18">
        <v>9.72909E-2</v>
      </c>
      <c r="CN18">
        <v>8.7764300000000003E-2</v>
      </c>
      <c r="CO18">
        <v>8.0115800000000001E-2</v>
      </c>
      <c r="CP18">
        <v>31649.8</v>
      </c>
      <c r="CQ18">
        <v>27760.5</v>
      </c>
      <c r="CR18">
        <v>32490.2</v>
      </c>
      <c r="CS18">
        <v>30673.599999999999</v>
      </c>
      <c r="CT18">
        <v>40104.5</v>
      </c>
      <c r="CU18">
        <v>39655.800000000003</v>
      </c>
      <c r="CV18">
        <v>47421.3</v>
      </c>
      <c r="CW18">
        <v>46747</v>
      </c>
      <c r="CX18">
        <v>2.6408399999999999</v>
      </c>
      <c r="CY18">
        <v>2.1982400000000002</v>
      </c>
      <c r="CZ18">
        <v>0</v>
      </c>
      <c r="DA18">
        <v>0</v>
      </c>
      <c r="DB18">
        <v>999.9</v>
      </c>
      <c r="DC18">
        <v>999.9</v>
      </c>
      <c r="DD18">
        <v>77.75</v>
      </c>
      <c r="DE18">
        <v>22.446999999999999</v>
      </c>
      <c r="DF18">
        <v>21.101400000000002</v>
      </c>
      <c r="DG18">
        <v>30.44</v>
      </c>
      <c r="DH18">
        <v>15.729200000000001</v>
      </c>
      <c r="DI18">
        <v>2</v>
      </c>
      <c r="DJ18">
        <v>-0.22412000000000001</v>
      </c>
      <c r="DK18">
        <v>1.53234</v>
      </c>
      <c r="DL18">
        <v>20.224399999999999</v>
      </c>
      <c r="DM18">
        <v>5.2523900000000001</v>
      </c>
      <c r="DN18">
        <v>12.033899999999999</v>
      </c>
      <c r="DO18">
        <v>4.9673999999999996</v>
      </c>
      <c r="DP18">
        <v>3.2909999999999999</v>
      </c>
      <c r="DQ18">
        <v>9999</v>
      </c>
      <c r="DR18">
        <v>9999</v>
      </c>
      <c r="DS18">
        <v>596.29999999999995</v>
      </c>
      <c r="DT18">
        <v>9999</v>
      </c>
      <c r="DU18">
        <v>1.8708899999999999</v>
      </c>
      <c r="DV18">
        <v>1.87598</v>
      </c>
      <c r="DW18">
        <v>1.87622</v>
      </c>
      <c r="DX18">
        <v>1.8827499999999999</v>
      </c>
      <c r="DY18">
        <v>1.8754599999999999</v>
      </c>
      <c r="DZ18">
        <v>1.8745400000000001</v>
      </c>
      <c r="EA18">
        <v>1.8706700000000001</v>
      </c>
      <c r="EB18">
        <v>1.8745499999999999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-1.19</v>
      </c>
      <c r="EQ18">
        <v>8.9599999999999999E-2</v>
      </c>
      <c r="ER18">
        <v>-1.1905454545454901</v>
      </c>
      <c r="ES18">
        <v>0</v>
      </c>
      <c r="ET18">
        <v>0</v>
      </c>
      <c r="EU18">
        <v>0</v>
      </c>
      <c r="EV18">
        <v>8.95600000000005E-2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0.3</v>
      </c>
      <c r="FE18">
        <v>0.3</v>
      </c>
      <c r="FF18">
        <v>1.22559</v>
      </c>
      <c r="FG18">
        <v>2.5512700000000001</v>
      </c>
      <c r="FH18">
        <v>2.19604</v>
      </c>
      <c r="FI18">
        <v>2.5854499999999998</v>
      </c>
      <c r="FJ18">
        <v>2.4462899999999999</v>
      </c>
      <c r="FK18">
        <v>2.2839399999999999</v>
      </c>
      <c r="FL18">
        <v>27.808199999999999</v>
      </c>
      <c r="FM18">
        <v>24.1663</v>
      </c>
      <c r="FN18">
        <v>19</v>
      </c>
      <c r="FO18">
        <v>858.05700000000002</v>
      </c>
      <c r="FP18">
        <v>612.40700000000004</v>
      </c>
      <c r="FQ18">
        <v>18.383600000000001</v>
      </c>
      <c r="FR18">
        <v>24.151199999999999</v>
      </c>
      <c r="FS18">
        <v>30.0002</v>
      </c>
      <c r="FT18">
        <v>24.026299999999999</v>
      </c>
      <c r="FU18">
        <v>24.0184</v>
      </c>
      <c r="FV18">
        <v>24.6098</v>
      </c>
      <c r="FW18">
        <v>40.3048</v>
      </c>
      <c r="FX18">
        <v>90.925600000000003</v>
      </c>
      <c r="FY18">
        <v>18.428899999999999</v>
      </c>
      <c r="FZ18">
        <v>410</v>
      </c>
      <c r="GA18">
        <v>13.705299999999999</v>
      </c>
      <c r="GB18">
        <v>99.947400000000002</v>
      </c>
      <c r="GC18">
        <v>99.540800000000004</v>
      </c>
    </row>
    <row r="19" spans="1:185" x14ac:dyDescent="0.2">
      <c r="A19">
        <v>4</v>
      </c>
      <c r="B19">
        <v>1770998679.0999999</v>
      </c>
      <c r="C19">
        <v>56</v>
      </c>
      <c r="D19" t="s">
        <v>300</v>
      </c>
      <c r="E19" t="s">
        <v>301</v>
      </c>
      <c r="F19">
        <v>15</v>
      </c>
      <c r="G19">
        <v>1770998671.03333</v>
      </c>
      <c r="H19">
        <f t="shared" si="0"/>
        <v>1.3163473831971626E-3</v>
      </c>
      <c r="I19">
        <v>0</v>
      </c>
      <c r="J19">
        <f t="shared" si="12"/>
        <v>1.2527450048395039E-2</v>
      </c>
      <c r="K19">
        <f t="shared" si="1"/>
        <v>0.2240065195497539</v>
      </c>
      <c r="L19">
        <f t="shared" si="2"/>
        <v>70.37674450428301</v>
      </c>
      <c r="M19">
        <f t="shared" si="3"/>
        <v>1.5470251954863843</v>
      </c>
      <c r="N19">
        <f t="shared" si="4"/>
        <v>2.1982051121904838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26317.85868471221</v>
      </c>
      <c r="T19">
        <f t="shared" si="8"/>
        <v>300.00066666666697</v>
      </c>
      <c r="U19">
        <f t="shared" si="9"/>
        <v>252.90033927950532</v>
      </c>
      <c r="V19">
        <f t="shared" si="10"/>
        <v>0.84299925759999994</v>
      </c>
      <c r="W19">
        <f t="shared" si="11"/>
        <v>0.15869785817599999</v>
      </c>
      <c r="X19">
        <v>1</v>
      </c>
      <c r="Y19">
        <v>1770998671.03333</v>
      </c>
      <c r="Z19">
        <v>409.04860000000002</v>
      </c>
      <c r="AA19">
        <v>410.00166666666701</v>
      </c>
      <c r="AB19">
        <v>15.388446666666701</v>
      </c>
      <c r="AC19">
        <v>13.76834</v>
      </c>
      <c r="AD19">
        <v>410.23919999999998</v>
      </c>
      <c r="AE19">
        <v>15.2989</v>
      </c>
      <c r="AF19">
        <v>800.00340000000006</v>
      </c>
      <c r="AG19">
        <v>100.4666</v>
      </c>
      <c r="AH19">
        <v>6.5001986666666706E-2</v>
      </c>
      <c r="AI19">
        <v>18.94924</v>
      </c>
      <c r="AJ19">
        <v>999.9</v>
      </c>
      <c r="AK19">
        <v>999.9</v>
      </c>
      <c r="AL19">
        <v>0</v>
      </c>
      <c r="AM19">
        <v>0</v>
      </c>
      <c r="AN19">
        <v>4994.8666666666704</v>
      </c>
      <c r="AO19">
        <v>0</v>
      </c>
      <c r="AP19">
        <v>1.86317</v>
      </c>
      <c r="AQ19">
        <v>-0.95299846666666699</v>
      </c>
      <c r="AR19">
        <v>415.44173333333299</v>
      </c>
      <c r="AS19">
        <v>415.72559999999999</v>
      </c>
      <c r="AT19">
        <v>1.6200966666666701</v>
      </c>
      <c r="AU19">
        <v>410.00166666666701</v>
      </c>
      <c r="AV19">
        <v>13.76834</v>
      </c>
      <c r="AW19">
        <v>1.5460259999999999</v>
      </c>
      <c r="AX19">
        <v>1.3832593333333301</v>
      </c>
      <c r="AY19">
        <v>13.431086666666699</v>
      </c>
      <c r="AZ19">
        <v>11.7353466666667</v>
      </c>
      <c r="BA19">
        <v>300.00066666666697</v>
      </c>
      <c r="BB19">
        <v>0.90002899999999997</v>
      </c>
      <c r="BC19">
        <v>0</v>
      </c>
      <c r="BD19">
        <v>9.9971146666666705E-2</v>
      </c>
      <c r="BE19">
        <v>0</v>
      </c>
      <c r="BF19">
        <v>24</v>
      </c>
      <c r="BG19">
        <v>4946.6866666666701</v>
      </c>
      <c r="BH19">
        <v>1770998647.0999999</v>
      </c>
      <c r="BI19" t="s">
        <v>289</v>
      </c>
      <c r="BJ19">
        <v>1770998646.0999999</v>
      </c>
      <c r="BK19">
        <v>1770998647.0999999</v>
      </c>
      <c r="BL19">
        <v>1</v>
      </c>
      <c r="BM19">
        <v>-0.376</v>
      </c>
      <c r="BN19">
        <v>4.2000000000000003E-2</v>
      </c>
      <c r="BO19">
        <v>-1.1910000000000001</v>
      </c>
      <c r="BP19">
        <v>0.09</v>
      </c>
      <c r="BQ19">
        <v>410</v>
      </c>
      <c r="BR19">
        <v>14</v>
      </c>
      <c r="BS19">
        <v>0.41</v>
      </c>
      <c r="BT19">
        <v>0.04</v>
      </c>
      <c r="BU19">
        <v>-0.97562057142857095</v>
      </c>
      <c r="BV19">
        <v>0.35485036363636402</v>
      </c>
      <c r="BW19">
        <v>4.1052608597089799E-2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1.6012266666666699</v>
      </c>
      <c r="CD19">
        <v>0.271231948051951</v>
      </c>
      <c r="CE19">
        <v>3.1529549455850001E-2</v>
      </c>
      <c r="CF19">
        <v>0</v>
      </c>
      <c r="CG19">
        <v>1</v>
      </c>
      <c r="CH19">
        <v>2</v>
      </c>
      <c r="CI19" t="s">
        <v>290</v>
      </c>
      <c r="CJ19">
        <v>3.53254</v>
      </c>
      <c r="CK19">
        <v>2.70268</v>
      </c>
      <c r="CL19">
        <v>9.8558000000000007E-2</v>
      </c>
      <c r="CM19">
        <v>9.7286200000000003E-2</v>
      </c>
      <c r="CN19">
        <v>8.76522E-2</v>
      </c>
      <c r="CO19">
        <v>7.9862199999999994E-2</v>
      </c>
      <c r="CP19">
        <v>31649.200000000001</v>
      </c>
      <c r="CQ19">
        <v>27760.9</v>
      </c>
      <c r="CR19">
        <v>32489.8</v>
      </c>
      <c r="CS19">
        <v>30673.9</v>
      </c>
      <c r="CT19">
        <v>40109.300000000003</v>
      </c>
      <c r="CU19">
        <v>39667.699999999997</v>
      </c>
      <c r="CV19">
        <v>47420.9</v>
      </c>
      <c r="CW19">
        <v>46747.8</v>
      </c>
      <c r="CX19">
        <v>2.6428199999999999</v>
      </c>
      <c r="CY19">
        <v>2.1986400000000001</v>
      </c>
      <c r="CZ19">
        <v>0</v>
      </c>
      <c r="DA19">
        <v>0</v>
      </c>
      <c r="DB19">
        <v>999.9</v>
      </c>
      <c r="DC19">
        <v>999.9</v>
      </c>
      <c r="DD19">
        <v>77.688999999999993</v>
      </c>
      <c r="DE19">
        <v>22.477</v>
      </c>
      <c r="DF19">
        <v>21.123100000000001</v>
      </c>
      <c r="DG19">
        <v>30.44</v>
      </c>
      <c r="DH19">
        <v>15.7332</v>
      </c>
      <c r="DI19">
        <v>2</v>
      </c>
      <c r="DJ19">
        <v>-0.22356100000000001</v>
      </c>
      <c r="DK19">
        <v>1.41086</v>
      </c>
      <c r="DL19">
        <v>20.225100000000001</v>
      </c>
      <c r="DM19">
        <v>5.2496400000000003</v>
      </c>
      <c r="DN19">
        <v>12.033899999999999</v>
      </c>
      <c r="DO19">
        <v>4.9669999999999996</v>
      </c>
      <c r="DP19">
        <v>3.2907199999999999</v>
      </c>
      <c r="DQ19">
        <v>9999</v>
      </c>
      <c r="DR19">
        <v>9999</v>
      </c>
      <c r="DS19">
        <v>596.29999999999995</v>
      </c>
      <c r="DT19">
        <v>9999</v>
      </c>
      <c r="DU19">
        <v>1.8709</v>
      </c>
      <c r="DV19">
        <v>1.8759699999999999</v>
      </c>
      <c r="DW19">
        <v>1.87622</v>
      </c>
      <c r="DX19">
        <v>1.8827</v>
      </c>
      <c r="DY19">
        <v>1.8754599999999999</v>
      </c>
      <c r="DZ19">
        <v>1.8745400000000001</v>
      </c>
      <c r="EA19">
        <v>1.8706700000000001</v>
      </c>
      <c r="EB19">
        <v>1.8745400000000001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-1.19</v>
      </c>
      <c r="EQ19">
        <v>8.9499999999999996E-2</v>
      </c>
      <c r="ER19">
        <v>-1.1905454545454901</v>
      </c>
      <c r="ES19">
        <v>0</v>
      </c>
      <c r="ET19">
        <v>0</v>
      </c>
      <c r="EU19">
        <v>0</v>
      </c>
      <c r="EV19">
        <v>8.95600000000005E-2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0.6</v>
      </c>
      <c r="FE19">
        <v>0.5</v>
      </c>
      <c r="FF19">
        <v>1.22559</v>
      </c>
      <c r="FG19">
        <v>2.5476100000000002</v>
      </c>
      <c r="FH19">
        <v>2.19604</v>
      </c>
      <c r="FI19">
        <v>2.5866699999999998</v>
      </c>
      <c r="FJ19">
        <v>2.4462899999999999</v>
      </c>
      <c r="FK19">
        <v>2.2741699999999998</v>
      </c>
      <c r="FL19">
        <v>27.8291</v>
      </c>
      <c r="FM19">
        <v>24.157499999999999</v>
      </c>
      <c r="FN19">
        <v>19</v>
      </c>
      <c r="FO19">
        <v>860.07600000000002</v>
      </c>
      <c r="FP19">
        <v>612.89400000000001</v>
      </c>
      <c r="FQ19">
        <v>18.492799999999999</v>
      </c>
      <c r="FR19">
        <v>24.159700000000001</v>
      </c>
      <c r="FS19">
        <v>30.0002</v>
      </c>
      <c r="FT19">
        <v>24.038399999999999</v>
      </c>
      <c r="FU19">
        <v>24.0321</v>
      </c>
      <c r="FV19">
        <v>24.610099999999999</v>
      </c>
      <c r="FW19">
        <v>40.3048</v>
      </c>
      <c r="FX19">
        <v>90.552499999999995</v>
      </c>
      <c r="FY19">
        <v>18.5352</v>
      </c>
      <c r="FZ19">
        <v>410</v>
      </c>
      <c r="GA19">
        <v>13.702</v>
      </c>
      <c r="GB19">
        <v>99.946399999999997</v>
      </c>
      <c r="GC19">
        <v>99.542199999999994</v>
      </c>
    </row>
    <row r="20" spans="1:185" x14ac:dyDescent="0.2">
      <c r="A20">
        <v>5</v>
      </c>
      <c r="B20">
        <v>1770998694.0999999</v>
      </c>
      <c r="C20">
        <v>71</v>
      </c>
      <c r="D20" t="s">
        <v>302</v>
      </c>
      <c r="E20" t="s">
        <v>303</v>
      </c>
      <c r="F20">
        <v>15</v>
      </c>
      <c r="G20">
        <v>1770998686.03333</v>
      </c>
      <c r="H20">
        <f t="shared" si="0"/>
        <v>1.3097353674825804E-3</v>
      </c>
      <c r="I20">
        <v>0</v>
      </c>
      <c r="J20">
        <f t="shared" si="12"/>
        <v>1.2443803292893641E-2</v>
      </c>
      <c r="K20">
        <f t="shared" si="1"/>
        <v>0.22251081064657627</v>
      </c>
      <c r="L20">
        <f t="shared" si="2"/>
        <v>70.274380032542552</v>
      </c>
      <c r="M20">
        <f t="shared" si="3"/>
        <v>1.545422540175964</v>
      </c>
      <c r="N20">
        <f t="shared" si="4"/>
        <v>2.1991265372391933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26357.91763568114</v>
      </c>
      <c r="T20">
        <f t="shared" si="8"/>
        <v>300.00080000000003</v>
      </c>
      <c r="U20">
        <f t="shared" si="9"/>
        <v>252.90044333938391</v>
      </c>
      <c r="V20">
        <f t="shared" si="10"/>
        <v>0.84299922980000019</v>
      </c>
      <c r="W20">
        <f t="shared" si="11"/>
        <v>0.15869806150800003</v>
      </c>
      <c r="X20">
        <v>1</v>
      </c>
      <c r="Y20">
        <v>1770998686.03333</v>
      </c>
      <c r="Z20">
        <v>409.03919999999999</v>
      </c>
      <c r="AA20">
        <v>409.98700000000002</v>
      </c>
      <c r="AB20">
        <v>15.3726</v>
      </c>
      <c r="AC20">
        <v>13.7606066666667</v>
      </c>
      <c r="AD20">
        <v>410.2296</v>
      </c>
      <c r="AE20">
        <v>15.283046666666699</v>
      </c>
      <c r="AF20">
        <v>800.00413333333302</v>
      </c>
      <c r="AG20">
        <v>100.46599999999999</v>
      </c>
      <c r="AH20">
        <v>6.4979806666666695E-2</v>
      </c>
      <c r="AI20">
        <v>18.955953333333301</v>
      </c>
      <c r="AJ20">
        <v>999.9</v>
      </c>
      <c r="AK20">
        <v>999.9</v>
      </c>
      <c r="AL20">
        <v>0</v>
      </c>
      <c r="AM20">
        <v>0</v>
      </c>
      <c r="AN20">
        <v>5001.5666666666702</v>
      </c>
      <c r="AO20">
        <v>0</v>
      </c>
      <c r="AP20">
        <v>1.86317</v>
      </c>
      <c r="AQ20">
        <v>-0.94790046666666605</v>
      </c>
      <c r="AR20">
        <v>415.42526666666703</v>
      </c>
      <c r="AS20">
        <v>415.70740000000001</v>
      </c>
      <c r="AT20">
        <v>1.611996</v>
      </c>
      <c r="AU20">
        <v>409.98700000000002</v>
      </c>
      <c r="AV20">
        <v>13.7606066666667</v>
      </c>
      <c r="AW20">
        <v>1.54442533333333</v>
      </c>
      <c r="AX20">
        <v>1.3824753333333299</v>
      </c>
      <c r="AY20">
        <v>13.4152133333333</v>
      </c>
      <c r="AZ20">
        <v>11.726760000000001</v>
      </c>
      <c r="BA20">
        <v>300.00080000000003</v>
      </c>
      <c r="BB20">
        <v>0.90002586666666695</v>
      </c>
      <c r="BC20">
        <v>0</v>
      </c>
      <c r="BD20">
        <v>9.9974140000000003E-2</v>
      </c>
      <c r="BE20">
        <v>0</v>
      </c>
      <c r="BF20">
        <v>24</v>
      </c>
      <c r="BG20">
        <v>4946.6866666666701</v>
      </c>
      <c r="BH20">
        <v>1770998647.0999999</v>
      </c>
      <c r="BI20" t="s">
        <v>289</v>
      </c>
      <c r="BJ20">
        <v>1770998646.0999999</v>
      </c>
      <c r="BK20">
        <v>1770998647.0999999</v>
      </c>
      <c r="BL20">
        <v>1</v>
      </c>
      <c r="BM20">
        <v>-0.376</v>
      </c>
      <c r="BN20">
        <v>4.2000000000000003E-2</v>
      </c>
      <c r="BO20">
        <v>-1.1910000000000001</v>
      </c>
      <c r="BP20">
        <v>0.09</v>
      </c>
      <c r="BQ20">
        <v>410</v>
      </c>
      <c r="BR20">
        <v>14</v>
      </c>
      <c r="BS20">
        <v>0.41</v>
      </c>
      <c r="BT20">
        <v>0.04</v>
      </c>
      <c r="BU20">
        <v>-0.94043695238095204</v>
      </c>
      <c r="BV20">
        <v>-0.12905649350649301</v>
      </c>
      <c r="BW20">
        <v>2.2080337895266901E-2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1.6147533333333299</v>
      </c>
      <c r="CD20">
        <v>-5.4935844155843301E-2</v>
      </c>
      <c r="CE20">
        <v>5.7951394521479297E-3</v>
      </c>
      <c r="CF20">
        <v>1</v>
      </c>
      <c r="CG20">
        <v>2</v>
      </c>
      <c r="CH20">
        <v>2</v>
      </c>
      <c r="CI20" t="s">
        <v>304</v>
      </c>
      <c r="CJ20">
        <v>3.5324800000000001</v>
      </c>
      <c r="CK20">
        <v>2.7028400000000001</v>
      </c>
      <c r="CL20">
        <v>9.8549999999999999E-2</v>
      </c>
      <c r="CM20">
        <v>9.7288200000000005E-2</v>
      </c>
      <c r="CN20">
        <v>8.76218E-2</v>
      </c>
      <c r="CO20">
        <v>7.9882999999999996E-2</v>
      </c>
      <c r="CP20">
        <v>31650.1</v>
      </c>
      <c r="CQ20">
        <v>27760.6</v>
      </c>
      <c r="CR20">
        <v>32490.400000000001</v>
      </c>
      <c r="CS20">
        <v>30673.7</v>
      </c>
      <c r="CT20">
        <v>40111.699999999997</v>
      </c>
      <c r="CU20">
        <v>39666.6</v>
      </c>
      <c r="CV20">
        <v>47422.1</v>
      </c>
      <c r="CW20">
        <v>46747.6</v>
      </c>
      <c r="CX20">
        <v>2.6432799999999999</v>
      </c>
      <c r="CY20">
        <v>2.19842</v>
      </c>
      <c r="CZ20">
        <v>0</v>
      </c>
      <c r="DA20">
        <v>0</v>
      </c>
      <c r="DB20">
        <v>999.9</v>
      </c>
      <c r="DC20">
        <v>999.9</v>
      </c>
      <c r="DD20">
        <v>77.634</v>
      </c>
      <c r="DE20">
        <v>22.507000000000001</v>
      </c>
      <c r="DF20">
        <v>21.1463</v>
      </c>
      <c r="DG20">
        <v>30.5</v>
      </c>
      <c r="DH20">
        <v>15.665100000000001</v>
      </c>
      <c r="DI20">
        <v>2</v>
      </c>
      <c r="DJ20">
        <v>-0.223</v>
      </c>
      <c r="DK20">
        <v>1.3441399999999999</v>
      </c>
      <c r="DL20">
        <v>20.225999999999999</v>
      </c>
      <c r="DM20">
        <v>5.2513100000000001</v>
      </c>
      <c r="DN20">
        <v>12.033899999999999</v>
      </c>
      <c r="DO20">
        <v>4.9671599999999998</v>
      </c>
      <c r="DP20">
        <v>3.2909999999999999</v>
      </c>
      <c r="DQ20">
        <v>9999</v>
      </c>
      <c r="DR20">
        <v>9999</v>
      </c>
      <c r="DS20">
        <v>596.29999999999995</v>
      </c>
      <c r="DT20">
        <v>9999</v>
      </c>
      <c r="DU20">
        <v>1.8708899999999999</v>
      </c>
      <c r="DV20">
        <v>1.87602</v>
      </c>
      <c r="DW20">
        <v>1.87622</v>
      </c>
      <c r="DX20">
        <v>1.8827499999999999</v>
      </c>
      <c r="DY20">
        <v>1.8754599999999999</v>
      </c>
      <c r="DZ20">
        <v>1.8745400000000001</v>
      </c>
      <c r="EA20">
        <v>1.8707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-1.1910000000000001</v>
      </c>
      <c r="EQ20">
        <v>8.9599999999999999E-2</v>
      </c>
      <c r="ER20">
        <v>-1.1905454545454901</v>
      </c>
      <c r="ES20">
        <v>0</v>
      </c>
      <c r="ET20">
        <v>0</v>
      </c>
      <c r="EU20">
        <v>0</v>
      </c>
      <c r="EV20">
        <v>8.95600000000005E-2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0.8</v>
      </c>
      <c r="FE20">
        <v>0.8</v>
      </c>
      <c r="FF20">
        <v>1.22681</v>
      </c>
      <c r="FG20">
        <v>2.5500500000000001</v>
      </c>
      <c r="FH20">
        <v>2.19604</v>
      </c>
      <c r="FI20">
        <v>2.5866699999999998</v>
      </c>
      <c r="FJ20">
        <v>2.4462899999999999</v>
      </c>
      <c r="FK20">
        <v>2.2997999999999998</v>
      </c>
      <c r="FL20">
        <v>27.85</v>
      </c>
      <c r="FM20">
        <v>24.14</v>
      </c>
      <c r="FN20">
        <v>19</v>
      </c>
      <c r="FO20">
        <v>860.71799999999996</v>
      </c>
      <c r="FP20">
        <v>612.89</v>
      </c>
      <c r="FQ20">
        <v>18.594100000000001</v>
      </c>
      <c r="FR20">
        <v>24.168199999999999</v>
      </c>
      <c r="FS20">
        <v>30.0002</v>
      </c>
      <c r="FT20">
        <v>24.0517</v>
      </c>
      <c r="FU20">
        <v>24.046199999999999</v>
      </c>
      <c r="FV20">
        <v>24.610600000000002</v>
      </c>
      <c r="FW20">
        <v>40.584499999999998</v>
      </c>
      <c r="FX20">
        <v>89.802000000000007</v>
      </c>
      <c r="FY20">
        <v>18.626200000000001</v>
      </c>
      <c r="FZ20">
        <v>410</v>
      </c>
      <c r="GA20">
        <v>13.692500000000001</v>
      </c>
      <c r="GB20">
        <v>99.948599999999999</v>
      </c>
      <c r="GC20">
        <v>99.541600000000003</v>
      </c>
    </row>
    <row r="21" spans="1:185" x14ac:dyDescent="0.2">
      <c r="A21">
        <v>6</v>
      </c>
      <c r="B21">
        <v>1770998709.0999999</v>
      </c>
      <c r="C21">
        <v>86</v>
      </c>
      <c r="D21" t="s">
        <v>305</v>
      </c>
      <c r="E21" t="s">
        <v>306</v>
      </c>
      <c r="F21">
        <v>15</v>
      </c>
      <c r="G21">
        <v>1770998701.03333</v>
      </c>
      <c r="H21">
        <f t="shared" si="0"/>
        <v>1.3432618537465915E-3</v>
      </c>
      <c r="I21">
        <v>0</v>
      </c>
      <c r="J21">
        <f t="shared" si="12"/>
        <v>1.2817105648956459E-2</v>
      </c>
      <c r="K21">
        <f t="shared" si="1"/>
        <v>0.22918592499134016</v>
      </c>
      <c r="L21">
        <f t="shared" si="2"/>
        <v>70.097534422692164</v>
      </c>
      <c r="M21">
        <f t="shared" si="3"/>
        <v>1.5428760624509619</v>
      </c>
      <c r="N21">
        <f t="shared" si="4"/>
        <v>2.2010418414253068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26354.564818236089</v>
      </c>
      <c r="T21">
        <f t="shared" si="8"/>
        <v>300.00139999999999</v>
      </c>
      <c r="U21">
        <f t="shared" si="9"/>
        <v>252.90094517890321</v>
      </c>
      <c r="V21">
        <f t="shared" si="10"/>
        <v>0.84299921659999999</v>
      </c>
      <c r="W21">
        <f t="shared" si="11"/>
        <v>0.15869821039600002</v>
      </c>
      <c r="X21">
        <v>1</v>
      </c>
      <c r="Y21">
        <v>1770998701.03333</v>
      </c>
      <c r="Z21">
        <v>409.03233333333299</v>
      </c>
      <c r="AA21">
        <v>410.00560000000002</v>
      </c>
      <c r="AB21">
        <v>15.347213333333301</v>
      </c>
      <c r="AC21">
        <v>13.6939266666667</v>
      </c>
      <c r="AD21">
        <v>410.222733333333</v>
      </c>
      <c r="AE21">
        <v>15.2576533333333</v>
      </c>
      <c r="AF21">
        <v>800.0104</v>
      </c>
      <c r="AG21">
        <v>100.466533333333</v>
      </c>
      <c r="AH21">
        <v>6.481584E-2</v>
      </c>
      <c r="AI21">
        <v>18.969899999999999</v>
      </c>
      <c r="AJ21">
        <v>999.9</v>
      </c>
      <c r="AK21">
        <v>999.9</v>
      </c>
      <c r="AL21">
        <v>0</v>
      </c>
      <c r="AM21">
        <v>0</v>
      </c>
      <c r="AN21">
        <v>5001.2</v>
      </c>
      <c r="AO21">
        <v>0</v>
      </c>
      <c r="AP21">
        <v>1.86317</v>
      </c>
      <c r="AQ21">
        <v>-0.97340706666666699</v>
      </c>
      <c r="AR21">
        <v>415.4074</v>
      </c>
      <c r="AS21">
        <v>415.69819999999999</v>
      </c>
      <c r="AT21">
        <v>1.65328266666667</v>
      </c>
      <c r="AU21">
        <v>410.00560000000002</v>
      </c>
      <c r="AV21">
        <v>13.6939266666667</v>
      </c>
      <c r="AW21">
        <v>1.5418813333333301</v>
      </c>
      <c r="AX21">
        <v>1.37578133333333</v>
      </c>
      <c r="AY21">
        <v>13.3899133333333</v>
      </c>
      <c r="AZ21">
        <v>11.653266666666701</v>
      </c>
      <c r="BA21">
        <v>300.00139999999999</v>
      </c>
      <c r="BB21">
        <v>0.90002360000000003</v>
      </c>
      <c r="BC21">
        <v>0</v>
      </c>
      <c r="BD21">
        <v>9.9976313333333303E-2</v>
      </c>
      <c r="BE21">
        <v>0</v>
      </c>
      <c r="BF21">
        <v>24</v>
      </c>
      <c r="BG21">
        <v>4946.6899999999996</v>
      </c>
      <c r="BH21">
        <v>1770998647.0999999</v>
      </c>
      <c r="BI21" t="s">
        <v>289</v>
      </c>
      <c r="BJ21">
        <v>1770998646.0999999</v>
      </c>
      <c r="BK21">
        <v>1770998647.0999999</v>
      </c>
      <c r="BL21">
        <v>1</v>
      </c>
      <c r="BM21">
        <v>-0.376</v>
      </c>
      <c r="BN21">
        <v>4.2000000000000003E-2</v>
      </c>
      <c r="BO21">
        <v>-1.1910000000000001</v>
      </c>
      <c r="BP21">
        <v>0.09</v>
      </c>
      <c r="BQ21">
        <v>410</v>
      </c>
      <c r="BR21">
        <v>14</v>
      </c>
      <c r="BS21">
        <v>0.41</v>
      </c>
      <c r="BT21">
        <v>0.04</v>
      </c>
      <c r="BU21">
        <v>-0.9699525</v>
      </c>
      <c r="BV21">
        <v>-9.9717112781955095E-2</v>
      </c>
      <c r="BW21">
        <v>1.78850927632484E-2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1.6418245</v>
      </c>
      <c r="CD21">
        <v>0.24639203007518801</v>
      </c>
      <c r="CE21">
        <v>2.7587703325032301E-2</v>
      </c>
      <c r="CF21">
        <v>0</v>
      </c>
      <c r="CG21">
        <v>1</v>
      </c>
      <c r="CH21">
        <v>2</v>
      </c>
      <c r="CI21" t="s">
        <v>290</v>
      </c>
      <c r="CJ21">
        <v>3.53241</v>
      </c>
      <c r="CK21">
        <v>2.7024499999999998</v>
      </c>
      <c r="CL21">
        <v>9.8546400000000006E-2</v>
      </c>
      <c r="CM21">
        <v>9.72798E-2</v>
      </c>
      <c r="CN21">
        <v>8.7450399999999998E-2</v>
      </c>
      <c r="CO21">
        <v>7.9480899999999993E-2</v>
      </c>
      <c r="CP21">
        <v>31649.5</v>
      </c>
      <c r="CQ21">
        <v>27760.7</v>
      </c>
      <c r="CR21">
        <v>32489.8</v>
      </c>
      <c r="CS21">
        <v>30673.599999999999</v>
      </c>
      <c r="CT21">
        <v>40118.5</v>
      </c>
      <c r="CU21">
        <v>39684.5</v>
      </c>
      <c r="CV21">
        <v>47420.9</v>
      </c>
      <c r="CW21">
        <v>46747.7</v>
      </c>
      <c r="CX21">
        <v>2.6434799999999998</v>
      </c>
      <c r="CY21">
        <v>2.1983000000000001</v>
      </c>
      <c r="CZ21">
        <v>0</v>
      </c>
      <c r="DA21">
        <v>0</v>
      </c>
      <c r="DB21">
        <v>999.9</v>
      </c>
      <c r="DC21">
        <v>999.9</v>
      </c>
      <c r="DD21">
        <v>77.61</v>
      </c>
      <c r="DE21">
        <v>22.516999999999999</v>
      </c>
      <c r="DF21">
        <v>21.1538</v>
      </c>
      <c r="DG21">
        <v>30.29</v>
      </c>
      <c r="DH21">
        <v>15.6891</v>
      </c>
      <c r="DI21">
        <v>2</v>
      </c>
      <c r="DJ21">
        <v>-0.222441</v>
      </c>
      <c r="DK21">
        <v>1.3271500000000001</v>
      </c>
      <c r="DL21">
        <v>20.226099999999999</v>
      </c>
      <c r="DM21">
        <v>5.2513100000000001</v>
      </c>
      <c r="DN21">
        <v>12.033899999999999</v>
      </c>
      <c r="DO21">
        <v>4.9671599999999998</v>
      </c>
      <c r="DP21">
        <v>3.2909999999999999</v>
      </c>
      <c r="DQ21">
        <v>9999</v>
      </c>
      <c r="DR21">
        <v>9999</v>
      </c>
      <c r="DS21">
        <v>596.29999999999995</v>
      </c>
      <c r="DT21">
        <v>9999</v>
      </c>
      <c r="DU21">
        <v>1.8709</v>
      </c>
      <c r="DV21">
        <v>1.8760300000000001</v>
      </c>
      <c r="DW21">
        <v>1.87622</v>
      </c>
      <c r="DX21">
        <v>1.88276</v>
      </c>
      <c r="DY21">
        <v>1.8754599999999999</v>
      </c>
      <c r="DZ21">
        <v>1.8745400000000001</v>
      </c>
      <c r="EA21">
        <v>1.8707199999999999</v>
      </c>
      <c r="EB21">
        <v>1.8745499999999999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-1.19</v>
      </c>
      <c r="EQ21">
        <v>8.9599999999999999E-2</v>
      </c>
      <c r="ER21">
        <v>-1.1905454545454901</v>
      </c>
      <c r="ES21">
        <v>0</v>
      </c>
      <c r="ET21">
        <v>0</v>
      </c>
      <c r="EU21">
        <v>0</v>
      </c>
      <c r="EV21">
        <v>8.95600000000005E-2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1.1000000000000001</v>
      </c>
      <c r="FE21">
        <v>1</v>
      </c>
      <c r="FF21">
        <v>1.22559</v>
      </c>
      <c r="FG21">
        <v>2.5549300000000001</v>
      </c>
      <c r="FH21">
        <v>2.19604</v>
      </c>
      <c r="FI21">
        <v>2.5854499999999998</v>
      </c>
      <c r="FJ21">
        <v>2.4462899999999999</v>
      </c>
      <c r="FK21">
        <v>2.2912599999999999</v>
      </c>
      <c r="FL21">
        <v>27.8919</v>
      </c>
      <c r="FM21">
        <v>24.1663</v>
      </c>
      <c r="FN21">
        <v>19</v>
      </c>
      <c r="FO21">
        <v>861.11400000000003</v>
      </c>
      <c r="FP21">
        <v>612.95600000000002</v>
      </c>
      <c r="FQ21">
        <v>18.670100000000001</v>
      </c>
      <c r="FR21">
        <v>24.175899999999999</v>
      </c>
      <c r="FS21">
        <v>30.000299999999999</v>
      </c>
      <c r="FT21">
        <v>24.064599999999999</v>
      </c>
      <c r="FU21">
        <v>24.0595</v>
      </c>
      <c r="FV21">
        <v>24.611599999999999</v>
      </c>
      <c r="FW21">
        <v>40.584499999999998</v>
      </c>
      <c r="FX21">
        <v>89.429500000000004</v>
      </c>
      <c r="FY21">
        <v>18.686800000000002</v>
      </c>
      <c r="FZ21">
        <v>410</v>
      </c>
      <c r="GA21">
        <v>13.7028</v>
      </c>
      <c r="GB21">
        <v>99.946299999999994</v>
      </c>
      <c r="GC21">
        <v>99.541600000000003</v>
      </c>
    </row>
    <row r="22" spans="1:185" x14ac:dyDescent="0.2">
      <c r="A22">
        <v>7</v>
      </c>
      <c r="B22">
        <v>1770998724.0999999</v>
      </c>
      <c r="C22">
        <v>101</v>
      </c>
      <c r="D22" t="s">
        <v>307</v>
      </c>
      <c r="E22" t="s">
        <v>308</v>
      </c>
      <c r="F22">
        <v>15</v>
      </c>
      <c r="G22">
        <v>1770998716.03333</v>
      </c>
      <c r="H22">
        <f t="shared" si="0"/>
        <v>1.3333437858720327E-3</v>
      </c>
      <c r="I22">
        <v>0</v>
      </c>
      <c r="J22">
        <f t="shared" si="12"/>
        <v>1.3003990745926149E-2</v>
      </c>
      <c r="K22">
        <f t="shared" si="1"/>
        <v>0.23252766492773383</v>
      </c>
      <c r="L22">
        <f t="shared" si="2"/>
        <v>69.87341182974987</v>
      </c>
      <c r="M22">
        <f t="shared" si="3"/>
        <v>1.539553912340393</v>
      </c>
      <c r="N22">
        <f t="shared" si="4"/>
        <v>2.2033472704776385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26336.637940076525</v>
      </c>
      <c r="T22">
        <f t="shared" si="8"/>
        <v>299.99900000000002</v>
      </c>
      <c r="U22">
        <f t="shared" si="9"/>
        <v>252.89899404054313</v>
      </c>
      <c r="V22">
        <f t="shared" si="10"/>
        <v>0.84299945679999966</v>
      </c>
      <c r="W22">
        <f t="shared" si="11"/>
        <v>0.15869869396799993</v>
      </c>
      <c r="X22">
        <v>1</v>
      </c>
      <c r="Y22">
        <v>1770998716.03333</v>
      </c>
      <c r="Z22">
        <v>409.00906666666702</v>
      </c>
      <c r="AA22">
        <v>409.98140000000001</v>
      </c>
      <c r="AB22">
        <v>15.31418</v>
      </c>
      <c r="AC22">
        <v>13.6730466666667</v>
      </c>
      <c r="AD22">
        <v>410.19986666666699</v>
      </c>
      <c r="AE22">
        <v>15.2246133333333</v>
      </c>
      <c r="AF22">
        <v>800.01099999999997</v>
      </c>
      <c r="AG22">
        <v>100.466666666667</v>
      </c>
      <c r="AH22">
        <v>6.4599933333333304E-2</v>
      </c>
      <c r="AI22">
        <v>18.9866733333333</v>
      </c>
      <c r="AJ22">
        <v>999.9</v>
      </c>
      <c r="AK22">
        <v>999.9</v>
      </c>
      <c r="AL22">
        <v>0</v>
      </c>
      <c r="AM22">
        <v>0</v>
      </c>
      <c r="AN22">
        <v>4998.5</v>
      </c>
      <c r="AO22">
        <v>0</v>
      </c>
      <c r="AP22">
        <v>1.86317</v>
      </c>
      <c r="AQ22">
        <v>-0.97239560000000003</v>
      </c>
      <c r="AR22">
        <v>415.370133333333</v>
      </c>
      <c r="AS22">
        <v>415.66500000000002</v>
      </c>
      <c r="AT22">
        <v>1.6411386666666701</v>
      </c>
      <c r="AU22">
        <v>409.98140000000001</v>
      </c>
      <c r="AV22">
        <v>13.6730466666667</v>
      </c>
      <c r="AW22">
        <v>1.53856333333333</v>
      </c>
      <c r="AX22">
        <v>1.37368333333333</v>
      </c>
      <c r="AY22">
        <v>13.3568866666667</v>
      </c>
      <c r="AZ22">
        <v>11.6302</v>
      </c>
      <c r="BA22">
        <v>299.99900000000002</v>
      </c>
      <c r="BB22">
        <v>0.900017333333333</v>
      </c>
      <c r="BC22">
        <v>0</v>
      </c>
      <c r="BD22">
        <v>9.9982639999999998E-2</v>
      </c>
      <c r="BE22">
        <v>0</v>
      </c>
      <c r="BF22">
        <v>24</v>
      </c>
      <c r="BG22">
        <v>4946.6446666666698</v>
      </c>
      <c r="BH22">
        <v>1770998647.0999999</v>
      </c>
      <c r="BI22" t="s">
        <v>289</v>
      </c>
      <c r="BJ22">
        <v>1770998646.0999999</v>
      </c>
      <c r="BK22">
        <v>1770998647.0999999</v>
      </c>
      <c r="BL22">
        <v>1</v>
      </c>
      <c r="BM22">
        <v>-0.376</v>
      </c>
      <c r="BN22">
        <v>4.2000000000000003E-2</v>
      </c>
      <c r="BO22">
        <v>-1.1910000000000001</v>
      </c>
      <c r="BP22">
        <v>0.09</v>
      </c>
      <c r="BQ22">
        <v>410</v>
      </c>
      <c r="BR22">
        <v>14</v>
      </c>
      <c r="BS22">
        <v>0.41</v>
      </c>
      <c r="BT22">
        <v>0.04</v>
      </c>
      <c r="BU22">
        <v>-0.97359342857142905</v>
      </c>
      <c r="BV22">
        <v>-1.75248311688346E-2</v>
      </c>
      <c r="BW22">
        <v>2.0097830846165701E-2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1.64755047619048</v>
      </c>
      <c r="CD22">
        <v>-0.13009480519480501</v>
      </c>
      <c r="CE22">
        <v>1.31514371752004E-2</v>
      </c>
      <c r="CF22">
        <v>0</v>
      </c>
      <c r="CG22">
        <v>1</v>
      </c>
      <c r="CH22">
        <v>2</v>
      </c>
      <c r="CI22" t="s">
        <v>290</v>
      </c>
      <c r="CJ22">
        <v>3.53247</v>
      </c>
      <c r="CK22">
        <v>2.7025000000000001</v>
      </c>
      <c r="CL22">
        <v>9.8541799999999999E-2</v>
      </c>
      <c r="CM22">
        <v>9.7284399999999993E-2</v>
      </c>
      <c r="CN22">
        <v>8.7338100000000002E-2</v>
      </c>
      <c r="CO22">
        <v>7.9497499999999999E-2</v>
      </c>
      <c r="CP22">
        <v>31649.7</v>
      </c>
      <c r="CQ22">
        <v>27760.6</v>
      </c>
      <c r="CR22">
        <v>32489.8</v>
      </c>
      <c r="CS22">
        <v>30673.7</v>
      </c>
      <c r="CT22">
        <v>40124</v>
      </c>
      <c r="CU22">
        <v>39684.1</v>
      </c>
      <c r="CV22">
        <v>47421.3</v>
      </c>
      <c r="CW22">
        <v>46748</v>
      </c>
      <c r="CX22">
        <v>2.6436199999999999</v>
      </c>
      <c r="CY22">
        <v>2.1979000000000002</v>
      </c>
      <c r="CZ22">
        <v>0</v>
      </c>
      <c r="DA22">
        <v>0</v>
      </c>
      <c r="DB22">
        <v>999.9</v>
      </c>
      <c r="DC22">
        <v>999.9</v>
      </c>
      <c r="DD22">
        <v>77.584999999999994</v>
      </c>
      <c r="DE22">
        <v>22.536999999999999</v>
      </c>
      <c r="DF22">
        <v>21.172699999999999</v>
      </c>
      <c r="DG22">
        <v>30.29</v>
      </c>
      <c r="DH22">
        <v>15.7372</v>
      </c>
      <c r="DI22">
        <v>2</v>
      </c>
      <c r="DJ22">
        <v>-0.22170699999999999</v>
      </c>
      <c r="DK22">
        <v>1.34815</v>
      </c>
      <c r="DL22">
        <v>20.225899999999999</v>
      </c>
      <c r="DM22">
        <v>5.2511900000000002</v>
      </c>
      <c r="DN22">
        <v>12.033899999999999</v>
      </c>
      <c r="DO22">
        <v>4.9672400000000003</v>
      </c>
      <c r="DP22">
        <v>3.2909999999999999</v>
      </c>
      <c r="DQ22">
        <v>9999</v>
      </c>
      <c r="DR22">
        <v>9999</v>
      </c>
      <c r="DS22">
        <v>596.4</v>
      </c>
      <c r="DT22">
        <v>9999</v>
      </c>
      <c r="DU22">
        <v>1.8708899999999999</v>
      </c>
      <c r="DV22">
        <v>1.8760300000000001</v>
      </c>
      <c r="DW22">
        <v>1.87622</v>
      </c>
      <c r="DX22">
        <v>1.8827700000000001</v>
      </c>
      <c r="DY22">
        <v>1.8754599999999999</v>
      </c>
      <c r="DZ22">
        <v>1.8745400000000001</v>
      </c>
      <c r="EA22">
        <v>1.8707</v>
      </c>
      <c r="EB22">
        <v>1.8745700000000001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-1.19</v>
      </c>
      <c r="EQ22">
        <v>8.9599999999999999E-2</v>
      </c>
      <c r="ER22">
        <v>-1.1905454545454901</v>
      </c>
      <c r="ES22">
        <v>0</v>
      </c>
      <c r="ET22">
        <v>0</v>
      </c>
      <c r="EU22">
        <v>0</v>
      </c>
      <c r="EV22">
        <v>8.95600000000005E-2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1.3</v>
      </c>
      <c r="FE22">
        <v>1.3</v>
      </c>
      <c r="FF22">
        <v>1.22559</v>
      </c>
      <c r="FG22">
        <v>2.5537100000000001</v>
      </c>
      <c r="FH22">
        <v>2.19604</v>
      </c>
      <c r="FI22">
        <v>2.5866699999999998</v>
      </c>
      <c r="FJ22">
        <v>2.4462899999999999</v>
      </c>
      <c r="FK22">
        <v>2.2595200000000002</v>
      </c>
      <c r="FL22">
        <v>27.912800000000001</v>
      </c>
      <c r="FM22">
        <v>24.157499999999999</v>
      </c>
      <c r="FN22">
        <v>19</v>
      </c>
      <c r="FO22">
        <v>861.44899999999996</v>
      </c>
      <c r="FP22">
        <v>612.79300000000001</v>
      </c>
      <c r="FQ22">
        <v>18.7089</v>
      </c>
      <c r="FR22">
        <v>24.183199999999999</v>
      </c>
      <c r="FS22">
        <v>30.000299999999999</v>
      </c>
      <c r="FT22">
        <v>24.077100000000002</v>
      </c>
      <c r="FU22">
        <v>24.072399999999998</v>
      </c>
      <c r="FV22">
        <v>24.6129</v>
      </c>
      <c r="FW22">
        <v>40.584499999999998</v>
      </c>
      <c r="FX22">
        <v>89.055300000000003</v>
      </c>
      <c r="FY22">
        <v>18.712299999999999</v>
      </c>
      <c r="FZ22">
        <v>410</v>
      </c>
      <c r="GA22">
        <v>13.7028</v>
      </c>
      <c r="GB22">
        <v>99.946899999999999</v>
      </c>
      <c r="GC22">
        <v>99.542100000000005</v>
      </c>
    </row>
    <row r="23" spans="1:185" x14ac:dyDescent="0.2">
      <c r="A23">
        <v>8</v>
      </c>
      <c r="B23">
        <v>1770998739.0999999</v>
      </c>
      <c r="C23">
        <v>116</v>
      </c>
      <c r="D23" t="s">
        <v>309</v>
      </c>
      <c r="E23" t="s">
        <v>310</v>
      </c>
      <c r="F23">
        <v>15</v>
      </c>
      <c r="G23">
        <v>1770998731.03333</v>
      </c>
      <c r="H23">
        <f t="shared" si="0"/>
        <v>1.3157624403627027E-3</v>
      </c>
      <c r="I23">
        <v>0</v>
      </c>
      <c r="J23">
        <f t="shared" si="12"/>
        <v>1.2916665512985474E-2</v>
      </c>
      <c r="K23">
        <f t="shared" si="1"/>
        <v>0.2309661802341734</v>
      </c>
      <c r="L23">
        <f t="shared" si="2"/>
        <v>69.724928629241603</v>
      </c>
      <c r="M23">
        <f t="shared" si="3"/>
        <v>1.5378714135976788</v>
      </c>
      <c r="N23">
        <f t="shared" si="4"/>
        <v>2.2056263718464653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26330.949376092918</v>
      </c>
      <c r="T23">
        <f t="shared" si="8"/>
        <v>300.00099999999998</v>
      </c>
      <c r="U23">
        <f t="shared" si="9"/>
        <v>252.90070547954147</v>
      </c>
      <c r="V23">
        <f t="shared" si="10"/>
        <v>0.84299954159999968</v>
      </c>
      <c r="W23">
        <f t="shared" si="11"/>
        <v>0.15869895793599995</v>
      </c>
      <c r="X23">
        <v>1</v>
      </c>
      <c r="Y23">
        <v>1770998731.03333</v>
      </c>
      <c r="Z23">
        <v>409.01373333333299</v>
      </c>
      <c r="AA23">
        <v>409.97513333333302</v>
      </c>
      <c r="AB23">
        <v>15.297413333333299</v>
      </c>
      <c r="AC23">
        <v>13.6778933333333</v>
      </c>
      <c r="AD23">
        <v>410.20406666666702</v>
      </c>
      <c r="AE23">
        <v>15.207839999999999</v>
      </c>
      <c r="AF23">
        <v>800.01153333333298</v>
      </c>
      <c r="AG23">
        <v>100.466933333333</v>
      </c>
      <c r="AH23">
        <v>6.4534313333333301E-2</v>
      </c>
      <c r="AI23">
        <v>19.003240000000002</v>
      </c>
      <c r="AJ23">
        <v>999.9</v>
      </c>
      <c r="AK23">
        <v>999.9</v>
      </c>
      <c r="AL23">
        <v>0</v>
      </c>
      <c r="AM23">
        <v>0</v>
      </c>
      <c r="AN23">
        <v>4997.8</v>
      </c>
      <c r="AO23">
        <v>0</v>
      </c>
      <c r="AP23">
        <v>1.86317</v>
      </c>
      <c r="AQ23">
        <v>-0.96158840000000001</v>
      </c>
      <c r="AR23">
        <v>415.36766666666699</v>
      </c>
      <c r="AS23">
        <v>415.66046666666699</v>
      </c>
      <c r="AT23">
        <v>1.61951333333333</v>
      </c>
      <c r="AU23">
        <v>409.97513333333302</v>
      </c>
      <c r="AV23">
        <v>13.6778933333333</v>
      </c>
      <c r="AW23">
        <v>1.5368839999999999</v>
      </c>
      <c r="AX23">
        <v>1.37417733333333</v>
      </c>
      <c r="AY23">
        <v>13.3401266666667</v>
      </c>
      <c r="AZ23">
        <v>11.63564</v>
      </c>
      <c r="BA23">
        <v>300.00099999999998</v>
      </c>
      <c r="BB23">
        <v>0.90001373333333301</v>
      </c>
      <c r="BC23">
        <v>0</v>
      </c>
      <c r="BD23">
        <v>9.9986213333333296E-2</v>
      </c>
      <c r="BE23">
        <v>0</v>
      </c>
      <c r="BF23">
        <v>24</v>
      </c>
      <c r="BG23">
        <v>4946.6706666666696</v>
      </c>
      <c r="BH23">
        <v>1770998647.0999999</v>
      </c>
      <c r="BI23" t="s">
        <v>289</v>
      </c>
      <c r="BJ23">
        <v>1770998646.0999999</v>
      </c>
      <c r="BK23">
        <v>1770998647.0999999</v>
      </c>
      <c r="BL23">
        <v>1</v>
      </c>
      <c r="BM23">
        <v>-0.376</v>
      </c>
      <c r="BN23">
        <v>4.2000000000000003E-2</v>
      </c>
      <c r="BO23">
        <v>-1.1910000000000001</v>
      </c>
      <c r="BP23">
        <v>0.09</v>
      </c>
      <c r="BQ23">
        <v>410</v>
      </c>
      <c r="BR23">
        <v>14</v>
      </c>
      <c r="BS23">
        <v>0.41</v>
      </c>
      <c r="BT23">
        <v>0.04</v>
      </c>
      <c r="BU23">
        <v>-0.96591939999999998</v>
      </c>
      <c r="BV23">
        <v>0.12573139849624199</v>
      </c>
      <c r="BW23">
        <v>2.13335863942282E-2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1.622206</v>
      </c>
      <c r="CD23">
        <v>-7.1735639097743401E-2</v>
      </c>
      <c r="CE23">
        <v>7.2012411430252702E-3</v>
      </c>
      <c r="CF23">
        <v>1</v>
      </c>
      <c r="CG23">
        <v>2</v>
      </c>
      <c r="CH23">
        <v>2</v>
      </c>
      <c r="CI23" t="s">
        <v>304</v>
      </c>
      <c r="CJ23">
        <v>3.5324900000000001</v>
      </c>
      <c r="CK23">
        <v>2.7023100000000002</v>
      </c>
      <c r="CL23">
        <v>9.8536200000000004E-2</v>
      </c>
      <c r="CM23">
        <v>9.7276500000000002E-2</v>
      </c>
      <c r="CN23">
        <v>8.7265200000000001E-2</v>
      </c>
      <c r="CO23">
        <v>7.9519999999999993E-2</v>
      </c>
      <c r="CP23">
        <v>31649.200000000001</v>
      </c>
      <c r="CQ23">
        <v>27761.5</v>
      </c>
      <c r="CR23">
        <v>32489.1</v>
      </c>
      <c r="CS23">
        <v>30674.5</v>
      </c>
      <c r="CT23">
        <v>40126.800000000003</v>
      </c>
      <c r="CU23">
        <v>39684.300000000003</v>
      </c>
      <c r="CV23">
        <v>47420.7</v>
      </c>
      <c r="CW23">
        <v>46749.5</v>
      </c>
      <c r="CX23">
        <v>2.6431399999999998</v>
      </c>
      <c r="CY23">
        <v>2.1975199999999999</v>
      </c>
      <c r="CZ23">
        <v>0</v>
      </c>
      <c r="DA23">
        <v>0</v>
      </c>
      <c r="DB23">
        <v>999.9</v>
      </c>
      <c r="DC23">
        <v>999.9</v>
      </c>
      <c r="DD23">
        <v>77.549000000000007</v>
      </c>
      <c r="DE23">
        <v>22.547000000000001</v>
      </c>
      <c r="DF23">
        <v>21.174099999999999</v>
      </c>
      <c r="DG23">
        <v>30.32</v>
      </c>
      <c r="DH23">
        <v>15.693099999999999</v>
      </c>
      <c r="DI23">
        <v>2</v>
      </c>
      <c r="DJ23">
        <v>-0.21959799999999999</v>
      </c>
      <c r="DK23">
        <v>1.88791</v>
      </c>
      <c r="DL23">
        <v>20.2193</v>
      </c>
      <c r="DM23">
        <v>5.2516699999999998</v>
      </c>
      <c r="DN23">
        <v>12.033899999999999</v>
      </c>
      <c r="DO23">
        <v>4.9673600000000002</v>
      </c>
      <c r="DP23">
        <v>3.2909999999999999</v>
      </c>
      <c r="DQ23">
        <v>9999</v>
      </c>
      <c r="DR23">
        <v>9999</v>
      </c>
      <c r="DS23">
        <v>596.4</v>
      </c>
      <c r="DT23">
        <v>9999</v>
      </c>
      <c r="DU23">
        <v>1.8709199999999999</v>
      </c>
      <c r="DV23">
        <v>1.8760600000000001</v>
      </c>
      <c r="DW23">
        <v>1.87622</v>
      </c>
      <c r="DX23">
        <v>1.8827499999999999</v>
      </c>
      <c r="DY23">
        <v>1.8754599999999999</v>
      </c>
      <c r="DZ23">
        <v>1.8745400000000001</v>
      </c>
      <c r="EA23">
        <v>1.8707</v>
      </c>
      <c r="EB23">
        <v>1.87456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-1.19</v>
      </c>
      <c r="EQ23">
        <v>8.9599999999999999E-2</v>
      </c>
      <c r="ER23">
        <v>-1.1905454545454901</v>
      </c>
      <c r="ES23">
        <v>0</v>
      </c>
      <c r="ET23">
        <v>0</v>
      </c>
      <c r="EU23">
        <v>0</v>
      </c>
      <c r="EV23">
        <v>8.95600000000005E-2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1.6</v>
      </c>
      <c r="FE23">
        <v>1.5</v>
      </c>
      <c r="FF23">
        <v>1.22681</v>
      </c>
      <c r="FG23">
        <v>2.5488300000000002</v>
      </c>
      <c r="FH23">
        <v>2.19604</v>
      </c>
      <c r="FI23">
        <v>2.5854499999999998</v>
      </c>
      <c r="FJ23">
        <v>2.4462899999999999</v>
      </c>
      <c r="FK23">
        <v>2.3120099999999999</v>
      </c>
      <c r="FL23">
        <v>27.954699999999999</v>
      </c>
      <c r="FM23">
        <v>24.1663</v>
      </c>
      <c r="FN23">
        <v>19</v>
      </c>
      <c r="FO23">
        <v>861.20600000000002</v>
      </c>
      <c r="FP23">
        <v>612.64599999999996</v>
      </c>
      <c r="FQ23">
        <v>18.482700000000001</v>
      </c>
      <c r="FR23">
        <v>24.190100000000001</v>
      </c>
      <c r="FS23">
        <v>30.000499999999999</v>
      </c>
      <c r="FT23">
        <v>24.089300000000001</v>
      </c>
      <c r="FU23">
        <v>24.0853</v>
      </c>
      <c r="FV23">
        <v>24.617999999999999</v>
      </c>
      <c r="FW23">
        <v>40.584499999999998</v>
      </c>
      <c r="FX23">
        <v>88.2988</v>
      </c>
      <c r="FY23">
        <v>18.480599999999999</v>
      </c>
      <c r="FZ23">
        <v>410</v>
      </c>
      <c r="GA23">
        <v>13.705500000000001</v>
      </c>
      <c r="GB23">
        <v>99.9452</v>
      </c>
      <c r="GC23">
        <v>99.545000000000002</v>
      </c>
    </row>
    <row r="24" spans="1:185" x14ac:dyDescent="0.2">
      <c r="A24">
        <v>9</v>
      </c>
      <c r="B24">
        <v>1770998754.0999999</v>
      </c>
      <c r="C24">
        <v>131</v>
      </c>
      <c r="D24" t="s">
        <v>311</v>
      </c>
      <c r="E24" t="s">
        <v>312</v>
      </c>
      <c r="F24">
        <v>15</v>
      </c>
      <c r="G24">
        <v>1770998746.03333</v>
      </c>
      <c r="H24">
        <f t="shared" si="0"/>
        <v>1.2972609266209661E-3</v>
      </c>
      <c r="I24">
        <v>0</v>
      </c>
      <c r="J24">
        <f t="shared" si="12"/>
        <v>1.5276676124591514E-2</v>
      </c>
      <c r="K24">
        <f t="shared" si="1"/>
        <v>0.27316613003753215</v>
      </c>
      <c r="L24">
        <f t="shared" si="2"/>
        <v>69.669193510514418</v>
      </c>
      <c r="M24">
        <f t="shared" si="3"/>
        <v>1.5360866796552906</v>
      </c>
      <c r="N24">
        <f t="shared" si="4"/>
        <v>2.2048291393289428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26337.38305184626</v>
      </c>
      <c r="T24">
        <f t="shared" si="8"/>
        <v>299.99993333333299</v>
      </c>
      <c r="U24">
        <f t="shared" si="9"/>
        <v>252.89987216001569</v>
      </c>
      <c r="V24">
        <f t="shared" si="10"/>
        <v>0.8429997612000002</v>
      </c>
      <c r="W24">
        <f t="shared" si="11"/>
        <v>0.15869922111200008</v>
      </c>
      <c r="X24">
        <v>1</v>
      </c>
      <c r="Y24">
        <v>1770998746.03333</v>
      </c>
      <c r="Z24">
        <v>408.9982</v>
      </c>
      <c r="AA24">
        <v>410.00286666666699</v>
      </c>
      <c r="AB24">
        <v>15.278919999999999</v>
      </c>
      <c r="AC24">
        <v>13.68214</v>
      </c>
      <c r="AD24">
        <v>410.18880000000001</v>
      </c>
      <c r="AE24">
        <v>15.18938</v>
      </c>
      <c r="AF24">
        <v>800.01013333333299</v>
      </c>
      <c r="AG24">
        <v>100.47166666666701</v>
      </c>
      <c r="AH24">
        <v>6.46722666666667E-2</v>
      </c>
      <c r="AI24">
        <v>18.997446666666701</v>
      </c>
      <c r="AJ24">
        <v>999.9</v>
      </c>
      <c r="AK24">
        <v>999.9</v>
      </c>
      <c r="AL24">
        <v>0</v>
      </c>
      <c r="AM24">
        <v>0</v>
      </c>
      <c r="AN24">
        <v>4998.5666666666702</v>
      </c>
      <c r="AO24">
        <v>0</v>
      </c>
      <c r="AP24">
        <v>1.86317</v>
      </c>
      <c r="AQ24">
        <v>-1.00479106666667</v>
      </c>
      <c r="AR24">
        <v>415.344333333333</v>
      </c>
      <c r="AS24">
        <v>415.69046666666702</v>
      </c>
      <c r="AT24">
        <v>1.5967853333333299</v>
      </c>
      <c r="AU24">
        <v>410.00286666666699</v>
      </c>
      <c r="AV24">
        <v>13.68214</v>
      </c>
      <c r="AW24">
        <v>1.53509933333333</v>
      </c>
      <c r="AX24">
        <v>1.374668</v>
      </c>
      <c r="AY24">
        <v>13.3223133333333</v>
      </c>
      <c r="AZ24">
        <v>11.6410466666667</v>
      </c>
      <c r="BA24">
        <v>299.99993333333299</v>
      </c>
      <c r="BB24">
        <v>0.90001066666666696</v>
      </c>
      <c r="BC24">
        <v>0</v>
      </c>
      <c r="BD24">
        <v>9.99894266666667E-2</v>
      </c>
      <c r="BE24">
        <v>0</v>
      </c>
      <c r="BF24">
        <v>24</v>
      </c>
      <c r="BG24">
        <v>4946.6493333333301</v>
      </c>
      <c r="BH24">
        <v>1770998647.0999999</v>
      </c>
      <c r="BI24" t="s">
        <v>289</v>
      </c>
      <c r="BJ24">
        <v>1770998646.0999999</v>
      </c>
      <c r="BK24">
        <v>1770998647.0999999</v>
      </c>
      <c r="BL24">
        <v>1</v>
      </c>
      <c r="BM24">
        <v>-0.376</v>
      </c>
      <c r="BN24">
        <v>4.2000000000000003E-2</v>
      </c>
      <c r="BO24">
        <v>-1.1910000000000001</v>
      </c>
      <c r="BP24">
        <v>0.09</v>
      </c>
      <c r="BQ24">
        <v>410</v>
      </c>
      <c r="BR24">
        <v>14</v>
      </c>
      <c r="BS24">
        <v>0.41</v>
      </c>
      <c r="BT24">
        <v>0.04</v>
      </c>
      <c r="BU24">
        <v>-0.98929400000000001</v>
      </c>
      <c r="BV24">
        <v>-0.238887428571432</v>
      </c>
      <c r="BW24">
        <v>2.9308384373271601E-2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1.6013333333333299</v>
      </c>
      <c r="CD24">
        <v>-7.2754285714286104E-2</v>
      </c>
      <c r="CE24">
        <v>8.2765574470671805E-3</v>
      </c>
      <c r="CF24">
        <v>1</v>
      </c>
      <c r="CG24">
        <v>2</v>
      </c>
      <c r="CH24">
        <v>2</v>
      </c>
      <c r="CI24" t="s">
        <v>304</v>
      </c>
      <c r="CJ24">
        <v>3.5324900000000001</v>
      </c>
      <c r="CK24">
        <v>2.7026699999999999</v>
      </c>
      <c r="CL24">
        <v>9.8529500000000006E-2</v>
      </c>
      <c r="CM24">
        <v>9.7278400000000001E-2</v>
      </c>
      <c r="CN24">
        <v>8.72333E-2</v>
      </c>
      <c r="CO24">
        <v>7.9533499999999993E-2</v>
      </c>
      <c r="CP24">
        <v>31649.8</v>
      </c>
      <c r="CQ24">
        <v>27762.1</v>
      </c>
      <c r="CR24">
        <v>32489.5</v>
      </c>
      <c r="CS24">
        <v>30675.200000000001</v>
      </c>
      <c r="CT24">
        <v>40128.9</v>
      </c>
      <c r="CU24">
        <v>39684.699999999997</v>
      </c>
      <c r="CV24">
        <v>47421.3</v>
      </c>
      <c r="CW24">
        <v>46750.7</v>
      </c>
      <c r="CX24">
        <v>2.6431200000000001</v>
      </c>
      <c r="CY24">
        <v>2.19754</v>
      </c>
      <c r="CZ24">
        <v>0</v>
      </c>
      <c r="DA24">
        <v>0</v>
      </c>
      <c r="DB24">
        <v>999.9</v>
      </c>
      <c r="DC24">
        <v>999.9</v>
      </c>
      <c r="DD24">
        <v>77.524000000000001</v>
      </c>
      <c r="DE24">
        <v>22.577999999999999</v>
      </c>
      <c r="DF24">
        <v>21.209</v>
      </c>
      <c r="DG24">
        <v>30.44</v>
      </c>
      <c r="DH24">
        <v>15.665100000000001</v>
      </c>
      <c r="DI24">
        <v>2</v>
      </c>
      <c r="DJ24">
        <v>-0.22040599999999999</v>
      </c>
      <c r="DK24">
        <v>1.62442</v>
      </c>
      <c r="DL24">
        <v>20.222999999999999</v>
      </c>
      <c r="DM24">
        <v>5.25143</v>
      </c>
      <c r="DN24">
        <v>12.033899999999999</v>
      </c>
      <c r="DO24">
        <v>4.9673600000000002</v>
      </c>
      <c r="DP24">
        <v>3.2909999999999999</v>
      </c>
      <c r="DQ24">
        <v>9999</v>
      </c>
      <c r="DR24">
        <v>9999</v>
      </c>
      <c r="DS24">
        <v>596.4</v>
      </c>
      <c r="DT24">
        <v>9999</v>
      </c>
      <c r="DU24">
        <v>1.8709</v>
      </c>
      <c r="DV24">
        <v>1.8760399999999999</v>
      </c>
      <c r="DW24">
        <v>1.87622</v>
      </c>
      <c r="DX24">
        <v>1.8827700000000001</v>
      </c>
      <c r="DY24">
        <v>1.87547</v>
      </c>
      <c r="DZ24">
        <v>1.8745400000000001</v>
      </c>
      <c r="EA24">
        <v>1.8707199999999999</v>
      </c>
      <c r="EB24">
        <v>1.8745400000000001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-1.19</v>
      </c>
      <c r="EQ24">
        <v>8.9599999999999999E-2</v>
      </c>
      <c r="ER24">
        <v>-1.1905454545454901</v>
      </c>
      <c r="ES24">
        <v>0</v>
      </c>
      <c r="ET24">
        <v>0</v>
      </c>
      <c r="EU24">
        <v>0</v>
      </c>
      <c r="EV24">
        <v>8.95600000000005E-2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1.8</v>
      </c>
      <c r="FE24">
        <v>1.8</v>
      </c>
      <c r="FF24">
        <v>1.22681</v>
      </c>
      <c r="FG24">
        <v>2.5585900000000001</v>
      </c>
      <c r="FH24">
        <v>2.19604</v>
      </c>
      <c r="FI24">
        <v>2.5854499999999998</v>
      </c>
      <c r="FJ24">
        <v>2.4462899999999999</v>
      </c>
      <c r="FK24">
        <v>2.3278799999999999</v>
      </c>
      <c r="FL24">
        <v>27.9756</v>
      </c>
      <c r="FM24">
        <v>24.1663</v>
      </c>
      <c r="FN24">
        <v>19</v>
      </c>
      <c r="FO24">
        <v>861.38</v>
      </c>
      <c r="FP24">
        <v>612.80999999999995</v>
      </c>
      <c r="FQ24">
        <v>18.467400000000001</v>
      </c>
      <c r="FR24">
        <v>24.197099999999999</v>
      </c>
      <c r="FS24">
        <v>30</v>
      </c>
      <c r="FT24">
        <v>24.100999999999999</v>
      </c>
      <c r="FU24">
        <v>24.0974</v>
      </c>
      <c r="FV24">
        <v>24.614699999999999</v>
      </c>
      <c r="FW24">
        <v>40.584499999999998</v>
      </c>
      <c r="FX24">
        <v>87.915099999999995</v>
      </c>
      <c r="FY24">
        <v>18.4816</v>
      </c>
      <c r="FZ24">
        <v>410</v>
      </c>
      <c r="GA24">
        <v>13.718299999999999</v>
      </c>
      <c r="GB24">
        <v>99.9465</v>
      </c>
      <c r="GC24">
        <v>99.547499999999999</v>
      </c>
    </row>
    <row r="25" spans="1:185" x14ac:dyDescent="0.2">
      <c r="A25">
        <v>10</v>
      </c>
      <c r="B25">
        <v>1770998769.0999999</v>
      </c>
      <c r="C25">
        <v>146</v>
      </c>
      <c r="D25" t="s">
        <v>313</v>
      </c>
      <c r="E25" t="s">
        <v>314</v>
      </c>
      <c r="F25">
        <v>15</v>
      </c>
      <c r="G25">
        <v>1770998761.03333</v>
      </c>
      <c r="H25">
        <f t="shared" si="0"/>
        <v>1.2872788899586022E-3</v>
      </c>
      <c r="I25">
        <v>0</v>
      </c>
      <c r="J25">
        <f t="shared" si="12"/>
        <v>1.4021999583128286E-2</v>
      </c>
      <c r="K25">
        <f t="shared" si="1"/>
        <v>0.25073093978507466</v>
      </c>
      <c r="L25">
        <f t="shared" si="2"/>
        <v>69.672614082271821</v>
      </c>
      <c r="M25">
        <f t="shared" si="3"/>
        <v>1.5353397882702264</v>
      </c>
      <c r="N25">
        <f t="shared" si="4"/>
        <v>2.2036488920269939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26367.353122486711</v>
      </c>
      <c r="T25">
        <f t="shared" si="8"/>
        <v>300.00046666666702</v>
      </c>
      <c r="U25">
        <f t="shared" si="9"/>
        <v>252.90032679989679</v>
      </c>
      <c r="V25">
        <f t="shared" si="10"/>
        <v>0.84299977800000025</v>
      </c>
      <c r="W25">
        <f t="shared" si="11"/>
        <v>0.15869918516000006</v>
      </c>
      <c r="X25">
        <v>1</v>
      </c>
      <c r="Y25">
        <v>1770998761.03333</v>
      </c>
      <c r="Z25">
        <v>409.00540000000001</v>
      </c>
      <c r="AA25">
        <v>409.97693333333302</v>
      </c>
      <c r="AB25">
        <v>15.272553333333301</v>
      </c>
      <c r="AC25">
        <v>13.6880466666667</v>
      </c>
      <c r="AD25">
        <v>410.19586666666697</v>
      </c>
      <c r="AE25">
        <v>15.182980000000001</v>
      </c>
      <c r="AF25">
        <v>800.00853333333305</v>
      </c>
      <c r="AG25">
        <v>100.46453333333299</v>
      </c>
      <c r="AH25">
        <v>6.4812006666666699E-2</v>
      </c>
      <c r="AI25">
        <v>18.988866666666699</v>
      </c>
      <c r="AJ25">
        <v>999.9</v>
      </c>
      <c r="AK25">
        <v>999.9</v>
      </c>
      <c r="AL25">
        <v>0</v>
      </c>
      <c r="AM25">
        <v>0</v>
      </c>
      <c r="AN25">
        <v>5003.6666666666697</v>
      </c>
      <c r="AO25">
        <v>0</v>
      </c>
      <c r="AP25">
        <v>1.86317</v>
      </c>
      <c r="AQ25">
        <v>-0.971446066666667</v>
      </c>
      <c r="AR25">
        <v>415.34866666666699</v>
      </c>
      <c r="AS25">
        <v>415.66653333333301</v>
      </c>
      <c r="AT25">
        <v>1.5844946666666699</v>
      </c>
      <c r="AU25">
        <v>409.97693333333302</v>
      </c>
      <c r="AV25">
        <v>13.6880466666667</v>
      </c>
      <c r="AW25">
        <v>1.534348</v>
      </c>
      <c r="AX25">
        <v>1.3751640000000001</v>
      </c>
      <c r="AY25">
        <v>13.3148</v>
      </c>
      <c r="AZ25">
        <v>11.6464866666667</v>
      </c>
      <c r="BA25">
        <v>300.00046666666702</v>
      </c>
      <c r="BB25">
        <v>0.90001126666666698</v>
      </c>
      <c r="BC25">
        <v>0</v>
      </c>
      <c r="BD25">
        <v>9.9988866666666704E-2</v>
      </c>
      <c r="BE25">
        <v>0</v>
      </c>
      <c r="BF25">
        <v>24</v>
      </c>
      <c r="BG25">
        <v>4946.66</v>
      </c>
      <c r="BH25">
        <v>1770998647.0999999</v>
      </c>
      <c r="BI25" t="s">
        <v>289</v>
      </c>
      <c r="BJ25">
        <v>1770998646.0999999</v>
      </c>
      <c r="BK25">
        <v>1770998647.0999999</v>
      </c>
      <c r="BL25">
        <v>1</v>
      </c>
      <c r="BM25">
        <v>-0.376</v>
      </c>
      <c r="BN25">
        <v>4.2000000000000003E-2</v>
      </c>
      <c r="BO25">
        <v>-1.1910000000000001</v>
      </c>
      <c r="BP25">
        <v>0.09</v>
      </c>
      <c r="BQ25">
        <v>410</v>
      </c>
      <c r="BR25">
        <v>14</v>
      </c>
      <c r="BS25">
        <v>0.41</v>
      </c>
      <c r="BT25">
        <v>0.04</v>
      </c>
      <c r="BU25">
        <v>-0.98133904999999999</v>
      </c>
      <c r="BV25">
        <v>0.11136139849623899</v>
      </c>
      <c r="BW25">
        <v>3.4096296985853203E-2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1.5871440000000001</v>
      </c>
      <c r="CD25">
        <v>-7.4148270676694397E-2</v>
      </c>
      <c r="CE25">
        <v>7.3231594274602496E-3</v>
      </c>
      <c r="CF25">
        <v>1</v>
      </c>
      <c r="CG25">
        <v>2</v>
      </c>
      <c r="CH25">
        <v>2</v>
      </c>
      <c r="CI25" t="s">
        <v>304</v>
      </c>
      <c r="CJ25">
        <v>3.5325000000000002</v>
      </c>
      <c r="CK25">
        <v>2.7025199999999998</v>
      </c>
      <c r="CL25">
        <v>9.8528299999999999E-2</v>
      </c>
      <c r="CM25">
        <v>9.7266900000000003E-2</v>
      </c>
      <c r="CN25">
        <v>8.7173799999999996E-2</v>
      </c>
      <c r="CO25">
        <v>7.9555299999999995E-2</v>
      </c>
      <c r="CP25">
        <v>31649.7</v>
      </c>
      <c r="CQ25">
        <v>27762.799999999999</v>
      </c>
      <c r="CR25">
        <v>32489.4</v>
      </c>
      <c r="CS25">
        <v>30675.599999999999</v>
      </c>
      <c r="CT25">
        <v>40131.4</v>
      </c>
      <c r="CU25">
        <v>39684.300000000003</v>
      </c>
      <c r="CV25">
        <v>47421.1</v>
      </c>
      <c r="CW25">
        <v>46751.4</v>
      </c>
      <c r="CX25">
        <v>2.6430600000000002</v>
      </c>
      <c r="CY25">
        <v>2.1971599999999998</v>
      </c>
      <c r="CZ25">
        <v>0</v>
      </c>
      <c r="DA25">
        <v>0</v>
      </c>
      <c r="DB25">
        <v>999.9</v>
      </c>
      <c r="DC25">
        <v>999.9</v>
      </c>
      <c r="DD25">
        <v>77.5</v>
      </c>
      <c r="DE25">
        <v>22.608000000000001</v>
      </c>
      <c r="DF25">
        <v>21.242999999999999</v>
      </c>
      <c r="DG25">
        <v>30.32</v>
      </c>
      <c r="DH25">
        <v>15.761200000000001</v>
      </c>
      <c r="DI25">
        <v>2</v>
      </c>
      <c r="DJ25">
        <v>-0.219892</v>
      </c>
      <c r="DK25">
        <v>1.55508</v>
      </c>
      <c r="DL25">
        <v>20.2239</v>
      </c>
      <c r="DM25">
        <v>5.2515499999999999</v>
      </c>
      <c r="DN25">
        <v>12.033899999999999</v>
      </c>
      <c r="DO25">
        <v>4.9675200000000004</v>
      </c>
      <c r="DP25">
        <v>3.2909999999999999</v>
      </c>
      <c r="DQ25">
        <v>9999</v>
      </c>
      <c r="DR25">
        <v>9999</v>
      </c>
      <c r="DS25">
        <v>596.4</v>
      </c>
      <c r="DT25">
        <v>9999</v>
      </c>
      <c r="DU25">
        <v>1.87093</v>
      </c>
      <c r="DV25">
        <v>1.8760699999999999</v>
      </c>
      <c r="DW25">
        <v>1.87622</v>
      </c>
      <c r="DX25">
        <v>1.8827700000000001</v>
      </c>
      <c r="DY25">
        <v>1.87547</v>
      </c>
      <c r="DZ25">
        <v>1.8745499999999999</v>
      </c>
      <c r="EA25">
        <v>1.87073</v>
      </c>
      <c r="EB25">
        <v>1.87456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-1.19</v>
      </c>
      <c r="EQ25">
        <v>8.9599999999999999E-2</v>
      </c>
      <c r="ER25">
        <v>-1.1905454545454901</v>
      </c>
      <c r="ES25">
        <v>0</v>
      </c>
      <c r="ET25">
        <v>0</v>
      </c>
      <c r="EU25">
        <v>0</v>
      </c>
      <c r="EV25">
        <v>8.95600000000005E-2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2</v>
      </c>
      <c r="FE25">
        <v>2</v>
      </c>
      <c r="FF25">
        <v>1.22681</v>
      </c>
      <c r="FG25">
        <v>2.5561500000000001</v>
      </c>
      <c r="FH25">
        <v>2.19604</v>
      </c>
      <c r="FI25">
        <v>2.5854499999999998</v>
      </c>
      <c r="FJ25">
        <v>2.4462899999999999</v>
      </c>
      <c r="FK25">
        <v>2.2766099999999998</v>
      </c>
      <c r="FL25">
        <v>27.996500000000001</v>
      </c>
      <c r="FM25">
        <v>24.157499999999999</v>
      </c>
      <c r="FN25">
        <v>19</v>
      </c>
      <c r="FO25">
        <v>861.51099999999997</v>
      </c>
      <c r="FP25">
        <v>612.64800000000002</v>
      </c>
      <c r="FQ25">
        <v>18.493300000000001</v>
      </c>
      <c r="FR25">
        <v>24.203900000000001</v>
      </c>
      <c r="FS25">
        <v>30.0002</v>
      </c>
      <c r="FT25">
        <v>24.112300000000001</v>
      </c>
      <c r="FU25">
        <v>24.109100000000002</v>
      </c>
      <c r="FV25">
        <v>24.619700000000002</v>
      </c>
      <c r="FW25">
        <v>40.584499999999998</v>
      </c>
      <c r="FX25">
        <v>87.537999999999997</v>
      </c>
      <c r="FY25">
        <v>18.505600000000001</v>
      </c>
      <c r="FZ25">
        <v>410</v>
      </c>
      <c r="GA25">
        <v>13.735799999999999</v>
      </c>
      <c r="GB25">
        <v>99.946100000000001</v>
      </c>
      <c r="GC25">
        <v>99.548900000000003</v>
      </c>
    </row>
    <row r="26" spans="1:185" x14ac:dyDescent="0.2">
      <c r="A26">
        <v>11</v>
      </c>
      <c r="B26">
        <v>1770998784.0999999</v>
      </c>
      <c r="C26">
        <v>161</v>
      </c>
      <c r="D26" t="s">
        <v>315</v>
      </c>
      <c r="E26" t="s">
        <v>316</v>
      </c>
      <c r="F26">
        <v>15</v>
      </c>
      <c r="G26">
        <v>1770998776.03333</v>
      </c>
      <c r="H26">
        <f t="shared" si="0"/>
        <v>1.2810850675711478E-3</v>
      </c>
      <c r="I26">
        <v>0</v>
      </c>
      <c r="J26">
        <f t="shared" si="12"/>
        <v>1.4181382402368823E-2</v>
      </c>
      <c r="K26">
        <f t="shared" si="1"/>
        <v>0.25358090450065335</v>
      </c>
      <c r="L26">
        <f t="shared" si="2"/>
        <v>69.66710261299545</v>
      </c>
      <c r="M26">
        <f t="shared" si="3"/>
        <v>1.5350024559343589</v>
      </c>
      <c r="N26">
        <f t="shared" si="4"/>
        <v>2.2033390199408482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26307.187991470375</v>
      </c>
      <c r="T26">
        <f t="shared" si="8"/>
        <v>299.99953333333298</v>
      </c>
      <c r="U26">
        <f t="shared" si="9"/>
        <v>252.89954234009949</v>
      </c>
      <c r="V26">
        <f t="shared" si="10"/>
        <v>0.84299978579999946</v>
      </c>
      <c r="W26">
        <f t="shared" si="11"/>
        <v>0.15869932158799993</v>
      </c>
      <c r="X26">
        <v>1</v>
      </c>
      <c r="Y26">
        <v>1770998776.03333</v>
      </c>
      <c r="Z26">
        <v>409.008466666667</v>
      </c>
      <c r="AA26">
        <v>409.98039999999997</v>
      </c>
      <c r="AB26">
        <v>15.269346666666699</v>
      </c>
      <c r="AC26">
        <v>13.692460000000001</v>
      </c>
      <c r="AD26">
        <v>410.19920000000002</v>
      </c>
      <c r="AE26">
        <v>15.179779999999999</v>
      </c>
      <c r="AF26">
        <v>800.00913333333301</v>
      </c>
      <c r="AG26">
        <v>100.463533333333</v>
      </c>
      <c r="AH26">
        <v>6.48317266666667E-2</v>
      </c>
      <c r="AI26">
        <v>18.986613333333299</v>
      </c>
      <c r="AJ26">
        <v>999.9</v>
      </c>
      <c r="AK26">
        <v>999.9</v>
      </c>
      <c r="AL26">
        <v>0</v>
      </c>
      <c r="AM26">
        <v>0</v>
      </c>
      <c r="AN26">
        <v>4993.8</v>
      </c>
      <c r="AO26">
        <v>0</v>
      </c>
      <c r="AP26">
        <v>1.86317</v>
      </c>
      <c r="AQ26">
        <v>-0.97178946666666699</v>
      </c>
      <c r="AR26">
        <v>415.350666666667</v>
      </c>
      <c r="AS26">
        <v>415.67206666666698</v>
      </c>
      <c r="AT26">
        <v>1.5768759999999999</v>
      </c>
      <c r="AU26">
        <v>409.98039999999997</v>
      </c>
      <c r="AV26">
        <v>13.692460000000001</v>
      </c>
      <c r="AW26">
        <v>1.53401266666667</v>
      </c>
      <c r="AX26">
        <v>1.3755933333333299</v>
      </c>
      <c r="AY26">
        <v>13.311453333333301</v>
      </c>
      <c r="AZ26">
        <v>11.6512333333333</v>
      </c>
      <c r="BA26">
        <v>299.99953333333298</v>
      </c>
      <c r="BB26">
        <v>0.90000926666666603</v>
      </c>
      <c r="BC26">
        <v>0</v>
      </c>
      <c r="BD26">
        <v>9.9990806666666696E-2</v>
      </c>
      <c r="BE26">
        <v>0</v>
      </c>
      <c r="BF26">
        <v>24</v>
      </c>
      <c r="BG26">
        <v>4946.6419999999998</v>
      </c>
      <c r="BH26">
        <v>1770998647.0999999</v>
      </c>
      <c r="BI26" t="s">
        <v>289</v>
      </c>
      <c r="BJ26">
        <v>1770998646.0999999</v>
      </c>
      <c r="BK26">
        <v>1770998647.0999999</v>
      </c>
      <c r="BL26">
        <v>1</v>
      </c>
      <c r="BM26">
        <v>-0.376</v>
      </c>
      <c r="BN26">
        <v>4.2000000000000003E-2</v>
      </c>
      <c r="BO26">
        <v>-1.1910000000000001</v>
      </c>
      <c r="BP26">
        <v>0.09</v>
      </c>
      <c r="BQ26">
        <v>410</v>
      </c>
      <c r="BR26">
        <v>14</v>
      </c>
      <c r="BS26">
        <v>0.41</v>
      </c>
      <c r="BT26">
        <v>0.04</v>
      </c>
      <c r="BU26">
        <v>-0.97479533333333301</v>
      </c>
      <c r="BV26">
        <v>1.0773974025973E-2</v>
      </c>
      <c r="BW26">
        <v>1.7286007491151001E-2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1.5771166666666701</v>
      </c>
      <c r="CD26">
        <v>2.2807792207789101E-3</v>
      </c>
      <c r="CE26">
        <v>2.18743235723083E-3</v>
      </c>
      <c r="CF26">
        <v>1</v>
      </c>
      <c r="CG26">
        <v>2</v>
      </c>
      <c r="CH26">
        <v>2</v>
      </c>
      <c r="CI26" t="s">
        <v>304</v>
      </c>
      <c r="CJ26">
        <v>3.5324900000000001</v>
      </c>
      <c r="CK26">
        <v>2.7028699999999999</v>
      </c>
      <c r="CL26">
        <v>9.8522700000000005E-2</v>
      </c>
      <c r="CM26">
        <v>9.7264699999999996E-2</v>
      </c>
      <c r="CN26">
        <v>8.7189600000000006E-2</v>
      </c>
      <c r="CO26">
        <v>7.9570799999999997E-2</v>
      </c>
      <c r="CP26">
        <v>31649.7</v>
      </c>
      <c r="CQ26">
        <v>27763</v>
      </c>
      <c r="CR26">
        <v>32489.200000000001</v>
      </c>
      <c r="CS26">
        <v>30675.8</v>
      </c>
      <c r="CT26">
        <v>40130.800000000003</v>
      </c>
      <c r="CU26">
        <v>39684.1</v>
      </c>
      <c r="CV26">
        <v>47421.2</v>
      </c>
      <c r="CW26">
        <v>46752</v>
      </c>
      <c r="CX26">
        <v>2.6428799999999999</v>
      </c>
      <c r="CY26">
        <v>2.1968999999999999</v>
      </c>
      <c r="CZ26">
        <v>0</v>
      </c>
      <c r="DA26">
        <v>0</v>
      </c>
      <c r="DB26">
        <v>999.9</v>
      </c>
      <c r="DC26">
        <v>999.9</v>
      </c>
      <c r="DD26">
        <v>77.462999999999994</v>
      </c>
      <c r="DE26">
        <v>22.617999999999999</v>
      </c>
      <c r="DF26">
        <v>21.2425</v>
      </c>
      <c r="DG26">
        <v>30.53</v>
      </c>
      <c r="DH26">
        <v>15.7492</v>
      </c>
      <c r="DI26">
        <v>2</v>
      </c>
      <c r="DJ26">
        <v>-0.219337</v>
      </c>
      <c r="DK26">
        <v>1.52742</v>
      </c>
      <c r="DL26">
        <v>20.2241</v>
      </c>
      <c r="DM26">
        <v>5.2523900000000001</v>
      </c>
      <c r="DN26">
        <v>12.033899999999999</v>
      </c>
      <c r="DO26">
        <v>4.9677600000000002</v>
      </c>
      <c r="DP26">
        <v>3.2909999999999999</v>
      </c>
      <c r="DQ26">
        <v>9999</v>
      </c>
      <c r="DR26">
        <v>9999</v>
      </c>
      <c r="DS26">
        <v>596.4</v>
      </c>
      <c r="DT26">
        <v>9999</v>
      </c>
      <c r="DU26">
        <v>1.8709100000000001</v>
      </c>
      <c r="DV26">
        <v>1.8760699999999999</v>
      </c>
      <c r="DW26">
        <v>1.8762099999999999</v>
      </c>
      <c r="DX26">
        <v>1.88276</v>
      </c>
      <c r="DY26">
        <v>1.87547</v>
      </c>
      <c r="DZ26">
        <v>1.8745400000000001</v>
      </c>
      <c r="EA26">
        <v>1.8707100000000001</v>
      </c>
      <c r="EB26">
        <v>1.8745499999999999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-1.1910000000000001</v>
      </c>
      <c r="EQ26">
        <v>8.9499999999999996E-2</v>
      </c>
      <c r="ER26">
        <v>-1.1905454545454901</v>
      </c>
      <c r="ES26">
        <v>0</v>
      </c>
      <c r="ET26">
        <v>0</v>
      </c>
      <c r="EU26">
        <v>0</v>
      </c>
      <c r="EV26">
        <v>8.95600000000005E-2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2.2999999999999998</v>
      </c>
      <c r="FE26">
        <v>2.2999999999999998</v>
      </c>
      <c r="FF26">
        <v>1.22681</v>
      </c>
      <c r="FG26">
        <v>2.5500500000000001</v>
      </c>
      <c r="FH26">
        <v>2.19604</v>
      </c>
      <c r="FI26">
        <v>2.5854499999999998</v>
      </c>
      <c r="FJ26">
        <v>2.4462899999999999</v>
      </c>
      <c r="FK26">
        <v>2.2863799999999999</v>
      </c>
      <c r="FL26">
        <v>28.017499999999998</v>
      </c>
      <c r="FM26">
        <v>24.1663</v>
      </c>
      <c r="FN26">
        <v>19</v>
      </c>
      <c r="FO26">
        <v>861.53099999999995</v>
      </c>
      <c r="FP26">
        <v>612.57799999999997</v>
      </c>
      <c r="FQ26">
        <v>18.521599999999999</v>
      </c>
      <c r="FR26">
        <v>24.2104</v>
      </c>
      <c r="FS26">
        <v>30.0001</v>
      </c>
      <c r="FT26">
        <v>24.123699999999999</v>
      </c>
      <c r="FU26">
        <v>24.1204</v>
      </c>
      <c r="FV26">
        <v>24.621200000000002</v>
      </c>
      <c r="FW26">
        <v>40.584499999999998</v>
      </c>
      <c r="FX26">
        <v>86.784999999999997</v>
      </c>
      <c r="FY26">
        <v>18.534099999999999</v>
      </c>
      <c r="FZ26">
        <v>410</v>
      </c>
      <c r="GA26">
        <v>13.7453</v>
      </c>
      <c r="GB26">
        <v>99.945999999999998</v>
      </c>
      <c r="GC26">
        <v>99.549899999999994</v>
      </c>
    </row>
    <row r="27" spans="1:185" x14ac:dyDescent="0.2">
      <c r="A27">
        <v>12</v>
      </c>
      <c r="B27">
        <v>1770998799.0999999</v>
      </c>
      <c r="C27">
        <v>176</v>
      </c>
      <c r="D27" t="s">
        <v>317</v>
      </c>
      <c r="E27" t="s">
        <v>318</v>
      </c>
      <c r="F27">
        <v>15</v>
      </c>
      <c r="G27">
        <v>1770998791.03333</v>
      </c>
      <c r="H27">
        <f t="shared" si="0"/>
        <v>1.2812854437489244E-3</v>
      </c>
      <c r="I27">
        <v>0</v>
      </c>
      <c r="J27">
        <f t="shared" si="12"/>
        <v>1.5807284067917218E-2</v>
      </c>
      <c r="K27">
        <f t="shared" si="1"/>
        <v>0.2826540655847245</v>
      </c>
      <c r="L27">
        <f t="shared" si="2"/>
        <v>69.681423923602111</v>
      </c>
      <c r="M27">
        <f t="shared" si="3"/>
        <v>1.5353537753907673</v>
      </c>
      <c r="N27">
        <f t="shared" si="4"/>
        <v>2.2033903570542859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26342.222977712765</v>
      </c>
      <c r="T27">
        <f t="shared" si="8"/>
        <v>300.00093333333302</v>
      </c>
      <c r="U27">
        <f t="shared" si="9"/>
        <v>252.90068257967545</v>
      </c>
      <c r="V27">
        <f t="shared" si="10"/>
        <v>0.84299965259999987</v>
      </c>
      <c r="W27">
        <f t="shared" si="11"/>
        <v>0.15869956023600001</v>
      </c>
      <c r="X27">
        <v>1</v>
      </c>
      <c r="Y27">
        <v>1770998791.03333</v>
      </c>
      <c r="Z27">
        <v>408.984466666667</v>
      </c>
      <c r="AA27">
        <v>409.99279999999999</v>
      </c>
      <c r="AB27">
        <v>15.272733333333299</v>
      </c>
      <c r="AC27">
        <v>13.6956133333333</v>
      </c>
      <c r="AD27">
        <v>410.17526666666703</v>
      </c>
      <c r="AE27">
        <v>15.18318</v>
      </c>
      <c r="AF27">
        <v>800.01313333333303</v>
      </c>
      <c r="AG27">
        <v>100.46406666666699</v>
      </c>
      <c r="AH27">
        <v>6.5009686666666705E-2</v>
      </c>
      <c r="AI27">
        <v>18.986986666666699</v>
      </c>
      <c r="AJ27">
        <v>999.9</v>
      </c>
      <c r="AK27">
        <v>999.9</v>
      </c>
      <c r="AL27">
        <v>0</v>
      </c>
      <c r="AM27">
        <v>0</v>
      </c>
      <c r="AN27">
        <v>4999.5333333333301</v>
      </c>
      <c r="AO27">
        <v>0</v>
      </c>
      <c r="AP27">
        <v>1.8609119999999999</v>
      </c>
      <c r="AQ27">
        <v>-1.0082523999999999</v>
      </c>
      <c r="AR27">
        <v>415.32786666666698</v>
      </c>
      <c r="AS27">
        <v>415.68593333333303</v>
      </c>
      <c r="AT27">
        <v>1.5771153333333301</v>
      </c>
      <c r="AU27">
        <v>409.99279999999999</v>
      </c>
      <c r="AV27">
        <v>13.6956133333333</v>
      </c>
      <c r="AW27">
        <v>1.534362</v>
      </c>
      <c r="AX27">
        <v>1.3759193333333299</v>
      </c>
      <c r="AY27">
        <v>13.314959999999999</v>
      </c>
      <c r="AZ27">
        <v>11.654813333333299</v>
      </c>
      <c r="BA27">
        <v>300.00093333333302</v>
      </c>
      <c r="BB27">
        <v>0.90000519999999995</v>
      </c>
      <c r="BC27">
        <v>0</v>
      </c>
      <c r="BD27">
        <v>9.999458E-2</v>
      </c>
      <c r="BE27">
        <v>0</v>
      </c>
      <c r="BF27">
        <v>24</v>
      </c>
      <c r="BG27">
        <v>4946.6606666666703</v>
      </c>
      <c r="BH27">
        <v>1770998647.0999999</v>
      </c>
      <c r="BI27" t="s">
        <v>289</v>
      </c>
      <c r="BJ27">
        <v>1770998646.0999999</v>
      </c>
      <c r="BK27">
        <v>1770998647.0999999</v>
      </c>
      <c r="BL27">
        <v>1</v>
      </c>
      <c r="BM27">
        <v>-0.376</v>
      </c>
      <c r="BN27">
        <v>4.2000000000000003E-2</v>
      </c>
      <c r="BO27">
        <v>-1.1910000000000001</v>
      </c>
      <c r="BP27">
        <v>0.09</v>
      </c>
      <c r="BQ27">
        <v>410</v>
      </c>
      <c r="BR27">
        <v>14</v>
      </c>
      <c r="BS27">
        <v>0.41</v>
      </c>
      <c r="BT27">
        <v>0.04</v>
      </c>
      <c r="BU27">
        <v>-1.0013416190476201</v>
      </c>
      <c r="BV27">
        <v>-0.20195937662337601</v>
      </c>
      <c r="BW27">
        <v>2.69580156406855E-2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1.5773914285714301</v>
      </c>
      <c r="CD27">
        <v>-3.5096103896099201E-3</v>
      </c>
      <c r="CE27">
        <v>1.48591573725811E-3</v>
      </c>
      <c r="CF27">
        <v>1</v>
      </c>
      <c r="CG27">
        <v>2</v>
      </c>
      <c r="CH27">
        <v>2</v>
      </c>
      <c r="CI27" t="s">
        <v>304</v>
      </c>
      <c r="CJ27">
        <v>3.5325199999999999</v>
      </c>
      <c r="CK27">
        <v>2.70275</v>
      </c>
      <c r="CL27">
        <v>9.8517400000000005E-2</v>
      </c>
      <c r="CM27">
        <v>9.7253400000000004E-2</v>
      </c>
      <c r="CN27">
        <v>8.7218900000000002E-2</v>
      </c>
      <c r="CO27">
        <v>7.9576900000000006E-2</v>
      </c>
      <c r="CP27">
        <v>31650</v>
      </c>
      <c r="CQ27">
        <v>27763.8</v>
      </c>
      <c r="CR27">
        <v>32489.4</v>
      </c>
      <c r="CS27">
        <v>30676.3</v>
      </c>
      <c r="CT27">
        <v>40129.9</v>
      </c>
      <c r="CU27">
        <v>39684.6</v>
      </c>
      <c r="CV27">
        <v>47421.7</v>
      </c>
      <c r="CW27">
        <v>46752.800000000003</v>
      </c>
      <c r="CX27">
        <v>2.6428799999999999</v>
      </c>
      <c r="CY27">
        <v>2.19658</v>
      </c>
      <c r="CZ27">
        <v>0</v>
      </c>
      <c r="DA27">
        <v>0</v>
      </c>
      <c r="DB27">
        <v>999.9</v>
      </c>
      <c r="DC27">
        <v>999.9</v>
      </c>
      <c r="DD27">
        <v>77.414000000000001</v>
      </c>
      <c r="DE27">
        <v>22.648</v>
      </c>
      <c r="DF27">
        <v>21.269200000000001</v>
      </c>
      <c r="DG27">
        <v>30.47</v>
      </c>
      <c r="DH27">
        <v>15.5769</v>
      </c>
      <c r="DI27">
        <v>2</v>
      </c>
      <c r="DJ27">
        <v>-0.21887799999999999</v>
      </c>
      <c r="DK27">
        <v>1.4950000000000001</v>
      </c>
      <c r="DL27">
        <v>20.224399999999999</v>
      </c>
      <c r="DM27">
        <v>5.2527499999999998</v>
      </c>
      <c r="DN27">
        <v>12.033899999999999</v>
      </c>
      <c r="DO27">
        <v>4.9678000000000004</v>
      </c>
      <c r="DP27">
        <v>3.2909999999999999</v>
      </c>
      <c r="DQ27">
        <v>9999</v>
      </c>
      <c r="DR27">
        <v>9999</v>
      </c>
      <c r="DS27">
        <v>596.4</v>
      </c>
      <c r="DT27">
        <v>9999</v>
      </c>
      <c r="DU27">
        <v>1.8709</v>
      </c>
      <c r="DV27">
        <v>1.8760300000000001</v>
      </c>
      <c r="DW27">
        <v>1.87622</v>
      </c>
      <c r="DX27">
        <v>1.8827700000000001</v>
      </c>
      <c r="DY27">
        <v>1.8754599999999999</v>
      </c>
      <c r="DZ27">
        <v>1.8745400000000001</v>
      </c>
      <c r="EA27">
        <v>1.8707100000000001</v>
      </c>
      <c r="EB27">
        <v>1.8745400000000001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-1.19</v>
      </c>
      <c r="EQ27">
        <v>8.9499999999999996E-2</v>
      </c>
      <c r="ER27">
        <v>-1.1905454545454901</v>
      </c>
      <c r="ES27">
        <v>0</v>
      </c>
      <c r="ET27">
        <v>0</v>
      </c>
      <c r="EU27">
        <v>0</v>
      </c>
      <c r="EV27">
        <v>8.95600000000005E-2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2.5</v>
      </c>
      <c r="FE27">
        <v>2.5</v>
      </c>
      <c r="FF27">
        <v>1.22681</v>
      </c>
      <c r="FG27">
        <v>2.5573700000000001</v>
      </c>
      <c r="FH27">
        <v>2.19604</v>
      </c>
      <c r="FI27">
        <v>2.5854499999999998</v>
      </c>
      <c r="FJ27">
        <v>2.4462899999999999</v>
      </c>
      <c r="FK27">
        <v>2.2851599999999999</v>
      </c>
      <c r="FL27">
        <v>28.038399999999999</v>
      </c>
      <c r="FM27">
        <v>24.1663</v>
      </c>
      <c r="FN27">
        <v>19</v>
      </c>
      <c r="FO27">
        <v>861.697</v>
      </c>
      <c r="FP27">
        <v>612.45399999999995</v>
      </c>
      <c r="FQ27">
        <v>18.551100000000002</v>
      </c>
      <c r="FR27">
        <v>24.216999999999999</v>
      </c>
      <c r="FS27">
        <v>30.000299999999999</v>
      </c>
      <c r="FT27">
        <v>24.133800000000001</v>
      </c>
      <c r="FU27">
        <v>24.131399999999999</v>
      </c>
      <c r="FV27">
        <v>24.623200000000001</v>
      </c>
      <c r="FW27">
        <v>40.584499999999998</v>
      </c>
      <c r="FX27">
        <v>86.399799999999999</v>
      </c>
      <c r="FY27">
        <v>18.5609</v>
      </c>
      <c r="FZ27">
        <v>410</v>
      </c>
      <c r="GA27">
        <v>13.7425</v>
      </c>
      <c r="GB27">
        <v>99.946799999999996</v>
      </c>
      <c r="GC27">
        <v>99.551699999999997</v>
      </c>
    </row>
    <row r="28" spans="1:185" x14ac:dyDescent="0.2">
      <c r="A28">
        <v>13</v>
      </c>
      <c r="B28">
        <v>1770998814.0999999</v>
      </c>
      <c r="C28">
        <v>191</v>
      </c>
      <c r="D28" t="s">
        <v>319</v>
      </c>
      <c r="E28" t="s">
        <v>320</v>
      </c>
      <c r="F28">
        <v>15</v>
      </c>
      <c r="G28">
        <v>1770998806.03333</v>
      </c>
      <c r="H28">
        <f t="shared" si="0"/>
        <v>1.2847582514188194E-3</v>
      </c>
      <c r="I28">
        <v>0</v>
      </c>
      <c r="J28">
        <f t="shared" si="12"/>
        <v>1.4954606756138177E-2</v>
      </c>
      <c r="K28">
        <f t="shared" si="1"/>
        <v>0.26740712577073306</v>
      </c>
      <c r="L28">
        <f t="shared" si="2"/>
        <v>69.697235702297021</v>
      </c>
      <c r="M28">
        <f t="shared" si="3"/>
        <v>1.5360280628088587</v>
      </c>
      <c r="N28">
        <f t="shared" si="4"/>
        <v>2.2038579397464333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26337.116921837813</v>
      </c>
      <c r="T28">
        <f t="shared" si="8"/>
        <v>299.99906666666698</v>
      </c>
      <c r="U28">
        <f t="shared" si="9"/>
        <v>252.89914114022426</v>
      </c>
      <c r="V28">
        <f t="shared" si="10"/>
        <v>0.84299975979999942</v>
      </c>
      <c r="W28">
        <f t="shared" si="11"/>
        <v>0.1586995164279999</v>
      </c>
      <c r="X28">
        <v>1</v>
      </c>
      <c r="Y28">
        <v>1770998806.03333</v>
      </c>
      <c r="Z28">
        <v>408.98820000000001</v>
      </c>
      <c r="AA28">
        <v>409.979266666667</v>
      </c>
      <c r="AB28">
        <v>15.2796533333333</v>
      </c>
      <c r="AC28">
        <v>13.6982533333333</v>
      </c>
      <c r="AD28">
        <v>410.17873333333301</v>
      </c>
      <c r="AE28">
        <v>15.1900866666667</v>
      </c>
      <c r="AF28">
        <v>800.00480000000005</v>
      </c>
      <c r="AG28">
        <v>100.4628</v>
      </c>
      <c r="AH28">
        <v>6.4877513333333303E-2</v>
      </c>
      <c r="AI28">
        <v>18.990386666666701</v>
      </c>
      <c r="AJ28">
        <v>999.9</v>
      </c>
      <c r="AK28">
        <v>999.9</v>
      </c>
      <c r="AL28">
        <v>0</v>
      </c>
      <c r="AM28">
        <v>0</v>
      </c>
      <c r="AN28">
        <v>4998.8</v>
      </c>
      <c r="AO28">
        <v>0</v>
      </c>
      <c r="AP28">
        <v>1.8308026666666699</v>
      </c>
      <c r="AQ28">
        <v>-0.99110480000000001</v>
      </c>
      <c r="AR28">
        <v>415.33446666666703</v>
      </c>
      <c r="AS28">
        <v>415.67340000000002</v>
      </c>
      <c r="AT28">
        <v>1.581396</v>
      </c>
      <c r="AU28">
        <v>409.979266666667</v>
      </c>
      <c r="AV28">
        <v>13.6982533333333</v>
      </c>
      <c r="AW28">
        <v>1.5350366666666699</v>
      </c>
      <c r="AX28">
        <v>1.3761653333333299</v>
      </c>
      <c r="AY28">
        <v>13.3216933333333</v>
      </c>
      <c r="AZ28">
        <v>11.6575133333333</v>
      </c>
      <c r="BA28">
        <v>299.99906666666698</v>
      </c>
      <c r="BB28">
        <v>0.90000626666666605</v>
      </c>
      <c r="BC28">
        <v>0</v>
      </c>
      <c r="BD28">
        <v>9.9993673333333297E-2</v>
      </c>
      <c r="BE28">
        <v>0</v>
      </c>
      <c r="BF28">
        <v>24</v>
      </c>
      <c r="BG28">
        <v>4946.634</v>
      </c>
      <c r="BH28">
        <v>1770998647.0999999</v>
      </c>
      <c r="BI28" t="s">
        <v>289</v>
      </c>
      <c r="BJ28">
        <v>1770998646.0999999</v>
      </c>
      <c r="BK28">
        <v>1770998647.0999999</v>
      </c>
      <c r="BL28">
        <v>1</v>
      </c>
      <c r="BM28">
        <v>-0.376</v>
      </c>
      <c r="BN28">
        <v>4.2000000000000003E-2</v>
      </c>
      <c r="BO28">
        <v>-1.1910000000000001</v>
      </c>
      <c r="BP28">
        <v>0.09</v>
      </c>
      <c r="BQ28">
        <v>410</v>
      </c>
      <c r="BR28">
        <v>14</v>
      </c>
      <c r="BS28">
        <v>0.41</v>
      </c>
      <c r="BT28">
        <v>0.04</v>
      </c>
      <c r="BU28">
        <v>-0.99737255000000002</v>
      </c>
      <c r="BV28">
        <v>-4.3303308270671104E-3</v>
      </c>
      <c r="BW28">
        <v>3.1687554481965002E-2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1.5807495</v>
      </c>
      <c r="CD28">
        <v>4.3430075187972997E-3</v>
      </c>
      <c r="CE28">
        <v>3.7464429463158699E-3</v>
      </c>
      <c r="CF28">
        <v>1</v>
      </c>
      <c r="CG28">
        <v>2</v>
      </c>
      <c r="CH28">
        <v>2</v>
      </c>
      <c r="CI28" t="s">
        <v>304</v>
      </c>
      <c r="CJ28">
        <v>3.5324900000000001</v>
      </c>
      <c r="CK28">
        <v>2.7028699999999999</v>
      </c>
      <c r="CL28">
        <v>9.85177E-2</v>
      </c>
      <c r="CM28">
        <v>9.7258999999999998E-2</v>
      </c>
      <c r="CN28">
        <v>8.7183999999999998E-2</v>
      </c>
      <c r="CO28">
        <v>7.9585299999999998E-2</v>
      </c>
      <c r="CP28">
        <v>31649.9</v>
      </c>
      <c r="CQ28">
        <v>27763.4</v>
      </c>
      <c r="CR28">
        <v>32489.3</v>
      </c>
      <c r="CS28">
        <v>30676.1</v>
      </c>
      <c r="CT28">
        <v>40131.199999999997</v>
      </c>
      <c r="CU28">
        <v>39684</v>
      </c>
      <c r="CV28">
        <v>47421.3</v>
      </c>
      <c r="CW28">
        <v>46752.6</v>
      </c>
      <c r="CX28">
        <v>2.6427399999999999</v>
      </c>
      <c r="CY28">
        <v>2.19638</v>
      </c>
      <c r="CZ28">
        <v>0</v>
      </c>
      <c r="DA28">
        <v>0</v>
      </c>
      <c r="DB28">
        <v>999.9</v>
      </c>
      <c r="DC28">
        <v>999.9</v>
      </c>
      <c r="DD28">
        <v>77.364999999999995</v>
      </c>
      <c r="DE28">
        <v>22.658000000000001</v>
      </c>
      <c r="DF28">
        <v>21.2698</v>
      </c>
      <c r="DG28">
        <v>30.5</v>
      </c>
      <c r="DH28">
        <v>15.725199999999999</v>
      </c>
      <c r="DI28">
        <v>2</v>
      </c>
      <c r="DJ28">
        <v>-0.21822800000000001</v>
      </c>
      <c r="DK28">
        <v>1.48268</v>
      </c>
      <c r="DL28">
        <v>20.224499999999999</v>
      </c>
      <c r="DM28">
        <v>5.2522700000000002</v>
      </c>
      <c r="DN28">
        <v>12.033899999999999</v>
      </c>
      <c r="DO28">
        <v>4.9676799999999997</v>
      </c>
      <c r="DP28">
        <v>3.2909999999999999</v>
      </c>
      <c r="DQ28">
        <v>9999</v>
      </c>
      <c r="DR28">
        <v>9999</v>
      </c>
      <c r="DS28">
        <v>596.4</v>
      </c>
      <c r="DT28">
        <v>9999</v>
      </c>
      <c r="DU28">
        <v>1.8708899999999999</v>
      </c>
      <c r="DV28">
        <v>1.8760600000000001</v>
      </c>
      <c r="DW28">
        <v>1.87622</v>
      </c>
      <c r="DX28">
        <v>1.8827499999999999</v>
      </c>
      <c r="DY28">
        <v>1.87547</v>
      </c>
      <c r="DZ28">
        <v>1.8745400000000001</v>
      </c>
      <c r="EA28">
        <v>1.8707199999999999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-1.19</v>
      </c>
      <c r="EQ28">
        <v>8.9599999999999999E-2</v>
      </c>
      <c r="ER28">
        <v>-1.1905454545454901</v>
      </c>
      <c r="ES28">
        <v>0</v>
      </c>
      <c r="ET28">
        <v>0</v>
      </c>
      <c r="EU28">
        <v>0</v>
      </c>
      <c r="EV28">
        <v>8.95600000000005E-2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2.8</v>
      </c>
      <c r="FE28">
        <v>2.8</v>
      </c>
      <c r="FF28">
        <v>1.22681</v>
      </c>
      <c r="FG28">
        <v>2.5549300000000001</v>
      </c>
      <c r="FH28">
        <v>2.19604</v>
      </c>
      <c r="FI28">
        <v>2.5854499999999998</v>
      </c>
      <c r="FJ28">
        <v>2.4462899999999999</v>
      </c>
      <c r="FK28">
        <v>2.2961399999999998</v>
      </c>
      <c r="FL28">
        <v>28.0594</v>
      </c>
      <c r="FM28">
        <v>24.1663</v>
      </c>
      <c r="FN28">
        <v>19</v>
      </c>
      <c r="FO28">
        <v>861.75400000000002</v>
      </c>
      <c r="FP28">
        <v>612.43700000000001</v>
      </c>
      <c r="FQ28">
        <v>18.573799999999999</v>
      </c>
      <c r="FR28">
        <v>24.2239</v>
      </c>
      <c r="FS28">
        <v>30.000399999999999</v>
      </c>
      <c r="FT28">
        <v>24.145199999999999</v>
      </c>
      <c r="FU28">
        <v>24.1431</v>
      </c>
      <c r="FV28">
        <v>24.625</v>
      </c>
      <c r="FW28">
        <v>40.584499999999998</v>
      </c>
      <c r="FX28">
        <v>86.018000000000001</v>
      </c>
      <c r="FY28">
        <v>18.580400000000001</v>
      </c>
      <c r="FZ28">
        <v>410</v>
      </c>
      <c r="GA28">
        <v>13.7638</v>
      </c>
      <c r="GB28">
        <v>99.946299999999994</v>
      </c>
      <c r="GC28">
        <v>99.551199999999994</v>
      </c>
    </row>
    <row r="29" spans="1:185" x14ac:dyDescent="0.2">
      <c r="A29">
        <v>14</v>
      </c>
      <c r="B29">
        <v>1770998829.0999999</v>
      </c>
      <c r="C29">
        <v>206</v>
      </c>
      <c r="D29" t="s">
        <v>321</v>
      </c>
      <c r="E29" t="s">
        <v>322</v>
      </c>
      <c r="F29">
        <v>15</v>
      </c>
      <c r="G29">
        <v>1770998821.03333</v>
      </c>
      <c r="H29">
        <f t="shared" si="0"/>
        <v>1.2746281701771385E-3</v>
      </c>
      <c r="I29">
        <v>0</v>
      </c>
      <c r="J29">
        <f t="shared" si="12"/>
        <v>1.472057525788798E-2</v>
      </c>
      <c r="K29">
        <f t="shared" si="1"/>
        <v>0.26322234904558001</v>
      </c>
      <c r="L29">
        <f t="shared" si="2"/>
        <v>69.627980945282587</v>
      </c>
      <c r="M29">
        <f t="shared" si="3"/>
        <v>1.535001747464297</v>
      </c>
      <c r="N29">
        <f t="shared" si="4"/>
        <v>2.2045759860114051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26346.665377626214</v>
      </c>
      <c r="T29">
        <f t="shared" si="8"/>
        <v>300.00026666666702</v>
      </c>
      <c r="U29">
        <f t="shared" si="9"/>
        <v>252.90014067992536</v>
      </c>
      <c r="V29">
        <f t="shared" si="10"/>
        <v>0.84299971959999942</v>
      </c>
      <c r="W29">
        <f t="shared" si="11"/>
        <v>0.15869953285599989</v>
      </c>
      <c r="X29">
        <v>1</v>
      </c>
      <c r="Y29">
        <v>1770998821.03333</v>
      </c>
      <c r="Z29">
        <v>408.99720000000002</v>
      </c>
      <c r="AA29">
        <v>409.97786666666701</v>
      </c>
      <c r="AB29">
        <v>15.26938</v>
      </c>
      <c r="AC29">
        <v>13.70044</v>
      </c>
      <c r="AD29">
        <v>410.18779999999998</v>
      </c>
      <c r="AE29">
        <v>15.179833333333301</v>
      </c>
      <c r="AF29">
        <v>800.00853333333305</v>
      </c>
      <c r="AG29">
        <v>100.463066666667</v>
      </c>
      <c r="AH29">
        <v>6.503254E-2</v>
      </c>
      <c r="AI29">
        <v>18.995606666666699</v>
      </c>
      <c r="AJ29">
        <v>999.9</v>
      </c>
      <c r="AK29">
        <v>999.9</v>
      </c>
      <c r="AL29">
        <v>0</v>
      </c>
      <c r="AM29">
        <v>0</v>
      </c>
      <c r="AN29">
        <v>5000.4333333333298</v>
      </c>
      <c r="AO29">
        <v>0</v>
      </c>
      <c r="AP29">
        <v>1.85940666666667</v>
      </c>
      <c r="AQ29">
        <v>-0.98070259999999998</v>
      </c>
      <c r="AR29">
        <v>415.33940000000001</v>
      </c>
      <c r="AS29">
        <v>415.67286666666701</v>
      </c>
      <c r="AT29">
        <v>1.5689486666666701</v>
      </c>
      <c r="AU29">
        <v>409.97786666666701</v>
      </c>
      <c r="AV29">
        <v>13.70044</v>
      </c>
      <c r="AW29">
        <v>1.534008</v>
      </c>
      <c r="AX29">
        <v>1.3763873333333301</v>
      </c>
      <c r="AY29">
        <v>13.3114133333333</v>
      </c>
      <c r="AZ29">
        <v>11.6599533333333</v>
      </c>
      <c r="BA29">
        <v>300.00026666666702</v>
      </c>
      <c r="BB29">
        <v>0.90000586666666604</v>
      </c>
      <c r="BC29">
        <v>0</v>
      </c>
      <c r="BD29">
        <v>9.9994013333333298E-2</v>
      </c>
      <c r="BE29">
        <v>0</v>
      </c>
      <c r="BF29">
        <v>24</v>
      </c>
      <c r="BG29">
        <v>4946.6486666666697</v>
      </c>
      <c r="BH29">
        <v>1770998647.0999999</v>
      </c>
      <c r="BI29" t="s">
        <v>289</v>
      </c>
      <c r="BJ29">
        <v>1770998646.0999999</v>
      </c>
      <c r="BK29">
        <v>1770998647.0999999</v>
      </c>
      <c r="BL29">
        <v>1</v>
      </c>
      <c r="BM29">
        <v>-0.376</v>
      </c>
      <c r="BN29">
        <v>4.2000000000000003E-2</v>
      </c>
      <c r="BO29">
        <v>-1.1910000000000001</v>
      </c>
      <c r="BP29">
        <v>0.09</v>
      </c>
      <c r="BQ29">
        <v>410</v>
      </c>
      <c r="BR29">
        <v>14</v>
      </c>
      <c r="BS29">
        <v>0.41</v>
      </c>
      <c r="BT29">
        <v>0.04</v>
      </c>
      <c r="BU29">
        <v>-0.98829619999999996</v>
      </c>
      <c r="BV29">
        <v>0.18278183458646599</v>
      </c>
      <c r="BW29">
        <v>2.1489444314825801E-2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1.5707120000000001</v>
      </c>
      <c r="CD29">
        <v>-2.6473984962404901E-2</v>
      </c>
      <c r="CE29">
        <v>3.6491020813345198E-3</v>
      </c>
      <c r="CF29">
        <v>1</v>
      </c>
      <c r="CG29">
        <v>2</v>
      </c>
      <c r="CH29">
        <v>2</v>
      </c>
      <c r="CI29" t="s">
        <v>304</v>
      </c>
      <c r="CJ29">
        <v>3.5325700000000002</v>
      </c>
      <c r="CK29">
        <v>2.70289</v>
      </c>
      <c r="CL29">
        <v>9.8515500000000006E-2</v>
      </c>
      <c r="CM29">
        <v>9.7253000000000006E-2</v>
      </c>
      <c r="CN29">
        <v>8.7176000000000003E-2</v>
      </c>
      <c r="CO29">
        <v>7.9608399999999996E-2</v>
      </c>
      <c r="CP29">
        <v>31649.599999999999</v>
      </c>
      <c r="CQ29">
        <v>27764.1</v>
      </c>
      <c r="CR29">
        <v>32488.9</v>
      </c>
      <c r="CS29">
        <v>30676.7</v>
      </c>
      <c r="CT29">
        <v>40131.5</v>
      </c>
      <c r="CU29">
        <v>39683.699999999997</v>
      </c>
      <c r="CV29">
        <v>47421.2</v>
      </c>
      <c r="CW29">
        <v>46753.4</v>
      </c>
      <c r="CX29">
        <v>2.6427999999999998</v>
      </c>
      <c r="CY29">
        <v>2.1959599999999999</v>
      </c>
      <c r="CZ29">
        <v>0</v>
      </c>
      <c r="DA29">
        <v>0</v>
      </c>
      <c r="DB29">
        <v>999.9</v>
      </c>
      <c r="DC29">
        <v>999.9</v>
      </c>
      <c r="DD29">
        <v>77.340999999999994</v>
      </c>
      <c r="DE29">
        <v>22.687999999999999</v>
      </c>
      <c r="DF29">
        <v>21.302299999999999</v>
      </c>
      <c r="DG29">
        <v>30.35</v>
      </c>
      <c r="DH29">
        <v>15.7492</v>
      </c>
      <c r="DI29">
        <v>2</v>
      </c>
      <c r="DJ29">
        <v>-0.21779699999999999</v>
      </c>
      <c r="DK29">
        <v>1.4955799999999999</v>
      </c>
      <c r="DL29">
        <v>20.224499999999999</v>
      </c>
      <c r="DM29">
        <v>5.2527499999999998</v>
      </c>
      <c r="DN29">
        <v>12.033899999999999</v>
      </c>
      <c r="DO29">
        <v>4.9676799999999997</v>
      </c>
      <c r="DP29">
        <v>3.2909999999999999</v>
      </c>
      <c r="DQ29">
        <v>9999</v>
      </c>
      <c r="DR29">
        <v>9999</v>
      </c>
      <c r="DS29">
        <v>596.4</v>
      </c>
      <c r="DT29">
        <v>9999</v>
      </c>
      <c r="DU29">
        <v>1.8709100000000001</v>
      </c>
      <c r="DV29">
        <v>1.8760300000000001</v>
      </c>
      <c r="DW29">
        <v>1.87622</v>
      </c>
      <c r="DX29">
        <v>1.8827700000000001</v>
      </c>
      <c r="DY29">
        <v>1.87547</v>
      </c>
      <c r="DZ29">
        <v>1.8745400000000001</v>
      </c>
      <c r="EA29">
        <v>1.8707199999999999</v>
      </c>
      <c r="EB29">
        <v>1.8745400000000001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-1.1910000000000001</v>
      </c>
      <c r="EQ29">
        <v>8.9599999999999999E-2</v>
      </c>
      <c r="ER29">
        <v>-1.1905454545454901</v>
      </c>
      <c r="ES29">
        <v>0</v>
      </c>
      <c r="ET29">
        <v>0</v>
      </c>
      <c r="EU29">
        <v>0</v>
      </c>
      <c r="EV29">
        <v>8.95600000000005E-2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3</v>
      </c>
      <c r="FE29">
        <v>3</v>
      </c>
      <c r="FF29">
        <v>1.22681</v>
      </c>
      <c r="FG29">
        <v>2.5573700000000001</v>
      </c>
      <c r="FH29">
        <v>2.19604</v>
      </c>
      <c r="FI29">
        <v>2.5854499999999998</v>
      </c>
      <c r="FJ29">
        <v>2.4462899999999999</v>
      </c>
      <c r="FK29">
        <v>2.2277800000000001</v>
      </c>
      <c r="FL29">
        <v>28.101299999999998</v>
      </c>
      <c r="FM29">
        <v>24.157499999999999</v>
      </c>
      <c r="FN29">
        <v>19</v>
      </c>
      <c r="FO29">
        <v>861.98199999999997</v>
      </c>
      <c r="FP29">
        <v>612.22900000000004</v>
      </c>
      <c r="FQ29">
        <v>18.587499999999999</v>
      </c>
      <c r="FR29">
        <v>24.230799999999999</v>
      </c>
      <c r="FS29">
        <v>30.000299999999999</v>
      </c>
      <c r="FT29">
        <v>24.1556</v>
      </c>
      <c r="FU29">
        <v>24.153600000000001</v>
      </c>
      <c r="FV29">
        <v>24.626000000000001</v>
      </c>
      <c r="FW29">
        <v>40.313800000000001</v>
      </c>
      <c r="FX29">
        <v>85.259100000000004</v>
      </c>
      <c r="FY29">
        <v>18.588999999999999</v>
      </c>
      <c r="FZ29">
        <v>410</v>
      </c>
      <c r="GA29">
        <v>13.7743</v>
      </c>
      <c r="GB29">
        <v>99.945700000000002</v>
      </c>
      <c r="GC29">
        <v>99.552999999999997</v>
      </c>
    </row>
    <row r="30" spans="1:185" x14ac:dyDescent="0.2">
      <c r="A30">
        <v>15</v>
      </c>
      <c r="B30">
        <v>1770998844.0999999</v>
      </c>
      <c r="C30">
        <v>221</v>
      </c>
      <c r="D30" t="s">
        <v>323</v>
      </c>
      <c r="E30" t="s">
        <v>324</v>
      </c>
      <c r="F30">
        <v>15</v>
      </c>
      <c r="G30">
        <v>1770998836.03333</v>
      </c>
      <c r="H30">
        <f t="shared" si="0"/>
        <v>1.2575690279852767E-3</v>
      </c>
      <c r="I30">
        <v>0</v>
      </c>
      <c r="J30">
        <f t="shared" si="12"/>
        <v>1.6585763104779189E-2</v>
      </c>
      <c r="K30">
        <f t="shared" si="1"/>
        <v>0.29657424717924113</v>
      </c>
      <c r="L30">
        <f t="shared" si="2"/>
        <v>69.67483116188788</v>
      </c>
      <c r="M30">
        <f t="shared" si="3"/>
        <v>1.5363848254630736</v>
      </c>
      <c r="N30">
        <f t="shared" si="4"/>
        <v>2.2050786486921203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26345.471129885689</v>
      </c>
      <c r="T30">
        <f t="shared" si="8"/>
        <v>300.000333333333</v>
      </c>
      <c r="U30">
        <f t="shared" si="9"/>
        <v>252.90026077997723</v>
      </c>
      <c r="V30">
        <f t="shared" si="10"/>
        <v>0.84299993259999995</v>
      </c>
      <c r="W30">
        <f t="shared" si="11"/>
        <v>0.158699740556</v>
      </c>
      <c r="X30">
        <v>1</v>
      </c>
      <c r="Y30">
        <v>1770998836.03333</v>
      </c>
      <c r="Z30">
        <v>408.97239999999999</v>
      </c>
      <c r="AA30">
        <v>409.98599999999999</v>
      </c>
      <c r="AB30">
        <v>15.2831733333333</v>
      </c>
      <c r="AC30">
        <v>13.735246666666701</v>
      </c>
      <c r="AD30">
        <v>410.16286666666701</v>
      </c>
      <c r="AE30">
        <v>15.1936</v>
      </c>
      <c r="AF30">
        <v>800.00519999999995</v>
      </c>
      <c r="AG30">
        <v>100.462866666667</v>
      </c>
      <c r="AH30">
        <v>6.5000939999999993E-2</v>
      </c>
      <c r="AI30">
        <v>18.99926</v>
      </c>
      <c r="AJ30">
        <v>999.9</v>
      </c>
      <c r="AK30">
        <v>999.9</v>
      </c>
      <c r="AL30">
        <v>0</v>
      </c>
      <c r="AM30">
        <v>0</v>
      </c>
      <c r="AN30">
        <v>5000.3</v>
      </c>
      <c r="AO30">
        <v>0</v>
      </c>
      <c r="AP30">
        <v>1.86317</v>
      </c>
      <c r="AQ30">
        <v>-1.01374733333333</v>
      </c>
      <c r="AR30">
        <v>415.31973333333298</v>
      </c>
      <c r="AS30">
        <v>415.69580000000002</v>
      </c>
      <c r="AT30">
        <v>1.54792333333333</v>
      </c>
      <c r="AU30">
        <v>409.98599999999999</v>
      </c>
      <c r="AV30">
        <v>13.735246666666701</v>
      </c>
      <c r="AW30">
        <v>1.5353920000000001</v>
      </c>
      <c r="AX30">
        <v>1.3798820000000001</v>
      </c>
      <c r="AY30">
        <v>13.32522</v>
      </c>
      <c r="AZ30">
        <v>11.69834</v>
      </c>
      <c r="BA30">
        <v>300.000333333333</v>
      </c>
      <c r="BB30">
        <v>0.90000360000000001</v>
      </c>
      <c r="BC30">
        <v>0</v>
      </c>
      <c r="BD30">
        <v>9.9996446666666697E-2</v>
      </c>
      <c r="BE30">
        <v>0</v>
      </c>
      <c r="BF30">
        <v>24</v>
      </c>
      <c r="BG30">
        <v>4946.6393333333299</v>
      </c>
      <c r="BH30">
        <v>1770998647.0999999</v>
      </c>
      <c r="BI30" t="s">
        <v>289</v>
      </c>
      <c r="BJ30">
        <v>1770998646.0999999</v>
      </c>
      <c r="BK30">
        <v>1770998647.0999999</v>
      </c>
      <c r="BL30">
        <v>1</v>
      </c>
      <c r="BM30">
        <v>-0.376</v>
      </c>
      <c r="BN30">
        <v>4.2000000000000003E-2</v>
      </c>
      <c r="BO30">
        <v>-1.1910000000000001</v>
      </c>
      <c r="BP30">
        <v>0.09</v>
      </c>
      <c r="BQ30">
        <v>410</v>
      </c>
      <c r="BR30">
        <v>14</v>
      </c>
      <c r="BS30">
        <v>0.41</v>
      </c>
      <c r="BT30">
        <v>0.04</v>
      </c>
      <c r="BU30">
        <v>-1.0029487142857101</v>
      </c>
      <c r="BV30">
        <v>-0.18267436363636499</v>
      </c>
      <c r="BW30">
        <v>2.7298314275781201E-2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1.5537700000000001</v>
      </c>
      <c r="CD30">
        <v>-9.5953246753245194E-2</v>
      </c>
      <c r="CE30">
        <v>1.12997050108989E-2</v>
      </c>
      <c r="CF30">
        <v>1</v>
      </c>
      <c r="CG30">
        <v>2</v>
      </c>
      <c r="CH30">
        <v>2</v>
      </c>
      <c r="CI30" t="s">
        <v>304</v>
      </c>
      <c r="CJ30">
        <v>3.5324599999999999</v>
      </c>
      <c r="CK30">
        <v>2.7026400000000002</v>
      </c>
      <c r="CL30">
        <v>9.8506899999999994E-2</v>
      </c>
      <c r="CM30">
        <v>9.7252199999999997E-2</v>
      </c>
      <c r="CN30">
        <v>8.7256899999999998E-2</v>
      </c>
      <c r="CO30">
        <v>7.9778100000000005E-2</v>
      </c>
      <c r="CP30">
        <v>31650</v>
      </c>
      <c r="CQ30">
        <v>27763.8</v>
      </c>
      <c r="CR30">
        <v>32489.1</v>
      </c>
      <c r="CS30">
        <v>30676.400000000001</v>
      </c>
      <c r="CT30">
        <v>40128</v>
      </c>
      <c r="CU30">
        <v>39676.199999999997</v>
      </c>
      <c r="CV30">
        <v>47421.4</v>
      </c>
      <c r="CW30">
        <v>46753.5</v>
      </c>
      <c r="CX30">
        <v>2.6424599999999998</v>
      </c>
      <c r="CY30">
        <v>2.1957599999999999</v>
      </c>
      <c r="CZ30">
        <v>0</v>
      </c>
      <c r="DA30">
        <v>0</v>
      </c>
      <c r="DB30">
        <v>999.9</v>
      </c>
      <c r="DC30">
        <v>999.9</v>
      </c>
      <c r="DD30">
        <v>77.298000000000002</v>
      </c>
      <c r="DE30">
        <v>22.698</v>
      </c>
      <c r="DF30">
        <v>21.301100000000002</v>
      </c>
      <c r="DG30">
        <v>30.41</v>
      </c>
      <c r="DH30">
        <v>15.7492</v>
      </c>
      <c r="DI30">
        <v>2</v>
      </c>
      <c r="DJ30">
        <v>-0.21714800000000001</v>
      </c>
      <c r="DK30">
        <v>1.50787</v>
      </c>
      <c r="DL30">
        <v>20.2242</v>
      </c>
      <c r="DM30">
        <v>5.2528699999999997</v>
      </c>
      <c r="DN30">
        <v>12.033899999999999</v>
      </c>
      <c r="DO30">
        <v>4.9676400000000003</v>
      </c>
      <c r="DP30">
        <v>3.2909999999999999</v>
      </c>
      <c r="DQ30">
        <v>9999</v>
      </c>
      <c r="DR30">
        <v>9999</v>
      </c>
      <c r="DS30">
        <v>596.4</v>
      </c>
      <c r="DT30">
        <v>9999</v>
      </c>
      <c r="DU30">
        <v>1.8709100000000001</v>
      </c>
      <c r="DV30">
        <v>1.87605</v>
      </c>
      <c r="DW30">
        <v>1.87622</v>
      </c>
      <c r="DX30">
        <v>1.8827499999999999</v>
      </c>
      <c r="DY30">
        <v>1.87547</v>
      </c>
      <c r="DZ30">
        <v>1.8745400000000001</v>
      </c>
      <c r="EA30">
        <v>1.8707</v>
      </c>
      <c r="EB30">
        <v>1.8745499999999999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-1.1910000000000001</v>
      </c>
      <c r="EQ30">
        <v>8.9499999999999996E-2</v>
      </c>
      <c r="ER30">
        <v>-1.1905454545454901</v>
      </c>
      <c r="ES30">
        <v>0</v>
      </c>
      <c r="ET30">
        <v>0</v>
      </c>
      <c r="EU30">
        <v>0</v>
      </c>
      <c r="EV30">
        <v>8.95600000000005E-2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3.3</v>
      </c>
      <c r="FE30">
        <v>3.3</v>
      </c>
      <c r="FF30">
        <v>1.22681</v>
      </c>
      <c r="FG30">
        <v>2.5561500000000001</v>
      </c>
      <c r="FH30">
        <v>2.19604</v>
      </c>
      <c r="FI30">
        <v>2.5854499999999998</v>
      </c>
      <c r="FJ30">
        <v>2.4462899999999999</v>
      </c>
      <c r="FK30">
        <v>2.2595200000000002</v>
      </c>
      <c r="FL30">
        <v>28.122299999999999</v>
      </c>
      <c r="FM30">
        <v>24.1663</v>
      </c>
      <c r="FN30">
        <v>19</v>
      </c>
      <c r="FO30">
        <v>861.83399999999995</v>
      </c>
      <c r="FP30">
        <v>612.197</v>
      </c>
      <c r="FQ30">
        <v>18.591699999999999</v>
      </c>
      <c r="FR30">
        <v>24.237300000000001</v>
      </c>
      <c r="FS30">
        <v>30.000299999999999</v>
      </c>
      <c r="FT30">
        <v>24.165800000000001</v>
      </c>
      <c r="FU30">
        <v>24.164100000000001</v>
      </c>
      <c r="FV30">
        <v>24.6294</v>
      </c>
      <c r="FW30">
        <v>40.313800000000001</v>
      </c>
      <c r="FX30">
        <v>84.874600000000001</v>
      </c>
      <c r="FY30">
        <v>18.534199999999998</v>
      </c>
      <c r="FZ30">
        <v>410</v>
      </c>
      <c r="GA30">
        <v>13.761100000000001</v>
      </c>
      <c r="GB30">
        <v>99.946200000000005</v>
      </c>
      <c r="GC30">
        <v>99.552700000000002</v>
      </c>
    </row>
    <row r="31" spans="1:185" x14ac:dyDescent="0.2">
      <c r="A31">
        <v>16</v>
      </c>
      <c r="B31">
        <v>1770998859.0999999</v>
      </c>
      <c r="C31">
        <v>236</v>
      </c>
      <c r="D31" t="s">
        <v>325</v>
      </c>
      <c r="E31" t="s">
        <v>326</v>
      </c>
      <c r="F31">
        <v>15</v>
      </c>
      <c r="G31">
        <v>1770998851.03333</v>
      </c>
      <c r="H31">
        <f t="shared" si="0"/>
        <v>1.2549591024218702E-3</v>
      </c>
      <c r="I31">
        <v>0</v>
      </c>
      <c r="J31">
        <f t="shared" si="12"/>
        <v>1.5517431624653029E-2</v>
      </c>
      <c r="K31">
        <f t="shared" si="1"/>
        <v>0.27747114034872072</v>
      </c>
      <c r="L31">
        <f t="shared" si="2"/>
        <v>69.694452290146842</v>
      </c>
      <c r="M31">
        <f t="shared" si="3"/>
        <v>1.5371256798712916</v>
      </c>
      <c r="N31">
        <f t="shared" si="4"/>
        <v>2.2055208547619292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26360.419136109889</v>
      </c>
      <c r="T31">
        <f t="shared" si="8"/>
        <v>300.00060000000002</v>
      </c>
      <c r="U31">
        <f t="shared" si="9"/>
        <v>252.90051564001976</v>
      </c>
      <c r="V31">
        <f t="shared" si="10"/>
        <v>0.84300003280000024</v>
      </c>
      <c r="W31">
        <f t="shared" si="11"/>
        <v>0.15870000404800005</v>
      </c>
      <c r="X31">
        <v>1</v>
      </c>
      <c r="Y31">
        <v>1770998851.03333</v>
      </c>
      <c r="Z31">
        <v>408.98433333333298</v>
      </c>
      <c r="AA31">
        <v>409.972733333333</v>
      </c>
      <c r="AB31">
        <v>15.2906933333333</v>
      </c>
      <c r="AC31">
        <v>13.746</v>
      </c>
      <c r="AD31">
        <v>410.174933333333</v>
      </c>
      <c r="AE31">
        <v>15.201126666666701</v>
      </c>
      <c r="AF31">
        <v>800.00986666666699</v>
      </c>
      <c r="AG31">
        <v>100.462133333333</v>
      </c>
      <c r="AH31">
        <v>6.4745753333333295E-2</v>
      </c>
      <c r="AI31">
        <v>19.002473333333299</v>
      </c>
      <c r="AJ31">
        <v>999.9</v>
      </c>
      <c r="AK31">
        <v>999.9</v>
      </c>
      <c r="AL31">
        <v>0</v>
      </c>
      <c r="AM31">
        <v>0</v>
      </c>
      <c r="AN31">
        <v>5002.8333333333303</v>
      </c>
      <c r="AO31">
        <v>0</v>
      </c>
      <c r="AP31">
        <v>1.86317</v>
      </c>
      <c r="AQ31">
        <v>-0.98840946666666696</v>
      </c>
      <c r="AR31">
        <v>415.335266666667</v>
      </c>
      <c r="AS31">
        <v>415.686733333333</v>
      </c>
      <c r="AT31">
        <v>1.54467333333333</v>
      </c>
      <c r="AU31">
        <v>409.972733333333</v>
      </c>
      <c r="AV31">
        <v>13.746</v>
      </c>
      <c r="AW31">
        <v>1.5361359999999999</v>
      </c>
      <c r="AX31">
        <v>1.38095533333333</v>
      </c>
      <c r="AY31">
        <v>13.332660000000001</v>
      </c>
      <c r="AZ31">
        <v>11.7101066666667</v>
      </c>
      <c r="BA31">
        <v>300.00060000000002</v>
      </c>
      <c r="BB31">
        <v>0.90000006666666699</v>
      </c>
      <c r="BC31">
        <v>0</v>
      </c>
      <c r="BD31">
        <v>9.9999973333333395E-2</v>
      </c>
      <c r="BE31">
        <v>0</v>
      </c>
      <c r="BF31">
        <v>24</v>
      </c>
      <c r="BG31">
        <v>4946.6440000000002</v>
      </c>
      <c r="BH31">
        <v>1770998647.0999999</v>
      </c>
      <c r="BI31" t="s">
        <v>289</v>
      </c>
      <c r="BJ31">
        <v>1770998646.0999999</v>
      </c>
      <c r="BK31">
        <v>1770998647.0999999</v>
      </c>
      <c r="BL31">
        <v>1</v>
      </c>
      <c r="BM31">
        <v>-0.376</v>
      </c>
      <c r="BN31">
        <v>4.2000000000000003E-2</v>
      </c>
      <c r="BO31">
        <v>-1.1910000000000001</v>
      </c>
      <c r="BP31">
        <v>0.09</v>
      </c>
      <c r="BQ31">
        <v>410</v>
      </c>
      <c r="BR31">
        <v>14</v>
      </c>
      <c r="BS31">
        <v>0.41</v>
      </c>
      <c r="BT31">
        <v>0.04</v>
      </c>
      <c r="BU31">
        <v>-0.99688259999999995</v>
      </c>
      <c r="BV31">
        <v>0.130823278195487</v>
      </c>
      <c r="BW31">
        <v>2.2347038708518001E-2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1.5449255</v>
      </c>
      <c r="CD31">
        <v>-6.6897744360940497E-3</v>
      </c>
      <c r="CE31">
        <v>1.2796307084467699E-3</v>
      </c>
      <c r="CF31">
        <v>1</v>
      </c>
      <c r="CG31">
        <v>2</v>
      </c>
      <c r="CH31">
        <v>2</v>
      </c>
      <c r="CI31" t="s">
        <v>304</v>
      </c>
      <c r="CJ31">
        <v>3.5324800000000001</v>
      </c>
      <c r="CK31">
        <v>2.7028300000000001</v>
      </c>
      <c r="CL31">
        <v>9.8511399999999999E-2</v>
      </c>
      <c r="CM31">
        <v>9.7251299999999999E-2</v>
      </c>
      <c r="CN31">
        <v>8.7243399999999999E-2</v>
      </c>
      <c r="CO31">
        <v>7.9786599999999999E-2</v>
      </c>
      <c r="CP31">
        <v>31649.8</v>
      </c>
      <c r="CQ31">
        <v>27764.1</v>
      </c>
      <c r="CR31">
        <v>32489.1</v>
      </c>
      <c r="CS31">
        <v>30676.7</v>
      </c>
      <c r="CT31">
        <v>40128.6</v>
      </c>
      <c r="CU31">
        <v>39676.300000000003</v>
      </c>
      <c r="CV31">
        <v>47421.4</v>
      </c>
      <c r="CW31">
        <v>46754.1</v>
      </c>
      <c r="CX31">
        <v>2.64228</v>
      </c>
      <c r="CY31">
        <v>2.1954600000000002</v>
      </c>
      <c r="CZ31">
        <v>0</v>
      </c>
      <c r="DA31">
        <v>0</v>
      </c>
      <c r="DB31">
        <v>999.9</v>
      </c>
      <c r="DC31">
        <v>999.9</v>
      </c>
      <c r="DD31">
        <v>77.248999999999995</v>
      </c>
      <c r="DE31">
        <v>22.719000000000001</v>
      </c>
      <c r="DF31">
        <v>21.316500000000001</v>
      </c>
      <c r="DG31">
        <v>30.17</v>
      </c>
      <c r="DH31">
        <v>15.653</v>
      </c>
      <c r="DI31">
        <v>2</v>
      </c>
      <c r="DJ31">
        <v>-0.21637400000000001</v>
      </c>
      <c r="DK31">
        <v>1.60839</v>
      </c>
      <c r="DL31">
        <v>20.223099999999999</v>
      </c>
      <c r="DM31">
        <v>5.2526299999999999</v>
      </c>
      <c r="DN31">
        <v>12.033899999999999</v>
      </c>
      <c r="DO31">
        <v>4.9677199999999999</v>
      </c>
      <c r="DP31">
        <v>3.2909999999999999</v>
      </c>
      <c r="DQ31">
        <v>9999</v>
      </c>
      <c r="DR31">
        <v>9999</v>
      </c>
      <c r="DS31">
        <v>596.4</v>
      </c>
      <c r="DT31">
        <v>9999</v>
      </c>
      <c r="DU31">
        <v>1.8709</v>
      </c>
      <c r="DV31">
        <v>1.8760300000000001</v>
      </c>
      <c r="DW31">
        <v>1.87622</v>
      </c>
      <c r="DX31">
        <v>1.8827400000000001</v>
      </c>
      <c r="DY31">
        <v>1.87547</v>
      </c>
      <c r="DZ31">
        <v>1.8745400000000001</v>
      </c>
      <c r="EA31">
        <v>1.87069</v>
      </c>
      <c r="EB31">
        <v>1.87456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-1.1910000000000001</v>
      </c>
      <c r="EQ31">
        <v>8.9499999999999996E-2</v>
      </c>
      <c r="ER31">
        <v>-1.1905454545454901</v>
      </c>
      <c r="ES31">
        <v>0</v>
      </c>
      <c r="ET31">
        <v>0</v>
      </c>
      <c r="EU31">
        <v>0</v>
      </c>
      <c r="EV31">
        <v>8.95600000000005E-2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3.5</v>
      </c>
      <c r="FE31">
        <v>3.5</v>
      </c>
      <c r="FF31">
        <v>1.22803</v>
      </c>
      <c r="FG31">
        <v>2.5598100000000001</v>
      </c>
      <c r="FH31">
        <v>2.19604</v>
      </c>
      <c r="FI31">
        <v>2.5854499999999998</v>
      </c>
      <c r="FJ31">
        <v>2.4462899999999999</v>
      </c>
      <c r="FK31">
        <v>2.3107899999999999</v>
      </c>
      <c r="FL31">
        <v>28.1432</v>
      </c>
      <c r="FM31">
        <v>24.14</v>
      </c>
      <c r="FN31">
        <v>19</v>
      </c>
      <c r="FO31">
        <v>861.83500000000004</v>
      </c>
      <c r="FP31">
        <v>612.07399999999996</v>
      </c>
      <c r="FQ31">
        <v>18.5243</v>
      </c>
      <c r="FR31">
        <v>24.2438</v>
      </c>
      <c r="FS31">
        <v>30.0002</v>
      </c>
      <c r="FT31">
        <v>24.175899999999999</v>
      </c>
      <c r="FU31">
        <v>24.1738</v>
      </c>
      <c r="FV31">
        <v>24.631799999999998</v>
      </c>
      <c r="FW31">
        <v>40.313800000000001</v>
      </c>
      <c r="FX31">
        <v>84.102400000000003</v>
      </c>
      <c r="FY31">
        <v>18.526599999999998</v>
      </c>
      <c r="FZ31">
        <v>410</v>
      </c>
      <c r="GA31">
        <v>13.7667</v>
      </c>
      <c r="GB31">
        <v>99.945999999999998</v>
      </c>
      <c r="GC31">
        <v>99.553799999999995</v>
      </c>
    </row>
    <row r="32" spans="1:185" x14ac:dyDescent="0.2">
      <c r="A32">
        <v>17</v>
      </c>
      <c r="B32">
        <v>1770998874.0999999</v>
      </c>
      <c r="C32">
        <v>251</v>
      </c>
      <c r="D32" t="s">
        <v>327</v>
      </c>
      <c r="E32" t="s">
        <v>328</v>
      </c>
      <c r="F32">
        <v>15</v>
      </c>
      <c r="G32">
        <v>1770998866.03333</v>
      </c>
      <c r="H32">
        <f t="shared" si="0"/>
        <v>1.2472922566513309E-3</v>
      </c>
      <c r="I32">
        <v>0</v>
      </c>
      <c r="J32">
        <f t="shared" si="12"/>
        <v>1.5508840941116844E-2</v>
      </c>
      <c r="K32">
        <f t="shared" si="1"/>
        <v>0.27731752815213961</v>
      </c>
      <c r="L32">
        <f t="shared" si="2"/>
        <v>69.667420341226531</v>
      </c>
      <c r="M32">
        <f t="shared" si="3"/>
        <v>1.5363466792313913</v>
      </c>
      <c r="N32">
        <f t="shared" si="4"/>
        <v>2.205258457549403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26326.329808873681</v>
      </c>
      <c r="T32">
        <f t="shared" si="8"/>
        <v>300.00139999999999</v>
      </c>
      <c r="U32">
        <f t="shared" si="9"/>
        <v>252.90127080042279</v>
      </c>
      <c r="V32">
        <f t="shared" si="10"/>
        <v>0.84300030199999998</v>
      </c>
      <c r="W32">
        <f t="shared" si="11"/>
        <v>0.15870075500000003</v>
      </c>
      <c r="X32">
        <v>1</v>
      </c>
      <c r="Y32">
        <v>1770998866.03333</v>
      </c>
      <c r="Z32">
        <v>409.00839999999999</v>
      </c>
      <c r="AA32">
        <v>409.99273333333298</v>
      </c>
      <c r="AB32">
        <v>15.28288</v>
      </c>
      <c r="AC32">
        <v>13.7476</v>
      </c>
      <c r="AD32">
        <v>410.198933333333</v>
      </c>
      <c r="AE32">
        <v>15.19332</v>
      </c>
      <c r="AF32">
        <v>800.00393333333295</v>
      </c>
      <c r="AG32">
        <v>100.46233333333301</v>
      </c>
      <c r="AH32">
        <v>6.4967753333333295E-2</v>
      </c>
      <c r="AI32">
        <v>19.0005666666667</v>
      </c>
      <c r="AJ32">
        <v>999.9</v>
      </c>
      <c r="AK32">
        <v>999.9</v>
      </c>
      <c r="AL32">
        <v>0</v>
      </c>
      <c r="AM32">
        <v>0</v>
      </c>
      <c r="AN32">
        <v>4997.2</v>
      </c>
      <c r="AO32">
        <v>0</v>
      </c>
      <c r="AP32">
        <v>1.86317</v>
      </c>
      <c r="AQ32">
        <v>-0.98430773333333299</v>
      </c>
      <c r="AR32">
        <v>415.35626666666701</v>
      </c>
      <c r="AS32">
        <v>415.70773333333301</v>
      </c>
      <c r="AT32">
        <v>1.53528333333333</v>
      </c>
      <c r="AU32">
        <v>409.99273333333298</v>
      </c>
      <c r="AV32">
        <v>13.7476</v>
      </c>
      <c r="AW32">
        <v>1.5353526666666699</v>
      </c>
      <c r="AX32">
        <v>1.381114</v>
      </c>
      <c r="AY32">
        <v>13.3248266666667</v>
      </c>
      <c r="AZ32">
        <v>11.71186</v>
      </c>
      <c r="BA32">
        <v>300.00139999999999</v>
      </c>
      <c r="BB32">
        <v>0.89998993333333299</v>
      </c>
      <c r="BC32">
        <v>0</v>
      </c>
      <c r="BD32">
        <v>0.10001006666666699</v>
      </c>
      <c r="BE32">
        <v>0</v>
      </c>
      <c r="BF32">
        <v>24</v>
      </c>
      <c r="BG32">
        <v>4946.6406666666699</v>
      </c>
      <c r="BH32">
        <v>1770998647.0999999</v>
      </c>
      <c r="BI32" t="s">
        <v>289</v>
      </c>
      <c r="BJ32">
        <v>1770998646.0999999</v>
      </c>
      <c r="BK32">
        <v>1770998647.0999999</v>
      </c>
      <c r="BL32">
        <v>1</v>
      </c>
      <c r="BM32">
        <v>-0.376</v>
      </c>
      <c r="BN32">
        <v>4.2000000000000003E-2</v>
      </c>
      <c r="BO32">
        <v>-1.1910000000000001</v>
      </c>
      <c r="BP32">
        <v>0.09</v>
      </c>
      <c r="BQ32">
        <v>410</v>
      </c>
      <c r="BR32">
        <v>14</v>
      </c>
      <c r="BS32">
        <v>0.41</v>
      </c>
      <c r="BT32">
        <v>0.04</v>
      </c>
      <c r="BU32">
        <v>-0.98653880952380901</v>
      </c>
      <c r="BV32">
        <v>6.4168441558442299E-2</v>
      </c>
      <c r="BW32">
        <v>1.2154140370844601E-2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1.5377471428571401</v>
      </c>
      <c r="CD32">
        <v>-4.51122077922088E-2</v>
      </c>
      <c r="CE32">
        <v>4.8737148663662803E-3</v>
      </c>
      <c r="CF32">
        <v>1</v>
      </c>
      <c r="CG32">
        <v>2</v>
      </c>
      <c r="CH32">
        <v>2</v>
      </c>
      <c r="CI32" t="s">
        <v>304</v>
      </c>
      <c r="CJ32">
        <v>3.5324900000000001</v>
      </c>
      <c r="CK32">
        <v>2.70302</v>
      </c>
      <c r="CL32">
        <v>9.8509899999999997E-2</v>
      </c>
      <c r="CM32">
        <v>9.7248299999999996E-2</v>
      </c>
      <c r="CN32">
        <v>8.7225300000000006E-2</v>
      </c>
      <c r="CO32">
        <v>7.9789200000000005E-2</v>
      </c>
      <c r="CP32">
        <v>31649.3</v>
      </c>
      <c r="CQ32">
        <v>27764.9</v>
      </c>
      <c r="CR32">
        <v>32488.5</v>
      </c>
      <c r="CS32">
        <v>30677.5</v>
      </c>
      <c r="CT32">
        <v>40129</v>
      </c>
      <c r="CU32">
        <v>39677.4</v>
      </c>
      <c r="CV32">
        <v>47420.800000000003</v>
      </c>
      <c r="CW32">
        <v>46755.5</v>
      </c>
      <c r="CX32">
        <v>2.6425200000000002</v>
      </c>
      <c r="CY32">
        <v>2.19482</v>
      </c>
      <c r="CZ32">
        <v>0</v>
      </c>
      <c r="DA32">
        <v>0</v>
      </c>
      <c r="DB32">
        <v>999.9</v>
      </c>
      <c r="DC32">
        <v>999.9</v>
      </c>
      <c r="DD32">
        <v>77.200999999999993</v>
      </c>
      <c r="DE32">
        <v>22.748999999999999</v>
      </c>
      <c r="DF32">
        <v>21.342500000000001</v>
      </c>
      <c r="DG32">
        <v>30.53</v>
      </c>
      <c r="DH32">
        <v>15.757199999999999</v>
      </c>
      <c r="DI32">
        <v>2</v>
      </c>
      <c r="DJ32">
        <v>-0.21601400000000001</v>
      </c>
      <c r="DK32">
        <v>1.5746100000000001</v>
      </c>
      <c r="DL32">
        <v>20.223600000000001</v>
      </c>
      <c r="DM32">
        <v>5.25251</v>
      </c>
      <c r="DN32">
        <v>12.033899999999999</v>
      </c>
      <c r="DO32">
        <v>4.9677199999999999</v>
      </c>
      <c r="DP32">
        <v>3.2909999999999999</v>
      </c>
      <c r="DQ32">
        <v>9999</v>
      </c>
      <c r="DR32">
        <v>9999</v>
      </c>
      <c r="DS32">
        <v>596.4</v>
      </c>
      <c r="DT32">
        <v>9999</v>
      </c>
      <c r="DU32">
        <v>1.87094</v>
      </c>
      <c r="DV32">
        <v>1.8760399999999999</v>
      </c>
      <c r="DW32">
        <v>1.87622</v>
      </c>
      <c r="DX32">
        <v>1.88276</v>
      </c>
      <c r="DY32">
        <v>1.8754599999999999</v>
      </c>
      <c r="DZ32">
        <v>1.8745400000000001</v>
      </c>
      <c r="EA32">
        <v>1.8707100000000001</v>
      </c>
      <c r="EB32">
        <v>1.8745499999999999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-1.19</v>
      </c>
      <c r="EQ32">
        <v>8.9599999999999999E-2</v>
      </c>
      <c r="ER32">
        <v>-1.1905454545454901</v>
      </c>
      <c r="ES32">
        <v>0</v>
      </c>
      <c r="ET32">
        <v>0</v>
      </c>
      <c r="EU32">
        <v>0</v>
      </c>
      <c r="EV32">
        <v>8.95600000000005E-2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3.8</v>
      </c>
      <c r="FE32">
        <v>3.8</v>
      </c>
      <c r="FF32">
        <v>1.22681</v>
      </c>
      <c r="FG32">
        <v>2.5585900000000001</v>
      </c>
      <c r="FH32">
        <v>2.19604</v>
      </c>
      <c r="FI32">
        <v>2.5842299999999998</v>
      </c>
      <c r="FJ32">
        <v>2.4462899999999999</v>
      </c>
      <c r="FK32">
        <v>2.3120099999999999</v>
      </c>
      <c r="FL32">
        <v>28.164200000000001</v>
      </c>
      <c r="FM32">
        <v>24.1663</v>
      </c>
      <c r="FN32">
        <v>19</v>
      </c>
      <c r="FO32">
        <v>862.21100000000001</v>
      </c>
      <c r="FP32">
        <v>611.69100000000003</v>
      </c>
      <c r="FQ32">
        <v>18.523199999999999</v>
      </c>
      <c r="FR32">
        <v>24.251200000000001</v>
      </c>
      <c r="FS32">
        <v>30.000299999999999</v>
      </c>
      <c r="FT32">
        <v>24.185300000000002</v>
      </c>
      <c r="FU32">
        <v>24.1844</v>
      </c>
      <c r="FV32">
        <v>24.632300000000001</v>
      </c>
      <c r="FW32">
        <v>40.313800000000001</v>
      </c>
      <c r="FX32">
        <v>83.721999999999994</v>
      </c>
      <c r="FY32">
        <v>18.528700000000001</v>
      </c>
      <c r="FZ32">
        <v>410</v>
      </c>
      <c r="GA32">
        <v>13.7675</v>
      </c>
      <c r="GB32">
        <v>99.944699999999997</v>
      </c>
      <c r="GC32">
        <v>99.556600000000003</v>
      </c>
    </row>
    <row r="33" spans="1:185" x14ac:dyDescent="0.2">
      <c r="A33">
        <v>18</v>
      </c>
      <c r="B33">
        <v>1770998890</v>
      </c>
      <c r="C33">
        <v>266.90000009536698</v>
      </c>
      <c r="D33" t="s">
        <v>329</v>
      </c>
      <c r="E33" t="s">
        <v>330</v>
      </c>
      <c r="F33">
        <v>15</v>
      </c>
      <c r="G33">
        <v>1770998882.03333</v>
      </c>
      <c r="H33">
        <f t="shared" si="0"/>
        <v>1.2477914558887998E-3</v>
      </c>
      <c r="I33">
        <v>0</v>
      </c>
      <c r="J33">
        <f t="shared" si="12"/>
        <v>1.4914920654625179E-2</v>
      </c>
      <c r="K33">
        <f t="shared" si="1"/>
        <v>0.26669748849897529</v>
      </c>
      <c r="L33">
        <f t="shared" si="2"/>
        <v>69.680702783864163</v>
      </c>
      <c r="M33">
        <f t="shared" si="3"/>
        <v>1.53641522266895</v>
      </c>
      <c r="N33">
        <f t="shared" si="4"/>
        <v>2.204936462013892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26328.761223628328</v>
      </c>
      <c r="T33">
        <f t="shared" si="8"/>
        <v>299.99993333333299</v>
      </c>
      <c r="U33">
        <f t="shared" si="9"/>
        <v>252.90003259997999</v>
      </c>
      <c r="V33">
        <f t="shared" si="10"/>
        <v>0.84300029600000004</v>
      </c>
      <c r="W33">
        <f t="shared" si="11"/>
        <v>0.15870074000000001</v>
      </c>
      <c r="X33">
        <v>1</v>
      </c>
      <c r="Y33">
        <v>1770998882.03333</v>
      </c>
      <c r="Z33">
        <v>409.023666666667</v>
      </c>
      <c r="AA33">
        <v>409.995</v>
      </c>
      <c r="AB33">
        <v>15.283773333333301</v>
      </c>
      <c r="AC33">
        <v>13.7478866666667</v>
      </c>
      <c r="AD33">
        <v>410.214133333333</v>
      </c>
      <c r="AE33">
        <v>15.194226666666699</v>
      </c>
      <c r="AF33">
        <v>800.00726666666696</v>
      </c>
      <c r="AG33">
        <v>100.460733333333</v>
      </c>
      <c r="AH33">
        <v>6.5176673333333296E-2</v>
      </c>
      <c r="AI33">
        <v>18.998226666666699</v>
      </c>
      <c r="AJ33">
        <v>999.9</v>
      </c>
      <c r="AK33">
        <v>999.9</v>
      </c>
      <c r="AL33">
        <v>0</v>
      </c>
      <c r="AM33">
        <v>0</v>
      </c>
      <c r="AN33">
        <v>4997.6333333333296</v>
      </c>
      <c r="AO33">
        <v>0</v>
      </c>
      <c r="AP33">
        <v>1.86317</v>
      </c>
      <c r="AQ33">
        <v>-0.97136026666666697</v>
      </c>
      <c r="AR33">
        <v>415.37226666666697</v>
      </c>
      <c r="AS33">
        <v>415.71019999999999</v>
      </c>
      <c r="AT33">
        <v>1.5358879999999999</v>
      </c>
      <c r="AU33">
        <v>409.995</v>
      </c>
      <c r="AV33">
        <v>13.7478866666667</v>
      </c>
      <c r="AW33">
        <v>1.53542</v>
      </c>
      <c r="AX33">
        <v>1.3811233333333299</v>
      </c>
      <c r="AY33">
        <v>13.325519999999999</v>
      </c>
      <c r="AZ33">
        <v>11.711926666666701</v>
      </c>
      <c r="BA33">
        <v>299.99993333333299</v>
      </c>
      <c r="BB33">
        <v>0.899990133333333</v>
      </c>
      <c r="BC33">
        <v>0</v>
      </c>
      <c r="BD33">
        <v>0.100009866666667</v>
      </c>
      <c r="BE33">
        <v>0</v>
      </c>
      <c r="BF33">
        <v>24</v>
      </c>
      <c r="BG33">
        <v>4946.6153333333305</v>
      </c>
      <c r="BH33">
        <v>1770998647.0999999</v>
      </c>
      <c r="BI33" t="s">
        <v>289</v>
      </c>
      <c r="BJ33">
        <v>1770998646.0999999</v>
      </c>
      <c r="BK33">
        <v>1770998647.0999999</v>
      </c>
      <c r="BL33">
        <v>1</v>
      </c>
      <c r="BM33">
        <v>-0.376</v>
      </c>
      <c r="BN33">
        <v>4.2000000000000003E-2</v>
      </c>
      <c r="BO33">
        <v>-1.1910000000000001</v>
      </c>
      <c r="BP33">
        <v>0.09</v>
      </c>
      <c r="BQ33">
        <v>410</v>
      </c>
      <c r="BR33">
        <v>14</v>
      </c>
      <c r="BS33">
        <v>0.41</v>
      </c>
      <c r="BT33">
        <v>0.04</v>
      </c>
      <c r="BU33">
        <v>-0.97228719047619105</v>
      </c>
      <c r="BV33">
        <v>7.0301243566404298E-2</v>
      </c>
      <c r="BW33">
        <v>1.6072119229745298E-2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1.5343285714285699</v>
      </c>
      <c r="CD33">
        <v>2.34356921177062E-2</v>
      </c>
      <c r="CE33">
        <v>3.4015854646722498E-3</v>
      </c>
      <c r="CF33">
        <v>1</v>
      </c>
      <c r="CG33">
        <v>2</v>
      </c>
      <c r="CH33">
        <v>2</v>
      </c>
      <c r="CI33" t="s">
        <v>304</v>
      </c>
      <c r="CJ33">
        <v>3.5325099999999998</v>
      </c>
      <c r="CK33">
        <v>2.70282</v>
      </c>
      <c r="CL33">
        <v>9.8505400000000007E-2</v>
      </c>
      <c r="CM33">
        <v>9.7245100000000001E-2</v>
      </c>
      <c r="CN33">
        <v>8.7269399999999997E-2</v>
      </c>
      <c r="CO33">
        <v>7.9780199999999996E-2</v>
      </c>
      <c r="CP33">
        <v>31649.200000000001</v>
      </c>
      <c r="CQ33">
        <v>27764.7</v>
      </c>
      <c r="CR33">
        <v>32488.3</v>
      </c>
      <c r="CS33">
        <v>30677.200000000001</v>
      </c>
      <c r="CT33">
        <v>40127.1</v>
      </c>
      <c r="CU33">
        <v>39677.5</v>
      </c>
      <c r="CV33">
        <v>47420.9</v>
      </c>
      <c r="CW33">
        <v>46755.199999999997</v>
      </c>
      <c r="CX33">
        <v>2.6421600000000001</v>
      </c>
      <c r="CY33">
        <v>2.1945000000000001</v>
      </c>
      <c r="CZ33">
        <v>0</v>
      </c>
      <c r="DA33">
        <v>0</v>
      </c>
      <c r="DB33">
        <v>999.9</v>
      </c>
      <c r="DC33">
        <v>999.9</v>
      </c>
      <c r="DD33">
        <v>77.152000000000001</v>
      </c>
      <c r="DE33">
        <v>22.759</v>
      </c>
      <c r="DF33">
        <v>21.341699999999999</v>
      </c>
      <c r="DG33">
        <v>30.48</v>
      </c>
      <c r="DH33">
        <v>15.7051</v>
      </c>
      <c r="DI33">
        <v>2</v>
      </c>
      <c r="DJ33">
        <v>-0.21548200000000001</v>
      </c>
      <c r="DK33">
        <v>1.5563800000000001</v>
      </c>
      <c r="DL33">
        <v>20.223700000000001</v>
      </c>
      <c r="DM33">
        <v>5.2527499999999998</v>
      </c>
      <c r="DN33">
        <v>12.033899999999999</v>
      </c>
      <c r="DO33">
        <v>4.9678399999999998</v>
      </c>
      <c r="DP33">
        <v>3.2909999999999999</v>
      </c>
      <c r="DQ33">
        <v>9999</v>
      </c>
      <c r="DR33">
        <v>9999</v>
      </c>
      <c r="DS33">
        <v>596.4</v>
      </c>
      <c r="DT33">
        <v>9999</v>
      </c>
      <c r="DU33">
        <v>1.87096</v>
      </c>
      <c r="DV33">
        <v>1.8760699999999999</v>
      </c>
      <c r="DW33">
        <v>1.87622</v>
      </c>
      <c r="DX33">
        <v>1.8827799999999999</v>
      </c>
      <c r="DY33">
        <v>1.87547</v>
      </c>
      <c r="DZ33">
        <v>1.8745400000000001</v>
      </c>
      <c r="EA33">
        <v>1.87073</v>
      </c>
      <c r="EB33">
        <v>1.87456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-1.1910000000000001</v>
      </c>
      <c r="EQ33">
        <v>8.9499999999999996E-2</v>
      </c>
      <c r="ER33">
        <v>-1.1905454545454901</v>
      </c>
      <c r="ES33">
        <v>0</v>
      </c>
      <c r="ET33">
        <v>0</v>
      </c>
      <c r="EU33">
        <v>0</v>
      </c>
      <c r="EV33">
        <v>8.95600000000005E-2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4.0999999999999996</v>
      </c>
      <c r="FE33">
        <v>4</v>
      </c>
      <c r="FF33">
        <v>1.22681</v>
      </c>
      <c r="FG33">
        <v>2.5573700000000001</v>
      </c>
      <c r="FH33">
        <v>2.19604</v>
      </c>
      <c r="FI33">
        <v>2.5842299999999998</v>
      </c>
      <c r="FJ33">
        <v>2.4462899999999999</v>
      </c>
      <c r="FK33">
        <v>2.32056</v>
      </c>
      <c r="FL33">
        <v>28.185199999999998</v>
      </c>
      <c r="FM33">
        <v>24.1663</v>
      </c>
      <c r="FN33">
        <v>19</v>
      </c>
      <c r="FO33">
        <v>862.05700000000002</v>
      </c>
      <c r="FP33">
        <v>611.55799999999999</v>
      </c>
      <c r="FQ33">
        <v>18.531700000000001</v>
      </c>
      <c r="FR33">
        <v>24.258099999999999</v>
      </c>
      <c r="FS33">
        <v>30.000299999999999</v>
      </c>
      <c r="FT33">
        <v>24.196200000000001</v>
      </c>
      <c r="FU33">
        <v>24.194500000000001</v>
      </c>
      <c r="FV33">
        <v>24.633400000000002</v>
      </c>
      <c r="FW33">
        <v>40.313800000000001</v>
      </c>
      <c r="FX33">
        <v>83.349900000000005</v>
      </c>
      <c r="FY33">
        <v>18.532399999999999</v>
      </c>
      <c r="FZ33">
        <v>410</v>
      </c>
      <c r="GA33">
        <v>13.7674</v>
      </c>
      <c r="GB33">
        <v>99.944500000000005</v>
      </c>
      <c r="GC33">
        <v>99.555899999999994</v>
      </c>
    </row>
    <row r="34" spans="1:185" x14ac:dyDescent="0.2">
      <c r="A34">
        <v>19</v>
      </c>
      <c r="B34">
        <v>1770998905</v>
      </c>
      <c r="C34">
        <v>281.90000009536698</v>
      </c>
      <c r="D34" t="s">
        <v>331</v>
      </c>
      <c r="E34" t="s">
        <v>332</v>
      </c>
      <c r="F34">
        <v>15</v>
      </c>
      <c r="G34">
        <v>1770998896.9333301</v>
      </c>
      <c r="H34">
        <f t="shared" si="0"/>
        <v>1.2630569862807927E-3</v>
      </c>
      <c r="I34">
        <v>0</v>
      </c>
      <c r="J34">
        <f t="shared" si="12"/>
        <v>1.4907518317322531E-2</v>
      </c>
      <c r="K34">
        <f t="shared" si="1"/>
        <v>0.26656512542354543</v>
      </c>
      <c r="L34">
        <f t="shared" si="2"/>
        <v>69.765679444994319</v>
      </c>
      <c r="M34">
        <f t="shared" si="3"/>
        <v>1.5382261885273989</v>
      </c>
      <c r="N34">
        <f t="shared" si="4"/>
        <v>2.2048465674876567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26340.946567542771</v>
      </c>
      <c r="T34">
        <f t="shared" si="8"/>
        <v>300.00046666666702</v>
      </c>
      <c r="U34">
        <f t="shared" si="9"/>
        <v>252.90049600015993</v>
      </c>
      <c r="V34">
        <f t="shared" si="10"/>
        <v>0.84300034200000007</v>
      </c>
      <c r="W34">
        <f t="shared" si="11"/>
        <v>0.158700855</v>
      </c>
      <c r="X34">
        <v>1</v>
      </c>
      <c r="Y34">
        <v>1770998896.9333301</v>
      </c>
      <c r="Z34">
        <v>408.99946666666699</v>
      </c>
      <c r="AA34">
        <v>409.97840000000002</v>
      </c>
      <c r="AB34">
        <v>15.3016066666667</v>
      </c>
      <c r="AC34">
        <v>13.74696</v>
      </c>
      <c r="AD34">
        <v>410.18979999999999</v>
      </c>
      <c r="AE34">
        <v>15.2120466666667</v>
      </c>
      <c r="AF34">
        <v>800.00826666666705</v>
      </c>
      <c r="AG34">
        <v>100.462066666667</v>
      </c>
      <c r="AH34">
        <v>6.5036273333333297E-2</v>
      </c>
      <c r="AI34">
        <v>18.9975733333333</v>
      </c>
      <c r="AJ34">
        <v>999.9</v>
      </c>
      <c r="AK34">
        <v>999.9</v>
      </c>
      <c r="AL34">
        <v>0</v>
      </c>
      <c r="AM34">
        <v>0</v>
      </c>
      <c r="AN34">
        <v>4999.5666666666702</v>
      </c>
      <c r="AO34">
        <v>0</v>
      </c>
      <c r="AP34">
        <v>1.86317</v>
      </c>
      <c r="AQ34">
        <v>-0.97899993333333302</v>
      </c>
      <c r="AR34">
        <v>415.35486666666702</v>
      </c>
      <c r="AS34">
        <v>415.69279999999998</v>
      </c>
      <c r="AT34">
        <v>1.5546346666666699</v>
      </c>
      <c r="AU34">
        <v>409.97840000000002</v>
      </c>
      <c r="AV34">
        <v>13.74696</v>
      </c>
      <c r="AW34">
        <v>1.53723066666667</v>
      </c>
      <c r="AX34">
        <v>1.3810480000000001</v>
      </c>
      <c r="AY34">
        <v>13.343586666666701</v>
      </c>
      <c r="AZ34">
        <v>11.711133333333301</v>
      </c>
      <c r="BA34">
        <v>300.00046666666702</v>
      </c>
      <c r="BB34">
        <v>0.89998860000000003</v>
      </c>
      <c r="BC34">
        <v>0</v>
      </c>
      <c r="BD34">
        <v>0.1000114</v>
      </c>
      <c r="BE34">
        <v>0</v>
      </c>
      <c r="BF34">
        <v>24</v>
      </c>
      <c r="BG34">
        <v>4946.6246666666702</v>
      </c>
      <c r="BH34">
        <v>1770998647.0999999</v>
      </c>
      <c r="BI34" t="s">
        <v>289</v>
      </c>
      <c r="BJ34">
        <v>1770998646.0999999</v>
      </c>
      <c r="BK34">
        <v>1770998647.0999999</v>
      </c>
      <c r="BL34">
        <v>1</v>
      </c>
      <c r="BM34">
        <v>-0.376</v>
      </c>
      <c r="BN34">
        <v>4.2000000000000003E-2</v>
      </c>
      <c r="BO34">
        <v>-1.1910000000000001</v>
      </c>
      <c r="BP34">
        <v>0.09</v>
      </c>
      <c r="BQ34">
        <v>410</v>
      </c>
      <c r="BR34">
        <v>14</v>
      </c>
      <c r="BS34">
        <v>0.41</v>
      </c>
      <c r="BT34">
        <v>0.04</v>
      </c>
      <c r="BU34">
        <v>-0.97531135000000002</v>
      </c>
      <c r="BV34">
        <v>-0.118322300751878</v>
      </c>
      <c r="BW34">
        <v>2.4905498068247899E-2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1.5514384999999999</v>
      </c>
      <c r="CD34">
        <v>5.9208270676691703E-2</v>
      </c>
      <c r="CE34">
        <v>6.6794747360851602E-3</v>
      </c>
      <c r="CF34">
        <v>1</v>
      </c>
      <c r="CG34">
        <v>2</v>
      </c>
      <c r="CH34">
        <v>2</v>
      </c>
      <c r="CI34" t="s">
        <v>304</v>
      </c>
      <c r="CJ34">
        <v>3.53254</v>
      </c>
      <c r="CK34">
        <v>2.7027100000000002</v>
      </c>
      <c r="CL34">
        <v>9.8499199999999995E-2</v>
      </c>
      <c r="CM34">
        <v>9.7236299999999998E-2</v>
      </c>
      <c r="CN34">
        <v>8.7309100000000001E-2</v>
      </c>
      <c r="CO34">
        <v>7.97794E-2</v>
      </c>
      <c r="CP34">
        <v>31649.7</v>
      </c>
      <c r="CQ34">
        <v>27764.9</v>
      </c>
      <c r="CR34">
        <v>32488.7</v>
      </c>
      <c r="CS34">
        <v>30677.1</v>
      </c>
      <c r="CT34">
        <v>40125.9</v>
      </c>
      <c r="CU34">
        <v>39677.9</v>
      </c>
      <c r="CV34">
        <v>47421.7</v>
      </c>
      <c r="CW34">
        <v>46755.7</v>
      </c>
      <c r="CX34">
        <v>2.6422599999999998</v>
      </c>
      <c r="CY34">
        <v>2.19442</v>
      </c>
      <c r="CZ34">
        <v>0</v>
      </c>
      <c r="DA34">
        <v>0</v>
      </c>
      <c r="DB34">
        <v>999.9</v>
      </c>
      <c r="DC34">
        <v>999.9</v>
      </c>
      <c r="DD34">
        <v>77.084999999999994</v>
      </c>
      <c r="DE34">
        <v>22.789000000000001</v>
      </c>
      <c r="DF34">
        <v>21.361000000000001</v>
      </c>
      <c r="DG34">
        <v>30.36</v>
      </c>
      <c r="DH34">
        <v>15.7372</v>
      </c>
      <c r="DI34">
        <v>2</v>
      </c>
      <c r="DJ34">
        <v>-0.21503700000000001</v>
      </c>
      <c r="DK34">
        <v>1.5554399999999999</v>
      </c>
      <c r="DL34">
        <v>20.224</v>
      </c>
      <c r="DM34">
        <v>5.2527499999999998</v>
      </c>
      <c r="DN34">
        <v>12.033899999999999</v>
      </c>
      <c r="DO34">
        <v>4.9676400000000003</v>
      </c>
      <c r="DP34">
        <v>3.2909999999999999</v>
      </c>
      <c r="DQ34">
        <v>9999</v>
      </c>
      <c r="DR34">
        <v>9999</v>
      </c>
      <c r="DS34">
        <v>596.4</v>
      </c>
      <c r="DT34">
        <v>9999</v>
      </c>
      <c r="DU34">
        <v>1.87097</v>
      </c>
      <c r="DV34">
        <v>1.8760699999999999</v>
      </c>
      <c r="DW34">
        <v>1.87622</v>
      </c>
      <c r="DX34">
        <v>1.8827700000000001</v>
      </c>
      <c r="DY34">
        <v>1.87548</v>
      </c>
      <c r="DZ34">
        <v>1.8745499999999999</v>
      </c>
      <c r="EA34">
        <v>1.87073</v>
      </c>
      <c r="EB34">
        <v>1.8745499999999999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-1.19</v>
      </c>
      <c r="EQ34">
        <v>8.9499999999999996E-2</v>
      </c>
      <c r="ER34">
        <v>-1.1905454545454901</v>
      </c>
      <c r="ES34">
        <v>0</v>
      </c>
      <c r="ET34">
        <v>0</v>
      </c>
      <c r="EU34">
        <v>0</v>
      </c>
      <c r="EV34">
        <v>8.95600000000005E-2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4.3</v>
      </c>
      <c r="FE34">
        <v>4.3</v>
      </c>
      <c r="FF34">
        <v>1.22681</v>
      </c>
      <c r="FG34">
        <v>2.5585900000000001</v>
      </c>
      <c r="FH34">
        <v>2.19604</v>
      </c>
      <c r="FI34">
        <v>2.5842299999999998</v>
      </c>
      <c r="FJ34">
        <v>2.4462899999999999</v>
      </c>
      <c r="FK34">
        <v>2.3120099999999999</v>
      </c>
      <c r="FL34">
        <v>28.2272</v>
      </c>
      <c r="FM34">
        <v>24.1663</v>
      </c>
      <c r="FN34">
        <v>19</v>
      </c>
      <c r="FO34">
        <v>862.29600000000005</v>
      </c>
      <c r="FP34">
        <v>611.61199999999997</v>
      </c>
      <c r="FQ34">
        <v>18.535799999999998</v>
      </c>
      <c r="FR34">
        <v>24.2651</v>
      </c>
      <c r="FS34">
        <v>30.0002</v>
      </c>
      <c r="FT34">
        <v>24.205200000000001</v>
      </c>
      <c r="FU34">
        <v>24.2042</v>
      </c>
      <c r="FV34">
        <v>24.637599999999999</v>
      </c>
      <c r="FW34">
        <v>40.313800000000001</v>
      </c>
      <c r="FX34">
        <v>82.579800000000006</v>
      </c>
      <c r="FY34">
        <v>18.537600000000001</v>
      </c>
      <c r="FZ34">
        <v>410</v>
      </c>
      <c r="GA34">
        <v>13.7674</v>
      </c>
      <c r="GB34">
        <v>99.945899999999995</v>
      </c>
      <c r="GC34">
        <v>99.556399999999996</v>
      </c>
    </row>
    <row r="35" spans="1:185" x14ac:dyDescent="0.2">
      <c r="A35">
        <v>20</v>
      </c>
      <c r="B35">
        <v>1770998920</v>
      </c>
      <c r="C35">
        <v>296.90000009536698</v>
      </c>
      <c r="D35" t="s">
        <v>333</v>
      </c>
      <c r="E35" t="s">
        <v>334</v>
      </c>
      <c r="F35">
        <v>15</v>
      </c>
      <c r="G35">
        <v>1770998911.9333301</v>
      </c>
      <c r="H35">
        <f t="shared" si="0"/>
        <v>1.2647236875465084E-3</v>
      </c>
      <c r="I35">
        <v>0</v>
      </c>
      <c r="J35">
        <f t="shared" si="12"/>
        <v>1.4777215032471997E-2</v>
      </c>
      <c r="K35">
        <f t="shared" si="1"/>
        <v>0.26423513925616832</v>
      </c>
      <c r="L35">
        <f t="shared" si="2"/>
        <v>69.773491704972983</v>
      </c>
      <c r="M35">
        <f t="shared" si="3"/>
        <v>1.5383945967901045</v>
      </c>
      <c r="N35">
        <f t="shared" si="4"/>
        <v>2.2048410638455382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26376.458752755003</v>
      </c>
      <c r="T35">
        <f t="shared" si="8"/>
        <v>300.00133333333298</v>
      </c>
      <c r="U35">
        <f t="shared" si="9"/>
        <v>252.90128540071703</v>
      </c>
      <c r="V35">
        <f t="shared" si="10"/>
        <v>0.84300053799999997</v>
      </c>
      <c r="W35">
        <f t="shared" si="11"/>
        <v>0.15870134499999999</v>
      </c>
      <c r="X35">
        <v>1</v>
      </c>
      <c r="Y35">
        <v>1770998911.9333301</v>
      </c>
      <c r="Z35">
        <v>409.00139999999999</v>
      </c>
      <c r="AA35">
        <v>409.97826666666703</v>
      </c>
      <c r="AB35">
        <v>15.303646666666699</v>
      </c>
      <c r="AC35">
        <v>13.746966666666699</v>
      </c>
      <c r="AD35">
        <v>410.19186666666701</v>
      </c>
      <c r="AE35">
        <v>15.2141066666667</v>
      </c>
      <c r="AF35">
        <v>800.01593333333301</v>
      </c>
      <c r="AG35">
        <v>100.459666666667</v>
      </c>
      <c r="AH35">
        <v>6.50403066666667E-2</v>
      </c>
      <c r="AI35">
        <v>18.997533333333301</v>
      </c>
      <c r="AJ35">
        <v>999.9</v>
      </c>
      <c r="AK35">
        <v>999.9</v>
      </c>
      <c r="AL35">
        <v>0</v>
      </c>
      <c r="AM35">
        <v>0</v>
      </c>
      <c r="AN35">
        <v>5005.5</v>
      </c>
      <c r="AO35">
        <v>0</v>
      </c>
      <c r="AP35">
        <v>1.86317</v>
      </c>
      <c r="AQ35">
        <v>-0.97697793333333305</v>
      </c>
      <c r="AR35">
        <v>415.35793333333299</v>
      </c>
      <c r="AS35">
        <v>415.69286666666699</v>
      </c>
      <c r="AT35">
        <v>1.5566966666666699</v>
      </c>
      <c r="AU35">
        <v>409.97826666666703</v>
      </c>
      <c r="AV35">
        <v>13.746966666666699</v>
      </c>
      <c r="AW35">
        <v>1.5374019999999999</v>
      </c>
      <c r="AX35">
        <v>1.3810166666666699</v>
      </c>
      <c r="AY35">
        <v>13.3453</v>
      </c>
      <c r="AZ35">
        <v>11.71078</v>
      </c>
      <c r="BA35">
        <v>300.00133333333298</v>
      </c>
      <c r="BB35">
        <v>0.89998206666666702</v>
      </c>
      <c r="BC35">
        <v>0</v>
      </c>
      <c r="BD35">
        <v>0.100017933333333</v>
      </c>
      <c r="BE35">
        <v>0</v>
      </c>
      <c r="BF35">
        <v>24</v>
      </c>
      <c r="BG35">
        <v>4946.6346666666695</v>
      </c>
      <c r="BH35">
        <v>1770998647.0999999</v>
      </c>
      <c r="BI35" t="s">
        <v>289</v>
      </c>
      <c r="BJ35">
        <v>1770998646.0999999</v>
      </c>
      <c r="BK35">
        <v>1770998647.0999999</v>
      </c>
      <c r="BL35">
        <v>1</v>
      </c>
      <c r="BM35">
        <v>-0.376</v>
      </c>
      <c r="BN35">
        <v>4.2000000000000003E-2</v>
      </c>
      <c r="BO35">
        <v>-1.1910000000000001</v>
      </c>
      <c r="BP35">
        <v>0.09</v>
      </c>
      <c r="BQ35">
        <v>410</v>
      </c>
      <c r="BR35">
        <v>14</v>
      </c>
      <c r="BS35">
        <v>0.41</v>
      </c>
      <c r="BT35">
        <v>0.04</v>
      </c>
      <c r="BU35">
        <v>-0.98316776190476196</v>
      </c>
      <c r="BV35">
        <v>4.42325454545466E-2</v>
      </c>
      <c r="BW35">
        <v>2.59258017388171E-2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1.55656666666667</v>
      </c>
      <c r="CD35">
        <v>-1.0732987012986899E-2</v>
      </c>
      <c r="CE35">
        <v>2.7400718331448402E-3</v>
      </c>
      <c r="CF35">
        <v>1</v>
      </c>
      <c r="CG35">
        <v>2</v>
      </c>
      <c r="CH35">
        <v>2</v>
      </c>
      <c r="CI35" t="s">
        <v>304</v>
      </c>
      <c r="CJ35">
        <v>3.5325299999999999</v>
      </c>
      <c r="CK35">
        <v>2.7024400000000002</v>
      </c>
      <c r="CL35">
        <v>9.8498799999999997E-2</v>
      </c>
      <c r="CM35">
        <v>9.7237900000000002E-2</v>
      </c>
      <c r="CN35">
        <v>8.7287299999999998E-2</v>
      </c>
      <c r="CO35">
        <v>7.9772200000000001E-2</v>
      </c>
      <c r="CP35">
        <v>31649.200000000001</v>
      </c>
      <c r="CQ35">
        <v>27765.9</v>
      </c>
      <c r="CR35">
        <v>32488.1</v>
      </c>
      <c r="CS35">
        <v>30678.3</v>
      </c>
      <c r="CT35">
        <v>40126.199999999997</v>
      </c>
      <c r="CU35">
        <v>39679.800000000003</v>
      </c>
      <c r="CV35">
        <v>47420.800000000003</v>
      </c>
      <c r="CW35">
        <v>46757.5</v>
      </c>
      <c r="CX35">
        <v>2.6419600000000001</v>
      </c>
      <c r="CY35">
        <v>2.1939600000000001</v>
      </c>
      <c r="CZ35">
        <v>0</v>
      </c>
      <c r="DA35">
        <v>0</v>
      </c>
      <c r="DB35">
        <v>999.9</v>
      </c>
      <c r="DC35">
        <v>999.9</v>
      </c>
      <c r="DD35">
        <v>77.036000000000001</v>
      </c>
      <c r="DE35">
        <v>22.798999999999999</v>
      </c>
      <c r="DF35">
        <v>21.3596</v>
      </c>
      <c r="DG35">
        <v>30.21</v>
      </c>
      <c r="DH35">
        <v>15.7332</v>
      </c>
      <c r="DI35">
        <v>2</v>
      </c>
      <c r="DJ35">
        <v>-0.21449799999999999</v>
      </c>
      <c r="DK35">
        <v>1.5543400000000001</v>
      </c>
      <c r="DL35">
        <v>20.2242</v>
      </c>
      <c r="DM35">
        <v>5.2522700000000002</v>
      </c>
      <c r="DN35">
        <v>12.033899999999999</v>
      </c>
      <c r="DO35">
        <v>4.9677199999999999</v>
      </c>
      <c r="DP35">
        <v>3.2909999999999999</v>
      </c>
      <c r="DQ35">
        <v>9999</v>
      </c>
      <c r="DR35">
        <v>9999</v>
      </c>
      <c r="DS35">
        <v>596.4</v>
      </c>
      <c r="DT35">
        <v>9999</v>
      </c>
      <c r="DU35">
        <v>1.87097</v>
      </c>
      <c r="DV35">
        <v>1.87605</v>
      </c>
      <c r="DW35">
        <v>1.87622</v>
      </c>
      <c r="DX35">
        <v>1.8827799999999999</v>
      </c>
      <c r="DY35">
        <v>1.87548</v>
      </c>
      <c r="DZ35">
        <v>1.8745400000000001</v>
      </c>
      <c r="EA35">
        <v>1.87073</v>
      </c>
      <c r="EB35">
        <v>1.8745400000000001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-1.19</v>
      </c>
      <c r="EQ35">
        <v>8.9499999999999996E-2</v>
      </c>
      <c r="ER35">
        <v>-1.1905454545454901</v>
      </c>
      <c r="ES35">
        <v>0</v>
      </c>
      <c r="ET35">
        <v>0</v>
      </c>
      <c r="EU35">
        <v>0</v>
      </c>
      <c r="EV35">
        <v>8.95600000000005E-2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4.5999999999999996</v>
      </c>
      <c r="FE35">
        <v>4.5</v>
      </c>
      <c r="FF35">
        <v>1.22803</v>
      </c>
      <c r="FG35">
        <v>2.5585900000000001</v>
      </c>
      <c r="FH35">
        <v>2.19604</v>
      </c>
      <c r="FI35">
        <v>2.5842299999999998</v>
      </c>
      <c r="FJ35">
        <v>2.4462899999999999</v>
      </c>
      <c r="FK35">
        <v>2.2888199999999999</v>
      </c>
      <c r="FL35">
        <v>28.248200000000001</v>
      </c>
      <c r="FM35">
        <v>24.1663</v>
      </c>
      <c r="FN35">
        <v>19</v>
      </c>
      <c r="FO35">
        <v>862.17200000000003</v>
      </c>
      <c r="FP35">
        <v>611.34799999999996</v>
      </c>
      <c r="FQ35">
        <v>18.541799999999999</v>
      </c>
      <c r="FR35">
        <v>24.271999999999998</v>
      </c>
      <c r="FS35">
        <v>30.0001</v>
      </c>
      <c r="FT35">
        <v>24.214500000000001</v>
      </c>
      <c r="FU35">
        <v>24.212800000000001</v>
      </c>
      <c r="FV35">
        <v>24.6389</v>
      </c>
      <c r="FW35">
        <v>40.313800000000001</v>
      </c>
      <c r="FX35">
        <v>82.205399999999997</v>
      </c>
      <c r="FY35">
        <v>18.5428</v>
      </c>
      <c r="FZ35">
        <v>410</v>
      </c>
      <c r="GA35">
        <v>13.7674</v>
      </c>
      <c r="GB35">
        <v>99.944100000000006</v>
      </c>
      <c r="GC35">
        <v>99.560299999999998</v>
      </c>
    </row>
    <row r="36" spans="1:185" x14ac:dyDescent="0.2">
      <c r="A36">
        <v>21</v>
      </c>
      <c r="B36">
        <v>1770998935</v>
      </c>
      <c r="C36">
        <v>311.90000009536698</v>
      </c>
      <c r="D36" t="s">
        <v>335</v>
      </c>
      <c r="E36" t="s">
        <v>336</v>
      </c>
      <c r="F36">
        <v>15</v>
      </c>
      <c r="G36">
        <v>1770998926.9333301</v>
      </c>
      <c r="H36">
        <f t="shared" si="0"/>
        <v>1.2656101697272031E-3</v>
      </c>
      <c r="I36">
        <v>0</v>
      </c>
      <c r="J36">
        <f t="shared" si="12"/>
        <v>1.4672653057908309E-2</v>
      </c>
      <c r="K36">
        <f t="shared" si="1"/>
        <v>0.26236544000302603</v>
      </c>
      <c r="L36">
        <f t="shared" si="2"/>
        <v>69.774400087330122</v>
      </c>
      <c r="M36">
        <f t="shared" si="3"/>
        <v>1.5384370260732241</v>
      </c>
      <c r="N36">
        <f t="shared" si="4"/>
        <v>2.2048731685943634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26332.409414369922</v>
      </c>
      <c r="T36">
        <f t="shared" si="8"/>
        <v>299.9982</v>
      </c>
      <c r="U36">
        <f t="shared" si="9"/>
        <v>252.89861459920797</v>
      </c>
      <c r="V36">
        <f t="shared" si="10"/>
        <v>0.84300043999999996</v>
      </c>
      <c r="W36">
        <f t="shared" si="11"/>
        <v>0.15870110000000004</v>
      </c>
      <c r="X36">
        <v>1</v>
      </c>
      <c r="Y36">
        <v>1770998926.9333301</v>
      </c>
      <c r="Z36">
        <v>409.00313333333298</v>
      </c>
      <c r="AA36">
        <v>409.97813333333301</v>
      </c>
      <c r="AB36">
        <v>15.304213333333299</v>
      </c>
      <c r="AC36">
        <v>13.746420000000001</v>
      </c>
      <c r="AD36">
        <v>410.19366666666701</v>
      </c>
      <c r="AE36">
        <v>15.21466</v>
      </c>
      <c r="AF36">
        <v>800.00406666666697</v>
      </c>
      <c r="AG36">
        <v>100.459</v>
      </c>
      <c r="AH36">
        <v>6.4757253333333306E-2</v>
      </c>
      <c r="AI36">
        <v>18.997766666666699</v>
      </c>
      <c r="AJ36">
        <v>999.9</v>
      </c>
      <c r="AK36">
        <v>999.9</v>
      </c>
      <c r="AL36">
        <v>0</v>
      </c>
      <c r="AM36">
        <v>0</v>
      </c>
      <c r="AN36">
        <v>4998.3</v>
      </c>
      <c r="AO36">
        <v>0</v>
      </c>
      <c r="AP36">
        <v>1.86317</v>
      </c>
      <c r="AQ36">
        <v>-0.97496926666666694</v>
      </c>
      <c r="AR36">
        <v>415.35986666666702</v>
      </c>
      <c r="AS36">
        <v>415.69246666666697</v>
      </c>
      <c r="AT36">
        <v>1.5577846666666699</v>
      </c>
      <c r="AU36">
        <v>409.97813333333301</v>
      </c>
      <c r="AV36">
        <v>13.746420000000001</v>
      </c>
      <c r="AW36">
        <v>1.53744666666667</v>
      </c>
      <c r="AX36">
        <v>1.380952</v>
      </c>
      <c r="AY36">
        <v>13.345739999999999</v>
      </c>
      <c r="AZ36">
        <v>11.7100733333333</v>
      </c>
      <c r="BA36">
        <v>299.9982</v>
      </c>
      <c r="BB36">
        <v>0.89998533333333297</v>
      </c>
      <c r="BC36">
        <v>0</v>
      </c>
      <c r="BD36">
        <v>0.100014666666667</v>
      </c>
      <c r="BE36">
        <v>0</v>
      </c>
      <c r="BF36">
        <v>24</v>
      </c>
      <c r="BG36">
        <v>4946.5860000000002</v>
      </c>
      <c r="BH36">
        <v>1770998647.0999999</v>
      </c>
      <c r="BI36" t="s">
        <v>289</v>
      </c>
      <c r="BJ36">
        <v>1770998646.0999999</v>
      </c>
      <c r="BK36">
        <v>1770998647.0999999</v>
      </c>
      <c r="BL36">
        <v>1</v>
      </c>
      <c r="BM36">
        <v>-0.376</v>
      </c>
      <c r="BN36">
        <v>4.2000000000000003E-2</v>
      </c>
      <c r="BO36">
        <v>-1.1910000000000001</v>
      </c>
      <c r="BP36">
        <v>0.09</v>
      </c>
      <c r="BQ36">
        <v>410</v>
      </c>
      <c r="BR36">
        <v>14</v>
      </c>
      <c r="BS36">
        <v>0.41</v>
      </c>
      <c r="BT36">
        <v>0.04</v>
      </c>
      <c r="BU36">
        <v>-0.97518605000000003</v>
      </c>
      <c r="BV36">
        <v>0.111419774436089</v>
      </c>
      <c r="BW36">
        <v>2.0474026703301399E-2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1.5565869999999999</v>
      </c>
      <c r="CD36">
        <v>3.20021052631555E-2</v>
      </c>
      <c r="CE36">
        <v>3.3828111091221101E-3</v>
      </c>
      <c r="CF36">
        <v>1</v>
      </c>
      <c r="CG36">
        <v>2</v>
      </c>
      <c r="CH36">
        <v>2</v>
      </c>
      <c r="CI36" t="s">
        <v>304</v>
      </c>
      <c r="CJ36">
        <v>3.5325099999999998</v>
      </c>
      <c r="CK36">
        <v>2.7027299999999999</v>
      </c>
      <c r="CL36">
        <v>9.8495600000000003E-2</v>
      </c>
      <c r="CM36">
        <v>9.7231700000000004E-2</v>
      </c>
      <c r="CN36">
        <v>8.7302500000000005E-2</v>
      </c>
      <c r="CO36">
        <v>7.9766299999999998E-2</v>
      </c>
      <c r="CP36">
        <v>31649.200000000001</v>
      </c>
      <c r="CQ36">
        <v>27766.400000000001</v>
      </c>
      <c r="CR36">
        <v>32488</v>
      </c>
      <c r="CS36">
        <v>30678.7</v>
      </c>
      <c r="CT36">
        <v>40125.800000000003</v>
      </c>
      <c r="CU36">
        <v>39680.800000000003</v>
      </c>
      <c r="CV36">
        <v>47421.1</v>
      </c>
      <c r="CW36">
        <v>46758.400000000001</v>
      </c>
      <c r="CX36">
        <v>2.64202</v>
      </c>
      <c r="CY36">
        <v>2.1936599999999999</v>
      </c>
      <c r="CZ36">
        <v>0</v>
      </c>
      <c r="DA36">
        <v>0</v>
      </c>
      <c r="DB36">
        <v>999.9</v>
      </c>
      <c r="DC36">
        <v>999.9</v>
      </c>
      <c r="DD36">
        <v>76.974999999999994</v>
      </c>
      <c r="DE36">
        <v>22.829000000000001</v>
      </c>
      <c r="DF36">
        <v>21.383500000000002</v>
      </c>
      <c r="DG36">
        <v>30.54</v>
      </c>
      <c r="DH36">
        <v>15.837300000000001</v>
      </c>
      <c r="DI36">
        <v>2</v>
      </c>
      <c r="DJ36">
        <v>-0.21413199999999999</v>
      </c>
      <c r="DK36">
        <v>1.5522199999999999</v>
      </c>
      <c r="DL36">
        <v>20.224299999999999</v>
      </c>
      <c r="DM36">
        <v>5.2523900000000001</v>
      </c>
      <c r="DN36">
        <v>12.033899999999999</v>
      </c>
      <c r="DO36">
        <v>4.9677600000000002</v>
      </c>
      <c r="DP36">
        <v>3.2909999999999999</v>
      </c>
      <c r="DQ36">
        <v>9999</v>
      </c>
      <c r="DR36">
        <v>9999</v>
      </c>
      <c r="DS36">
        <v>596.4</v>
      </c>
      <c r="DT36">
        <v>9999</v>
      </c>
      <c r="DU36">
        <v>1.8709199999999999</v>
      </c>
      <c r="DV36">
        <v>1.8760600000000001</v>
      </c>
      <c r="DW36">
        <v>1.87622</v>
      </c>
      <c r="DX36">
        <v>1.8827799999999999</v>
      </c>
      <c r="DY36">
        <v>1.87547</v>
      </c>
      <c r="DZ36">
        <v>1.8745400000000001</v>
      </c>
      <c r="EA36">
        <v>1.8707199999999999</v>
      </c>
      <c r="EB36">
        <v>1.8745499999999999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-1.19</v>
      </c>
      <c r="EQ36">
        <v>8.9499999999999996E-2</v>
      </c>
      <c r="ER36">
        <v>-1.1905454545454901</v>
      </c>
      <c r="ES36">
        <v>0</v>
      </c>
      <c r="ET36">
        <v>0</v>
      </c>
      <c r="EU36">
        <v>0</v>
      </c>
      <c r="EV36">
        <v>8.95600000000005E-2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4.8</v>
      </c>
      <c r="FE36">
        <v>4.8</v>
      </c>
      <c r="FF36">
        <v>1.22803</v>
      </c>
      <c r="FG36">
        <v>2.5573700000000001</v>
      </c>
      <c r="FH36">
        <v>2.19604</v>
      </c>
      <c r="FI36">
        <v>2.5842299999999998</v>
      </c>
      <c r="FJ36">
        <v>2.4462899999999999</v>
      </c>
      <c r="FK36">
        <v>2.2607400000000002</v>
      </c>
      <c r="FL36">
        <v>28.269200000000001</v>
      </c>
      <c r="FM36">
        <v>24.157499999999999</v>
      </c>
      <c r="FN36">
        <v>19</v>
      </c>
      <c r="FO36">
        <v>862.36800000000005</v>
      </c>
      <c r="FP36">
        <v>611.22</v>
      </c>
      <c r="FQ36">
        <v>18.546399999999998</v>
      </c>
      <c r="FR36">
        <v>24.2789</v>
      </c>
      <c r="FS36">
        <v>30.000399999999999</v>
      </c>
      <c r="FT36">
        <v>24.222999999999999</v>
      </c>
      <c r="FU36">
        <v>24.222100000000001</v>
      </c>
      <c r="FV36">
        <v>24.6433</v>
      </c>
      <c r="FW36">
        <v>40.313800000000001</v>
      </c>
      <c r="FX36">
        <v>81.442999999999998</v>
      </c>
      <c r="FY36">
        <v>18.547499999999999</v>
      </c>
      <c r="FZ36">
        <v>410</v>
      </c>
      <c r="GA36">
        <v>13.7674</v>
      </c>
      <c r="GB36">
        <v>99.944400000000002</v>
      </c>
      <c r="GC36">
        <v>99.561899999999994</v>
      </c>
    </row>
    <row r="37" spans="1:185" x14ac:dyDescent="0.2">
      <c r="A37">
        <v>22</v>
      </c>
      <c r="B37">
        <v>1770998950</v>
      </c>
      <c r="C37">
        <v>326.90000009536698</v>
      </c>
      <c r="D37" t="s">
        <v>337</v>
      </c>
      <c r="E37" t="s">
        <v>338</v>
      </c>
      <c r="F37">
        <v>15</v>
      </c>
      <c r="G37">
        <v>1770998941.9333301</v>
      </c>
      <c r="H37">
        <f t="shared" si="0"/>
        <v>1.2653134827928878E-3</v>
      </c>
      <c r="I37">
        <v>0</v>
      </c>
      <c r="J37">
        <f t="shared" si="12"/>
        <v>1.5380052827968898E-2</v>
      </c>
      <c r="K37">
        <f t="shared" si="1"/>
        <v>0.27501463515522462</v>
      </c>
      <c r="L37">
        <f t="shared" si="2"/>
        <v>69.758390465709567</v>
      </c>
      <c r="M37">
        <f t="shared" si="3"/>
        <v>1.5381537828364527</v>
      </c>
      <c r="N37">
        <f t="shared" si="4"/>
        <v>2.2049731545806628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26311.254335829897</v>
      </c>
      <c r="T37">
        <f t="shared" si="8"/>
        <v>299.99979999999999</v>
      </c>
      <c r="U37">
        <f t="shared" si="9"/>
        <v>252.89993339993197</v>
      </c>
      <c r="V37">
        <f t="shared" si="10"/>
        <v>0.8430003399999999</v>
      </c>
      <c r="W37">
        <f t="shared" si="11"/>
        <v>0.15870084999999998</v>
      </c>
      <c r="X37">
        <v>1</v>
      </c>
      <c r="Y37">
        <v>1770998941.9333301</v>
      </c>
      <c r="Z37">
        <v>409.00986666666699</v>
      </c>
      <c r="AA37">
        <v>410.00053333333301</v>
      </c>
      <c r="AB37">
        <v>15.301460000000001</v>
      </c>
      <c r="AC37">
        <v>13.7440333333333</v>
      </c>
      <c r="AD37">
        <v>410.20033333333299</v>
      </c>
      <c r="AE37">
        <v>15.2119133333333</v>
      </c>
      <c r="AF37">
        <v>800.00706666666701</v>
      </c>
      <c r="AG37">
        <v>100.458333333333</v>
      </c>
      <c r="AH37">
        <v>6.5001226666666703E-2</v>
      </c>
      <c r="AI37">
        <v>18.9984933333333</v>
      </c>
      <c r="AJ37">
        <v>999.9</v>
      </c>
      <c r="AK37">
        <v>999.9</v>
      </c>
      <c r="AL37">
        <v>0</v>
      </c>
      <c r="AM37">
        <v>0</v>
      </c>
      <c r="AN37">
        <v>4994.8666666666704</v>
      </c>
      <c r="AO37">
        <v>0</v>
      </c>
      <c r="AP37">
        <v>1.86317</v>
      </c>
      <c r="AQ37">
        <v>-0.99057379999999995</v>
      </c>
      <c r="AR37">
        <v>415.36559999999997</v>
      </c>
      <c r="AS37">
        <v>415.71406666666701</v>
      </c>
      <c r="AT37">
        <v>1.5574253333333301</v>
      </c>
      <c r="AU37">
        <v>410.00053333333301</v>
      </c>
      <c r="AV37">
        <v>13.7440333333333</v>
      </c>
      <c r="AW37">
        <v>1.5371619999999999</v>
      </c>
      <c r="AX37">
        <v>1.38070466666667</v>
      </c>
      <c r="AY37">
        <v>13.3429</v>
      </c>
      <c r="AZ37">
        <v>11.707366666666699</v>
      </c>
      <c r="BA37">
        <v>299.99979999999999</v>
      </c>
      <c r="BB37">
        <v>0.89998866666666699</v>
      </c>
      <c r="BC37">
        <v>0</v>
      </c>
      <c r="BD37">
        <v>0.10001133333333299</v>
      </c>
      <c r="BE37">
        <v>0</v>
      </c>
      <c r="BF37">
        <v>24</v>
      </c>
      <c r="BG37">
        <v>4946.61466666667</v>
      </c>
      <c r="BH37">
        <v>1770998647.0999999</v>
      </c>
      <c r="BI37" t="s">
        <v>289</v>
      </c>
      <c r="BJ37">
        <v>1770998646.0999999</v>
      </c>
      <c r="BK37">
        <v>1770998647.0999999</v>
      </c>
      <c r="BL37">
        <v>1</v>
      </c>
      <c r="BM37">
        <v>-0.376</v>
      </c>
      <c r="BN37">
        <v>4.2000000000000003E-2</v>
      </c>
      <c r="BO37">
        <v>-1.1910000000000001</v>
      </c>
      <c r="BP37">
        <v>0.09</v>
      </c>
      <c r="BQ37">
        <v>410</v>
      </c>
      <c r="BR37">
        <v>14</v>
      </c>
      <c r="BS37">
        <v>0.41</v>
      </c>
      <c r="BT37">
        <v>0.04</v>
      </c>
      <c r="BU37">
        <v>-0.98015166666666698</v>
      </c>
      <c r="BV37">
        <v>-0.152371714285715</v>
      </c>
      <c r="BW37">
        <v>2.5801456044800001E-2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1.55836523809524</v>
      </c>
      <c r="CD37">
        <v>-1.0431428571429599E-2</v>
      </c>
      <c r="CE37">
        <v>1.9026087830675601E-3</v>
      </c>
      <c r="CF37">
        <v>1</v>
      </c>
      <c r="CG37">
        <v>2</v>
      </c>
      <c r="CH37">
        <v>2</v>
      </c>
      <c r="CI37" t="s">
        <v>304</v>
      </c>
      <c r="CJ37">
        <v>3.5324900000000001</v>
      </c>
      <c r="CK37">
        <v>2.7026599999999998</v>
      </c>
      <c r="CL37">
        <v>9.8489599999999997E-2</v>
      </c>
      <c r="CM37">
        <v>9.7230499999999997E-2</v>
      </c>
      <c r="CN37">
        <v>8.7287400000000001E-2</v>
      </c>
      <c r="CO37">
        <v>7.9744700000000002E-2</v>
      </c>
      <c r="CP37">
        <v>31649.5</v>
      </c>
      <c r="CQ37">
        <v>27766.400000000001</v>
      </c>
      <c r="CR37">
        <v>32488.2</v>
      </c>
      <c r="CS37">
        <v>30678.799999999999</v>
      </c>
      <c r="CT37">
        <v>40126.9</v>
      </c>
      <c r="CU37">
        <v>39681.800000000003</v>
      </c>
      <c r="CV37">
        <v>47421.599999999999</v>
      </c>
      <c r="CW37">
        <v>46758.400000000001</v>
      </c>
      <c r="CX37">
        <v>2.6417799999999998</v>
      </c>
      <c r="CY37">
        <v>2.1931600000000002</v>
      </c>
      <c r="CZ37">
        <v>0</v>
      </c>
      <c r="DA37">
        <v>0</v>
      </c>
      <c r="DB37">
        <v>999.9</v>
      </c>
      <c r="DC37">
        <v>999.9</v>
      </c>
      <c r="DD37">
        <v>76.900999999999996</v>
      </c>
      <c r="DE37">
        <v>22.838999999999999</v>
      </c>
      <c r="DF37">
        <v>21.376799999999999</v>
      </c>
      <c r="DG37">
        <v>30.51</v>
      </c>
      <c r="DH37">
        <v>15.7812</v>
      </c>
      <c r="DI37">
        <v>2</v>
      </c>
      <c r="DJ37">
        <v>-0.21374199999999999</v>
      </c>
      <c r="DK37">
        <v>1.5522400000000001</v>
      </c>
      <c r="DL37">
        <v>20.224</v>
      </c>
      <c r="DM37">
        <v>5.2526299999999999</v>
      </c>
      <c r="DN37">
        <v>12.033899999999999</v>
      </c>
      <c r="DO37">
        <v>4.9676</v>
      </c>
      <c r="DP37">
        <v>3.2909999999999999</v>
      </c>
      <c r="DQ37">
        <v>9999</v>
      </c>
      <c r="DR37">
        <v>9999</v>
      </c>
      <c r="DS37">
        <v>596.4</v>
      </c>
      <c r="DT37">
        <v>9999</v>
      </c>
      <c r="DU37">
        <v>1.87097</v>
      </c>
      <c r="DV37">
        <v>1.8760600000000001</v>
      </c>
      <c r="DW37">
        <v>1.87622</v>
      </c>
      <c r="DX37">
        <v>1.8827799999999999</v>
      </c>
      <c r="DY37">
        <v>1.87547</v>
      </c>
      <c r="DZ37">
        <v>1.8745400000000001</v>
      </c>
      <c r="EA37">
        <v>1.87073</v>
      </c>
      <c r="EB37">
        <v>1.8745499999999999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-1.1910000000000001</v>
      </c>
      <c r="EQ37">
        <v>8.9599999999999999E-2</v>
      </c>
      <c r="ER37">
        <v>-1.1905454545454901</v>
      </c>
      <c r="ES37">
        <v>0</v>
      </c>
      <c r="ET37">
        <v>0</v>
      </c>
      <c r="EU37">
        <v>0</v>
      </c>
      <c r="EV37">
        <v>8.95600000000005E-2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5.0999999999999996</v>
      </c>
      <c r="FE37">
        <v>5</v>
      </c>
      <c r="FF37">
        <v>1.22803</v>
      </c>
      <c r="FG37">
        <v>2.5610400000000002</v>
      </c>
      <c r="FH37">
        <v>2.19604</v>
      </c>
      <c r="FI37">
        <v>2.5842299999999998</v>
      </c>
      <c r="FJ37">
        <v>2.4462899999999999</v>
      </c>
      <c r="FK37">
        <v>2.2351100000000002</v>
      </c>
      <c r="FL37">
        <v>28.290199999999999</v>
      </c>
      <c r="FM37">
        <v>24.157499999999999</v>
      </c>
      <c r="FN37">
        <v>19</v>
      </c>
      <c r="FO37">
        <v>862.28</v>
      </c>
      <c r="FP37">
        <v>610.92399999999998</v>
      </c>
      <c r="FQ37">
        <v>18.549700000000001</v>
      </c>
      <c r="FR37">
        <v>24.285399999999999</v>
      </c>
      <c r="FS37">
        <v>30.0002</v>
      </c>
      <c r="FT37">
        <v>24.231300000000001</v>
      </c>
      <c r="FU37">
        <v>24.230599999999999</v>
      </c>
      <c r="FV37">
        <v>24.641400000000001</v>
      </c>
      <c r="FW37">
        <v>40.313800000000001</v>
      </c>
      <c r="FX37">
        <v>81.055899999999994</v>
      </c>
      <c r="FY37">
        <v>18.550599999999999</v>
      </c>
      <c r="FZ37">
        <v>410</v>
      </c>
      <c r="GA37">
        <v>13.7674</v>
      </c>
      <c r="GB37">
        <v>99.9452</v>
      </c>
      <c r="GC37">
        <v>99.562100000000001</v>
      </c>
    </row>
    <row r="38" spans="1:185" x14ac:dyDescent="0.2">
      <c r="A38">
        <v>23</v>
      </c>
      <c r="B38">
        <v>1770998965</v>
      </c>
      <c r="C38">
        <v>341.90000009536698</v>
      </c>
      <c r="D38" t="s">
        <v>339</v>
      </c>
      <c r="E38" t="s">
        <v>340</v>
      </c>
      <c r="F38">
        <v>15</v>
      </c>
      <c r="G38">
        <v>1770998956.9333301</v>
      </c>
      <c r="H38">
        <f t="shared" si="0"/>
        <v>1.2666958980892193E-3</v>
      </c>
      <c r="I38">
        <v>0</v>
      </c>
      <c r="J38">
        <f t="shared" si="12"/>
        <v>1.5340829045293485E-2</v>
      </c>
      <c r="K38">
        <f t="shared" si="1"/>
        <v>0.27431326472415107</v>
      </c>
      <c r="L38">
        <f t="shared" si="2"/>
        <v>69.726936992120656</v>
      </c>
      <c r="M38">
        <f t="shared" si="3"/>
        <v>1.5377097116283316</v>
      </c>
      <c r="N38">
        <f t="shared" si="4"/>
        <v>2.2053309351622561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26331.070075272051</v>
      </c>
      <c r="T38">
        <f t="shared" si="8"/>
        <v>300.00086666666698</v>
      </c>
      <c r="U38">
        <f t="shared" si="9"/>
        <v>252.9008452003313</v>
      </c>
      <c r="V38">
        <f t="shared" si="10"/>
        <v>0.84300038199999994</v>
      </c>
      <c r="W38">
        <f t="shared" si="11"/>
        <v>0.15870095499999998</v>
      </c>
      <c r="X38">
        <v>1</v>
      </c>
      <c r="Y38">
        <v>1770998956.9333301</v>
      </c>
      <c r="Z38">
        <v>408.99426666666699</v>
      </c>
      <c r="AA38">
        <v>409.984733333333</v>
      </c>
      <c r="AB38">
        <v>15.2971133333333</v>
      </c>
      <c r="AC38">
        <v>13.7379866666667</v>
      </c>
      <c r="AD38">
        <v>410.18473333333299</v>
      </c>
      <c r="AE38">
        <v>15.207546666666699</v>
      </c>
      <c r="AF38">
        <v>800.01139999999998</v>
      </c>
      <c r="AG38">
        <v>100.458133333333</v>
      </c>
      <c r="AH38">
        <v>6.4735139999999997E-2</v>
      </c>
      <c r="AI38">
        <v>19.001093333333301</v>
      </c>
      <c r="AJ38">
        <v>999.9</v>
      </c>
      <c r="AK38">
        <v>999.9</v>
      </c>
      <c r="AL38">
        <v>0</v>
      </c>
      <c r="AM38">
        <v>0</v>
      </c>
      <c r="AN38">
        <v>4998.1666666666697</v>
      </c>
      <c r="AO38">
        <v>0</v>
      </c>
      <c r="AP38">
        <v>1.86317</v>
      </c>
      <c r="AQ38">
        <v>-0.99048599999999998</v>
      </c>
      <c r="AR38">
        <v>415.34780000000001</v>
      </c>
      <c r="AS38">
        <v>415.69546666666702</v>
      </c>
      <c r="AT38">
        <v>1.5591219999999999</v>
      </c>
      <c r="AU38">
        <v>409.984733333333</v>
      </c>
      <c r="AV38">
        <v>13.7379866666667</v>
      </c>
      <c r="AW38">
        <v>1.5367186666666699</v>
      </c>
      <c r="AX38">
        <v>1.38009266666667</v>
      </c>
      <c r="AY38">
        <v>13.338473333333299</v>
      </c>
      <c r="AZ38">
        <v>11.7006333333333</v>
      </c>
      <c r="BA38">
        <v>300.00086666666698</v>
      </c>
      <c r="BB38">
        <v>0.89998726666666695</v>
      </c>
      <c r="BC38">
        <v>0</v>
      </c>
      <c r="BD38">
        <v>0.10001273333333301</v>
      </c>
      <c r="BE38">
        <v>0</v>
      </c>
      <c r="BF38">
        <v>24</v>
      </c>
      <c r="BG38">
        <v>4946.6313333333301</v>
      </c>
      <c r="BH38">
        <v>1770998647.0999999</v>
      </c>
      <c r="BI38" t="s">
        <v>289</v>
      </c>
      <c r="BJ38">
        <v>1770998646.0999999</v>
      </c>
      <c r="BK38">
        <v>1770998647.0999999</v>
      </c>
      <c r="BL38">
        <v>1</v>
      </c>
      <c r="BM38">
        <v>-0.376</v>
      </c>
      <c r="BN38">
        <v>4.2000000000000003E-2</v>
      </c>
      <c r="BO38">
        <v>-1.1910000000000001</v>
      </c>
      <c r="BP38">
        <v>0.09</v>
      </c>
      <c r="BQ38">
        <v>410</v>
      </c>
      <c r="BR38">
        <v>14</v>
      </c>
      <c r="BS38">
        <v>0.41</v>
      </c>
      <c r="BT38">
        <v>0.04</v>
      </c>
      <c r="BU38">
        <v>-0.98984784999999997</v>
      </c>
      <c r="BV38">
        <v>-5.6336165413532903E-2</v>
      </c>
      <c r="BW38">
        <v>1.7583808481881801E-2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1.5588150000000001</v>
      </c>
      <c r="CD38">
        <v>1.53581954887211E-2</v>
      </c>
      <c r="CE38">
        <v>2.2784391587224698E-3</v>
      </c>
      <c r="CF38">
        <v>1</v>
      </c>
      <c r="CG38">
        <v>2</v>
      </c>
      <c r="CH38">
        <v>2</v>
      </c>
      <c r="CI38" t="s">
        <v>304</v>
      </c>
      <c r="CJ38">
        <v>3.5324399999999998</v>
      </c>
      <c r="CK38">
        <v>2.7027100000000002</v>
      </c>
      <c r="CL38">
        <v>9.8486299999999999E-2</v>
      </c>
      <c r="CM38">
        <v>9.7231300000000007E-2</v>
      </c>
      <c r="CN38">
        <v>8.7262800000000001E-2</v>
      </c>
      <c r="CO38">
        <v>7.9707399999999998E-2</v>
      </c>
      <c r="CP38">
        <v>31648.9</v>
      </c>
      <c r="CQ38">
        <v>27766.9</v>
      </c>
      <c r="CR38">
        <v>32487.5</v>
      </c>
      <c r="CS38">
        <v>30679.4</v>
      </c>
      <c r="CT38">
        <v>40127.199999999997</v>
      </c>
      <c r="CU38">
        <v>39684.199999999997</v>
      </c>
      <c r="CV38">
        <v>47420.6</v>
      </c>
      <c r="CW38">
        <v>46759.3</v>
      </c>
      <c r="CX38">
        <v>2.6415999999999999</v>
      </c>
      <c r="CY38">
        <v>2.1928999999999998</v>
      </c>
      <c r="CZ38">
        <v>0</v>
      </c>
      <c r="DA38">
        <v>0</v>
      </c>
      <c r="DB38">
        <v>999.9</v>
      </c>
      <c r="DC38">
        <v>999.9</v>
      </c>
      <c r="DD38">
        <v>76.828000000000003</v>
      </c>
      <c r="DE38">
        <v>22.87</v>
      </c>
      <c r="DF38">
        <v>21.3962</v>
      </c>
      <c r="DG38">
        <v>30.36</v>
      </c>
      <c r="DH38">
        <v>15.761200000000001</v>
      </c>
      <c r="DI38">
        <v>2</v>
      </c>
      <c r="DJ38">
        <v>-0.21319099999999999</v>
      </c>
      <c r="DK38">
        <v>1.59518</v>
      </c>
      <c r="DL38">
        <v>20.223400000000002</v>
      </c>
      <c r="DM38">
        <v>5.2523900000000001</v>
      </c>
      <c r="DN38">
        <v>12.033899999999999</v>
      </c>
      <c r="DO38">
        <v>4.9677199999999999</v>
      </c>
      <c r="DP38">
        <v>3.2909999999999999</v>
      </c>
      <c r="DQ38">
        <v>9999</v>
      </c>
      <c r="DR38">
        <v>9999</v>
      </c>
      <c r="DS38">
        <v>596.4</v>
      </c>
      <c r="DT38">
        <v>9999</v>
      </c>
      <c r="DU38">
        <v>1.8709499999999999</v>
      </c>
      <c r="DV38">
        <v>1.8760600000000001</v>
      </c>
      <c r="DW38">
        <v>1.87622</v>
      </c>
      <c r="DX38">
        <v>1.8827700000000001</v>
      </c>
      <c r="DY38">
        <v>1.87547</v>
      </c>
      <c r="DZ38">
        <v>1.8745400000000001</v>
      </c>
      <c r="EA38">
        <v>1.8707199999999999</v>
      </c>
      <c r="EB38">
        <v>1.8745400000000001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-1.19</v>
      </c>
      <c r="EQ38">
        <v>8.9599999999999999E-2</v>
      </c>
      <c r="ER38">
        <v>-1.1905454545454901</v>
      </c>
      <c r="ES38">
        <v>0</v>
      </c>
      <c r="ET38">
        <v>0</v>
      </c>
      <c r="EU38">
        <v>0</v>
      </c>
      <c r="EV38">
        <v>8.95600000000005E-2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5.3</v>
      </c>
      <c r="FE38">
        <v>5.3</v>
      </c>
      <c r="FF38">
        <v>1.22803</v>
      </c>
      <c r="FG38">
        <v>2.5622600000000002</v>
      </c>
      <c r="FH38">
        <v>2.19604</v>
      </c>
      <c r="FI38">
        <v>2.5842299999999998</v>
      </c>
      <c r="FJ38">
        <v>2.4462899999999999</v>
      </c>
      <c r="FK38">
        <v>2.2912599999999999</v>
      </c>
      <c r="FL38">
        <v>28.311199999999999</v>
      </c>
      <c r="FM38">
        <v>24.157499999999999</v>
      </c>
      <c r="FN38">
        <v>19</v>
      </c>
      <c r="FO38">
        <v>862.24800000000005</v>
      </c>
      <c r="FP38">
        <v>610.81500000000005</v>
      </c>
      <c r="FQ38">
        <v>18.543299999999999</v>
      </c>
      <c r="FR38">
        <v>24.292000000000002</v>
      </c>
      <c r="FS38">
        <v>30.0002</v>
      </c>
      <c r="FT38">
        <v>24.2394</v>
      </c>
      <c r="FU38">
        <v>24.238700000000001</v>
      </c>
      <c r="FV38">
        <v>24.6433</v>
      </c>
      <c r="FW38">
        <v>40.313800000000001</v>
      </c>
      <c r="FX38">
        <v>80.670199999999994</v>
      </c>
      <c r="FY38">
        <v>18.5382</v>
      </c>
      <c r="FZ38">
        <v>410</v>
      </c>
      <c r="GA38">
        <v>13.7674</v>
      </c>
      <c r="GB38">
        <v>99.942999999999998</v>
      </c>
      <c r="GC38">
        <v>99.563999999999993</v>
      </c>
    </row>
    <row r="39" spans="1:185" x14ac:dyDescent="0.2">
      <c r="A39">
        <v>24</v>
      </c>
      <c r="B39">
        <v>1770998980</v>
      </c>
      <c r="C39">
        <v>356.90000009536698</v>
      </c>
      <c r="D39" t="s">
        <v>341</v>
      </c>
      <c r="E39" t="s">
        <v>342</v>
      </c>
      <c r="F39">
        <v>15</v>
      </c>
      <c r="G39">
        <v>1770998971.9333301</v>
      </c>
      <c r="H39">
        <f t="shared" si="0"/>
        <v>1.2718722627848822E-3</v>
      </c>
      <c r="I39">
        <v>0</v>
      </c>
      <c r="J39">
        <f t="shared" si="12"/>
        <v>1.5652149163944716E-2</v>
      </c>
      <c r="K39">
        <f t="shared" si="1"/>
        <v>0.27988005892213019</v>
      </c>
      <c r="L39">
        <f t="shared" si="2"/>
        <v>69.726920651289063</v>
      </c>
      <c r="M39">
        <f t="shared" si="3"/>
        <v>1.5376876012341225</v>
      </c>
      <c r="N39">
        <f t="shared" si="4"/>
        <v>2.205299742009609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26363.011371361266</v>
      </c>
      <c r="T39">
        <f t="shared" si="8"/>
        <v>300.00080000000003</v>
      </c>
      <c r="U39">
        <f t="shared" si="9"/>
        <v>252.90085080047041</v>
      </c>
      <c r="V39">
        <f t="shared" si="10"/>
        <v>0.843000588</v>
      </c>
      <c r="W39">
        <f t="shared" si="11"/>
        <v>0.15870147000000001</v>
      </c>
      <c r="X39">
        <v>1</v>
      </c>
      <c r="Y39">
        <v>1770998971.9333301</v>
      </c>
      <c r="Z39">
        <v>408.98793333333299</v>
      </c>
      <c r="AA39">
        <v>409.988</v>
      </c>
      <c r="AB39">
        <v>15.296946666666701</v>
      </c>
      <c r="AC39">
        <v>13.731439999999999</v>
      </c>
      <c r="AD39">
        <v>410.178333333333</v>
      </c>
      <c r="AE39">
        <v>15.207413333333299</v>
      </c>
      <c r="AF39">
        <v>800.00713333333294</v>
      </c>
      <c r="AG39">
        <v>100.457533333333</v>
      </c>
      <c r="AH39">
        <v>6.4984966666666699E-2</v>
      </c>
      <c r="AI39">
        <v>19.000866666666699</v>
      </c>
      <c r="AJ39">
        <v>999.9</v>
      </c>
      <c r="AK39">
        <v>999.9</v>
      </c>
      <c r="AL39">
        <v>0</v>
      </c>
      <c r="AM39">
        <v>0</v>
      </c>
      <c r="AN39">
        <v>5003.4333333333298</v>
      </c>
      <c r="AO39">
        <v>0</v>
      </c>
      <c r="AP39">
        <v>1.86317</v>
      </c>
      <c r="AQ39">
        <v>-1.0002483333333301</v>
      </c>
      <c r="AR39">
        <v>415.34120000000001</v>
      </c>
      <c r="AS39">
        <v>415.69613333333302</v>
      </c>
      <c r="AT39">
        <v>1.565526</v>
      </c>
      <c r="AU39">
        <v>409.988</v>
      </c>
      <c r="AV39">
        <v>13.731439999999999</v>
      </c>
      <c r="AW39">
        <v>1.53669533333333</v>
      </c>
      <c r="AX39">
        <v>1.37942733333333</v>
      </c>
      <c r="AY39">
        <v>13.3382533333333</v>
      </c>
      <c r="AZ39">
        <v>11.69336</v>
      </c>
      <c r="BA39">
        <v>300.00080000000003</v>
      </c>
      <c r="BB39">
        <v>0.89998040000000001</v>
      </c>
      <c r="BC39">
        <v>0</v>
      </c>
      <c r="BD39">
        <v>0.1000196</v>
      </c>
      <c r="BE39">
        <v>0</v>
      </c>
      <c r="BF39">
        <v>24</v>
      </c>
      <c r="BG39">
        <v>4946.6186666666699</v>
      </c>
      <c r="BH39">
        <v>1770998647.0999999</v>
      </c>
      <c r="BI39" t="s">
        <v>289</v>
      </c>
      <c r="BJ39">
        <v>1770998646.0999999</v>
      </c>
      <c r="BK39">
        <v>1770998647.0999999</v>
      </c>
      <c r="BL39">
        <v>1</v>
      </c>
      <c r="BM39">
        <v>-0.376</v>
      </c>
      <c r="BN39">
        <v>4.2000000000000003E-2</v>
      </c>
      <c r="BO39">
        <v>-1.1910000000000001</v>
      </c>
      <c r="BP39">
        <v>0.09</v>
      </c>
      <c r="BQ39">
        <v>410</v>
      </c>
      <c r="BR39">
        <v>14</v>
      </c>
      <c r="BS39">
        <v>0.41</v>
      </c>
      <c r="BT39">
        <v>0.04</v>
      </c>
      <c r="BU39">
        <v>-1.00059428571429</v>
      </c>
      <c r="BV39">
        <v>2.51282337662329E-2</v>
      </c>
      <c r="BW39">
        <v>2.1538978162840498E-2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1.5644152380952401</v>
      </c>
      <c r="CD39">
        <v>2.91015584415572E-2</v>
      </c>
      <c r="CE39">
        <v>5.0625399413334196E-3</v>
      </c>
      <c r="CF39">
        <v>1</v>
      </c>
      <c r="CG39">
        <v>2</v>
      </c>
      <c r="CH39">
        <v>2</v>
      </c>
      <c r="CI39" t="s">
        <v>304</v>
      </c>
      <c r="CJ39">
        <v>3.5325299999999999</v>
      </c>
      <c r="CK39">
        <v>2.7026599999999998</v>
      </c>
      <c r="CL39">
        <v>9.8484600000000005E-2</v>
      </c>
      <c r="CM39">
        <v>9.7226900000000005E-2</v>
      </c>
      <c r="CN39">
        <v>8.72309E-2</v>
      </c>
      <c r="CO39">
        <v>7.9689399999999994E-2</v>
      </c>
      <c r="CP39">
        <v>31649.7</v>
      </c>
      <c r="CQ39">
        <v>27766.799999999999</v>
      </c>
      <c r="CR39">
        <v>32488.3</v>
      </c>
      <c r="CS39">
        <v>30679.1</v>
      </c>
      <c r="CT39">
        <v>40129.699999999997</v>
      </c>
      <c r="CU39">
        <v>39685</v>
      </c>
      <c r="CV39">
        <v>47421.8</v>
      </c>
      <c r="CW39">
        <v>46759.4</v>
      </c>
      <c r="CX39">
        <v>2.6415199999999999</v>
      </c>
      <c r="CY39">
        <v>2.1922799999999998</v>
      </c>
      <c r="CZ39">
        <v>0</v>
      </c>
      <c r="DA39">
        <v>0</v>
      </c>
      <c r="DB39">
        <v>999.9</v>
      </c>
      <c r="DC39">
        <v>999.9</v>
      </c>
      <c r="DD39">
        <v>76.760999999999996</v>
      </c>
      <c r="DE39">
        <v>22.89</v>
      </c>
      <c r="DF39">
        <v>21.403600000000001</v>
      </c>
      <c r="DG39">
        <v>30.42</v>
      </c>
      <c r="DH39">
        <v>15.745200000000001</v>
      </c>
      <c r="DI39">
        <v>2</v>
      </c>
      <c r="DJ39">
        <v>-0.21257300000000001</v>
      </c>
      <c r="DK39">
        <v>1.57403</v>
      </c>
      <c r="DL39">
        <v>20.223400000000002</v>
      </c>
      <c r="DM39">
        <v>5.2492799999999997</v>
      </c>
      <c r="DN39">
        <v>12.033899999999999</v>
      </c>
      <c r="DO39">
        <v>4.96732</v>
      </c>
      <c r="DP39">
        <v>3.2906399999999998</v>
      </c>
      <c r="DQ39">
        <v>9999</v>
      </c>
      <c r="DR39">
        <v>9999</v>
      </c>
      <c r="DS39">
        <v>596.4</v>
      </c>
      <c r="DT39">
        <v>9999</v>
      </c>
      <c r="DU39">
        <v>1.8709100000000001</v>
      </c>
      <c r="DV39">
        <v>1.8760600000000001</v>
      </c>
      <c r="DW39">
        <v>1.87622</v>
      </c>
      <c r="DX39">
        <v>1.8827700000000001</v>
      </c>
      <c r="DY39">
        <v>1.8754599999999999</v>
      </c>
      <c r="DZ39">
        <v>1.8745400000000001</v>
      </c>
      <c r="EA39">
        <v>1.87069</v>
      </c>
      <c r="EB39">
        <v>1.8745400000000001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-1.19</v>
      </c>
      <c r="EQ39">
        <v>8.9599999999999999E-2</v>
      </c>
      <c r="ER39">
        <v>-1.1905454545454901</v>
      </c>
      <c r="ES39">
        <v>0</v>
      </c>
      <c r="ET39">
        <v>0</v>
      </c>
      <c r="EU39">
        <v>0</v>
      </c>
      <c r="EV39">
        <v>8.95600000000005E-2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5.6</v>
      </c>
      <c r="FE39">
        <v>5.5</v>
      </c>
      <c r="FF39">
        <v>1.22803</v>
      </c>
      <c r="FG39">
        <v>2.5610400000000002</v>
      </c>
      <c r="FH39">
        <v>2.19604</v>
      </c>
      <c r="FI39">
        <v>2.5842299999999998</v>
      </c>
      <c r="FJ39">
        <v>2.4462899999999999</v>
      </c>
      <c r="FK39">
        <v>2.2692899999999998</v>
      </c>
      <c r="FL39">
        <v>28.3322</v>
      </c>
      <c r="FM39">
        <v>24.157499999999999</v>
      </c>
      <c r="FN39">
        <v>19</v>
      </c>
      <c r="FO39">
        <v>862.30600000000004</v>
      </c>
      <c r="FP39">
        <v>610.41800000000001</v>
      </c>
      <c r="FQ39">
        <v>18.535799999999998</v>
      </c>
      <c r="FR39">
        <v>24.298100000000002</v>
      </c>
      <c r="FS39">
        <v>30.000299999999999</v>
      </c>
      <c r="FT39">
        <v>24.247399999999999</v>
      </c>
      <c r="FU39">
        <v>24.2468</v>
      </c>
      <c r="FV39">
        <v>24.645800000000001</v>
      </c>
      <c r="FW39">
        <v>40.313800000000001</v>
      </c>
      <c r="FX39">
        <v>79.900999999999996</v>
      </c>
      <c r="FY39">
        <v>18.535699999999999</v>
      </c>
      <c r="FZ39">
        <v>410</v>
      </c>
      <c r="GA39">
        <v>13.768599999999999</v>
      </c>
      <c r="GB39">
        <v>99.945599999999999</v>
      </c>
      <c r="GC39">
        <v>99.563800000000001</v>
      </c>
    </row>
    <row r="40" spans="1:185" x14ac:dyDescent="0.2">
      <c r="A40">
        <v>25</v>
      </c>
      <c r="B40">
        <v>1770998995</v>
      </c>
      <c r="C40">
        <v>371.90000009536698</v>
      </c>
      <c r="D40" t="s">
        <v>343</v>
      </c>
      <c r="E40" t="s">
        <v>344</v>
      </c>
      <c r="F40">
        <v>15</v>
      </c>
      <c r="G40">
        <v>1770998986.9333301</v>
      </c>
      <c r="H40">
        <f t="shared" si="0"/>
        <v>1.26360998019586E-3</v>
      </c>
      <c r="I40">
        <v>0</v>
      </c>
      <c r="J40">
        <f t="shared" si="12"/>
        <v>1.564742580090682E-2</v>
      </c>
      <c r="K40">
        <f t="shared" si="1"/>
        <v>0.2797955992666854</v>
      </c>
      <c r="L40">
        <f t="shared" si="2"/>
        <v>69.64930237029337</v>
      </c>
      <c r="M40">
        <f t="shared" si="3"/>
        <v>1.5360877123975729</v>
      </c>
      <c r="N40">
        <f t="shared" si="4"/>
        <v>2.2054602991296304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26333.323627698301</v>
      </c>
      <c r="T40">
        <f t="shared" si="8"/>
        <v>300.00020000000001</v>
      </c>
      <c r="U40">
        <f t="shared" si="9"/>
        <v>252.90032160010199</v>
      </c>
      <c r="V40">
        <f t="shared" si="10"/>
        <v>0.84300050999999998</v>
      </c>
      <c r="W40">
        <f t="shared" si="11"/>
        <v>0.158701275</v>
      </c>
      <c r="X40">
        <v>1</v>
      </c>
      <c r="Y40">
        <v>1770998986.9333301</v>
      </c>
      <c r="Z40">
        <v>408.98913333333297</v>
      </c>
      <c r="AA40">
        <v>409.98486666666702</v>
      </c>
      <c r="AB40">
        <v>15.2808733333333</v>
      </c>
      <c r="AC40">
        <v>13.725519999999999</v>
      </c>
      <c r="AD40">
        <v>410.179666666667</v>
      </c>
      <c r="AE40">
        <v>15.1913</v>
      </c>
      <c r="AF40">
        <v>800.01173333333304</v>
      </c>
      <c r="AG40">
        <v>100.45853333333299</v>
      </c>
      <c r="AH40">
        <v>6.5021759999999998E-2</v>
      </c>
      <c r="AI40">
        <v>19.002033333333301</v>
      </c>
      <c r="AJ40">
        <v>999.9</v>
      </c>
      <c r="AK40">
        <v>999.9</v>
      </c>
      <c r="AL40">
        <v>0</v>
      </c>
      <c r="AM40">
        <v>0</v>
      </c>
      <c r="AN40">
        <v>4998.5333333333301</v>
      </c>
      <c r="AO40">
        <v>0</v>
      </c>
      <c r="AP40">
        <v>1.86317</v>
      </c>
      <c r="AQ40">
        <v>-0.99583126666666699</v>
      </c>
      <c r="AR40">
        <v>415.33566666666701</v>
      </c>
      <c r="AS40">
        <v>415.69053333333301</v>
      </c>
      <c r="AT40">
        <v>1.5553526666666699</v>
      </c>
      <c r="AU40">
        <v>409.98486666666702</v>
      </c>
      <c r="AV40">
        <v>13.725519999999999</v>
      </c>
      <c r="AW40">
        <v>1.535094</v>
      </c>
      <c r="AX40">
        <v>1.378846</v>
      </c>
      <c r="AY40">
        <v>13.3222533333333</v>
      </c>
      <c r="AZ40">
        <v>11.686973333333301</v>
      </c>
      <c r="BA40">
        <v>300.00020000000001</v>
      </c>
      <c r="BB40">
        <v>0.89998299999999998</v>
      </c>
      <c r="BC40">
        <v>0</v>
      </c>
      <c r="BD40">
        <v>0.10001699999999999</v>
      </c>
      <c r="BE40">
        <v>0</v>
      </c>
      <c r="BF40">
        <v>24</v>
      </c>
      <c r="BG40">
        <v>4946.6153333333305</v>
      </c>
      <c r="BH40">
        <v>1770998647.0999999</v>
      </c>
      <c r="BI40" t="s">
        <v>289</v>
      </c>
      <c r="BJ40">
        <v>1770998646.0999999</v>
      </c>
      <c r="BK40">
        <v>1770998647.0999999</v>
      </c>
      <c r="BL40">
        <v>1</v>
      </c>
      <c r="BM40">
        <v>-0.376</v>
      </c>
      <c r="BN40">
        <v>4.2000000000000003E-2</v>
      </c>
      <c r="BO40">
        <v>-1.1910000000000001</v>
      </c>
      <c r="BP40">
        <v>0.09</v>
      </c>
      <c r="BQ40">
        <v>410</v>
      </c>
      <c r="BR40">
        <v>14</v>
      </c>
      <c r="BS40">
        <v>0.41</v>
      </c>
      <c r="BT40">
        <v>0.04</v>
      </c>
      <c r="BU40">
        <v>-0.99799510000000002</v>
      </c>
      <c r="BV40">
        <v>8.8627759398496903E-2</v>
      </c>
      <c r="BW40">
        <v>1.9689430263214801E-2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1.5584009999999999</v>
      </c>
      <c r="CD40">
        <v>-5.4469172932327302E-2</v>
      </c>
      <c r="CE40">
        <v>6.1212702113205104E-3</v>
      </c>
      <c r="CF40">
        <v>1</v>
      </c>
      <c r="CG40">
        <v>2</v>
      </c>
      <c r="CH40">
        <v>2</v>
      </c>
      <c r="CI40" t="s">
        <v>304</v>
      </c>
      <c r="CJ40">
        <v>3.5324800000000001</v>
      </c>
      <c r="CK40">
        <v>2.7029999999999998</v>
      </c>
      <c r="CL40">
        <v>9.8486000000000004E-2</v>
      </c>
      <c r="CM40">
        <v>9.7226900000000005E-2</v>
      </c>
      <c r="CN40">
        <v>8.7180800000000003E-2</v>
      </c>
      <c r="CO40">
        <v>7.9661499999999996E-2</v>
      </c>
      <c r="CP40">
        <v>31649.9</v>
      </c>
      <c r="CQ40">
        <v>27766.9</v>
      </c>
      <c r="CR40">
        <v>32488.6</v>
      </c>
      <c r="CS40">
        <v>30679.200000000001</v>
      </c>
      <c r="CT40">
        <v>40132.5</v>
      </c>
      <c r="CU40">
        <v>39686.6</v>
      </c>
      <c r="CV40">
        <v>47422.400000000001</v>
      </c>
      <c r="CW40">
        <v>46759.7</v>
      </c>
      <c r="CX40">
        <v>2.6413799999999998</v>
      </c>
      <c r="CY40">
        <v>2.1919599999999999</v>
      </c>
      <c r="CZ40">
        <v>0</v>
      </c>
      <c r="DA40">
        <v>0</v>
      </c>
      <c r="DB40">
        <v>999.9</v>
      </c>
      <c r="DC40">
        <v>999.9</v>
      </c>
      <c r="DD40">
        <v>76.676000000000002</v>
      </c>
      <c r="DE40">
        <v>22.9</v>
      </c>
      <c r="DF40">
        <v>21.3919</v>
      </c>
      <c r="DG40">
        <v>30.66</v>
      </c>
      <c r="DH40">
        <v>15.725199999999999</v>
      </c>
      <c r="DI40">
        <v>2</v>
      </c>
      <c r="DJ40">
        <v>-0.21242900000000001</v>
      </c>
      <c r="DK40">
        <v>1.5821499999999999</v>
      </c>
      <c r="DL40">
        <v>20.223700000000001</v>
      </c>
      <c r="DM40">
        <v>5.2522700000000002</v>
      </c>
      <c r="DN40">
        <v>12.033899999999999</v>
      </c>
      <c r="DO40">
        <v>4.9677199999999999</v>
      </c>
      <c r="DP40">
        <v>3.2909999999999999</v>
      </c>
      <c r="DQ40">
        <v>9999</v>
      </c>
      <c r="DR40">
        <v>9999</v>
      </c>
      <c r="DS40">
        <v>596.4</v>
      </c>
      <c r="DT40">
        <v>9999</v>
      </c>
      <c r="DU40">
        <v>1.8709</v>
      </c>
      <c r="DV40">
        <v>1.87602</v>
      </c>
      <c r="DW40">
        <v>1.87622</v>
      </c>
      <c r="DX40">
        <v>1.88276</v>
      </c>
      <c r="DY40">
        <v>1.8754599999999999</v>
      </c>
      <c r="DZ40">
        <v>1.8745400000000001</v>
      </c>
      <c r="EA40">
        <v>1.8706799999999999</v>
      </c>
      <c r="EB40">
        <v>1.8745400000000001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-1.19</v>
      </c>
      <c r="EQ40">
        <v>8.9599999999999999E-2</v>
      </c>
      <c r="ER40">
        <v>-1.1905454545454901</v>
      </c>
      <c r="ES40">
        <v>0</v>
      </c>
      <c r="ET40">
        <v>0</v>
      </c>
      <c r="EU40">
        <v>0</v>
      </c>
      <c r="EV40">
        <v>8.95600000000005E-2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5.8</v>
      </c>
      <c r="FE40">
        <v>5.8</v>
      </c>
      <c r="FF40">
        <v>1.22803</v>
      </c>
      <c r="FG40">
        <v>2.5634800000000002</v>
      </c>
      <c r="FH40">
        <v>2.19604</v>
      </c>
      <c r="FI40">
        <v>2.5830099999999998</v>
      </c>
      <c r="FJ40">
        <v>2.4462899999999999</v>
      </c>
      <c r="FK40">
        <v>2.2570800000000002</v>
      </c>
      <c r="FL40">
        <v>28.374199999999998</v>
      </c>
      <c r="FM40">
        <v>24.157499999999999</v>
      </c>
      <c r="FN40">
        <v>19</v>
      </c>
      <c r="FO40">
        <v>862.30399999999997</v>
      </c>
      <c r="FP40">
        <v>610.26</v>
      </c>
      <c r="FQ40">
        <v>18.531099999999999</v>
      </c>
      <c r="FR40">
        <v>24.304200000000002</v>
      </c>
      <c r="FS40">
        <v>30.0002</v>
      </c>
      <c r="FT40">
        <v>24.255199999999999</v>
      </c>
      <c r="FU40">
        <v>24.254999999999999</v>
      </c>
      <c r="FV40">
        <v>24.646000000000001</v>
      </c>
      <c r="FW40">
        <v>40.313800000000001</v>
      </c>
      <c r="FX40">
        <v>79.514700000000005</v>
      </c>
      <c r="FY40">
        <v>18.529599999999999</v>
      </c>
      <c r="FZ40">
        <v>410</v>
      </c>
      <c r="GA40">
        <v>13.7806</v>
      </c>
      <c r="GB40">
        <v>99.946600000000004</v>
      </c>
      <c r="GC40">
        <v>99.564300000000003</v>
      </c>
    </row>
    <row r="41" spans="1:185" x14ac:dyDescent="0.2">
      <c r="A41">
        <v>26</v>
      </c>
      <c r="B41">
        <v>1770999010</v>
      </c>
      <c r="C41">
        <v>386.90000009536698</v>
      </c>
      <c r="D41" t="s">
        <v>345</v>
      </c>
      <c r="E41" t="s">
        <v>346</v>
      </c>
      <c r="F41">
        <v>15</v>
      </c>
      <c r="G41">
        <v>1770999001.9333301</v>
      </c>
      <c r="H41">
        <f t="shared" si="0"/>
        <v>1.2639959639431501E-3</v>
      </c>
      <c r="I41">
        <v>0</v>
      </c>
      <c r="J41">
        <f t="shared" si="12"/>
        <v>1.5668299905379698E-2</v>
      </c>
      <c r="K41">
        <f t="shared" si="1"/>
        <v>0.28016885443622302</v>
      </c>
      <c r="L41">
        <f t="shared" si="2"/>
        <v>69.63692166710544</v>
      </c>
      <c r="M41">
        <f t="shared" si="3"/>
        <v>1.5356504667408857</v>
      </c>
      <c r="N41">
        <f t="shared" si="4"/>
        <v>2.2052245130563901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26387.347093884822</v>
      </c>
      <c r="T41">
        <f t="shared" si="8"/>
        <v>299.99926666666698</v>
      </c>
      <c r="U41">
        <f t="shared" si="9"/>
        <v>252.89950359970254</v>
      </c>
      <c r="V41">
        <f t="shared" si="10"/>
        <v>0.84300040600000004</v>
      </c>
      <c r="W41">
        <f t="shared" si="11"/>
        <v>0.158701015</v>
      </c>
      <c r="X41">
        <v>1</v>
      </c>
      <c r="Y41">
        <v>1770999001.9333301</v>
      </c>
      <c r="Z41">
        <v>408.98899999999998</v>
      </c>
      <c r="AA41">
        <v>409.98540000000003</v>
      </c>
      <c r="AB41">
        <v>15.2765066666667</v>
      </c>
      <c r="AC41">
        <v>13.7206666666667</v>
      </c>
      <c r="AD41">
        <v>410.17953333333298</v>
      </c>
      <c r="AE41">
        <v>15.18694</v>
      </c>
      <c r="AF41">
        <v>800.00933333333296</v>
      </c>
      <c r="AG41">
        <v>100.4588</v>
      </c>
      <c r="AH41">
        <v>6.48668466666667E-2</v>
      </c>
      <c r="AI41">
        <v>19.000319999999999</v>
      </c>
      <c r="AJ41">
        <v>999.9</v>
      </c>
      <c r="AK41">
        <v>999.9</v>
      </c>
      <c r="AL41">
        <v>0</v>
      </c>
      <c r="AM41">
        <v>0</v>
      </c>
      <c r="AN41">
        <v>5007.3666666666704</v>
      </c>
      <c r="AO41">
        <v>0</v>
      </c>
      <c r="AP41">
        <v>1.86317</v>
      </c>
      <c r="AQ41">
        <v>-0.99636266666666695</v>
      </c>
      <c r="AR41">
        <v>415.33373333333299</v>
      </c>
      <c r="AS41">
        <v>415.68893333333301</v>
      </c>
      <c r="AT41">
        <v>1.5558446666666701</v>
      </c>
      <c r="AU41">
        <v>409.98540000000003</v>
      </c>
      <c r="AV41">
        <v>13.7206666666667</v>
      </c>
      <c r="AW41">
        <v>1.5346566666666701</v>
      </c>
      <c r="AX41">
        <v>1.378358</v>
      </c>
      <c r="AY41">
        <v>13.3178933333333</v>
      </c>
      <c r="AZ41">
        <v>11.68164</v>
      </c>
      <c r="BA41">
        <v>299.99926666666698</v>
      </c>
      <c r="BB41">
        <v>0.89998646666666704</v>
      </c>
      <c r="BC41">
        <v>0</v>
      </c>
      <c r="BD41">
        <v>0.100013533333333</v>
      </c>
      <c r="BE41">
        <v>0</v>
      </c>
      <c r="BF41">
        <v>24</v>
      </c>
      <c r="BG41">
        <v>4946.6053333333302</v>
      </c>
      <c r="BH41">
        <v>1770998647.0999999</v>
      </c>
      <c r="BI41" t="s">
        <v>289</v>
      </c>
      <c r="BJ41">
        <v>1770998646.0999999</v>
      </c>
      <c r="BK41">
        <v>1770998647.0999999</v>
      </c>
      <c r="BL41">
        <v>1</v>
      </c>
      <c r="BM41">
        <v>-0.376</v>
      </c>
      <c r="BN41">
        <v>4.2000000000000003E-2</v>
      </c>
      <c r="BO41">
        <v>-1.1910000000000001</v>
      </c>
      <c r="BP41">
        <v>0.09</v>
      </c>
      <c r="BQ41">
        <v>410</v>
      </c>
      <c r="BR41">
        <v>14</v>
      </c>
      <c r="BS41">
        <v>0.41</v>
      </c>
      <c r="BT41">
        <v>0.04</v>
      </c>
      <c r="BU41">
        <v>-0.99171238095238101</v>
      </c>
      <c r="BV41">
        <v>-0.116598467532467</v>
      </c>
      <c r="BW41">
        <v>1.8191380783416498E-2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1.55536095238095</v>
      </c>
      <c r="CD41">
        <v>1.1109350649351301E-2</v>
      </c>
      <c r="CE41">
        <v>1.28852778583748E-3</v>
      </c>
      <c r="CF41">
        <v>1</v>
      </c>
      <c r="CG41">
        <v>2</v>
      </c>
      <c r="CH41">
        <v>2</v>
      </c>
      <c r="CI41" t="s">
        <v>304</v>
      </c>
      <c r="CJ41">
        <v>3.5325099999999998</v>
      </c>
      <c r="CK41">
        <v>2.7025299999999999</v>
      </c>
      <c r="CL41">
        <v>9.8482399999999998E-2</v>
      </c>
      <c r="CM41">
        <v>9.7230899999999995E-2</v>
      </c>
      <c r="CN41">
        <v>8.7175500000000003E-2</v>
      </c>
      <c r="CO41">
        <v>7.9638700000000007E-2</v>
      </c>
      <c r="CP41">
        <v>31649.599999999999</v>
      </c>
      <c r="CQ41">
        <v>27767.9</v>
      </c>
      <c r="CR41">
        <v>32488.1</v>
      </c>
      <c r="CS41">
        <v>30680.5</v>
      </c>
      <c r="CT41">
        <v>40132.400000000001</v>
      </c>
      <c r="CU41">
        <v>39689.1</v>
      </c>
      <c r="CV41">
        <v>47422</v>
      </c>
      <c r="CW41">
        <v>46761.5</v>
      </c>
      <c r="CX41">
        <v>2.6417000000000002</v>
      </c>
      <c r="CY41">
        <v>2.1918199999999999</v>
      </c>
      <c r="CZ41">
        <v>0</v>
      </c>
      <c r="DA41">
        <v>0</v>
      </c>
      <c r="DB41">
        <v>999.9</v>
      </c>
      <c r="DC41">
        <v>999.9</v>
      </c>
      <c r="DD41">
        <v>76.584000000000003</v>
      </c>
      <c r="DE41">
        <v>22.94</v>
      </c>
      <c r="DF41">
        <v>21.419</v>
      </c>
      <c r="DG41">
        <v>30.54</v>
      </c>
      <c r="DH41">
        <v>15.713100000000001</v>
      </c>
      <c r="DI41">
        <v>2</v>
      </c>
      <c r="DJ41">
        <v>-0.21215700000000001</v>
      </c>
      <c r="DK41">
        <v>1.5673999999999999</v>
      </c>
      <c r="DL41">
        <v>20.223099999999999</v>
      </c>
      <c r="DM41">
        <v>5.24796</v>
      </c>
      <c r="DN41">
        <v>12.033899999999999</v>
      </c>
      <c r="DO41">
        <v>4.9670800000000002</v>
      </c>
      <c r="DP41">
        <v>3.2904399999999998</v>
      </c>
      <c r="DQ41">
        <v>9999</v>
      </c>
      <c r="DR41">
        <v>9999</v>
      </c>
      <c r="DS41">
        <v>596.4</v>
      </c>
      <c r="DT41">
        <v>9999</v>
      </c>
      <c r="DU41">
        <v>1.87093</v>
      </c>
      <c r="DV41">
        <v>1.8760600000000001</v>
      </c>
      <c r="DW41">
        <v>1.87622</v>
      </c>
      <c r="DX41">
        <v>1.8827799999999999</v>
      </c>
      <c r="DY41">
        <v>1.87548</v>
      </c>
      <c r="DZ41">
        <v>1.8745400000000001</v>
      </c>
      <c r="EA41">
        <v>1.8707199999999999</v>
      </c>
      <c r="EB41">
        <v>1.87456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-1.19</v>
      </c>
      <c r="EQ41">
        <v>8.9599999999999999E-2</v>
      </c>
      <c r="ER41">
        <v>-1.1905454545454901</v>
      </c>
      <c r="ES41">
        <v>0</v>
      </c>
      <c r="ET41">
        <v>0</v>
      </c>
      <c r="EU41">
        <v>0</v>
      </c>
      <c r="EV41">
        <v>8.95600000000005E-2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6.1</v>
      </c>
      <c r="FE41">
        <v>6</v>
      </c>
      <c r="FF41">
        <v>1.22803</v>
      </c>
      <c r="FG41">
        <v>2.5647000000000002</v>
      </c>
      <c r="FH41">
        <v>2.19604</v>
      </c>
      <c r="FI41">
        <v>2.5830099999999998</v>
      </c>
      <c r="FJ41">
        <v>2.4462899999999999</v>
      </c>
      <c r="FK41">
        <v>2.2497600000000002</v>
      </c>
      <c r="FL41">
        <v>28.374199999999998</v>
      </c>
      <c r="FM41">
        <v>24.157499999999999</v>
      </c>
      <c r="FN41">
        <v>19</v>
      </c>
      <c r="FO41">
        <v>862.72699999999998</v>
      </c>
      <c r="FP41">
        <v>610.23699999999997</v>
      </c>
      <c r="FQ41">
        <v>18.527699999999999</v>
      </c>
      <c r="FR41">
        <v>24.309899999999999</v>
      </c>
      <c r="FS41">
        <v>30.0001</v>
      </c>
      <c r="FT41">
        <v>24.262899999999998</v>
      </c>
      <c r="FU41">
        <v>24.2623</v>
      </c>
      <c r="FV41">
        <v>24.647500000000001</v>
      </c>
      <c r="FW41">
        <v>40.313800000000001</v>
      </c>
      <c r="FX41">
        <v>78.774600000000007</v>
      </c>
      <c r="FY41">
        <v>18.5337</v>
      </c>
      <c r="FZ41">
        <v>410</v>
      </c>
      <c r="GA41">
        <v>13.7865</v>
      </c>
      <c r="GB41">
        <v>99.945599999999999</v>
      </c>
      <c r="GC41">
        <v>99.568299999999994</v>
      </c>
    </row>
    <row r="42" spans="1:185" x14ac:dyDescent="0.2">
      <c r="A42">
        <v>27</v>
      </c>
      <c r="B42">
        <v>1770999025</v>
      </c>
      <c r="C42">
        <v>401.90000009536698</v>
      </c>
      <c r="D42" t="s">
        <v>347</v>
      </c>
      <c r="E42" t="s">
        <v>348</v>
      </c>
      <c r="F42">
        <v>15</v>
      </c>
      <c r="G42">
        <v>1770999016.9333301</v>
      </c>
      <c r="H42">
        <f t="shared" si="0"/>
        <v>1.2606749916011933E-3</v>
      </c>
      <c r="I42">
        <v>0</v>
      </c>
      <c r="J42">
        <f t="shared" si="12"/>
        <v>1.6524164743256728E-2</v>
      </c>
      <c r="K42">
        <f t="shared" si="1"/>
        <v>0.29547279121483422</v>
      </c>
      <c r="L42">
        <f t="shared" si="2"/>
        <v>69.657477780751051</v>
      </c>
      <c r="M42">
        <f t="shared" si="3"/>
        <v>1.5360232571971559</v>
      </c>
      <c r="N42">
        <f t="shared" si="4"/>
        <v>2.2051089217324722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26339.136806262373</v>
      </c>
      <c r="T42">
        <f t="shared" si="8"/>
        <v>300.0018</v>
      </c>
      <c r="U42">
        <f t="shared" si="9"/>
        <v>252.90171660119518</v>
      </c>
      <c r="V42">
        <f t="shared" si="10"/>
        <v>0.84300066399999996</v>
      </c>
      <c r="W42">
        <f t="shared" si="11"/>
        <v>0.15870165999999997</v>
      </c>
      <c r="X42">
        <v>1</v>
      </c>
      <c r="Y42">
        <v>1770999016.9333301</v>
      </c>
      <c r="Z42">
        <v>408.96879999999999</v>
      </c>
      <c r="AA42">
        <v>409.98259999999999</v>
      </c>
      <c r="AB42">
        <v>15.2799666666667</v>
      </c>
      <c r="AC42">
        <v>13.72822</v>
      </c>
      <c r="AD42">
        <v>410.15940000000001</v>
      </c>
      <c r="AE42">
        <v>15.1904066666667</v>
      </c>
      <c r="AF42">
        <v>800.00940000000003</v>
      </c>
      <c r="AG42">
        <v>100.460466666667</v>
      </c>
      <c r="AH42">
        <v>6.4834906666666706E-2</v>
      </c>
      <c r="AI42">
        <v>18.999479999999998</v>
      </c>
      <c r="AJ42">
        <v>999.9</v>
      </c>
      <c r="AK42">
        <v>999.9</v>
      </c>
      <c r="AL42">
        <v>0</v>
      </c>
      <c r="AM42">
        <v>0</v>
      </c>
      <c r="AN42">
        <v>4999.3666666666704</v>
      </c>
      <c r="AO42">
        <v>0</v>
      </c>
      <c r="AP42">
        <v>1.86317</v>
      </c>
      <c r="AQ42">
        <v>-1.0137357333333299</v>
      </c>
      <c r="AR42">
        <v>415.31479999999999</v>
      </c>
      <c r="AS42">
        <v>415.68933333333302</v>
      </c>
      <c r="AT42">
        <v>1.5517386666666699</v>
      </c>
      <c r="AU42">
        <v>409.98259999999999</v>
      </c>
      <c r="AV42">
        <v>13.72822</v>
      </c>
      <c r="AW42">
        <v>1.5350299999999999</v>
      </c>
      <c r="AX42">
        <v>1.3791433333333301</v>
      </c>
      <c r="AY42">
        <v>13.321619999999999</v>
      </c>
      <c r="AZ42">
        <v>11.6902333333333</v>
      </c>
      <c r="BA42">
        <v>300.0018</v>
      </c>
      <c r="BB42">
        <v>0.89997786666666701</v>
      </c>
      <c r="BC42">
        <v>0</v>
      </c>
      <c r="BD42">
        <v>0.100022133333333</v>
      </c>
      <c r="BE42">
        <v>0</v>
      </c>
      <c r="BF42">
        <v>24</v>
      </c>
      <c r="BG42">
        <v>4946.6319999999996</v>
      </c>
      <c r="BH42">
        <v>1770998647.0999999</v>
      </c>
      <c r="BI42" t="s">
        <v>289</v>
      </c>
      <c r="BJ42">
        <v>1770998646.0999999</v>
      </c>
      <c r="BK42">
        <v>1770998647.0999999</v>
      </c>
      <c r="BL42">
        <v>1</v>
      </c>
      <c r="BM42">
        <v>-0.376</v>
      </c>
      <c r="BN42">
        <v>4.2000000000000003E-2</v>
      </c>
      <c r="BO42">
        <v>-1.1910000000000001</v>
      </c>
      <c r="BP42">
        <v>0.09</v>
      </c>
      <c r="BQ42">
        <v>410</v>
      </c>
      <c r="BR42">
        <v>14</v>
      </c>
      <c r="BS42">
        <v>0.41</v>
      </c>
      <c r="BT42">
        <v>0.04</v>
      </c>
      <c r="BU42">
        <v>-1.0124593</v>
      </c>
      <c r="BV42">
        <v>-3.9645924812029498E-2</v>
      </c>
      <c r="BW42">
        <v>1.51447271949679E-2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1.5530394999999999</v>
      </c>
      <c r="CD42">
        <v>-5.5813984962405298E-2</v>
      </c>
      <c r="CE42">
        <v>6.5182716075659298E-3</v>
      </c>
      <c r="CF42">
        <v>1</v>
      </c>
      <c r="CG42">
        <v>2</v>
      </c>
      <c r="CH42">
        <v>2</v>
      </c>
      <c r="CI42" t="s">
        <v>304</v>
      </c>
      <c r="CJ42">
        <v>3.5325299999999999</v>
      </c>
      <c r="CK42">
        <v>2.7025899999999998</v>
      </c>
      <c r="CL42">
        <v>9.8478999999999997E-2</v>
      </c>
      <c r="CM42">
        <v>9.7220799999999996E-2</v>
      </c>
      <c r="CN42">
        <v>8.7196599999999999E-2</v>
      </c>
      <c r="CO42">
        <v>7.9714400000000005E-2</v>
      </c>
      <c r="CP42">
        <v>31650</v>
      </c>
      <c r="CQ42">
        <v>27767.9</v>
      </c>
      <c r="CR42">
        <v>32488.400000000001</v>
      </c>
      <c r="CS42">
        <v>30680.2</v>
      </c>
      <c r="CT42">
        <v>40131.9</v>
      </c>
      <c r="CU42">
        <v>39685.5</v>
      </c>
      <c r="CV42">
        <v>47422.5</v>
      </c>
      <c r="CW42">
        <v>46761.2</v>
      </c>
      <c r="CX42">
        <v>2.6415199999999999</v>
      </c>
      <c r="CY42">
        <v>2.1913800000000001</v>
      </c>
      <c r="CZ42">
        <v>0</v>
      </c>
      <c r="DA42">
        <v>0</v>
      </c>
      <c r="DB42">
        <v>999.9</v>
      </c>
      <c r="DC42">
        <v>999.9</v>
      </c>
      <c r="DD42">
        <v>76.498999999999995</v>
      </c>
      <c r="DE42">
        <v>22.94</v>
      </c>
      <c r="DF42">
        <v>21.393599999999999</v>
      </c>
      <c r="DG42">
        <v>30.27</v>
      </c>
      <c r="DH42">
        <v>15.7973</v>
      </c>
      <c r="DI42">
        <v>2</v>
      </c>
      <c r="DJ42">
        <v>-0.211589</v>
      </c>
      <c r="DK42">
        <v>1.5644899999999999</v>
      </c>
      <c r="DL42">
        <v>20.223800000000001</v>
      </c>
      <c r="DM42">
        <v>5.2528699999999997</v>
      </c>
      <c r="DN42">
        <v>12.033899999999999</v>
      </c>
      <c r="DO42">
        <v>4.9676799999999997</v>
      </c>
      <c r="DP42">
        <v>3.2909999999999999</v>
      </c>
      <c r="DQ42">
        <v>9999</v>
      </c>
      <c r="DR42">
        <v>9999</v>
      </c>
      <c r="DS42">
        <v>596.4</v>
      </c>
      <c r="DT42">
        <v>9999</v>
      </c>
      <c r="DU42">
        <v>1.8709499999999999</v>
      </c>
      <c r="DV42">
        <v>1.8760600000000001</v>
      </c>
      <c r="DW42">
        <v>1.87622</v>
      </c>
      <c r="DX42">
        <v>1.8827700000000001</v>
      </c>
      <c r="DY42">
        <v>1.87548</v>
      </c>
      <c r="DZ42">
        <v>1.8745400000000001</v>
      </c>
      <c r="EA42">
        <v>1.87073</v>
      </c>
      <c r="EB42">
        <v>1.8745499999999999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-1.19</v>
      </c>
      <c r="EQ42">
        <v>8.9599999999999999E-2</v>
      </c>
      <c r="ER42">
        <v>-1.1905454545454901</v>
      </c>
      <c r="ES42">
        <v>0</v>
      </c>
      <c r="ET42">
        <v>0</v>
      </c>
      <c r="EU42">
        <v>0</v>
      </c>
      <c r="EV42">
        <v>8.95600000000005E-2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6.3</v>
      </c>
      <c r="FE42">
        <v>6.3</v>
      </c>
      <c r="FF42">
        <v>1.22803</v>
      </c>
      <c r="FG42">
        <v>2.5659200000000002</v>
      </c>
      <c r="FH42">
        <v>2.19604</v>
      </c>
      <c r="FI42">
        <v>2.5830099999999998</v>
      </c>
      <c r="FJ42">
        <v>2.4462899999999999</v>
      </c>
      <c r="FK42">
        <v>2.2778299999999998</v>
      </c>
      <c r="FL42">
        <v>28.4163</v>
      </c>
      <c r="FM42">
        <v>24.157499999999999</v>
      </c>
      <c r="FN42">
        <v>19</v>
      </c>
      <c r="FO42">
        <v>862.67399999999998</v>
      </c>
      <c r="FP42">
        <v>609.97400000000005</v>
      </c>
      <c r="FQ42">
        <v>18.532599999999999</v>
      </c>
      <c r="FR42">
        <v>24.315200000000001</v>
      </c>
      <c r="FS42">
        <v>30.000299999999999</v>
      </c>
      <c r="FT42">
        <v>24.2699</v>
      </c>
      <c r="FU42">
        <v>24.269600000000001</v>
      </c>
      <c r="FV42">
        <v>24.650200000000002</v>
      </c>
      <c r="FW42">
        <v>40.034399999999998</v>
      </c>
      <c r="FX42">
        <v>78.388999999999996</v>
      </c>
      <c r="FY42">
        <v>18.532800000000002</v>
      </c>
      <c r="FZ42">
        <v>410</v>
      </c>
      <c r="GA42">
        <v>13.785299999999999</v>
      </c>
      <c r="GB42">
        <v>99.946600000000004</v>
      </c>
      <c r="GC42">
        <v>99.567499999999995</v>
      </c>
    </row>
    <row r="43" spans="1:185" x14ac:dyDescent="0.2">
      <c r="A43">
        <v>28</v>
      </c>
      <c r="B43">
        <v>1770999040</v>
      </c>
      <c r="C43">
        <v>416.90000009536698</v>
      </c>
      <c r="D43" t="s">
        <v>349</v>
      </c>
      <c r="E43" t="s">
        <v>350</v>
      </c>
      <c r="F43">
        <v>15</v>
      </c>
      <c r="G43">
        <v>1770999031.9333301</v>
      </c>
      <c r="H43">
        <f t="shared" si="0"/>
        <v>1.2520850574663158E-3</v>
      </c>
      <c r="I43">
        <v>0</v>
      </c>
      <c r="J43">
        <f t="shared" si="12"/>
        <v>1.6995678537718651E-2</v>
      </c>
      <c r="K43">
        <f t="shared" si="1"/>
        <v>0.30390404926089171</v>
      </c>
      <c r="L43">
        <f t="shared" si="2"/>
        <v>69.63302026260024</v>
      </c>
      <c r="M43">
        <f t="shared" si="3"/>
        <v>1.5353644921206064</v>
      </c>
      <c r="N43">
        <f t="shared" si="4"/>
        <v>2.2049373793215281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26315.891406890423</v>
      </c>
      <c r="T43">
        <f t="shared" si="8"/>
        <v>299.99933333333303</v>
      </c>
      <c r="U43">
        <f t="shared" si="9"/>
        <v>252.89964619953682</v>
      </c>
      <c r="V43">
        <f t="shared" si="10"/>
        <v>0.84300069399999911</v>
      </c>
      <c r="W43">
        <f t="shared" si="11"/>
        <v>0.15870173499999982</v>
      </c>
      <c r="X43">
        <v>1</v>
      </c>
      <c r="Y43">
        <v>1770999031.9333301</v>
      </c>
      <c r="Z43">
        <v>408.96106666666702</v>
      </c>
      <c r="AA43">
        <v>409.98099999999999</v>
      </c>
      <c r="AB43">
        <v>15.27356</v>
      </c>
      <c r="AC43">
        <v>13.732379999999999</v>
      </c>
      <c r="AD43">
        <v>410.15153333333302</v>
      </c>
      <c r="AE43">
        <v>15.1839933333333</v>
      </c>
      <c r="AF43">
        <v>800.01120000000003</v>
      </c>
      <c r="AG43">
        <v>100.459666666667</v>
      </c>
      <c r="AH43">
        <v>6.46703E-2</v>
      </c>
      <c r="AI43">
        <v>18.9982333333333</v>
      </c>
      <c r="AJ43">
        <v>999.9</v>
      </c>
      <c r="AK43">
        <v>999.9</v>
      </c>
      <c r="AL43">
        <v>0</v>
      </c>
      <c r="AM43">
        <v>0</v>
      </c>
      <c r="AN43">
        <v>4995.5666666666702</v>
      </c>
      <c r="AO43">
        <v>0</v>
      </c>
      <c r="AP43">
        <v>1.86317</v>
      </c>
      <c r="AQ43">
        <v>-1.0199926666666701</v>
      </c>
      <c r="AR43">
        <v>415.30419999999998</v>
      </c>
      <c r="AS43">
        <v>415.68933333333302</v>
      </c>
      <c r="AT43">
        <v>1.5411820000000001</v>
      </c>
      <c r="AU43">
        <v>409.98099999999999</v>
      </c>
      <c r="AV43">
        <v>13.732379999999999</v>
      </c>
      <c r="AW43">
        <v>1.5343773333333299</v>
      </c>
      <c r="AX43">
        <v>1.3795506666666699</v>
      </c>
      <c r="AY43">
        <v>13.3150866666667</v>
      </c>
      <c r="AZ43">
        <v>11.694699999999999</v>
      </c>
      <c r="BA43">
        <v>299.99933333333303</v>
      </c>
      <c r="BB43">
        <v>0.89997686666666599</v>
      </c>
      <c r="BC43">
        <v>0</v>
      </c>
      <c r="BD43">
        <v>0.100023133333333</v>
      </c>
      <c r="BE43">
        <v>0</v>
      </c>
      <c r="BF43">
        <v>24</v>
      </c>
      <c r="BG43">
        <v>4946.5906666666697</v>
      </c>
      <c r="BH43">
        <v>1770998647.0999999</v>
      </c>
      <c r="BI43" t="s">
        <v>289</v>
      </c>
      <c r="BJ43">
        <v>1770998646.0999999</v>
      </c>
      <c r="BK43">
        <v>1770998647.0999999</v>
      </c>
      <c r="BL43">
        <v>1</v>
      </c>
      <c r="BM43">
        <v>-0.376</v>
      </c>
      <c r="BN43">
        <v>4.2000000000000003E-2</v>
      </c>
      <c r="BO43">
        <v>-1.1910000000000001</v>
      </c>
      <c r="BP43">
        <v>0.09</v>
      </c>
      <c r="BQ43">
        <v>410</v>
      </c>
      <c r="BR43">
        <v>14</v>
      </c>
      <c r="BS43">
        <v>0.41</v>
      </c>
      <c r="BT43">
        <v>0.04</v>
      </c>
      <c r="BU43">
        <v>-1.0168191499999999</v>
      </c>
      <c r="BV43">
        <v>4.3891714285714201E-2</v>
      </c>
      <c r="BW43">
        <v>1.9753511756837101E-2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1.5421100000000001</v>
      </c>
      <c r="CD43">
        <v>-3.3156090225565198E-2</v>
      </c>
      <c r="CE43">
        <v>4.7170372057044304E-3</v>
      </c>
      <c r="CF43">
        <v>1</v>
      </c>
      <c r="CG43">
        <v>2</v>
      </c>
      <c r="CH43">
        <v>2</v>
      </c>
      <c r="CI43" t="s">
        <v>304</v>
      </c>
      <c r="CJ43">
        <v>3.5325099999999998</v>
      </c>
      <c r="CK43">
        <v>2.70269</v>
      </c>
      <c r="CL43">
        <v>9.84762E-2</v>
      </c>
      <c r="CM43">
        <v>9.7221699999999994E-2</v>
      </c>
      <c r="CN43">
        <v>8.7143399999999996E-2</v>
      </c>
      <c r="CO43">
        <v>7.9697100000000007E-2</v>
      </c>
      <c r="CP43">
        <v>31650</v>
      </c>
      <c r="CQ43">
        <v>27768.1</v>
      </c>
      <c r="CR43">
        <v>32488.3</v>
      </c>
      <c r="CS43">
        <v>30680.400000000001</v>
      </c>
      <c r="CT43">
        <v>40134.199999999997</v>
      </c>
      <c r="CU43">
        <v>39687</v>
      </c>
      <c r="CV43">
        <v>47422.3</v>
      </c>
      <c r="CW43">
        <v>46762.1</v>
      </c>
      <c r="CX43">
        <v>2.64114</v>
      </c>
      <c r="CY43">
        <v>2.1912600000000002</v>
      </c>
      <c r="CZ43">
        <v>0</v>
      </c>
      <c r="DA43">
        <v>0</v>
      </c>
      <c r="DB43">
        <v>999.9</v>
      </c>
      <c r="DC43">
        <v>999.9</v>
      </c>
      <c r="DD43">
        <v>76.406999999999996</v>
      </c>
      <c r="DE43">
        <v>22.97</v>
      </c>
      <c r="DF43">
        <v>21.408300000000001</v>
      </c>
      <c r="DG43">
        <v>30.45</v>
      </c>
      <c r="DH43">
        <v>15.757199999999999</v>
      </c>
      <c r="DI43">
        <v>2</v>
      </c>
      <c r="DJ43">
        <v>-0.21135599999999999</v>
      </c>
      <c r="DK43">
        <v>1.5558700000000001</v>
      </c>
      <c r="DL43">
        <v>20.224</v>
      </c>
      <c r="DM43">
        <v>5.2523900000000001</v>
      </c>
      <c r="DN43">
        <v>12.033899999999999</v>
      </c>
      <c r="DO43">
        <v>4.9677600000000002</v>
      </c>
      <c r="DP43">
        <v>3.2909999999999999</v>
      </c>
      <c r="DQ43">
        <v>9999</v>
      </c>
      <c r="DR43">
        <v>9999</v>
      </c>
      <c r="DS43">
        <v>596.4</v>
      </c>
      <c r="DT43">
        <v>9999</v>
      </c>
      <c r="DU43">
        <v>1.8709100000000001</v>
      </c>
      <c r="DV43">
        <v>1.8760699999999999</v>
      </c>
      <c r="DW43">
        <v>1.87622</v>
      </c>
      <c r="DX43">
        <v>1.8827799999999999</v>
      </c>
      <c r="DY43">
        <v>1.87548</v>
      </c>
      <c r="DZ43">
        <v>1.8745400000000001</v>
      </c>
      <c r="EA43">
        <v>1.87073</v>
      </c>
      <c r="EB43">
        <v>1.8745499999999999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-1.1910000000000001</v>
      </c>
      <c r="EQ43">
        <v>8.9599999999999999E-2</v>
      </c>
      <c r="ER43">
        <v>-1.1905454545454901</v>
      </c>
      <c r="ES43">
        <v>0</v>
      </c>
      <c r="ET43">
        <v>0</v>
      </c>
      <c r="EU43">
        <v>0</v>
      </c>
      <c r="EV43">
        <v>8.95600000000005E-2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6.6</v>
      </c>
      <c r="FE43">
        <v>6.5</v>
      </c>
      <c r="FF43">
        <v>1.22803</v>
      </c>
      <c r="FG43">
        <v>2.5634800000000002</v>
      </c>
      <c r="FH43">
        <v>2.19604</v>
      </c>
      <c r="FI43">
        <v>2.5830099999999998</v>
      </c>
      <c r="FJ43">
        <v>2.4462899999999999</v>
      </c>
      <c r="FK43">
        <v>2.2546400000000002</v>
      </c>
      <c r="FL43">
        <v>28.4373</v>
      </c>
      <c r="FM43">
        <v>24.157499999999999</v>
      </c>
      <c r="FN43">
        <v>19</v>
      </c>
      <c r="FO43">
        <v>862.43600000000004</v>
      </c>
      <c r="FP43">
        <v>609.95699999999999</v>
      </c>
      <c r="FQ43">
        <v>18.535399999999999</v>
      </c>
      <c r="FR43">
        <v>24.3201</v>
      </c>
      <c r="FS43">
        <v>30.0002</v>
      </c>
      <c r="FT43">
        <v>24.276800000000001</v>
      </c>
      <c r="FU43">
        <v>24.2761</v>
      </c>
      <c r="FV43">
        <v>24.653099999999998</v>
      </c>
      <c r="FW43">
        <v>39.762799999999999</v>
      </c>
      <c r="FX43">
        <v>78.018500000000003</v>
      </c>
      <c r="FY43">
        <v>18.5366</v>
      </c>
      <c r="FZ43">
        <v>410</v>
      </c>
      <c r="GA43">
        <v>13.8088</v>
      </c>
      <c r="GB43">
        <v>99.946200000000005</v>
      </c>
      <c r="GC43">
        <v>99.569000000000003</v>
      </c>
    </row>
    <row r="44" spans="1:185" x14ac:dyDescent="0.2">
      <c r="A44">
        <v>29</v>
      </c>
      <c r="B44">
        <v>1770999055</v>
      </c>
      <c r="C44">
        <v>431.90000009536698</v>
      </c>
      <c r="D44" t="s">
        <v>351</v>
      </c>
      <c r="E44" t="s">
        <v>352</v>
      </c>
      <c r="F44">
        <v>15</v>
      </c>
      <c r="G44">
        <v>1770999046.9333301</v>
      </c>
      <c r="H44">
        <f t="shared" si="0"/>
        <v>1.2358722727726409E-3</v>
      </c>
      <c r="I44">
        <v>0</v>
      </c>
      <c r="J44">
        <f t="shared" si="12"/>
        <v>1.6676797945608932E-2</v>
      </c>
      <c r="K44">
        <f t="shared" si="1"/>
        <v>0.29820206431467239</v>
      </c>
      <c r="L44">
        <f t="shared" si="2"/>
        <v>69.672775058562635</v>
      </c>
      <c r="M44">
        <f t="shared" si="3"/>
        <v>1.5362889946681368</v>
      </c>
      <c r="N44">
        <f t="shared" si="4"/>
        <v>2.2050061783484685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26345.379946827255</v>
      </c>
      <c r="T44">
        <f t="shared" si="8"/>
        <v>300.00026666666702</v>
      </c>
      <c r="U44">
        <f t="shared" si="9"/>
        <v>252.90037540013412</v>
      </c>
      <c r="V44">
        <f t="shared" si="10"/>
        <v>0.84300050199999987</v>
      </c>
      <c r="W44">
        <f t="shared" si="11"/>
        <v>0.15870125499999999</v>
      </c>
      <c r="X44">
        <v>1</v>
      </c>
      <c r="Y44">
        <v>1770999046.9333301</v>
      </c>
      <c r="Z44">
        <v>408.96926666666701</v>
      </c>
      <c r="AA44">
        <v>409.97379999999998</v>
      </c>
      <c r="AB44">
        <v>15.2829</v>
      </c>
      <c r="AC44">
        <v>13.7616866666667</v>
      </c>
      <c r="AD44">
        <v>410.15960000000001</v>
      </c>
      <c r="AE44">
        <v>15.193339999999999</v>
      </c>
      <c r="AF44">
        <v>800.00913333333301</v>
      </c>
      <c r="AG44">
        <v>100.45846666666699</v>
      </c>
      <c r="AH44">
        <v>6.4928413333333296E-2</v>
      </c>
      <c r="AI44">
        <v>18.998733333333298</v>
      </c>
      <c r="AJ44">
        <v>999.9</v>
      </c>
      <c r="AK44">
        <v>999.9</v>
      </c>
      <c r="AL44">
        <v>0</v>
      </c>
      <c r="AM44">
        <v>0</v>
      </c>
      <c r="AN44">
        <v>5000.4666666666699</v>
      </c>
      <c r="AO44">
        <v>0</v>
      </c>
      <c r="AP44">
        <v>1.86317</v>
      </c>
      <c r="AQ44">
        <v>-1.0046911333333299</v>
      </c>
      <c r="AR44">
        <v>415.316466666667</v>
      </c>
      <c r="AS44">
        <v>415.69446666666698</v>
      </c>
      <c r="AT44">
        <v>1.5212019999999999</v>
      </c>
      <c r="AU44">
        <v>409.97379999999998</v>
      </c>
      <c r="AV44">
        <v>13.7616866666667</v>
      </c>
      <c r="AW44">
        <v>1.5352980000000001</v>
      </c>
      <c r="AX44">
        <v>1.3824793333333301</v>
      </c>
      <c r="AY44">
        <v>13.324299999999999</v>
      </c>
      <c r="AZ44">
        <v>11.7268133333333</v>
      </c>
      <c r="BA44">
        <v>300.00026666666702</v>
      </c>
      <c r="BB44">
        <v>0.89998326666666695</v>
      </c>
      <c r="BC44">
        <v>0</v>
      </c>
      <c r="BD44">
        <v>0.100016733333333</v>
      </c>
      <c r="BE44">
        <v>0</v>
      </c>
      <c r="BF44">
        <v>24</v>
      </c>
      <c r="BG44">
        <v>4946.6186666666699</v>
      </c>
      <c r="BH44">
        <v>1770998647.0999999</v>
      </c>
      <c r="BI44" t="s">
        <v>289</v>
      </c>
      <c r="BJ44">
        <v>1770998646.0999999</v>
      </c>
      <c r="BK44">
        <v>1770998647.0999999</v>
      </c>
      <c r="BL44">
        <v>1</v>
      </c>
      <c r="BM44">
        <v>-0.376</v>
      </c>
      <c r="BN44">
        <v>4.2000000000000003E-2</v>
      </c>
      <c r="BO44">
        <v>-1.1910000000000001</v>
      </c>
      <c r="BP44">
        <v>0.09</v>
      </c>
      <c r="BQ44">
        <v>410</v>
      </c>
      <c r="BR44">
        <v>14</v>
      </c>
      <c r="BS44">
        <v>0.41</v>
      </c>
      <c r="BT44">
        <v>0.04</v>
      </c>
      <c r="BU44">
        <v>-1.00412835</v>
      </c>
      <c r="BV44">
        <v>2.5540556390977801E-2</v>
      </c>
      <c r="BW44">
        <v>1.7979618990053702E-2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1.5251165</v>
      </c>
      <c r="CD44">
        <v>-5.30819548872173E-2</v>
      </c>
      <c r="CE44">
        <v>1.0163973767675701E-2</v>
      </c>
      <c r="CF44">
        <v>1</v>
      </c>
      <c r="CG44">
        <v>2</v>
      </c>
      <c r="CH44">
        <v>2</v>
      </c>
      <c r="CI44" t="s">
        <v>304</v>
      </c>
      <c r="CJ44">
        <v>3.5324900000000001</v>
      </c>
      <c r="CK44">
        <v>2.7027700000000001</v>
      </c>
      <c r="CL44">
        <v>9.8470100000000005E-2</v>
      </c>
      <c r="CM44">
        <v>9.7215200000000002E-2</v>
      </c>
      <c r="CN44">
        <v>8.7272699999999995E-2</v>
      </c>
      <c r="CO44">
        <v>7.9857700000000004E-2</v>
      </c>
      <c r="CP44">
        <v>31650</v>
      </c>
      <c r="CQ44">
        <v>27768.7</v>
      </c>
      <c r="CR44">
        <v>32488.1</v>
      </c>
      <c r="CS44">
        <v>30680.9</v>
      </c>
      <c r="CT44">
        <v>40128.5</v>
      </c>
      <c r="CU44">
        <v>39680.5</v>
      </c>
      <c r="CV44">
        <v>47422.5</v>
      </c>
      <c r="CW44">
        <v>46762.9</v>
      </c>
      <c r="CX44">
        <v>2.6411799999999999</v>
      </c>
      <c r="CY44">
        <v>2.19096</v>
      </c>
      <c r="CZ44">
        <v>0</v>
      </c>
      <c r="DA44">
        <v>0</v>
      </c>
      <c r="DB44">
        <v>999.9</v>
      </c>
      <c r="DC44">
        <v>999.9</v>
      </c>
      <c r="DD44">
        <v>76.376999999999995</v>
      </c>
      <c r="DE44">
        <v>22.98</v>
      </c>
      <c r="DF44">
        <v>21.412199999999999</v>
      </c>
      <c r="DG44">
        <v>30.48</v>
      </c>
      <c r="DH44">
        <v>15.837300000000001</v>
      </c>
      <c r="DI44">
        <v>2</v>
      </c>
      <c r="DJ44">
        <v>-0.21102599999999999</v>
      </c>
      <c r="DK44">
        <v>1.5552699999999999</v>
      </c>
      <c r="DL44">
        <v>20.2239</v>
      </c>
      <c r="DM44">
        <v>5.25251</v>
      </c>
      <c r="DN44">
        <v>12.033899999999999</v>
      </c>
      <c r="DO44">
        <v>4.9675599999999998</v>
      </c>
      <c r="DP44">
        <v>3.2909999999999999</v>
      </c>
      <c r="DQ44">
        <v>9999</v>
      </c>
      <c r="DR44">
        <v>9999</v>
      </c>
      <c r="DS44">
        <v>596.4</v>
      </c>
      <c r="DT44">
        <v>9999</v>
      </c>
      <c r="DU44">
        <v>1.87094</v>
      </c>
      <c r="DV44">
        <v>1.8760600000000001</v>
      </c>
      <c r="DW44">
        <v>1.8762300000000001</v>
      </c>
      <c r="DX44">
        <v>1.8827799999999999</v>
      </c>
      <c r="DY44">
        <v>1.87547</v>
      </c>
      <c r="DZ44">
        <v>1.8745499999999999</v>
      </c>
      <c r="EA44">
        <v>1.87073</v>
      </c>
      <c r="EB44">
        <v>1.87456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-1.19</v>
      </c>
      <c r="EQ44">
        <v>8.9599999999999999E-2</v>
      </c>
      <c r="ER44">
        <v>-1.1905454545454901</v>
      </c>
      <c r="ES44">
        <v>0</v>
      </c>
      <c r="ET44">
        <v>0</v>
      </c>
      <c r="EU44">
        <v>0</v>
      </c>
      <c r="EV44">
        <v>8.95600000000005E-2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6.8</v>
      </c>
      <c r="FE44">
        <v>6.8</v>
      </c>
      <c r="FF44">
        <v>1.22803</v>
      </c>
      <c r="FG44">
        <v>2.5634800000000002</v>
      </c>
      <c r="FH44">
        <v>2.19604</v>
      </c>
      <c r="FI44">
        <v>2.5830099999999998</v>
      </c>
      <c r="FJ44">
        <v>2.4462899999999999</v>
      </c>
      <c r="FK44">
        <v>2.2692899999999998</v>
      </c>
      <c r="FL44">
        <v>28.458400000000001</v>
      </c>
      <c r="FM44">
        <v>24.157499999999999</v>
      </c>
      <c r="FN44">
        <v>19</v>
      </c>
      <c r="FO44">
        <v>862.58699999999999</v>
      </c>
      <c r="FP44">
        <v>609.80600000000004</v>
      </c>
      <c r="FQ44">
        <v>18.538399999999999</v>
      </c>
      <c r="FR44">
        <v>24.325399999999998</v>
      </c>
      <c r="FS44">
        <v>30.000299999999999</v>
      </c>
      <c r="FT44">
        <v>24.2837</v>
      </c>
      <c r="FU44">
        <v>24.2834</v>
      </c>
      <c r="FV44">
        <v>24.656600000000001</v>
      </c>
      <c r="FW44">
        <v>39.762799999999999</v>
      </c>
      <c r="FX44">
        <v>77.261700000000005</v>
      </c>
      <c r="FY44">
        <v>18.539300000000001</v>
      </c>
      <c r="FZ44">
        <v>410</v>
      </c>
      <c r="GA44">
        <v>13.7979</v>
      </c>
      <c r="GB44">
        <v>99.946200000000005</v>
      </c>
      <c r="GC44">
        <v>99.570700000000002</v>
      </c>
    </row>
    <row r="45" spans="1:185" x14ac:dyDescent="0.2">
      <c r="A45">
        <v>30</v>
      </c>
      <c r="B45">
        <v>1770999070</v>
      </c>
      <c r="C45">
        <v>446.90000009536698</v>
      </c>
      <c r="D45" t="s">
        <v>353</v>
      </c>
      <c r="E45" t="s">
        <v>354</v>
      </c>
      <c r="F45">
        <v>15</v>
      </c>
      <c r="G45">
        <v>1770999061.9333301</v>
      </c>
      <c r="H45">
        <f t="shared" si="0"/>
        <v>1.2491543466662664E-3</v>
      </c>
      <c r="I45">
        <v>0</v>
      </c>
      <c r="J45">
        <f t="shared" si="12"/>
        <v>1.5867821859602723E-2</v>
      </c>
      <c r="K45">
        <f t="shared" si="1"/>
        <v>0.2837365572302159</v>
      </c>
      <c r="L45">
        <f t="shared" si="2"/>
        <v>69.765914292587155</v>
      </c>
      <c r="M45">
        <f t="shared" si="3"/>
        <v>1.5383068817002743</v>
      </c>
      <c r="N45">
        <f t="shared" si="4"/>
        <v>2.2049548082303625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26396.616211800509</v>
      </c>
      <c r="T45">
        <f t="shared" si="8"/>
        <v>300.00053333333301</v>
      </c>
      <c r="U45">
        <f t="shared" si="9"/>
        <v>252.90063740033361</v>
      </c>
      <c r="V45">
        <f t="shared" si="10"/>
        <v>0.84300062600000003</v>
      </c>
      <c r="W45">
        <f t="shared" si="11"/>
        <v>0.15870156500000002</v>
      </c>
      <c r="X45">
        <v>1</v>
      </c>
      <c r="Y45">
        <v>1770999061.9333301</v>
      </c>
      <c r="Z45">
        <v>408.98419999999999</v>
      </c>
      <c r="AA45">
        <v>409.977466666667</v>
      </c>
      <c r="AB45">
        <v>15.3030666666667</v>
      </c>
      <c r="AC45">
        <v>13.7655333333333</v>
      </c>
      <c r="AD45">
        <v>410.17466666666701</v>
      </c>
      <c r="AE45">
        <v>15.2135266666667</v>
      </c>
      <c r="AF45">
        <v>800.00766666666698</v>
      </c>
      <c r="AG45">
        <v>100.457866666667</v>
      </c>
      <c r="AH45">
        <v>6.4918420000000004E-2</v>
      </c>
      <c r="AI45">
        <v>18.998360000000002</v>
      </c>
      <c r="AJ45">
        <v>999.9</v>
      </c>
      <c r="AK45">
        <v>999.9</v>
      </c>
      <c r="AL45">
        <v>0</v>
      </c>
      <c r="AM45">
        <v>0</v>
      </c>
      <c r="AN45">
        <v>5008.8999999999996</v>
      </c>
      <c r="AO45">
        <v>0</v>
      </c>
      <c r="AP45">
        <v>1.86317</v>
      </c>
      <c r="AQ45">
        <v>-0.99339826666666697</v>
      </c>
      <c r="AR45">
        <v>415.34019999999998</v>
      </c>
      <c r="AS45">
        <v>415.69993333333298</v>
      </c>
      <c r="AT45">
        <v>1.53754066666667</v>
      </c>
      <c r="AU45">
        <v>409.977466666667</v>
      </c>
      <c r="AV45">
        <v>13.7655333333333</v>
      </c>
      <c r="AW45">
        <v>1.5373140000000001</v>
      </c>
      <c r="AX45">
        <v>1.3828560000000001</v>
      </c>
      <c r="AY45">
        <v>13.3444066666667</v>
      </c>
      <c r="AZ45">
        <v>11.730933333333301</v>
      </c>
      <c r="BA45">
        <v>300.00053333333301</v>
      </c>
      <c r="BB45">
        <v>0.89997913333333301</v>
      </c>
      <c r="BC45">
        <v>0</v>
      </c>
      <c r="BD45">
        <v>0.100020866666667</v>
      </c>
      <c r="BE45">
        <v>0</v>
      </c>
      <c r="BF45">
        <v>24</v>
      </c>
      <c r="BG45">
        <v>4946.6093333333301</v>
      </c>
      <c r="BH45">
        <v>1770998647.0999999</v>
      </c>
      <c r="BI45" t="s">
        <v>289</v>
      </c>
      <c r="BJ45">
        <v>1770998646.0999999</v>
      </c>
      <c r="BK45">
        <v>1770998647.0999999</v>
      </c>
      <c r="BL45">
        <v>1</v>
      </c>
      <c r="BM45">
        <v>-0.376</v>
      </c>
      <c r="BN45">
        <v>4.2000000000000003E-2</v>
      </c>
      <c r="BO45">
        <v>-1.1910000000000001</v>
      </c>
      <c r="BP45">
        <v>0.09</v>
      </c>
      <c r="BQ45">
        <v>410</v>
      </c>
      <c r="BR45">
        <v>14</v>
      </c>
      <c r="BS45">
        <v>0.41</v>
      </c>
      <c r="BT45">
        <v>0.04</v>
      </c>
      <c r="BU45">
        <v>-0.99687142857142796</v>
      </c>
      <c r="BV45">
        <v>0.13235781818181599</v>
      </c>
      <c r="BW45">
        <v>2.5557157930470101E-2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1.5339133333333299</v>
      </c>
      <c r="CD45">
        <v>6.0695064935066503E-2</v>
      </c>
      <c r="CE45">
        <v>6.8185344978531097E-3</v>
      </c>
      <c r="CF45">
        <v>1</v>
      </c>
      <c r="CG45">
        <v>2</v>
      </c>
      <c r="CH45">
        <v>2</v>
      </c>
      <c r="CI45" t="s">
        <v>304</v>
      </c>
      <c r="CJ45">
        <v>3.5324900000000001</v>
      </c>
      <c r="CK45">
        <v>2.7026300000000001</v>
      </c>
      <c r="CL45">
        <v>9.8474000000000006E-2</v>
      </c>
      <c r="CM45">
        <v>9.7222900000000001E-2</v>
      </c>
      <c r="CN45">
        <v>8.7294200000000002E-2</v>
      </c>
      <c r="CO45">
        <v>7.9800200000000002E-2</v>
      </c>
      <c r="CP45">
        <v>31650.2</v>
      </c>
      <c r="CQ45">
        <v>27769</v>
      </c>
      <c r="CR45">
        <v>32488.400000000001</v>
      </c>
      <c r="CS45">
        <v>30681.5</v>
      </c>
      <c r="CT45">
        <v>40127.699999999997</v>
      </c>
      <c r="CU45">
        <v>39683.9</v>
      </c>
      <c r="CV45">
        <v>47422.8</v>
      </c>
      <c r="CW45">
        <v>46763.9</v>
      </c>
      <c r="CX45">
        <v>2.64106</v>
      </c>
      <c r="CY45">
        <v>2.19062</v>
      </c>
      <c r="CZ45">
        <v>0</v>
      </c>
      <c r="DA45">
        <v>0</v>
      </c>
      <c r="DB45">
        <v>999.9</v>
      </c>
      <c r="DC45">
        <v>999.9</v>
      </c>
      <c r="DD45">
        <v>76.278999999999996</v>
      </c>
      <c r="DE45">
        <v>23.010999999999999</v>
      </c>
      <c r="DF45">
        <v>21.4254</v>
      </c>
      <c r="DG45">
        <v>30.39</v>
      </c>
      <c r="DH45">
        <v>15.821300000000001</v>
      </c>
      <c r="DI45">
        <v>2</v>
      </c>
      <c r="DJ45">
        <v>-0.21070900000000001</v>
      </c>
      <c r="DK45">
        <v>1.5504899999999999</v>
      </c>
      <c r="DL45">
        <v>20.2241</v>
      </c>
      <c r="DM45">
        <v>5.2521500000000003</v>
      </c>
      <c r="DN45">
        <v>12.033899999999999</v>
      </c>
      <c r="DO45">
        <v>4.9672400000000003</v>
      </c>
      <c r="DP45">
        <v>3.2909999999999999</v>
      </c>
      <c r="DQ45">
        <v>9999</v>
      </c>
      <c r="DR45">
        <v>9999</v>
      </c>
      <c r="DS45">
        <v>596.4</v>
      </c>
      <c r="DT45">
        <v>9999</v>
      </c>
      <c r="DU45">
        <v>1.8709</v>
      </c>
      <c r="DV45">
        <v>1.8760600000000001</v>
      </c>
      <c r="DW45">
        <v>1.87622</v>
      </c>
      <c r="DX45">
        <v>1.88276</v>
      </c>
      <c r="DY45">
        <v>1.8754599999999999</v>
      </c>
      <c r="DZ45">
        <v>1.8745400000000001</v>
      </c>
      <c r="EA45">
        <v>1.8707</v>
      </c>
      <c r="EB45">
        <v>1.8745400000000001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-1.1910000000000001</v>
      </c>
      <c r="EQ45">
        <v>8.9599999999999999E-2</v>
      </c>
      <c r="ER45">
        <v>-1.1905454545454901</v>
      </c>
      <c r="ES45">
        <v>0</v>
      </c>
      <c r="ET45">
        <v>0</v>
      </c>
      <c r="EU45">
        <v>0</v>
      </c>
      <c r="EV45">
        <v>8.95600000000005E-2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7.1</v>
      </c>
      <c r="FE45">
        <v>7</v>
      </c>
      <c r="FF45">
        <v>1.22925</v>
      </c>
      <c r="FG45">
        <v>2.5598100000000001</v>
      </c>
      <c r="FH45">
        <v>2.19604</v>
      </c>
      <c r="FI45">
        <v>2.5830099999999998</v>
      </c>
      <c r="FJ45">
        <v>2.4462899999999999</v>
      </c>
      <c r="FK45">
        <v>2.2912599999999999</v>
      </c>
      <c r="FL45">
        <v>28.479399999999998</v>
      </c>
      <c r="FM45">
        <v>24.157499999999999</v>
      </c>
      <c r="FN45">
        <v>19</v>
      </c>
      <c r="FO45">
        <v>862.58299999999997</v>
      </c>
      <c r="FP45">
        <v>609.61300000000006</v>
      </c>
      <c r="FQ45">
        <v>18.5411</v>
      </c>
      <c r="FR45">
        <v>24.330300000000001</v>
      </c>
      <c r="FS45">
        <v>30.0002</v>
      </c>
      <c r="FT45">
        <v>24.290299999999998</v>
      </c>
      <c r="FU45">
        <v>24.289899999999999</v>
      </c>
      <c r="FV45">
        <v>24.657399999999999</v>
      </c>
      <c r="FW45">
        <v>39.762799999999999</v>
      </c>
      <c r="FX45">
        <v>76.874799999999993</v>
      </c>
      <c r="FY45">
        <v>18.5427</v>
      </c>
      <c r="FZ45">
        <v>410</v>
      </c>
      <c r="GA45">
        <v>13.7979</v>
      </c>
      <c r="GB45">
        <v>99.947000000000003</v>
      </c>
      <c r="GC45">
        <v>99.572699999999998</v>
      </c>
    </row>
    <row r="46" spans="1:185" x14ac:dyDescent="0.2">
      <c r="A46">
        <v>31</v>
      </c>
      <c r="B46">
        <v>1770999085</v>
      </c>
      <c r="C46">
        <v>461.90000009536698</v>
      </c>
      <c r="D46" t="s">
        <v>355</v>
      </c>
      <c r="E46" t="s">
        <v>356</v>
      </c>
      <c r="F46">
        <v>15</v>
      </c>
      <c r="G46">
        <v>1770999076.9333301</v>
      </c>
      <c r="H46">
        <f t="shared" si="0"/>
        <v>1.2583285049950009E-3</v>
      </c>
      <c r="I46">
        <v>0</v>
      </c>
      <c r="J46">
        <f t="shared" si="12"/>
        <v>1.6051159029191873E-2</v>
      </c>
      <c r="K46">
        <f t="shared" si="1"/>
        <v>0.28701485577502073</v>
      </c>
      <c r="L46">
        <f t="shared" si="2"/>
        <v>69.761132421724881</v>
      </c>
      <c r="M46">
        <f t="shared" si="3"/>
        <v>1.5381918447037435</v>
      </c>
      <c r="N46">
        <f t="shared" si="4"/>
        <v>2.2049410485554599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26312.592057332822</v>
      </c>
      <c r="T46">
        <f t="shared" si="8"/>
        <v>300.00093333333302</v>
      </c>
      <c r="U46">
        <f t="shared" si="9"/>
        <v>252.90098900062878</v>
      </c>
      <c r="V46">
        <f t="shared" si="10"/>
        <v>0.84300067399999989</v>
      </c>
      <c r="W46">
        <f t="shared" si="11"/>
        <v>0.15870168500000001</v>
      </c>
      <c r="X46">
        <v>1</v>
      </c>
      <c r="Y46">
        <v>1770999076.9333301</v>
      </c>
      <c r="Z46">
        <v>408.98939999999999</v>
      </c>
      <c r="AA46">
        <v>409.99146666666701</v>
      </c>
      <c r="AB46">
        <v>15.3019</v>
      </c>
      <c r="AC46">
        <v>13.753066666666699</v>
      </c>
      <c r="AD46">
        <v>410.180133333333</v>
      </c>
      <c r="AE46">
        <v>15.21236</v>
      </c>
      <c r="AF46">
        <v>800.00453333333303</v>
      </c>
      <c r="AG46">
        <v>100.457933333333</v>
      </c>
      <c r="AH46">
        <v>6.4998113333333302E-2</v>
      </c>
      <c r="AI46">
        <v>18.998259999999998</v>
      </c>
      <c r="AJ46">
        <v>999.9</v>
      </c>
      <c r="AK46">
        <v>999.9</v>
      </c>
      <c r="AL46">
        <v>0</v>
      </c>
      <c r="AM46">
        <v>0</v>
      </c>
      <c r="AN46">
        <v>4995.1000000000004</v>
      </c>
      <c r="AO46">
        <v>0</v>
      </c>
      <c r="AP46">
        <v>1.86317</v>
      </c>
      <c r="AQ46">
        <v>-1.0018718</v>
      </c>
      <c r="AR46">
        <v>415.34506666666698</v>
      </c>
      <c r="AS46">
        <v>415.70859999999999</v>
      </c>
      <c r="AT46">
        <v>1.5488519999999999</v>
      </c>
      <c r="AU46">
        <v>409.99146666666701</v>
      </c>
      <c r="AV46">
        <v>13.753066666666699</v>
      </c>
      <c r="AW46">
        <v>1.5371980000000001</v>
      </c>
      <c r="AX46">
        <v>1.38160333333333</v>
      </c>
      <c r="AY46">
        <v>13.3432733333333</v>
      </c>
      <c r="AZ46">
        <v>11.7172066666667</v>
      </c>
      <c r="BA46">
        <v>300.00093333333302</v>
      </c>
      <c r="BB46">
        <v>0.89997753333333297</v>
      </c>
      <c r="BC46">
        <v>0</v>
      </c>
      <c r="BD46">
        <v>0.100022466666667</v>
      </c>
      <c r="BE46">
        <v>0</v>
      </c>
      <c r="BF46">
        <v>24</v>
      </c>
      <c r="BG46">
        <v>4946.61733333333</v>
      </c>
      <c r="BH46">
        <v>1770998647.0999999</v>
      </c>
      <c r="BI46" t="s">
        <v>289</v>
      </c>
      <c r="BJ46">
        <v>1770998646.0999999</v>
      </c>
      <c r="BK46">
        <v>1770998647.0999999</v>
      </c>
      <c r="BL46">
        <v>1</v>
      </c>
      <c r="BM46">
        <v>-0.376</v>
      </c>
      <c r="BN46">
        <v>4.2000000000000003E-2</v>
      </c>
      <c r="BO46">
        <v>-1.1910000000000001</v>
      </c>
      <c r="BP46">
        <v>0.09</v>
      </c>
      <c r="BQ46">
        <v>410</v>
      </c>
      <c r="BR46">
        <v>14</v>
      </c>
      <c r="BS46">
        <v>0.41</v>
      </c>
      <c r="BT46">
        <v>0.04</v>
      </c>
      <c r="BU46">
        <v>-0.99582079999999995</v>
      </c>
      <c r="BV46">
        <v>-7.6194766917294904E-2</v>
      </c>
      <c r="BW46">
        <v>2.2819499200464499E-2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1.5467005</v>
      </c>
      <c r="CD46">
        <v>3.8262406015039503E-2</v>
      </c>
      <c r="CE46">
        <v>4.5446468234616602E-3</v>
      </c>
      <c r="CF46">
        <v>1</v>
      </c>
      <c r="CG46">
        <v>2</v>
      </c>
      <c r="CH46">
        <v>2</v>
      </c>
      <c r="CI46" t="s">
        <v>304</v>
      </c>
      <c r="CJ46">
        <v>3.5325299999999999</v>
      </c>
      <c r="CK46">
        <v>2.7030400000000001</v>
      </c>
      <c r="CL46">
        <v>9.8472900000000002E-2</v>
      </c>
      <c r="CM46">
        <v>9.7212400000000004E-2</v>
      </c>
      <c r="CN46">
        <v>8.7270700000000007E-2</v>
      </c>
      <c r="CO46">
        <v>7.9765799999999998E-2</v>
      </c>
      <c r="CP46">
        <v>31650.2</v>
      </c>
      <c r="CQ46">
        <v>27769.599999999999</v>
      </c>
      <c r="CR46">
        <v>32488.5</v>
      </c>
      <c r="CS46">
        <v>30681.8</v>
      </c>
      <c r="CT46">
        <v>40129</v>
      </c>
      <c r="CU46">
        <v>39685.9</v>
      </c>
      <c r="CV46">
        <v>47423</v>
      </c>
      <c r="CW46">
        <v>46764.4</v>
      </c>
      <c r="CX46">
        <v>2.64086</v>
      </c>
      <c r="CY46">
        <v>2.19048</v>
      </c>
      <c r="CZ46">
        <v>0</v>
      </c>
      <c r="DA46">
        <v>0</v>
      </c>
      <c r="DB46">
        <v>999.9</v>
      </c>
      <c r="DC46">
        <v>999.9</v>
      </c>
      <c r="DD46">
        <v>76.162999999999997</v>
      </c>
      <c r="DE46">
        <v>23.021000000000001</v>
      </c>
      <c r="DF46">
        <v>21.4054</v>
      </c>
      <c r="DG46">
        <v>30.54</v>
      </c>
      <c r="DH46">
        <v>15.8253</v>
      </c>
      <c r="DI46">
        <v>2</v>
      </c>
      <c r="DJ46">
        <v>-0.21051</v>
      </c>
      <c r="DK46">
        <v>1.5413300000000001</v>
      </c>
      <c r="DL46">
        <v>20.224299999999999</v>
      </c>
      <c r="DM46">
        <v>5.2510700000000003</v>
      </c>
      <c r="DN46">
        <v>12.033899999999999</v>
      </c>
      <c r="DO46">
        <v>4.9672000000000001</v>
      </c>
      <c r="DP46">
        <v>3.2909999999999999</v>
      </c>
      <c r="DQ46">
        <v>9999</v>
      </c>
      <c r="DR46">
        <v>9999</v>
      </c>
      <c r="DS46">
        <v>596.5</v>
      </c>
      <c r="DT46">
        <v>9999</v>
      </c>
      <c r="DU46">
        <v>1.87094</v>
      </c>
      <c r="DV46">
        <v>1.87605</v>
      </c>
      <c r="DW46">
        <v>1.87622</v>
      </c>
      <c r="DX46">
        <v>1.8827799999999999</v>
      </c>
      <c r="DY46">
        <v>1.87547</v>
      </c>
      <c r="DZ46">
        <v>1.8745400000000001</v>
      </c>
      <c r="EA46">
        <v>1.8707100000000001</v>
      </c>
      <c r="EB46">
        <v>1.8745400000000001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-1.19</v>
      </c>
      <c r="EQ46">
        <v>8.9599999999999999E-2</v>
      </c>
      <c r="ER46">
        <v>-1.1905454545454901</v>
      </c>
      <c r="ES46">
        <v>0</v>
      </c>
      <c r="ET46">
        <v>0</v>
      </c>
      <c r="EU46">
        <v>0</v>
      </c>
      <c r="EV46">
        <v>8.95600000000005E-2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7.3</v>
      </c>
      <c r="FE46">
        <v>7.3</v>
      </c>
      <c r="FF46">
        <v>1.22925</v>
      </c>
      <c r="FG46">
        <v>2.5659200000000002</v>
      </c>
      <c r="FH46">
        <v>2.19604</v>
      </c>
      <c r="FI46">
        <v>2.5830099999999998</v>
      </c>
      <c r="FJ46">
        <v>2.4462899999999999</v>
      </c>
      <c r="FK46">
        <v>2.2949199999999998</v>
      </c>
      <c r="FL46">
        <v>28.500499999999999</v>
      </c>
      <c r="FM46">
        <v>24.1663</v>
      </c>
      <c r="FN46">
        <v>19</v>
      </c>
      <c r="FO46">
        <v>862.49900000000002</v>
      </c>
      <c r="FP46">
        <v>609.58000000000004</v>
      </c>
      <c r="FQ46">
        <v>18.545200000000001</v>
      </c>
      <c r="FR46">
        <v>24.334399999999999</v>
      </c>
      <c r="FS46">
        <v>30.0001</v>
      </c>
      <c r="FT46">
        <v>24.296399999999998</v>
      </c>
      <c r="FU46">
        <v>24.296399999999998</v>
      </c>
      <c r="FV46">
        <v>24.6601</v>
      </c>
      <c r="FW46">
        <v>39.762799999999999</v>
      </c>
      <c r="FX46">
        <v>76.129900000000006</v>
      </c>
      <c r="FY46">
        <v>18.546299999999999</v>
      </c>
      <c r="FZ46">
        <v>410</v>
      </c>
      <c r="GA46">
        <v>13.7979</v>
      </c>
      <c r="GB46">
        <v>99.947400000000002</v>
      </c>
      <c r="GC46">
        <v>99.573599999999999</v>
      </c>
    </row>
    <row r="47" spans="1:185" x14ac:dyDescent="0.2">
      <c r="A47">
        <v>32</v>
      </c>
      <c r="B47">
        <v>1770999100</v>
      </c>
      <c r="C47">
        <v>476.90000009536698</v>
      </c>
      <c r="D47" t="s">
        <v>357</v>
      </c>
      <c r="E47" t="s">
        <v>358</v>
      </c>
      <c r="F47">
        <v>15</v>
      </c>
      <c r="G47">
        <v>1770999091.9333301</v>
      </c>
      <c r="H47">
        <f t="shared" si="0"/>
        <v>1.2596490327600298E-3</v>
      </c>
      <c r="I47">
        <v>0</v>
      </c>
      <c r="J47">
        <f t="shared" si="12"/>
        <v>1.6714213797765373E-2</v>
      </c>
      <c r="K47">
        <f t="shared" si="1"/>
        <v>0.29887110668045108</v>
      </c>
      <c r="L47">
        <f t="shared" si="2"/>
        <v>69.735492551468823</v>
      </c>
      <c r="M47">
        <f t="shared" si="3"/>
        <v>1.537662323688568</v>
      </c>
      <c r="N47">
        <f t="shared" si="4"/>
        <v>2.20499241839252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26345.598770502864</v>
      </c>
      <c r="T47">
        <f t="shared" si="8"/>
        <v>299.99979999999999</v>
      </c>
      <c r="U47">
        <f t="shared" si="9"/>
        <v>252.90007319983877</v>
      </c>
      <c r="V47">
        <f t="shared" si="10"/>
        <v>0.84300080599999994</v>
      </c>
      <c r="W47">
        <f t="shared" si="11"/>
        <v>0.158702015</v>
      </c>
      <c r="X47">
        <v>1</v>
      </c>
      <c r="Y47">
        <v>1770999091.9333301</v>
      </c>
      <c r="Z47">
        <v>408.97426666666701</v>
      </c>
      <c r="AA47">
        <v>409.99180000000001</v>
      </c>
      <c r="AB47">
        <v>15.2964133333333</v>
      </c>
      <c r="AC47">
        <v>13.745953333333301</v>
      </c>
      <c r="AD47">
        <v>410.16493333333301</v>
      </c>
      <c r="AE47">
        <v>15.2068733333333</v>
      </c>
      <c r="AF47">
        <v>800.00833333333298</v>
      </c>
      <c r="AG47">
        <v>100.45926666666701</v>
      </c>
      <c r="AH47">
        <v>6.5103993333333304E-2</v>
      </c>
      <c r="AI47">
        <v>18.998633333333299</v>
      </c>
      <c r="AJ47">
        <v>999.9</v>
      </c>
      <c r="AK47">
        <v>999.9</v>
      </c>
      <c r="AL47">
        <v>0</v>
      </c>
      <c r="AM47">
        <v>0</v>
      </c>
      <c r="AN47">
        <v>5000.4666666666699</v>
      </c>
      <c r="AO47">
        <v>0</v>
      </c>
      <c r="AP47">
        <v>1.86317</v>
      </c>
      <c r="AQ47">
        <v>-1.0173846</v>
      </c>
      <c r="AR47">
        <v>415.32753333333301</v>
      </c>
      <c r="AS47">
        <v>415.70613333333301</v>
      </c>
      <c r="AT47">
        <v>1.5504800000000001</v>
      </c>
      <c r="AU47">
        <v>409.99180000000001</v>
      </c>
      <c r="AV47">
        <v>13.745953333333301</v>
      </c>
      <c r="AW47">
        <v>1.5366673333333301</v>
      </c>
      <c r="AX47">
        <v>1.3809073333333299</v>
      </c>
      <c r="AY47">
        <v>13.3379733333333</v>
      </c>
      <c r="AZ47">
        <v>11.7096</v>
      </c>
      <c r="BA47">
        <v>299.99979999999999</v>
      </c>
      <c r="BB47">
        <v>0.89997313333333295</v>
      </c>
      <c r="BC47">
        <v>0</v>
      </c>
      <c r="BD47">
        <v>0.10002686666666701</v>
      </c>
      <c r="BE47">
        <v>0</v>
      </c>
      <c r="BF47">
        <v>24</v>
      </c>
      <c r="BG47">
        <v>4946.59</v>
      </c>
      <c r="BH47">
        <v>1770998647.0999999</v>
      </c>
      <c r="BI47" t="s">
        <v>289</v>
      </c>
      <c r="BJ47">
        <v>1770998646.0999999</v>
      </c>
      <c r="BK47">
        <v>1770998647.0999999</v>
      </c>
      <c r="BL47">
        <v>1</v>
      </c>
      <c r="BM47">
        <v>-0.376</v>
      </c>
      <c r="BN47">
        <v>4.2000000000000003E-2</v>
      </c>
      <c r="BO47">
        <v>-1.1910000000000001</v>
      </c>
      <c r="BP47">
        <v>0.09</v>
      </c>
      <c r="BQ47">
        <v>410</v>
      </c>
      <c r="BR47">
        <v>14</v>
      </c>
      <c r="BS47">
        <v>0.41</v>
      </c>
      <c r="BT47">
        <v>0.04</v>
      </c>
      <c r="BU47">
        <v>-1.0130179523809499</v>
      </c>
      <c r="BV47">
        <v>-5.5803896103894898E-2</v>
      </c>
      <c r="BW47">
        <v>2.0816056711052001E-2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1.5503880952381</v>
      </c>
      <c r="CD47">
        <v>9.5688311688491197E-4</v>
      </c>
      <c r="CE47">
        <v>7.5788313615790699E-4</v>
      </c>
      <c r="CF47">
        <v>1</v>
      </c>
      <c r="CG47">
        <v>2</v>
      </c>
      <c r="CH47">
        <v>2</v>
      </c>
      <c r="CI47" t="s">
        <v>304</v>
      </c>
      <c r="CJ47">
        <v>3.5324900000000001</v>
      </c>
      <c r="CK47">
        <v>2.7029999999999998</v>
      </c>
      <c r="CL47">
        <v>9.8471600000000006E-2</v>
      </c>
      <c r="CM47">
        <v>9.7209500000000004E-2</v>
      </c>
      <c r="CN47">
        <v>8.7232900000000002E-2</v>
      </c>
      <c r="CO47">
        <v>7.9736899999999999E-2</v>
      </c>
      <c r="CP47">
        <v>31650.400000000001</v>
      </c>
      <c r="CQ47">
        <v>27770.1</v>
      </c>
      <c r="CR47">
        <v>32488.7</v>
      </c>
      <c r="CS47">
        <v>30682.3</v>
      </c>
      <c r="CT47">
        <v>40131</v>
      </c>
      <c r="CU47">
        <v>39688.1</v>
      </c>
      <c r="CV47">
        <v>47423.3</v>
      </c>
      <c r="CW47">
        <v>46765.599999999999</v>
      </c>
      <c r="CX47">
        <v>2.6410399999999998</v>
      </c>
      <c r="CY47">
        <v>2.1902400000000002</v>
      </c>
      <c r="CZ47">
        <v>0</v>
      </c>
      <c r="DA47">
        <v>0</v>
      </c>
      <c r="DB47">
        <v>999.9</v>
      </c>
      <c r="DC47">
        <v>999.9</v>
      </c>
      <c r="DD47">
        <v>76.064999999999998</v>
      </c>
      <c r="DE47">
        <v>23.021000000000001</v>
      </c>
      <c r="DF47">
        <v>21.3765</v>
      </c>
      <c r="DG47">
        <v>30.45</v>
      </c>
      <c r="DH47">
        <v>15.777200000000001</v>
      </c>
      <c r="DI47">
        <v>2</v>
      </c>
      <c r="DJ47">
        <v>-0.210116</v>
      </c>
      <c r="DK47">
        <v>1.53868</v>
      </c>
      <c r="DL47">
        <v>20.2241</v>
      </c>
      <c r="DM47">
        <v>5.2511900000000002</v>
      </c>
      <c r="DN47">
        <v>12.033899999999999</v>
      </c>
      <c r="DO47">
        <v>4.9670800000000002</v>
      </c>
      <c r="DP47">
        <v>3.2909999999999999</v>
      </c>
      <c r="DQ47">
        <v>9999</v>
      </c>
      <c r="DR47">
        <v>9999</v>
      </c>
      <c r="DS47">
        <v>596.5</v>
      </c>
      <c r="DT47">
        <v>9999</v>
      </c>
      <c r="DU47">
        <v>1.87093</v>
      </c>
      <c r="DV47">
        <v>1.8760300000000001</v>
      </c>
      <c r="DW47">
        <v>1.87622</v>
      </c>
      <c r="DX47">
        <v>1.8827799999999999</v>
      </c>
      <c r="DY47">
        <v>1.8754599999999999</v>
      </c>
      <c r="DZ47">
        <v>1.8745400000000001</v>
      </c>
      <c r="EA47">
        <v>1.8707100000000001</v>
      </c>
      <c r="EB47">
        <v>1.8745400000000001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-1.1910000000000001</v>
      </c>
      <c r="EQ47">
        <v>8.9499999999999996E-2</v>
      </c>
      <c r="ER47">
        <v>-1.1905454545454901</v>
      </c>
      <c r="ES47">
        <v>0</v>
      </c>
      <c r="ET47">
        <v>0</v>
      </c>
      <c r="EU47">
        <v>0</v>
      </c>
      <c r="EV47">
        <v>8.95600000000005E-2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7.6</v>
      </c>
      <c r="FE47">
        <v>7.5</v>
      </c>
      <c r="FF47">
        <v>1.22803</v>
      </c>
      <c r="FG47">
        <v>2.5610400000000002</v>
      </c>
      <c r="FH47">
        <v>2.19604</v>
      </c>
      <c r="FI47">
        <v>2.5830099999999998</v>
      </c>
      <c r="FJ47">
        <v>2.4462899999999999</v>
      </c>
      <c r="FK47">
        <v>2.3156699999999999</v>
      </c>
      <c r="FL47">
        <v>28.5215</v>
      </c>
      <c r="FM47">
        <v>24.1663</v>
      </c>
      <c r="FN47">
        <v>19</v>
      </c>
      <c r="FO47">
        <v>862.76499999999999</v>
      </c>
      <c r="FP47">
        <v>609.46199999999999</v>
      </c>
      <c r="FQ47">
        <v>18.548400000000001</v>
      </c>
      <c r="FR47">
        <v>24.3385</v>
      </c>
      <c r="FS47">
        <v>30.0002</v>
      </c>
      <c r="FT47">
        <v>24.302499999999998</v>
      </c>
      <c r="FU47">
        <v>24.302499999999998</v>
      </c>
      <c r="FV47">
        <v>24.6615</v>
      </c>
      <c r="FW47">
        <v>39.762799999999999</v>
      </c>
      <c r="FX47">
        <v>75.748099999999994</v>
      </c>
      <c r="FY47">
        <v>18.549199999999999</v>
      </c>
      <c r="FZ47">
        <v>410</v>
      </c>
      <c r="GA47">
        <v>13.8005</v>
      </c>
      <c r="GB47">
        <v>99.947900000000004</v>
      </c>
      <c r="GC47">
        <v>99.575800000000001</v>
      </c>
    </row>
    <row r="48" spans="1:185" x14ac:dyDescent="0.2">
      <c r="A48">
        <v>33</v>
      </c>
      <c r="B48">
        <v>1770999115</v>
      </c>
      <c r="C48">
        <v>491.90000009536698</v>
      </c>
      <c r="D48" t="s">
        <v>359</v>
      </c>
      <c r="E48" t="s">
        <v>360</v>
      </c>
      <c r="F48">
        <v>15</v>
      </c>
      <c r="G48">
        <v>1770999106.9333301</v>
      </c>
      <c r="H48">
        <f t="shared" si="0"/>
        <v>1.2581220594559126E-3</v>
      </c>
      <c r="I48">
        <v>0</v>
      </c>
      <c r="J48">
        <f t="shared" si="12"/>
        <v>1.5578067631784966E-2</v>
      </c>
      <c r="K48">
        <f t="shared" si="1"/>
        <v>0.27855538820958203</v>
      </c>
      <c r="L48">
        <f t="shared" si="2"/>
        <v>69.699498485892249</v>
      </c>
      <c r="M48">
        <f t="shared" si="3"/>
        <v>1.5368494761883673</v>
      </c>
      <c r="N48">
        <f t="shared" si="4"/>
        <v>2.2049648987064638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26344.217024722264</v>
      </c>
      <c r="T48">
        <f t="shared" si="8"/>
        <v>300.00006666666701</v>
      </c>
      <c r="U48">
        <f t="shared" si="9"/>
        <v>252.90029800005399</v>
      </c>
      <c r="V48">
        <f t="shared" si="10"/>
        <v>0.84300080599999994</v>
      </c>
      <c r="W48">
        <f t="shared" si="11"/>
        <v>0.158702015</v>
      </c>
      <c r="X48">
        <v>1</v>
      </c>
      <c r="Y48">
        <v>1770999106.9333301</v>
      </c>
      <c r="Z48">
        <v>408.99786666666699</v>
      </c>
      <c r="AA48">
        <v>409.98926666666699</v>
      </c>
      <c r="AB48">
        <v>15.2885266666667</v>
      </c>
      <c r="AC48">
        <v>13.739926666666699</v>
      </c>
      <c r="AD48">
        <v>410.18833333333299</v>
      </c>
      <c r="AE48">
        <v>15.198966666666699</v>
      </c>
      <c r="AF48">
        <v>800.00466666666603</v>
      </c>
      <c r="AG48">
        <v>100.45780000000001</v>
      </c>
      <c r="AH48">
        <v>6.5259526666666706E-2</v>
      </c>
      <c r="AI48">
        <v>18.998433333333299</v>
      </c>
      <c r="AJ48">
        <v>999.9</v>
      </c>
      <c r="AK48">
        <v>999.9</v>
      </c>
      <c r="AL48">
        <v>0</v>
      </c>
      <c r="AM48">
        <v>0</v>
      </c>
      <c r="AN48">
        <v>5000.3</v>
      </c>
      <c r="AO48">
        <v>0</v>
      </c>
      <c r="AP48">
        <v>1.86317</v>
      </c>
      <c r="AQ48">
        <v>-0.991404533333333</v>
      </c>
      <c r="AR48">
        <v>415.34780000000001</v>
      </c>
      <c r="AS48">
        <v>415.70086666666703</v>
      </c>
      <c r="AT48">
        <v>1.54860333333333</v>
      </c>
      <c r="AU48">
        <v>409.98926666666699</v>
      </c>
      <c r="AV48">
        <v>13.739926666666699</v>
      </c>
      <c r="AW48">
        <v>1.535852</v>
      </c>
      <c r="AX48">
        <v>1.3802813333333299</v>
      </c>
      <c r="AY48">
        <v>13.329826666666699</v>
      </c>
      <c r="AZ48">
        <v>11.7027133333333</v>
      </c>
      <c r="BA48">
        <v>300.00006666666701</v>
      </c>
      <c r="BB48">
        <v>0.89997313333333295</v>
      </c>
      <c r="BC48">
        <v>0</v>
      </c>
      <c r="BD48">
        <v>0.10002686666666701</v>
      </c>
      <c r="BE48">
        <v>0</v>
      </c>
      <c r="BF48">
        <v>24</v>
      </c>
      <c r="BG48">
        <v>4946.59666666667</v>
      </c>
      <c r="BH48">
        <v>1770998647.0999999</v>
      </c>
      <c r="BI48" t="s">
        <v>289</v>
      </c>
      <c r="BJ48">
        <v>1770998646.0999999</v>
      </c>
      <c r="BK48">
        <v>1770998647.0999999</v>
      </c>
      <c r="BL48">
        <v>1</v>
      </c>
      <c r="BM48">
        <v>-0.376</v>
      </c>
      <c r="BN48">
        <v>4.2000000000000003E-2</v>
      </c>
      <c r="BO48">
        <v>-1.1910000000000001</v>
      </c>
      <c r="BP48">
        <v>0.09</v>
      </c>
      <c r="BQ48">
        <v>410</v>
      </c>
      <c r="BR48">
        <v>14</v>
      </c>
      <c r="BS48">
        <v>0.41</v>
      </c>
      <c r="BT48">
        <v>0.04</v>
      </c>
      <c r="BU48">
        <v>-0.99633620000000001</v>
      </c>
      <c r="BV48">
        <v>3.5463879699247698E-2</v>
      </c>
      <c r="BW48">
        <v>3.20032896568462E-2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1.5489625</v>
      </c>
      <c r="CD48">
        <v>-2.3156390977456102E-3</v>
      </c>
      <c r="CE48">
        <v>1.53927864598975E-3</v>
      </c>
      <c r="CF48">
        <v>1</v>
      </c>
      <c r="CG48">
        <v>2</v>
      </c>
      <c r="CH48">
        <v>2</v>
      </c>
      <c r="CI48" t="s">
        <v>304</v>
      </c>
      <c r="CJ48">
        <v>3.5325000000000002</v>
      </c>
      <c r="CK48">
        <v>2.7029700000000001</v>
      </c>
      <c r="CL48">
        <v>9.8469799999999996E-2</v>
      </c>
      <c r="CM48">
        <v>9.7212099999999996E-2</v>
      </c>
      <c r="CN48">
        <v>8.7216100000000005E-2</v>
      </c>
      <c r="CO48">
        <v>7.9704899999999995E-2</v>
      </c>
      <c r="CP48">
        <v>31649.9</v>
      </c>
      <c r="CQ48">
        <v>27770.3</v>
      </c>
      <c r="CR48">
        <v>32488.1</v>
      </c>
      <c r="CS48">
        <v>30682.6</v>
      </c>
      <c r="CT48">
        <v>40131.199999999997</v>
      </c>
      <c r="CU48">
        <v>39689.9</v>
      </c>
      <c r="CV48">
        <v>47422.7</v>
      </c>
      <c r="CW48">
        <v>46766</v>
      </c>
      <c r="CX48">
        <v>2.6409199999999999</v>
      </c>
      <c r="CY48">
        <v>2.1896200000000001</v>
      </c>
      <c r="CZ48">
        <v>0</v>
      </c>
      <c r="DA48">
        <v>0</v>
      </c>
      <c r="DB48">
        <v>999.9</v>
      </c>
      <c r="DC48">
        <v>999.9</v>
      </c>
      <c r="DD48">
        <v>75.986000000000004</v>
      </c>
      <c r="DE48">
        <v>23.050999999999998</v>
      </c>
      <c r="DF48">
        <v>21.3948</v>
      </c>
      <c r="DG48">
        <v>30.54</v>
      </c>
      <c r="DH48">
        <v>15.729200000000001</v>
      </c>
      <c r="DI48">
        <v>2</v>
      </c>
      <c r="DJ48">
        <v>-0.20955099999999999</v>
      </c>
      <c r="DK48">
        <v>1.53572</v>
      </c>
      <c r="DL48">
        <v>20.224399999999999</v>
      </c>
      <c r="DM48">
        <v>5.2513100000000001</v>
      </c>
      <c r="DN48">
        <v>12.033899999999999</v>
      </c>
      <c r="DO48">
        <v>4.9672799999999997</v>
      </c>
      <c r="DP48">
        <v>3.2909999999999999</v>
      </c>
      <c r="DQ48">
        <v>9999</v>
      </c>
      <c r="DR48">
        <v>9999</v>
      </c>
      <c r="DS48">
        <v>596.5</v>
      </c>
      <c r="DT48">
        <v>9999</v>
      </c>
      <c r="DU48">
        <v>1.8709</v>
      </c>
      <c r="DV48">
        <v>1.87602</v>
      </c>
      <c r="DW48">
        <v>1.87622</v>
      </c>
      <c r="DX48">
        <v>1.8827499999999999</v>
      </c>
      <c r="DY48">
        <v>1.8754599999999999</v>
      </c>
      <c r="DZ48">
        <v>1.8745400000000001</v>
      </c>
      <c r="EA48">
        <v>1.8707100000000001</v>
      </c>
      <c r="EB48">
        <v>1.8745400000000001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-1.1910000000000001</v>
      </c>
      <c r="EQ48">
        <v>8.9599999999999999E-2</v>
      </c>
      <c r="ER48">
        <v>-1.1905454545454901</v>
      </c>
      <c r="ES48">
        <v>0</v>
      </c>
      <c r="ET48">
        <v>0</v>
      </c>
      <c r="EU48">
        <v>0</v>
      </c>
      <c r="EV48">
        <v>8.95600000000005E-2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7.8</v>
      </c>
      <c r="FE48">
        <v>7.8</v>
      </c>
      <c r="FF48">
        <v>1.22803</v>
      </c>
      <c r="FG48">
        <v>2.5549300000000001</v>
      </c>
      <c r="FH48">
        <v>2.19604</v>
      </c>
      <c r="FI48">
        <v>2.5830099999999998</v>
      </c>
      <c r="FJ48">
        <v>2.4462899999999999</v>
      </c>
      <c r="FK48">
        <v>2.2875999999999999</v>
      </c>
      <c r="FL48">
        <v>28.5426</v>
      </c>
      <c r="FM48">
        <v>24.157499999999999</v>
      </c>
      <c r="FN48">
        <v>19</v>
      </c>
      <c r="FO48">
        <v>862.75400000000002</v>
      </c>
      <c r="FP48">
        <v>609.04100000000005</v>
      </c>
      <c r="FQ48">
        <v>18.5504</v>
      </c>
      <c r="FR48">
        <v>24.342600000000001</v>
      </c>
      <c r="FS48">
        <v>30.000299999999999</v>
      </c>
      <c r="FT48">
        <v>24.308599999999998</v>
      </c>
      <c r="FU48">
        <v>24.308599999999998</v>
      </c>
      <c r="FV48">
        <v>24.663</v>
      </c>
      <c r="FW48">
        <v>39.762799999999999</v>
      </c>
      <c r="FX48">
        <v>75.373999999999995</v>
      </c>
      <c r="FY48">
        <v>18.552399999999999</v>
      </c>
      <c r="FZ48">
        <v>410</v>
      </c>
      <c r="GA48">
        <v>13.799899999999999</v>
      </c>
      <c r="GB48">
        <v>99.946399999999997</v>
      </c>
      <c r="GC48">
        <v>99.576800000000006</v>
      </c>
    </row>
    <row r="49" spans="1:185" x14ac:dyDescent="0.2">
      <c r="A49">
        <v>34</v>
      </c>
      <c r="B49">
        <v>1770999130</v>
      </c>
      <c r="C49">
        <v>506.90000009536698</v>
      </c>
      <c r="D49" t="s">
        <v>361</v>
      </c>
      <c r="E49" t="s">
        <v>362</v>
      </c>
      <c r="F49">
        <v>15</v>
      </c>
      <c r="G49">
        <v>1770999121.9333301</v>
      </c>
      <c r="H49">
        <f t="shared" si="0"/>
        <v>1.2451005787026998E-3</v>
      </c>
      <c r="I49">
        <v>0</v>
      </c>
      <c r="J49">
        <f t="shared" si="12"/>
        <v>1.4969097972180004E-2</v>
      </c>
      <c r="K49">
        <f t="shared" si="1"/>
        <v>0.26766624688931928</v>
      </c>
      <c r="L49">
        <f t="shared" si="2"/>
        <v>69.705925053875092</v>
      </c>
      <c r="M49">
        <f t="shared" si="3"/>
        <v>1.5370135597706871</v>
      </c>
      <c r="N49">
        <f t="shared" si="4"/>
        <v>2.2049970050361472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26340.215977652981</v>
      </c>
      <c r="T49">
        <f t="shared" si="8"/>
        <v>300.00066666666697</v>
      </c>
      <c r="U49">
        <f t="shared" si="9"/>
        <v>252.9007894005056</v>
      </c>
      <c r="V49">
        <f t="shared" si="10"/>
        <v>0.84300075800000007</v>
      </c>
      <c r="W49">
        <f t="shared" si="11"/>
        <v>0.15870189500000001</v>
      </c>
      <c r="X49">
        <v>1</v>
      </c>
      <c r="Y49">
        <v>1770999121.9333301</v>
      </c>
      <c r="Z49">
        <v>409.00560000000002</v>
      </c>
      <c r="AA49">
        <v>409.97673333333302</v>
      </c>
      <c r="AB49">
        <v>15.290240000000001</v>
      </c>
      <c r="AC49">
        <v>13.7576866666667</v>
      </c>
      <c r="AD49">
        <v>410.19613333333302</v>
      </c>
      <c r="AE49">
        <v>15.200673333333301</v>
      </c>
      <c r="AF49">
        <v>800.01306666666699</v>
      </c>
      <c r="AG49">
        <v>100.457333333333</v>
      </c>
      <c r="AH49">
        <v>6.5193440000000005E-2</v>
      </c>
      <c r="AI49">
        <v>18.998666666666701</v>
      </c>
      <c r="AJ49">
        <v>999.9</v>
      </c>
      <c r="AK49">
        <v>999.9</v>
      </c>
      <c r="AL49">
        <v>0</v>
      </c>
      <c r="AM49">
        <v>0</v>
      </c>
      <c r="AN49">
        <v>4999.6666666666697</v>
      </c>
      <c r="AO49">
        <v>0</v>
      </c>
      <c r="AP49">
        <v>1.86317</v>
      </c>
      <c r="AQ49">
        <v>-0.97133146666666703</v>
      </c>
      <c r="AR49">
        <v>415.35626666666701</v>
      </c>
      <c r="AS49">
        <v>415.69606666666698</v>
      </c>
      <c r="AT49">
        <v>1.5325580000000001</v>
      </c>
      <c r="AU49">
        <v>409.97673333333302</v>
      </c>
      <c r="AV49">
        <v>13.7576866666667</v>
      </c>
      <c r="AW49">
        <v>1.53601733333333</v>
      </c>
      <c r="AX49">
        <v>1.3820586666666701</v>
      </c>
      <c r="AY49">
        <v>13.331480000000001</v>
      </c>
      <c r="AZ49">
        <v>11.722193333333299</v>
      </c>
      <c r="BA49">
        <v>300.00066666666697</v>
      </c>
      <c r="BB49">
        <v>0.899974733333333</v>
      </c>
      <c r="BC49">
        <v>0</v>
      </c>
      <c r="BD49">
        <v>0.100025266666667</v>
      </c>
      <c r="BE49">
        <v>0</v>
      </c>
      <c r="BF49">
        <v>24</v>
      </c>
      <c r="BG49">
        <v>4946.6120000000001</v>
      </c>
      <c r="BH49">
        <v>1770998647.0999999</v>
      </c>
      <c r="BI49" t="s">
        <v>289</v>
      </c>
      <c r="BJ49">
        <v>1770998646.0999999</v>
      </c>
      <c r="BK49">
        <v>1770998647.0999999</v>
      </c>
      <c r="BL49">
        <v>1</v>
      </c>
      <c r="BM49">
        <v>-0.376</v>
      </c>
      <c r="BN49">
        <v>4.2000000000000003E-2</v>
      </c>
      <c r="BO49">
        <v>-1.1910000000000001</v>
      </c>
      <c r="BP49">
        <v>0.09</v>
      </c>
      <c r="BQ49">
        <v>410</v>
      </c>
      <c r="BR49">
        <v>14</v>
      </c>
      <c r="BS49">
        <v>0.41</v>
      </c>
      <c r="BT49">
        <v>0.04</v>
      </c>
      <c r="BU49">
        <v>-0.98104133333333299</v>
      </c>
      <c r="BV49">
        <v>0.122129454545453</v>
      </c>
      <c r="BW49">
        <v>2.6678346427898899E-2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1.5372295238095199</v>
      </c>
      <c r="CD49">
        <v>-0.174968571428571</v>
      </c>
      <c r="CE49">
        <v>2.3938320241063699E-2</v>
      </c>
      <c r="CF49">
        <v>0</v>
      </c>
      <c r="CG49">
        <v>1</v>
      </c>
      <c r="CH49">
        <v>2</v>
      </c>
      <c r="CI49" t="s">
        <v>290</v>
      </c>
      <c r="CJ49">
        <v>3.5325000000000002</v>
      </c>
      <c r="CK49">
        <v>2.7029200000000002</v>
      </c>
      <c r="CL49">
        <v>9.8469799999999996E-2</v>
      </c>
      <c r="CM49">
        <v>9.7211199999999998E-2</v>
      </c>
      <c r="CN49">
        <v>8.7267700000000004E-2</v>
      </c>
      <c r="CO49">
        <v>8.0021499999999995E-2</v>
      </c>
      <c r="CP49">
        <v>31649.7</v>
      </c>
      <c r="CQ49">
        <v>27770.799999999999</v>
      </c>
      <c r="CR49">
        <v>32487.9</v>
      </c>
      <c r="CS49">
        <v>30683.200000000001</v>
      </c>
      <c r="CT49">
        <v>40128.800000000003</v>
      </c>
      <c r="CU49">
        <v>39676.699999999997</v>
      </c>
      <c r="CV49">
        <v>47422.6</v>
      </c>
      <c r="CW49">
        <v>46767</v>
      </c>
      <c r="CX49">
        <v>2.64066</v>
      </c>
      <c r="CY49">
        <v>2.1894</v>
      </c>
      <c r="CZ49">
        <v>0</v>
      </c>
      <c r="DA49">
        <v>0</v>
      </c>
      <c r="DB49">
        <v>999.9</v>
      </c>
      <c r="DC49">
        <v>999.9</v>
      </c>
      <c r="DD49">
        <v>75.888000000000005</v>
      </c>
      <c r="DE49">
        <v>23.081</v>
      </c>
      <c r="DF49">
        <v>21.403300000000002</v>
      </c>
      <c r="DG49">
        <v>30.33</v>
      </c>
      <c r="DH49">
        <v>15.773199999999999</v>
      </c>
      <c r="DI49">
        <v>2</v>
      </c>
      <c r="DJ49">
        <v>-0.20949000000000001</v>
      </c>
      <c r="DK49">
        <v>1.5315000000000001</v>
      </c>
      <c r="DL49">
        <v>20.224299999999999</v>
      </c>
      <c r="DM49">
        <v>5.2516699999999998</v>
      </c>
      <c r="DN49">
        <v>12.033899999999999</v>
      </c>
      <c r="DO49">
        <v>4.9676400000000003</v>
      </c>
      <c r="DP49">
        <v>3.2909999999999999</v>
      </c>
      <c r="DQ49">
        <v>9999</v>
      </c>
      <c r="DR49">
        <v>9999</v>
      </c>
      <c r="DS49">
        <v>596.5</v>
      </c>
      <c r="DT49">
        <v>9999</v>
      </c>
      <c r="DU49">
        <v>1.87094</v>
      </c>
      <c r="DV49">
        <v>1.87605</v>
      </c>
      <c r="DW49">
        <v>1.87622</v>
      </c>
      <c r="DX49">
        <v>1.8827499999999999</v>
      </c>
      <c r="DY49">
        <v>1.87547</v>
      </c>
      <c r="DZ49">
        <v>1.8745400000000001</v>
      </c>
      <c r="EA49">
        <v>1.8707</v>
      </c>
      <c r="EB49">
        <v>1.8745499999999999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-1.19</v>
      </c>
      <c r="EQ49">
        <v>8.9599999999999999E-2</v>
      </c>
      <c r="ER49">
        <v>-1.1905454545454901</v>
      </c>
      <c r="ES49">
        <v>0</v>
      </c>
      <c r="ET49">
        <v>0</v>
      </c>
      <c r="EU49">
        <v>0</v>
      </c>
      <c r="EV49">
        <v>8.95600000000005E-2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8.1</v>
      </c>
      <c r="FE49">
        <v>8</v>
      </c>
      <c r="FF49">
        <v>1.22925</v>
      </c>
      <c r="FG49">
        <v>2.5671400000000002</v>
      </c>
      <c r="FH49">
        <v>2.19604</v>
      </c>
      <c r="FI49">
        <v>2.5830099999999998</v>
      </c>
      <c r="FJ49">
        <v>2.4462899999999999</v>
      </c>
      <c r="FK49">
        <v>2.2595200000000002</v>
      </c>
      <c r="FL49">
        <v>28.5426</v>
      </c>
      <c r="FM49">
        <v>24.157499999999999</v>
      </c>
      <c r="FN49">
        <v>19</v>
      </c>
      <c r="FO49">
        <v>862.60799999999995</v>
      </c>
      <c r="FP49">
        <v>608.93899999999996</v>
      </c>
      <c r="FQ49">
        <v>18.554600000000001</v>
      </c>
      <c r="FR49">
        <v>24.346699999999998</v>
      </c>
      <c r="FS49">
        <v>30.0002</v>
      </c>
      <c r="FT49">
        <v>24.314299999999999</v>
      </c>
      <c r="FU49">
        <v>24.314699999999998</v>
      </c>
      <c r="FV49">
        <v>24.666</v>
      </c>
      <c r="FW49">
        <v>39.490400000000001</v>
      </c>
      <c r="FX49">
        <v>74.617800000000003</v>
      </c>
      <c r="FY49">
        <v>18.555199999999999</v>
      </c>
      <c r="FZ49">
        <v>410</v>
      </c>
      <c r="GA49">
        <v>13.7988</v>
      </c>
      <c r="GB49">
        <v>99.946100000000001</v>
      </c>
      <c r="GC49">
        <v>99.578800000000001</v>
      </c>
    </row>
    <row r="50" spans="1:185" x14ac:dyDescent="0.2">
      <c r="A50">
        <v>35</v>
      </c>
      <c r="B50">
        <v>1770999145</v>
      </c>
      <c r="C50">
        <v>521.90000009536698</v>
      </c>
      <c r="D50" t="s">
        <v>363</v>
      </c>
      <c r="E50" t="s">
        <v>364</v>
      </c>
      <c r="F50">
        <v>15</v>
      </c>
      <c r="G50">
        <v>1770999136.9333301</v>
      </c>
      <c r="H50">
        <f t="shared" si="0"/>
        <v>1.2223872708108366E-3</v>
      </c>
      <c r="I50">
        <v>0</v>
      </c>
      <c r="J50">
        <f t="shared" si="12"/>
        <v>1.6783747303174029E-2</v>
      </c>
      <c r="K50">
        <f t="shared" si="1"/>
        <v>0.30011445297027978</v>
      </c>
      <c r="L50">
        <f t="shared" si="2"/>
        <v>69.794237144479567</v>
      </c>
      <c r="M50">
        <f t="shared" si="3"/>
        <v>1.5391260292332871</v>
      </c>
      <c r="N50">
        <f t="shared" si="4"/>
        <v>2.2052336871985219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26346.680169462383</v>
      </c>
      <c r="T50">
        <f t="shared" si="8"/>
        <v>299.99913333333302</v>
      </c>
      <c r="U50">
        <f t="shared" si="9"/>
        <v>252.89944699948663</v>
      </c>
      <c r="V50">
        <f t="shared" si="10"/>
        <v>0.84300059199999988</v>
      </c>
      <c r="W50">
        <f t="shared" si="11"/>
        <v>0.15870147999999998</v>
      </c>
      <c r="X50">
        <v>1</v>
      </c>
      <c r="Y50">
        <v>1770999136.9333301</v>
      </c>
      <c r="Z50">
        <v>408.98660000000001</v>
      </c>
      <c r="AA50">
        <v>409.98666666666702</v>
      </c>
      <c r="AB50">
        <v>15.311213333333299</v>
      </c>
      <c r="AC50">
        <v>13.8066266666667</v>
      </c>
      <c r="AD50">
        <v>410.17726666666698</v>
      </c>
      <c r="AE50">
        <v>15.2216466666667</v>
      </c>
      <c r="AF50">
        <v>800.00113333333297</v>
      </c>
      <c r="AG50">
        <v>100.45780000000001</v>
      </c>
      <c r="AH50">
        <v>6.4999580000000001E-2</v>
      </c>
      <c r="AI50">
        <v>19.000386666666699</v>
      </c>
      <c r="AJ50">
        <v>999.9</v>
      </c>
      <c r="AK50">
        <v>999.9</v>
      </c>
      <c r="AL50">
        <v>0</v>
      </c>
      <c r="AM50">
        <v>0</v>
      </c>
      <c r="AN50">
        <v>5000.7333333333299</v>
      </c>
      <c r="AO50">
        <v>0</v>
      </c>
      <c r="AP50">
        <v>1.86317</v>
      </c>
      <c r="AQ50">
        <v>-1.0000216</v>
      </c>
      <c r="AR50">
        <v>415.346</v>
      </c>
      <c r="AS50">
        <v>415.72646666666702</v>
      </c>
      <c r="AT50">
        <v>1.50460066666667</v>
      </c>
      <c r="AU50">
        <v>409.98666666666702</v>
      </c>
      <c r="AV50">
        <v>13.8066266666667</v>
      </c>
      <c r="AW50">
        <v>1.5381293333333299</v>
      </c>
      <c r="AX50">
        <v>1.3869819999999999</v>
      </c>
      <c r="AY50">
        <v>13.3525733333333</v>
      </c>
      <c r="AZ50">
        <v>11.7760466666667</v>
      </c>
      <c r="BA50">
        <v>299.99913333333302</v>
      </c>
      <c r="BB50">
        <v>0.89998026666666697</v>
      </c>
      <c r="BC50">
        <v>0</v>
      </c>
      <c r="BD50">
        <v>0.100019733333333</v>
      </c>
      <c r="BE50">
        <v>0</v>
      </c>
      <c r="BF50">
        <v>24</v>
      </c>
      <c r="BG50">
        <v>4946.5919999999996</v>
      </c>
      <c r="BH50">
        <v>1770998647.0999999</v>
      </c>
      <c r="BI50" t="s">
        <v>289</v>
      </c>
      <c r="BJ50">
        <v>1770998646.0999999</v>
      </c>
      <c r="BK50">
        <v>1770998647.0999999</v>
      </c>
      <c r="BL50">
        <v>1</v>
      </c>
      <c r="BM50">
        <v>-0.376</v>
      </c>
      <c r="BN50">
        <v>4.2000000000000003E-2</v>
      </c>
      <c r="BO50">
        <v>-1.1910000000000001</v>
      </c>
      <c r="BP50">
        <v>0.09</v>
      </c>
      <c r="BQ50">
        <v>410</v>
      </c>
      <c r="BR50">
        <v>14</v>
      </c>
      <c r="BS50">
        <v>0.41</v>
      </c>
      <c r="BT50">
        <v>0.04</v>
      </c>
      <c r="BU50">
        <v>-0.99316344999999995</v>
      </c>
      <c r="BV50">
        <v>-0.189235443609023</v>
      </c>
      <c r="BW50">
        <v>3.0244099016956998E-2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1.502686</v>
      </c>
      <c r="CD50">
        <v>6.6585563909774201E-2</v>
      </c>
      <c r="CE50">
        <v>9.3470997640979804E-3</v>
      </c>
      <c r="CF50">
        <v>1</v>
      </c>
      <c r="CG50">
        <v>2</v>
      </c>
      <c r="CH50">
        <v>2</v>
      </c>
      <c r="CI50" t="s">
        <v>304</v>
      </c>
      <c r="CJ50">
        <v>3.5325000000000002</v>
      </c>
      <c r="CK50">
        <v>2.70295</v>
      </c>
      <c r="CL50">
        <v>9.8469500000000001E-2</v>
      </c>
      <c r="CM50">
        <v>9.7209500000000004E-2</v>
      </c>
      <c r="CN50">
        <v>8.7349300000000005E-2</v>
      </c>
      <c r="CO50">
        <v>7.9991900000000005E-2</v>
      </c>
      <c r="CP50">
        <v>31649.9</v>
      </c>
      <c r="CQ50">
        <v>27771.599999999999</v>
      </c>
      <c r="CR50">
        <v>32488.1</v>
      </c>
      <c r="CS50">
        <v>30684.1</v>
      </c>
      <c r="CT50">
        <v>40125.4</v>
      </c>
      <c r="CU50">
        <v>39679.199999999997</v>
      </c>
      <c r="CV50">
        <v>47422.9</v>
      </c>
      <c r="CW50">
        <v>46768.4</v>
      </c>
      <c r="CX50">
        <v>2.6405599999999998</v>
      </c>
      <c r="CY50">
        <v>2.1891799999999999</v>
      </c>
      <c r="CZ50">
        <v>0</v>
      </c>
      <c r="DA50">
        <v>0</v>
      </c>
      <c r="DB50">
        <v>999.9</v>
      </c>
      <c r="DC50">
        <v>999.9</v>
      </c>
      <c r="DD50">
        <v>75.802999999999997</v>
      </c>
      <c r="DE50">
        <v>23.111000000000001</v>
      </c>
      <c r="DF50">
        <v>21.418299999999999</v>
      </c>
      <c r="DG50">
        <v>30.54</v>
      </c>
      <c r="DH50">
        <v>15.8413</v>
      </c>
      <c r="DI50">
        <v>2</v>
      </c>
      <c r="DJ50">
        <v>-0.208978</v>
      </c>
      <c r="DK50">
        <v>1.5574699999999999</v>
      </c>
      <c r="DL50">
        <v>20.2241</v>
      </c>
      <c r="DM50">
        <v>5.2526299999999999</v>
      </c>
      <c r="DN50">
        <v>12.033899999999999</v>
      </c>
      <c r="DO50">
        <v>4.9676799999999997</v>
      </c>
      <c r="DP50">
        <v>3.2909999999999999</v>
      </c>
      <c r="DQ50">
        <v>9999</v>
      </c>
      <c r="DR50">
        <v>9999</v>
      </c>
      <c r="DS50">
        <v>596.5</v>
      </c>
      <c r="DT50">
        <v>9999</v>
      </c>
      <c r="DU50">
        <v>1.87093</v>
      </c>
      <c r="DV50">
        <v>1.87602</v>
      </c>
      <c r="DW50">
        <v>1.87622</v>
      </c>
      <c r="DX50">
        <v>1.8827700000000001</v>
      </c>
      <c r="DY50">
        <v>1.8754599999999999</v>
      </c>
      <c r="DZ50">
        <v>1.8745400000000001</v>
      </c>
      <c r="EA50">
        <v>1.87073</v>
      </c>
      <c r="EB50">
        <v>1.87456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-1.1910000000000001</v>
      </c>
      <c r="EQ50">
        <v>8.9599999999999999E-2</v>
      </c>
      <c r="ER50">
        <v>-1.1905454545454901</v>
      </c>
      <c r="ES50">
        <v>0</v>
      </c>
      <c r="ET50">
        <v>0</v>
      </c>
      <c r="EU50">
        <v>0</v>
      </c>
      <c r="EV50">
        <v>8.95600000000005E-2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8.3000000000000007</v>
      </c>
      <c r="FE50">
        <v>8.3000000000000007</v>
      </c>
      <c r="FF50">
        <v>1.22925</v>
      </c>
      <c r="FG50">
        <v>2.5659200000000002</v>
      </c>
      <c r="FH50">
        <v>2.19604</v>
      </c>
      <c r="FI50">
        <v>2.5817899999999998</v>
      </c>
      <c r="FJ50">
        <v>2.4462899999999999</v>
      </c>
      <c r="FK50">
        <v>2.2985799999999998</v>
      </c>
      <c r="FL50">
        <v>28.563600000000001</v>
      </c>
      <c r="FM50">
        <v>24.1663</v>
      </c>
      <c r="FN50">
        <v>19</v>
      </c>
      <c r="FO50">
        <v>862.60900000000004</v>
      </c>
      <c r="FP50">
        <v>608.83299999999997</v>
      </c>
      <c r="FQ50">
        <v>18.542999999999999</v>
      </c>
      <c r="FR50">
        <v>24.3507</v>
      </c>
      <c r="FS50">
        <v>30.0002</v>
      </c>
      <c r="FT50">
        <v>24.32</v>
      </c>
      <c r="FU50">
        <v>24.320499999999999</v>
      </c>
      <c r="FV50">
        <v>24.666</v>
      </c>
      <c r="FW50">
        <v>39.490400000000001</v>
      </c>
      <c r="FX50">
        <v>74.231899999999996</v>
      </c>
      <c r="FY50">
        <v>18.543299999999999</v>
      </c>
      <c r="FZ50">
        <v>410</v>
      </c>
      <c r="GA50">
        <v>13.7988</v>
      </c>
      <c r="GB50">
        <v>99.946700000000007</v>
      </c>
      <c r="GC50">
        <v>99.581800000000001</v>
      </c>
    </row>
    <row r="51" spans="1:185" x14ac:dyDescent="0.2">
      <c r="A51">
        <v>36</v>
      </c>
      <c r="B51">
        <v>1770999160</v>
      </c>
      <c r="C51">
        <v>536.90000009536698</v>
      </c>
      <c r="D51" t="s">
        <v>365</v>
      </c>
      <c r="E51" t="s">
        <v>366</v>
      </c>
      <c r="F51">
        <v>15</v>
      </c>
      <c r="G51">
        <v>1770999151.9333301</v>
      </c>
      <c r="H51">
        <f t="shared" si="0"/>
        <v>1.2412428538791129E-3</v>
      </c>
      <c r="I51">
        <v>0</v>
      </c>
      <c r="J51">
        <f t="shared" si="12"/>
        <v>1.4984997770588995E-2</v>
      </c>
      <c r="K51">
        <f t="shared" si="1"/>
        <v>0.2679505552273595</v>
      </c>
      <c r="L51">
        <f t="shared" si="2"/>
        <v>69.871276967321222</v>
      </c>
      <c r="M51">
        <f t="shared" si="3"/>
        <v>1.5407473768370914</v>
      </c>
      <c r="N51">
        <f t="shared" si="4"/>
        <v>2.2051226823258125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26318.687201221106</v>
      </c>
      <c r="T51">
        <f t="shared" si="8"/>
        <v>299.99886666666703</v>
      </c>
      <c r="U51">
        <f t="shared" si="9"/>
        <v>252.89921979933843</v>
      </c>
      <c r="V51">
        <f t="shared" si="10"/>
        <v>0.843000584</v>
      </c>
      <c r="W51">
        <f t="shared" si="11"/>
        <v>0.15870146000000004</v>
      </c>
      <c r="X51">
        <v>1</v>
      </c>
      <c r="Y51">
        <v>1770999151.9333301</v>
      </c>
      <c r="Z51">
        <v>409.00866666666701</v>
      </c>
      <c r="AA51">
        <v>409.97820000000002</v>
      </c>
      <c r="AB51">
        <v>15.327246666666699</v>
      </c>
      <c r="AC51">
        <v>13.799480000000001</v>
      </c>
      <c r="AD51">
        <v>410.19940000000003</v>
      </c>
      <c r="AE51">
        <v>15.2377</v>
      </c>
      <c r="AF51">
        <v>800.003066666667</v>
      </c>
      <c r="AG51">
        <v>100.4584</v>
      </c>
      <c r="AH51">
        <v>6.5028006666666693E-2</v>
      </c>
      <c r="AI51">
        <v>18.999580000000002</v>
      </c>
      <c r="AJ51">
        <v>999.9</v>
      </c>
      <c r="AK51">
        <v>999.9</v>
      </c>
      <c r="AL51">
        <v>0</v>
      </c>
      <c r="AM51">
        <v>0</v>
      </c>
      <c r="AN51">
        <v>4996.1000000000004</v>
      </c>
      <c r="AO51">
        <v>0</v>
      </c>
      <c r="AP51">
        <v>1.86317</v>
      </c>
      <c r="AQ51">
        <v>-0.96944566666666698</v>
      </c>
      <c r="AR51">
        <v>415.37553333333301</v>
      </c>
      <c r="AS51">
        <v>415.71499999999997</v>
      </c>
      <c r="AT51">
        <v>1.52777933333333</v>
      </c>
      <c r="AU51">
        <v>409.97820000000002</v>
      </c>
      <c r="AV51">
        <v>13.799480000000001</v>
      </c>
      <c r="AW51">
        <v>1.539752</v>
      </c>
      <c r="AX51">
        <v>1.3862733333333299</v>
      </c>
      <c r="AY51">
        <v>13.368726666666699</v>
      </c>
      <c r="AZ51">
        <v>11.7683133333333</v>
      </c>
      <c r="BA51">
        <v>299.99886666666703</v>
      </c>
      <c r="BB51">
        <v>0.89998053333333305</v>
      </c>
      <c r="BC51">
        <v>0</v>
      </c>
      <c r="BD51">
        <v>0.100019466666667</v>
      </c>
      <c r="BE51">
        <v>0</v>
      </c>
      <c r="BF51">
        <v>24</v>
      </c>
      <c r="BG51">
        <v>4946.5879999999997</v>
      </c>
      <c r="BH51">
        <v>1770998647.0999999</v>
      </c>
      <c r="BI51" t="s">
        <v>289</v>
      </c>
      <c r="BJ51">
        <v>1770998646.0999999</v>
      </c>
      <c r="BK51">
        <v>1770998647.0999999</v>
      </c>
      <c r="BL51">
        <v>1</v>
      </c>
      <c r="BM51">
        <v>-0.376</v>
      </c>
      <c r="BN51">
        <v>4.2000000000000003E-2</v>
      </c>
      <c r="BO51">
        <v>-1.1910000000000001</v>
      </c>
      <c r="BP51">
        <v>0.09</v>
      </c>
      <c r="BQ51">
        <v>410</v>
      </c>
      <c r="BR51">
        <v>14</v>
      </c>
      <c r="BS51">
        <v>0.41</v>
      </c>
      <c r="BT51">
        <v>0.04</v>
      </c>
      <c r="BU51">
        <v>-0.98136071428571403</v>
      </c>
      <c r="BV51">
        <v>0.149348727272723</v>
      </c>
      <c r="BW51">
        <v>2.64485773533021E-2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1.52358095238095</v>
      </c>
      <c r="CD51">
        <v>8.4655324675326202E-2</v>
      </c>
      <c r="CE51">
        <v>8.7838677372956506E-3</v>
      </c>
      <c r="CF51">
        <v>1</v>
      </c>
      <c r="CG51">
        <v>2</v>
      </c>
      <c r="CH51">
        <v>2</v>
      </c>
      <c r="CI51" t="s">
        <v>304</v>
      </c>
      <c r="CJ51">
        <v>3.5325600000000001</v>
      </c>
      <c r="CK51">
        <v>2.7028099999999999</v>
      </c>
      <c r="CL51">
        <v>9.8468399999999998E-2</v>
      </c>
      <c r="CM51">
        <v>9.7214499999999995E-2</v>
      </c>
      <c r="CN51">
        <v>8.7369699999999995E-2</v>
      </c>
      <c r="CO51">
        <v>7.99541E-2</v>
      </c>
      <c r="CP51">
        <v>31650.799999999999</v>
      </c>
      <c r="CQ51">
        <v>27771.8</v>
      </c>
      <c r="CR51">
        <v>32489</v>
      </c>
      <c r="CS51">
        <v>30684.400000000001</v>
      </c>
      <c r="CT51">
        <v>40125.599999999999</v>
      </c>
      <c r="CU51">
        <v>39681.599999999999</v>
      </c>
      <c r="CV51">
        <v>47424.3</v>
      </c>
      <c r="CW51">
        <v>46769.3</v>
      </c>
      <c r="CX51">
        <v>2.6408</v>
      </c>
      <c r="CY51">
        <v>2.1888800000000002</v>
      </c>
      <c r="CZ51">
        <v>0</v>
      </c>
      <c r="DA51">
        <v>0</v>
      </c>
      <c r="DB51">
        <v>999.9</v>
      </c>
      <c r="DC51">
        <v>999.9</v>
      </c>
      <c r="DD51">
        <v>75.680999999999997</v>
      </c>
      <c r="DE51">
        <v>23.111000000000001</v>
      </c>
      <c r="DF51">
        <v>21.3858</v>
      </c>
      <c r="DG51">
        <v>30.57</v>
      </c>
      <c r="DH51">
        <v>15.7492</v>
      </c>
      <c r="DI51">
        <v>2</v>
      </c>
      <c r="DJ51">
        <v>-0.20896100000000001</v>
      </c>
      <c r="DK51">
        <v>1.54386</v>
      </c>
      <c r="DL51">
        <v>20.2241</v>
      </c>
      <c r="DM51">
        <v>5.2523900000000001</v>
      </c>
      <c r="DN51">
        <v>12.033899999999999</v>
      </c>
      <c r="DO51">
        <v>4.9676</v>
      </c>
      <c r="DP51">
        <v>3.2909999999999999</v>
      </c>
      <c r="DQ51">
        <v>9999</v>
      </c>
      <c r="DR51">
        <v>9999</v>
      </c>
      <c r="DS51">
        <v>596.5</v>
      </c>
      <c r="DT51">
        <v>9999</v>
      </c>
      <c r="DU51">
        <v>1.87097</v>
      </c>
      <c r="DV51">
        <v>1.8760600000000001</v>
      </c>
      <c r="DW51">
        <v>1.87622</v>
      </c>
      <c r="DX51">
        <v>1.8827799999999999</v>
      </c>
      <c r="DY51">
        <v>1.8754900000000001</v>
      </c>
      <c r="DZ51">
        <v>1.8745400000000001</v>
      </c>
      <c r="EA51">
        <v>1.87073</v>
      </c>
      <c r="EB51">
        <v>1.8745700000000001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-1.19</v>
      </c>
      <c r="EQ51">
        <v>8.9499999999999996E-2</v>
      </c>
      <c r="ER51">
        <v>-1.1905454545454901</v>
      </c>
      <c r="ES51">
        <v>0</v>
      </c>
      <c r="ET51">
        <v>0</v>
      </c>
      <c r="EU51">
        <v>0</v>
      </c>
      <c r="EV51">
        <v>8.95600000000005E-2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8.6</v>
      </c>
      <c r="FE51">
        <v>8.5</v>
      </c>
      <c r="FF51">
        <v>1.22925</v>
      </c>
      <c r="FG51">
        <v>2.5598100000000001</v>
      </c>
      <c r="FH51">
        <v>2.19604</v>
      </c>
      <c r="FI51">
        <v>2.5817899999999998</v>
      </c>
      <c r="FJ51">
        <v>2.4462899999999999</v>
      </c>
      <c r="FK51">
        <v>2.3046899999999999</v>
      </c>
      <c r="FL51">
        <v>28.605799999999999</v>
      </c>
      <c r="FM51">
        <v>24.1663</v>
      </c>
      <c r="FN51">
        <v>19</v>
      </c>
      <c r="FO51">
        <v>862.91700000000003</v>
      </c>
      <c r="FP51">
        <v>608.65300000000002</v>
      </c>
      <c r="FQ51">
        <v>18.5427</v>
      </c>
      <c r="FR51">
        <v>24.354800000000001</v>
      </c>
      <c r="FS51">
        <v>30.0002</v>
      </c>
      <c r="FT51">
        <v>24.325299999999999</v>
      </c>
      <c r="FU51">
        <v>24.325299999999999</v>
      </c>
      <c r="FV51">
        <v>24.6676</v>
      </c>
      <c r="FW51">
        <v>39.490400000000001</v>
      </c>
      <c r="FX51">
        <v>73.4786</v>
      </c>
      <c r="FY51">
        <v>18.543500000000002</v>
      </c>
      <c r="FZ51">
        <v>410</v>
      </c>
      <c r="GA51">
        <v>13.7988</v>
      </c>
      <c r="GB51">
        <v>99.9495</v>
      </c>
      <c r="GC51">
        <v>99.583200000000005</v>
      </c>
    </row>
    <row r="52" spans="1:185" x14ac:dyDescent="0.2">
      <c r="A52">
        <v>37</v>
      </c>
      <c r="B52">
        <v>1770999175</v>
      </c>
      <c r="C52">
        <v>551.90000009536698</v>
      </c>
      <c r="D52" t="s">
        <v>367</v>
      </c>
      <c r="E52" t="s">
        <v>368</v>
      </c>
      <c r="F52">
        <v>15</v>
      </c>
      <c r="G52">
        <v>1770999166.9333301</v>
      </c>
      <c r="H52">
        <f t="shared" si="0"/>
        <v>1.2496597362977875E-3</v>
      </c>
      <c r="I52">
        <v>0</v>
      </c>
      <c r="J52">
        <f t="shared" si="12"/>
        <v>1.4762286596442022E-2</v>
      </c>
      <c r="K52">
        <f t="shared" si="1"/>
        <v>0.26396820009580629</v>
      </c>
      <c r="L52">
        <f t="shared" si="2"/>
        <v>69.881722582311738</v>
      </c>
      <c r="M52">
        <f t="shared" si="3"/>
        <v>1.5408616842232361</v>
      </c>
      <c r="N52">
        <f t="shared" si="4"/>
        <v>2.2049566428593659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26391.70128332204</v>
      </c>
      <c r="T52">
        <f t="shared" si="8"/>
        <v>300</v>
      </c>
      <c r="U52">
        <f t="shared" si="9"/>
        <v>252.90021660000002</v>
      </c>
      <c r="V52">
        <f t="shared" si="10"/>
        <v>0.84300072200000009</v>
      </c>
      <c r="W52">
        <f t="shared" si="11"/>
        <v>0.15870180500000003</v>
      </c>
      <c r="X52">
        <v>1</v>
      </c>
      <c r="Y52">
        <v>1770999166.9333301</v>
      </c>
      <c r="Z52">
        <v>409.01826666666699</v>
      </c>
      <c r="AA52">
        <v>409.98713333333302</v>
      </c>
      <c r="AB52">
        <v>15.3286</v>
      </c>
      <c r="AC52">
        <v>13.7904866666667</v>
      </c>
      <c r="AD52">
        <v>410.20859999999999</v>
      </c>
      <c r="AE52">
        <v>15.2390266666667</v>
      </c>
      <c r="AF52">
        <v>800.00879999999995</v>
      </c>
      <c r="AG52">
        <v>100.456933333333</v>
      </c>
      <c r="AH52">
        <v>6.5076780000000001E-2</v>
      </c>
      <c r="AI52">
        <v>18.998373333333301</v>
      </c>
      <c r="AJ52">
        <v>999.9</v>
      </c>
      <c r="AK52">
        <v>999.9</v>
      </c>
      <c r="AL52">
        <v>0</v>
      </c>
      <c r="AM52">
        <v>0</v>
      </c>
      <c r="AN52">
        <v>5008.1333333333296</v>
      </c>
      <c r="AO52">
        <v>0</v>
      </c>
      <c r="AP52">
        <v>1.86317</v>
      </c>
      <c r="AQ52">
        <v>-0.96891680000000002</v>
      </c>
      <c r="AR52">
        <v>415.3854</v>
      </c>
      <c r="AS52">
        <v>415.72006666666698</v>
      </c>
      <c r="AT52">
        <v>1.53808866666667</v>
      </c>
      <c r="AU52">
        <v>409.98713333333302</v>
      </c>
      <c r="AV52">
        <v>13.7904866666667</v>
      </c>
      <c r="AW52">
        <v>1.5398620000000001</v>
      </c>
      <c r="AX52">
        <v>1.3853506666666699</v>
      </c>
      <c r="AY52">
        <v>13.3698266666667</v>
      </c>
      <c r="AZ52">
        <v>11.758233333333299</v>
      </c>
      <c r="BA52">
        <v>300</v>
      </c>
      <c r="BB52">
        <v>0.89997593333333303</v>
      </c>
      <c r="BC52">
        <v>0</v>
      </c>
      <c r="BD52">
        <v>0.10002406666666699</v>
      </c>
      <c r="BE52">
        <v>0</v>
      </c>
      <c r="BF52">
        <v>24</v>
      </c>
      <c r="BG52">
        <v>4946.6013333333303</v>
      </c>
      <c r="BH52">
        <v>1770998647.0999999</v>
      </c>
      <c r="BI52" t="s">
        <v>289</v>
      </c>
      <c r="BJ52">
        <v>1770998646.0999999</v>
      </c>
      <c r="BK52">
        <v>1770998647.0999999</v>
      </c>
      <c r="BL52">
        <v>1</v>
      </c>
      <c r="BM52">
        <v>-0.376</v>
      </c>
      <c r="BN52">
        <v>4.2000000000000003E-2</v>
      </c>
      <c r="BO52">
        <v>-1.1910000000000001</v>
      </c>
      <c r="BP52">
        <v>0.09</v>
      </c>
      <c r="BQ52">
        <v>410</v>
      </c>
      <c r="BR52">
        <v>14</v>
      </c>
      <c r="BS52">
        <v>0.41</v>
      </c>
      <c r="BT52">
        <v>0.04</v>
      </c>
      <c r="BU52">
        <v>-0.97229895</v>
      </c>
      <c r="BV52">
        <v>3.2799293233082297E-2</v>
      </c>
      <c r="BW52">
        <v>2.5686696658922498E-2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1.537202</v>
      </c>
      <c r="CD52">
        <v>3.0930225563910299E-2</v>
      </c>
      <c r="CE52">
        <v>4.7520191497930396E-3</v>
      </c>
      <c r="CF52">
        <v>1</v>
      </c>
      <c r="CG52">
        <v>2</v>
      </c>
      <c r="CH52">
        <v>2</v>
      </c>
      <c r="CI52" t="s">
        <v>304</v>
      </c>
      <c r="CJ52">
        <v>3.5325299999999999</v>
      </c>
      <c r="CK52">
        <v>2.70289</v>
      </c>
      <c r="CL52">
        <v>9.8470799999999997E-2</v>
      </c>
      <c r="CM52">
        <v>9.7205799999999995E-2</v>
      </c>
      <c r="CN52">
        <v>8.7385599999999994E-2</v>
      </c>
      <c r="CO52">
        <v>7.9920500000000005E-2</v>
      </c>
      <c r="CP52">
        <v>31650.5</v>
      </c>
      <c r="CQ52">
        <v>27772.400000000001</v>
      </c>
      <c r="CR52">
        <v>32488.799999999999</v>
      </c>
      <c r="CS52">
        <v>30684.799999999999</v>
      </c>
      <c r="CT52">
        <v>40124.800000000003</v>
      </c>
      <c r="CU52">
        <v>39683.599999999999</v>
      </c>
      <c r="CV52">
        <v>47424.1</v>
      </c>
      <c r="CW52">
        <v>46769.9</v>
      </c>
      <c r="CX52">
        <v>2.6406200000000002</v>
      </c>
      <c r="CY52">
        <v>2.18872</v>
      </c>
      <c r="CZ52">
        <v>0</v>
      </c>
      <c r="DA52">
        <v>0</v>
      </c>
      <c r="DB52">
        <v>999.9</v>
      </c>
      <c r="DC52">
        <v>999.9</v>
      </c>
      <c r="DD52">
        <v>75.600999999999999</v>
      </c>
      <c r="DE52">
        <v>23.141999999999999</v>
      </c>
      <c r="DF52">
        <v>21.4038</v>
      </c>
      <c r="DG52">
        <v>30</v>
      </c>
      <c r="DH52">
        <v>15.7171</v>
      </c>
      <c r="DI52">
        <v>2</v>
      </c>
      <c r="DJ52">
        <v>-0.20870900000000001</v>
      </c>
      <c r="DK52">
        <v>1.54087</v>
      </c>
      <c r="DL52">
        <v>20.2241</v>
      </c>
      <c r="DM52">
        <v>5.2523900000000001</v>
      </c>
      <c r="DN52">
        <v>12.033899999999999</v>
      </c>
      <c r="DO52">
        <v>4.9676799999999997</v>
      </c>
      <c r="DP52">
        <v>3.2909999999999999</v>
      </c>
      <c r="DQ52">
        <v>9999</v>
      </c>
      <c r="DR52">
        <v>9999</v>
      </c>
      <c r="DS52">
        <v>596.5</v>
      </c>
      <c r="DT52">
        <v>9999</v>
      </c>
      <c r="DU52">
        <v>1.87094</v>
      </c>
      <c r="DV52">
        <v>1.87601</v>
      </c>
      <c r="DW52">
        <v>1.87622</v>
      </c>
      <c r="DX52">
        <v>1.8827499999999999</v>
      </c>
      <c r="DY52">
        <v>1.8754599999999999</v>
      </c>
      <c r="DZ52">
        <v>1.8745400000000001</v>
      </c>
      <c r="EA52">
        <v>1.87069</v>
      </c>
      <c r="EB52">
        <v>1.8745499999999999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-1.19</v>
      </c>
      <c r="EQ52">
        <v>8.9499999999999996E-2</v>
      </c>
      <c r="ER52">
        <v>-1.1905454545454901</v>
      </c>
      <c r="ES52">
        <v>0</v>
      </c>
      <c r="ET52">
        <v>0</v>
      </c>
      <c r="EU52">
        <v>0</v>
      </c>
      <c r="EV52">
        <v>8.95600000000005E-2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8.8000000000000007</v>
      </c>
      <c r="FE52">
        <v>8.8000000000000007</v>
      </c>
      <c r="FF52">
        <v>1.22925</v>
      </c>
      <c r="FG52">
        <v>2.5634800000000002</v>
      </c>
      <c r="FH52">
        <v>2.19604</v>
      </c>
      <c r="FI52">
        <v>2.5830099999999998</v>
      </c>
      <c r="FJ52">
        <v>2.4462899999999999</v>
      </c>
      <c r="FK52">
        <v>2.2619600000000002</v>
      </c>
      <c r="FL52">
        <v>28.626899999999999</v>
      </c>
      <c r="FM52">
        <v>24.157499999999999</v>
      </c>
      <c r="FN52">
        <v>19</v>
      </c>
      <c r="FO52">
        <v>862.83100000000002</v>
      </c>
      <c r="FP52">
        <v>608.59400000000005</v>
      </c>
      <c r="FQ52">
        <v>18.544899999999998</v>
      </c>
      <c r="FR52">
        <v>24.358599999999999</v>
      </c>
      <c r="FS52">
        <v>30.0002</v>
      </c>
      <c r="FT52">
        <v>24.330200000000001</v>
      </c>
      <c r="FU52">
        <v>24.331099999999999</v>
      </c>
      <c r="FV52">
        <v>24.6708</v>
      </c>
      <c r="FW52">
        <v>39.490400000000001</v>
      </c>
      <c r="FX52">
        <v>73.103399999999993</v>
      </c>
      <c r="FY52">
        <v>18.546900000000001</v>
      </c>
      <c r="FZ52">
        <v>410</v>
      </c>
      <c r="GA52">
        <v>13.7988</v>
      </c>
      <c r="GB52">
        <v>99.949100000000001</v>
      </c>
      <c r="GC52">
        <v>99.584500000000006</v>
      </c>
    </row>
    <row r="53" spans="1:185" x14ac:dyDescent="0.2">
      <c r="A53">
        <v>38</v>
      </c>
      <c r="B53">
        <v>1770999190</v>
      </c>
      <c r="C53">
        <v>566.90000009536698</v>
      </c>
      <c r="D53" t="s">
        <v>369</v>
      </c>
      <c r="E53" t="s">
        <v>370</v>
      </c>
      <c r="F53">
        <v>15</v>
      </c>
      <c r="G53">
        <v>1770999181.9333301</v>
      </c>
      <c r="H53">
        <f t="shared" si="0"/>
        <v>1.253828292169436E-3</v>
      </c>
      <c r="I53">
        <v>0</v>
      </c>
      <c r="J53">
        <f t="shared" si="12"/>
        <v>1.4876314389616173E-2</v>
      </c>
      <c r="K53">
        <f t="shared" si="1"/>
        <v>0.26600716005830505</v>
      </c>
      <c r="L53">
        <f t="shared" si="2"/>
        <v>69.86330435261354</v>
      </c>
      <c r="M53">
        <f t="shared" si="3"/>
        <v>1.5405382439619548</v>
      </c>
      <c r="N53">
        <f t="shared" si="4"/>
        <v>2.2050749792574393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26296.732913229105</v>
      </c>
      <c r="T53">
        <f t="shared" si="8"/>
        <v>300.001466666667</v>
      </c>
      <c r="U53">
        <f t="shared" si="9"/>
        <v>252.90144520102106</v>
      </c>
      <c r="V53">
        <f t="shared" si="10"/>
        <v>0.84300069599999994</v>
      </c>
      <c r="W53">
        <f t="shared" si="11"/>
        <v>0.15870174000000001</v>
      </c>
      <c r="X53">
        <v>1</v>
      </c>
      <c r="Y53">
        <v>1770999181.9333301</v>
      </c>
      <c r="Z53">
        <v>409.00799999999998</v>
      </c>
      <c r="AA53">
        <v>409.981533333333</v>
      </c>
      <c r="AB53">
        <v>15.32558</v>
      </c>
      <c r="AC53">
        <v>13.7823266666667</v>
      </c>
      <c r="AD53">
        <v>410.198466666667</v>
      </c>
      <c r="AE53">
        <v>15.23602</v>
      </c>
      <c r="AF53">
        <v>800.00646666666705</v>
      </c>
      <c r="AG53">
        <v>100.45586666666701</v>
      </c>
      <c r="AH53">
        <v>6.4847326666666705E-2</v>
      </c>
      <c r="AI53">
        <v>18.999233333333301</v>
      </c>
      <c r="AJ53">
        <v>999.9</v>
      </c>
      <c r="AK53">
        <v>999.9</v>
      </c>
      <c r="AL53">
        <v>0</v>
      </c>
      <c r="AM53">
        <v>0</v>
      </c>
      <c r="AN53">
        <v>4992.6000000000004</v>
      </c>
      <c r="AO53">
        <v>0</v>
      </c>
      <c r="AP53">
        <v>1.86317</v>
      </c>
      <c r="AQ53">
        <v>-0.97370193333333299</v>
      </c>
      <c r="AR53">
        <v>415.37366666666702</v>
      </c>
      <c r="AS53">
        <v>415.71106666666702</v>
      </c>
      <c r="AT53">
        <v>1.54324333333333</v>
      </c>
      <c r="AU53">
        <v>409.981533333333</v>
      </c>
      <c r="AV53">
        <v>13.7823266666667</v>
      </c>
      <c r="AW53">
        <v>1.539544</v>
      </c>
      <c r="AX53">
        <v>1.3845166666666699</v>
      </c>
      <c r="AY53">
        <v>13.366633333333301</v>
      </c>
      <c r="AZ53">
        <v>11.7491</v>
      </c>
      <c r="BA53">
        <v>300.001466666667</v>
      </c>
      <c r="BB53">
        <v>0.89997680000000002</v>
      </c>
      <c r="BC53">
        <v>0</v>
      </c>
      <c r="BD53">
        <v>0.10002320000000001</v>
      </c>
      <c r="BE53">
        <v>0</v>
      </c>
      <c r="BF53">
        <v>24</v>
      </c>
      <c r="BG53">
        <v>4946.6266666666697</v>
      </c>
      <c r="BH53">
        <v>1770998647.0999999</v>
      </c>
      <c r="BI53" t="s">
        <v>289</v>
      </c>
      <c r="BJ53">
        <v>1770998646.0999999</v>
      </c>
      <c r="BK53">
        <v>1770998647.0999999</v>
      </c>
      <c r="BL53">
        <v>1</v>
      </c>
      <c r="BM53">
        <v>-0.376</v>
      </c>
      <c r="BN53">
        <v>4.2000000000000003E-2</v>
      </c>
      <c r="BO53">
        <v>-1.1910000000000001</v>
      </c>
      <c r="BP53">
        <v>0.09</v>
      </c>
      <c r="BQ53">
        <v>410</v>
      </c>
      <c r="BR53">
        <v>14</v>
      </c>
      <c r="BS53">
        <v>0.41</v>
      </c>
      <c r="BT53">
        <v>0.04</v>
      </c>
      <c r="BU53">
        <v>-0.97414723809523796</v>
      </c>
      <c r="BV53">
        <v>-8.7104415584435199E-3</v>
      </c>
      <c r="BW53">
        <v>1.4328012738637199E-2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1.5425671428571399</v>
      </c>
      <c r="CD53">
        <v>8.2893506493496201E-3</v>
      </c>
      <c r="CE53">
        <v>2.6303397261247499E-3</v>
      </c>
      <c r="CF53">
        <v>1</v>
      </c>
      <c r="CG53">
        <v>2</v>
      </c>
      <c r="CH53">
        <v>2</v>
      </c>
      <c r="CI53" t="s">
        <v>304</v>
      </c>
      <c r="CJ53">
        <v>3.5324900000000001</v>
      </c>
      <c r="CK53">
        <v>2.7026599999999998</v>
      </c>
      <c r="CL53">
        <v>9.8458199999999996E-2</v>
      </c>
      <c r="CM53">
        <v>9.7205100000000003E-2</v>
      </c>
      <c r="CN53">
        <v>8.7367399999999998E-2</v>
      </c>
      <c r="CO53">
        <v>7.9873200000000005E-2</v>
      </c>
      <c r="CP53">
        <v>31650.799999999999</v>
      </c>
      <c r="CQ53">
        <v>27772.7</v>
      </c>
      <c r="CR53">
        <v>32488.7</v>
      </c>
      <c r="CS53">
        <v>30685.200000000001</v>
      </c>
      <c r="CT53">
        <v>40125.699999999997</v>
      </c>
      <c r="CU53">
        <v>39686.300000000003</v>
      </c>
      <c r="CV53">
        <v>47424.3</v>
      </c>
      <c r="CW53">
        <v>46770.6</v>
      </c>
      <c r="CX53">
        <v>2.64072</v>
      </c>
      <c r="CY53">
        <v>2.1881400000000002</v>
      </c>
      <c r="CZ53">
        <v>0</v>
      </c>
      <c r="DA53">
        <v>0</v>
      </c>
      <c r="DB53">
        <v>999.9</v>
      </c>
      <c r="DC53">
        <v>999.9</v>
      </c>
      <c r="DD53">
        <v>75.472999999999999</v>
      </c>
      <c r="DE53">
        <v>23.161999999999999</v>
      </c>
      <c r="DF53">
        <v>21.392900000000001</v>
      </c>
      <c r="DG53">
        <v>30.36</v>
      </c>
      <c r="DH53">
        <v>15.9175</v>
      </c>
      <c r="DI53">
        <v>2</v>
      </c>
      <c r="DJ53">
        <v>-0.20834800000000001</v>
      </c>
      <c r="DK53">
        <v>1.53956</v>
      </c>
      <c r="DL53">
        <v>20.224299999999999</v>
      </c>
      <c r="DM53">
        <v>5.2523900000000001</v>
      </c>
      <c r="DN53">
        <v>12.033899999999999</v>
      </c>
      <c r="DO53">
        <v>4.9676</v>
      </c>
      <c r="DP53">
        <v>3.2909999999999999</v>
      </c>
      <c r="DQ53">
        <v>9999</v>
      </c>
      <c r="DR53">
        <v>9999</v>
      </c>
      <c r="DS53">
        <v>596.5</v>
      </c>
      <c r="DT53">
        <v>9999</v>
      </c>
      <c r="DU53">
        <v>1.8709</v>
      </c>
      <c r="DV53">
        <v>1.87605</v>
      </c>
      <c r="DW53">
        <v>1.87622</v>
      </c>
      <c r="DX53">
        <v>1.88269</v>
      </c>
      <c r="DY53">
        <v>1.8754599999999999</v>
      </c>
      <c r="DZ53">
        <v>1.8745400000000001</v>
      </c>
      <c r="EA53">
        <v>1.8707</v>
      </c>
      <c r="EB53">
        <v>1.8745400000000001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-1.19</v>
      </c>
      <c r="EQ53">
        <v>8.9599999999999999E-2</v>
      </c>
      <c r="ER53">
        <v>-1.1905454545454901</v>
      </c>
      <c r="ES53">
        <v>0</v>
      </c>
      <c r="ET53">
        <v>0</v>
      </c>
      <c r="EU53">
        <v>0</v>
      </c>
      <c r="EV53">
        <v>8.95600000000005E-2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9.1</v>
      </c>
      <c r="FE53">
        <v>9</v>
      </c>
      <c r="FF53">
        <v>1.22925</v>
      </c>
      <c r="FG53">
        <v>2.5647000000000002</v>
      </c>
      <c r="FH53">
        <v>2.19604</v>
      </c>
      <c r="FI53">
        <v>2.5817899999999998</v>
      </c>
      <c r="FJ53">
        <v>2.4462899999999999</v>
      </c>
      <c r="FK53">
        <v>2.3144499999999999</v>
      </c>
      <c r="FL53">
        <v>28.6479</v>
      </c>
      <c r="FM53">
        <v>24.1663</v>
      </c>
      <c r="FN53">
        <v>19</v>
      </c>
      <c r="FO53">
        <v>863.01099999999997</v>
      </c>
      <c r="FP53">
        <v>608.18600000000004</v>
      </c>
      <c r="FQ53">
        <v>18.548400000000001</v>
      </c>
      <c r="FR53">
        <v>24.362300000000001</v>
      </c>
      <c r="FS53">
        <v>30.0001</v>
      </c>
      <c r="FT53">
        <v>24.335599999999999</v>
      </c>
      <c r="FU53">
        <v>24.3355</v>
      </c>
      <c r="FV53">
        <v>24.673300000000001</v>
      </c>
      <c r="FW53">
        <v>39.490400000000001</v>
      </c>
      <c r="FX53">
        <v>72.720200000000006</v>
      </c>
      <c r="FY53">
        <v>18.548500000000001</v>
      </c>
      <c r="FZ53">
        <v>410</v>
      </c>
      <c r="GA53">
        <v>13.7988</v>
      </c>
      <c r="GB53">
        <v>99.949200000000005</v>
      </c>
      <c r="GC53">
        <v>99.585899999999995</v>
      </c>
    </row>
    <row r="54" spans="1:185" x14ac:dyDescent="0.2">
      <c r="A54">
        <v>39</v>
      </c>
      <c r="B54">
        <v>1770999205</v>
      </c>
      <c r="C54">
        <v>581.90000009536698</v>
      </c>
      <c r="D54" t="s">
        <v>371</v>
      </c>
      <c r="E54" t="s">
        <v>372</v>
      </c>
      <c r="F54">
        <v>15</v>
      </c>
      <c r="G54">
        <v>1770999196.9333301</v>
      </c>
      <c r="H54">
        <f t="shared" si="0"/>
        <v>1.2574515145837989E-3</v>
      </c>
      <c r="I54">
        <v>0</v>
      </c>
      <c r="J54">
        <f t="shared" si="12"/>
        <v>1.6226955479792193E-2</v>
      </c>
      <c r="K54">
        <f t="shared" si="1"/>
        <v>0.29015831680628007</v>
      </c>
      <c r="L54">
        <f t="shared" si="2"/>
        <v>69.84731558500124</v>
      </c>
      <c r="M54">
        <f t="shared" si="3"/>
        <v>1.5401158392929801</v>
      </c>
      <c r="N54">
        <f t="shared" si="4"/>
        <v>2.204974989223063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26374.683658610298</v>
      </c>
      <c r="T54">
        <f t="shared" si="8"/>
        <v>299.99919999999997</v>
      </c>
      <c r="U54">
        <f t="shared" si="9"/>
        <v>252.89955719938212</v>
      </c>
      <c r="V54">
        <f t="shared" si="10"/>
        <v>0.84300077199999912</v>
      </c>
      <c r="W54">
        <f t="shared" si="11"/>
        <v>0.15870192999999982</v>
      </c>
      <c r="X54">
        <v>1</v>
      </c>
      <c r="Y54">
        <v>1770999196.9333301</v>
      </c>
      <c r="Z54">
        <v>408.984466666667</v>
      </c>
      <c r="AA54">
        <v>409.99</v>
      </c>
      <c r="AB54">
        <v>15.321293333333299</v>
      </c>
      <c r="AC54">
        <v>13.773580000000001</v>
      </c>
      <c r="AD54">
        <v>410.174933333333</v>
      </c>
      <c r="AE54">
        <v>15.231719999999999</v>
      </c>
      <c r="AF54">
        <v>800.00973333333297</v>
      </c>
      <c r="AG54">
        <v>100.45633333333301</v>
      </c>
      <c r="AH54">
        <v>6.4935060000000003E-2</v>
      </c>
      <c r="AI54">
        <v>18.9985066666667</v>
      </c>
      <c r="AJ54">
        <v>999.9</v>
      </c>
      <c r="AK54">
        <v>999.9</v>
      </c>
      <c r="AL54">
        <v>0</v>
      </c>
      <c r="AM54">
        <v>0</v>
      </c>
      <c r="AN54">
        <v>5005.3666666666704</v>
      </c>
      <c r="AO54">
        <v>0</v>
      </c>
      <c r="AP54">
        <v>1.86317</v>
      </c>
      <c r="AQ54">
        <v>-1.0055805333333301</v>
      </c>
      <c r="AR54">
        <v>415.347933333333</v>
      </c>
      <c r="AS54">
        <v>415.715666666667</v>
      </c>
      <c r="AT54">
        <v>1.54770866666667</v>
      </c>
      <c r="AU54">
        <v>409.99</v>
      </c>
      <c r="AV54">
        <v>13.773580000000001</v>
      </c>
      <c r="AW54">
        <v>1.5391186666666701</v>
      </c>
      <c r="AX54">
        <v>1.3836440000000001</v>
      </c>
      <c r="AY54">
        <v>13.36242</v>
      </c>
      <c r="AZ54">
        <v>11.73954</v>
      </c>
      <c r="BA54">
        <v>299.99919999999997</v>
      </c>
      <c r="BB54">
        <v>0.89997426666666602</v>
      </c>
      <c r="BC54">
        <v>0</v>
      </c>
      <c r="BD54">
        <v>0.10002573333333301</v>
      </c>
      <c r="BE54">
        <v>0</v>
      </c>
      <c r="BF54">
        <v>24</v>
      </c>
      <c r="BG54">
        <v>4946.5866666666698</v>
      </c>
      <c r="BH54">
        <v>1770998647.0999999</v>
      </c>
      <c r="BI54" t="s">
        <v>289</v>
      </c>
      <c r="BJ54">
        <v>1770998646.0999999</v>
      </c>
      <c r="BK54">
        <v>1770998647.0999999</v>
      </c>
      <c r="BL54">
        <v>1</v>
      </c>
      <c r="BM54">
        <v>-0.376</v>
      </c>
      <c r="BN54">
        <v>4.2000000000000003E-2</v>
      </c>
      <c r="BO54">
        <v>-1.1910000000000001</v>
      </c>
      <c r="BP54">
        <v>0.09</v>
      </c>
      <c r="BQ54">
        <v>410</v>
      </c>
      <c r="BR54">
        <v>14</v>
      </c>
      <c r="BS54">
        <v>0.41</v>
      </c>
      <c r="BT54">
        <v>0.04</v>
      </c>
      <c r="BU54">
        <v>-0.99995425000000004</v>
      </c>
      <c r="BV54">
        <v>-3.6819924812029801E-2</v>
      </c>
      <c r="BW54">
        <v>2.0272590613621602E-2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1.5468280000000001</v>
      </c>
      <c r="CD54">
        <v>1.9698947368419501E-2</v>
      </c>
      <c r="CE54">
        <v>2.8676952418274899E-3</v>
      </c>
      <c r="CF54">
        <v>1</v>
      </c>
      <c r="CG54">
        <v>2</v>
      </c>
      <c r="CH54">
        <v>2</v>
      </c>
      <c r="CI54" t="s">
        <v>304</v>
      </c>
      <c r="CJ54">
        <v>3.5325199999999999</v>
      </c>
      <c r="CK54">
        <v>2.70269</v>
      </c>
      <c r="CL54">
        <v>9.8462099999999997E-2</v>
      </c>
      <c r="CM54">
        <v>9.7201099999999999E-2</v>
      </c>
      <c r="CN54">
        <v>8.7329100000000007E-2</v>
      </c>
      <c r="CO54">
        <v>7.9847299999999996E-2</v>
      </c>
      <c r="CP54">
        <v>31650</v>
      </c>
      <c r="CQ54">
        <v>27773.4</v>
      </c>
      <c r="CR54">
        <v>32488</v>
      </c>
      <c r="CS54">
        <v>30685.8</v>
      </c>
      <c r="CT54">
        <v>40126.6</v>
      </c>
      <c r="CU54">
        <v>39688.400000000001</v>
      </c>
      <c r="CV54">
        <v>47423.199999999997</v>
      </c>
      <c r="CW54">
        <v>46771.7</v>
      </c>
      <c r="CX54">
        <v>2.6405799999999999</v>
      </c>
      <c r="CY54">
        <v>2.1880999999999999</v>
      </c>
      <c r="CZ54">
        <v>0</v>
      </c>
      <c r="DA54">
        <v>0</v>
      </c>
      <c r="DB54">
        <v>999.9</v>
      </c>
      <c r="DC54">
        <v>999.9</v>
      </c>
      <c r="DD54">
        <v>75.400000000000006</v>
      </c>
      <c r="DE54">
        <v>23.161999999999999</v>
      </c>
      <c r="DF54">
        <v>21.373100000000001</v>
      </c>
      <c r="DG54">
        <v>30.12</v>
      </c>
      <c r="DH54">
        <v>15.7973</v>
      </c>
      <c r="DI54">
        <v>2</v>
      </c>
      <c r="DJ54">
        <v>-0.20835000000000001</v>
      </c>
      <c r="DK54">
        <v>1.5434000000000001</v>
      </c>
      <c r="DL54">
        <v>20.223700000000001</v>
      </c>
      <c r="DM54">
        <v>5.24892</v>
      </c>
      <c r="DN54">
        <v>12.033899999999999</v>
      </c>
      <c r="DO54">
        <v>4.9671200000000004</v>
      </c>
      <c r="DP54">
        <v>3.2906</v>
      </c>
      <c r="DQ54">
        <v>9999</v>
      </c>
      <c r="DR54">
        <v>9999</v>
      </c>
      <c r="DS54">
        <v>596.5</v>
      </c>
      <c r="DT54">
        <v>9999</v>
      </c>
      <c r="DU54">
        <v>1.8709</v>
      </c>
      <c r="DV54">
        <v>1.87598</v>
      </c>
      <c r="DW54">
        <v>1.8762000000000001</v>
      </c>
      <c r="DX54">
        <v>1.88266</v>
      </c>
      <c r="DY54">
        <v>1.8754599999999999</v>
      </c>
      <c r="DZ54">
        <v>1.8745400000000001</v>
      </c>
      <c r="EA54">
        <v>1.87069</v>
      </c>
      <c r="EB54">
        <v>1.8745400000000001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-1.1910000000000001</v>
      </c>
      <c r="EQ54">
        <v>8.9599999999999999E-2</v>
      </c>
      <c r="ER54">
        <v>-1.1905454545454901</v>
      </c>
      <c r="ES54">
        <v>0</v>
      </c>
      <c r="ET54">
        <v>0</v>
      </c>
      <c r="EU54">
        <v>0</v>
      </c>
      <c r="EV54">
        <v>8.95600000000005E-2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9.3000000000000007</v>
      </c>
      <c r="FE54">
        <v>9.3000000000000007</v>
      </c>
      <c r="FF54">
        <v>1.22925</v>
      </c>
      <c r="FG54">
        <v>2.5610400000000002</v>
      </c>
      <c r="FH54">
        <v>2.19604</v>
      </c>
      <c r="FI54">
        <v>2.5817899999999998</v>
      </c>
      <c r="FJ54">
        <v>2.4462899999999999</v>
      </c>
      <c r="FK54">
        <v>2.31812</v>
      </c>
      <c r="FL54">
        <v>28.669</v>
      </c>
      <c r="FM54">
        <v>24.1663</v>
      </c>
      <c r="FN54">
        <v>19</v>
      </c>
      <c r="FO54">
        <v>862.95600000000002</v>
      </c>
      <c r="FP54">
        <v>608.21799999999996</v>
      </c>
      <c r="FQ54">
        <v>18.546399999999998</v>
      </c>
      <c r="FR54">
        <v>24.365100000000002</v>
      </c>
      <c r="FS54">
        <v>30.0001</v>
      </c>
      <c r="FT54">
        <v>24.3401</v>
      </c>
      <c r="FU54">
        <v>24.340800000000002</v>
      </c>
      <c r="FV54">
        <v>24.674700000000001</v>
      </c>
      <c r="FW54">
        <v>39.490400000000001</v>
      </c>
      <c r="FX54">
        <v>71.951599999999999</v>
      </c>
      <c r="FY54">
        <v>18.548300000000001</v>
      </c>
      <c r="FZ54">
        <v>410</v>
      </c>
      <c r="GA54">
        <v>13.7988</v>
      </c>
      <c r="GB54">
        <v>99.947000000000003</v>
      </c>
      <c r="GC54">
        <v>99.588300000000004</v>
      </c>
    </row>
    <row r="55" spans="1:185" x14ac:dyDescent="0.2">
      <c r="A55">
        <v>40</v>
      </c>
      <c r="B55">
        <v>1770999220</v>
      </c>
      <c r="C55">
        <v>596.90000009536698</v>
      </c>
      <c r="D55" t="s">
        <v>373</v>
      </c>
      <c r="E55" t="s">
        <v>374</v>
      </c>
      <c r="F55">
        <v>15</v>
      </c>
      <c r="G55">
        <v>1770999211.9333301</v>
      </c>
      <c r="H55">
        <f t="shared" si="0"/>
        <v>1.2597188420921102E-3</v>
      </c>
      <c r="I55">
        <v>0</v>
      </c>
      <c r="J55">
        <f t="shared" si="12"/>
        <v>1.5516967284518055E-2</v>
      </c>
      <c r="K55">
        <f t="shared" si="1"/>
        <v>0.27746283736470395</v>
      </c>
      <c r="L55">
        <f t="shared" si="2"/>
        <v>69.805491141833016</v>
      </c>
      <c r="M55">
        <f t="shared" si="3"/>
        <v>1.5392454891526826</v>
      </c>
      <c r="N55">
        <f t="shared" si="4"/>
        <v>2.2050492933646075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26318.209147852725</v>
      </c>
      <c r="T55">
        <f t="shared" si="8"/>
        <v>300.00126666666699</v>
      </c>
      <c r="U55">
        <f t="shared" si="9"/>
        <v>252.90135520121373</v>
      </c>
      <c r="V55">
        <f t="shared" si="10"/>
        <v>0.84300095799999997</v>
      </c>
      <c r="W55">
        <f t="shared" si="11"/>
        <v>0.15870239499999997</v>
      </c>
      <c r="X55">
        <v>1</v>
      </c>
      <c r="Y55">
        <v>1770999211.9333301</v>
      </c>
      <c r="Z55">
        <v>409.00813333333298</v>
      </c>
      <c r="AA55">
        <v>409.99900000000002</v>
      </c>
      <c r="AB55">
        <v>15.312993333333299</v>
      </c>
      <c r="AC55">
        <v>13.7624666666667</v>
      </c>
      <c r="AD55">
        <v>410.19866666666701</v>
      </c>
      <c r="AE55">
        <v>15.2234466666667</v>
      </c>
      <c r="AF55">
        <v>800.00480000000005</v>
      </c>
      <c r="AG55">
        <v>100.454066666667</v>
      </c>
      <c r="AH55">
        <v>6.4849240000000002E-2</v>
      </c>
      <c r="AI55">
        <v>18.9990466666667</v>
      </c>
      <c r="AJ55">
        <v>999.9</v>
      </c>
      <c r="AK55">
        <v>999.9</v>
      </c>
      <c r="AL55">
        <v>0</v>
      </c>
      <c r="AM55">
        <v>0</v>
      </c>
      <c r="AN55">
        <v>4996.2</v>
      </c>
      <c r="AO55">
        <v>0</v>
      </c>
      <c r="AP55">
        <v>1.86317</v>
      </c>
      <c r="AQ55">
        <v>-0.99090113333333296</v>
      </c>
      <c r="AR55">
        <v>415.36873333333301</v>
      </c>
      <c r="AS55">
        <v>415.72019999999998</v>
      </c>
      <c r="AT55">
        <v>1.5505453333333299</v>
      </c>
      <c r="AU55">
        <v>409.99900000000002</v>
      </c>
      <c r="AV55">
        <v>13.7624666666667</v>
      </c>
      <c r="AW55">
        <v>1.538254</v>
      </c>
      <c r="AX55">
        <v>1.3824959999999999</v>
      </c>
      <c r="AY55">
        <v>13.3538</v>
      </c>
      <c r="AZ55">
        <v>11.726979999999999</v>
      </c>
      <c r="BA55">
        <v>300.00126666666699</v>
      </c>
      <c r="BB55">
        <v>0.89996806666666695</v>
      </c>
      <c r="BC55">
        <v>0</v>
      </c>
      <c r="BD55">
        <v>0.100031933333333</v>
      </c>
      <c r="BE55">
        <v>0</v>
      </c>
      <c r="BF55">
        <v>24</v>
      </c>
      <c r="BG55">
        <v>4946.6093333333301</v>
      </c>
      <c r="BH55">
        <v>1770998647.0999999</v>
      </c>
      <c r="BI55" t="s">
        <v>289</v>
      </c>
      <c r="BJ55">
        <v>1770998646.0999999</v>
      </c>
      <c r="BK55">
        <v>1770998647.0999999</v>
      </c>
      <c r="BL55">
        <v>1</v>
      </c>
      <c r="BM55">
        <v>-0.376</v>
      </c>
      <c r="BN55">
        <v>4.2000000000000003E-2</v>
      </c>
      <c r="BO55">
        <v>-1.1910000000000001</v>
      </c>
      <c r="BP55">
        <v>0.09</v>
      </c>
      <c r="BQ55">
        <v>410</v>
      </c>
      <c r="BR55">
        <v>14</v>
      </c>
      <c r="BS55">
        <v>0.41</v>
      </c>
      <c r="BT55">
        <v>0.04</v>
      </c>
      <c r="BU55">
        <v>-0.99222614285714295</v>
      </c>
      <c r="BV55">
        <v>9.5219922077923402E-2</v>
      </c>
      <c r="BW55">
        <v>1.9843914207505298E-2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1.5502742857142899</v>
      </c>
      <c r="CD55">
        <v>2.6267532467511398E-3</v>
      </c>
      <c r="CE55">
        <v>2.8352703262880001E-3</v>
      </c>
      <c r="CF55">
        <v>1</v>
      </c>
      <c r="CG55">
        <v>2</v>
      </c>
      <c r="CH55">
        <v>2</v>
      </c>
      <c r="CI55" t="s">
        <v>304</v>
      </c>
      <c r="CJ55">
        <v>3.5325000000000002</v>
      </c>
      <c r="CK55">
        <v>2.70261</v>
      </c>
      <c r="CL55">
        <v>9.8459099999999994E-2</v>
      </c>
      <c r="CM55">
        <v>9.7195799999999999E-2</v>
      </c>
      <c r="CN55">
        <v>8.7287100000000006E-2</v>
      </c>
      <c r="CO55">
        <v>7.9775100000000002E-2</v>
      </c>
      <c r="CP55">
        <v>31650.6</v>
      </c>
      <c r="CQ55">
        <v>27774</v>
      </c>
      <c r="CR55">
        <v>32488.6</v>
      </c>
      <c r="CS55">
        <v>30686.3</v>
      </c>
      <c r="CT55">
        <v>40129.300000000003</v>
      </c>
      <c r="CU55">
        <v>39692.199999999997</v>
      </c>
      <c r="CV55">
        <v>47424.1</v>
      </c>
      <c r="CW55">
        <v>46772.4</v>
      </c>
      <c r="CX55">
        <v>2.64046</v>
      </c>
      <c r="CY55">
        <v>2.1876199999999999</v>
      </c>
      <c r="CZ55">
        <v>0</v>
      </c>
      <c r="DA55">
        <v>0</v>
      </c>
      <c r="DB55">
        <v>999.9</v>
      </c>
      <c r="DC55">
        <v>999.9</v>
      </c>
      <c r="DD55">
        <v>75.266000000000005</v>
      </c>
      <c r="DE55">
        <v>23.192</v>
      </c>
      <c r="DF55">
        <v>21.3735</v>
      </c>
      <c r="DG55">
        <v>30.39</v>
      </c>
      <c r="DH55">
        <v>15.7532</v>
      </c>
      <c r="DI55">
        <v>2</v>
      </c>
      <c r="DJ55">
        <v>-0.20810000000000001</v>
      </c>
      <c r="DK55">
        <v>1.54115</v>
      </c>
      <c r="DL55">
        <v>20.2242</v>
      </c>
      <c r="DM55">
        <v>5.2522700000000002</v>
      </c>
      <c r="DN55">
        <v>12.033899999999999</v>
      </c>
      <c r="DO55">
        <v>4.9675599999999998</v>
      </c>
      <c r="DP55">
        <v>3.2909999999999999</v>
      </c>
      <c r="DQ55">
        <v>9999</v>
      </c>
      <c r="DR55">
        <v>9999</v>
      </c>
      <c r="DS55">
        <v>596.5</v>
      </c>
      <c r="DT55">
        <v>9999</v>
      </c>
      <c r="DU55">
        <v>1.8708899999999999</v>
      </c>
      <c r="DV55">
        <v>1.87601</v>
      </c>
      <c r="DW55">
        <v>1.87622</v>
      </c>
      <c r="DX55">
        <v>1.8826799999999999</v>
      </c>
      <c r="DY55">
        <v>1.8754599999999999</v>
      </c>
      <c r="DZ55">
        <v>1.8745400000000001</v>
      </c>
      <c r="EA55">
        <v>1.8706700000000001</v>
      </c>
      <c r="EB55">
        <v>1.8745400000000001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-1.1910000000000001</v>
      </c>
      <c r="EQ55">
        <v>8.9499999999999996E-2</v>
      </c>
      <c r="ER55">
        <v>-1.1905454545454901</v>
      </c>
      <c r="ES55">
        <v>0</v>
      </c>
      <c r="ET55">
        <v>0</v>
      </c>
      <c r="EU55">
        <v>0</v>
      </c>
      <c r="EV55">
        <v>8.95600000000005E-2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9.6</v>
      </c>
      <c r="FE55">
        <v>9.5</v>
      </c>
      <c r="FF55">
        <v>1.22925</v>
      </c>
      <c r="FG55">
        <v>2.5585900000000001</v>
      </c>
      <c r="FH55">
        <v>2.19604</v>
      </c>
      <c r="FI55">
        <v>2.5817899999999998</v>
      </c>
      <c r="FJ55">
        <v>2.4462899999999999</v>
      </c>
      <c r="FK55">
        <v>2.2753899999999998</v>
      </c>
      <c r="FL55">
        <v>28.690100000000001</v>
      </c>
      <c r="FM55">
        <v>24.157499999999999</v>
      </c>
      <c r="FN55">
        <v>19</v>
      </c>
      <c r="FO55">
        <v>862.92499999999995</v>
      </c>
      <c r="FP55">
        <v>607.89400000000001</v>
      </c>
      <c r="FQ55">
        <v>18.550699999999999</v>
      </c>
      <c r="FR55">
        <v>24.3691</v>
      </c>
      <c r="FS55">
        <v>30.0002</v>
      </c>
      <c r="FT55">
        <v>24.344999999999999</v>
      </c>
      <c r="FU55">
        <v>24.345700000000001</v>
      </c>
      <c r="FV55">
        <v>24.674700000000001</v>
      </c>
      <c r="FW55">
        <v>39.490400000000001</v>
      </c>
      <c r="FX55">
        <v>71.563599999999994</v>
      </c>
      <c r="FY55">
        <v>18.5503</v>
      </c>
      <c r="FZ55">
        <v>410</v>
      </c>
      <c r="GA55">
        <v>13.7988</v>
      </c>
      <c r="GB55">
        <v>99.948800000000006</v>
      </c>
      <c r="GC55">
        <v>99.589799999999997</v>
      </c>
    </row>
    <row r="56" spans="1:185" x14ac:dyDescent="0.2">
      <c r="A56">
        <v>41</v>
      </c>
      <c r="B56">
        <v>1770999235</v>
      </c>
      <c r="C56">
        <v>611.90000009536698</v>
      </c>
      <c r="D56" t="s">
        <v>375</v>
      </c>
      <c r="E56" t="s">
        <v>376</v>
      </c>
      <c r="F56">
        <v>15</v>
      </c>
      <c r="G56">
        <v>1770999226.9333301</v>
      </c>
      <c r="H56">
        <f t="shared" si="0"/>
        <v>1.2641997982055372E-3</v>
      </c>
      <c r="I56">
        <v>0</v>
      </c>
      <c r="J56">
        <f t="shared" si="12"/>
        <v>1.4531577473471906E-2</v>
      </c>
      <c r="K56">
        <f t="shared" si="1"/>
        <v>0.25984283160778482</v>
      </c>
      <c r="L56">
        <f t="shared" si="2"/>
        <v>69.774575423311077</v>
      </c>
      <c r="M56">
        <f t="shared" si="3"/>
        <v>1.5385631422438768</v>
      </c>
      <c r="N56">
        <f t="shared" si="4"/>
        <v>2.2050483760161388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26341.286111041154</v>
      </c>
      <c r="T56">
        <f t="shared" si="8"/>
        <v>300.00139999999999</v>
      </c>
      <c r="U56">
        <f t="shared" si="9"/>
        <v>252.90150540151757</v>
      </c>
      <c r="V56">
        <f t="shared" si="10"/>
        <v>0.84300108399999996</v>
      </c>
      <c r="W56">
        <f t="shared" si="11"/>
        <v>0.15870270999999997</v>
      </c>
      <c r="X56">
        <v>1</v>
      </c>
      <c r="Y56">
        <v>1770999226.9333301</v>
      </c>
      <c r="Z56">
        <v>409.01093333333301</v>
      </c>
      <c r="AA56">
        <v>409.98206666666698</v>
      </c>
      <c r="AB56">
        <v>15.30622</v>
      </c>
      <c r="AC56">
        <v>13.750173333333301</v>
      </c>
      <c r="AD56">
        <v>410.20179999999999</v>
      </c>
      <c r="AE56">
        <v>15.21668</v>
      </c>
      <c r="AF56">
        <v>800.00793333333297</v>
      </c>
      <c r="AG56">
        <v>100.4538</v>
      </c>
      <c r="AH56">
        <v>6.5017986666666694E-2</v>
      </c>
      <c r="AI56">
        <v>18.999040000000001</v>
      </c>
      <c r="AJ56">
        <v>999.9</v>
      </c>
      <c r="AK56">
        <v>999.9</v>
      </c>
      <c r="AL56">
        <v>0</v>
      </c>
      <c r="AM56">
        <v>0</v>
      </c>
      <c r="AN56">
        <v>5000</v>
      </c>
      <c r="AO56">
        <v>0</v>
      </c>
      <c r="AP56">
        <v>1.86317</v>
      </c>
      <c r="AQ56">
        <v>-0.97079473333333299</v>
      </c>
      <c r="AR56">
        <v>415.36873333333301</v>
      </c>
      <c r="AS56">
        <v>415.69773333333302</v>
      </c>
      <c r="AT56">
        <v>1.556044</v>
      </c>
      <c r="AU56">
        <v>409.98206666666698</v>
      </c>
      <c r="AV56">
        <v>13.750173333333301</v>
      </c>
      <c r="AW56">
        <v>1.537568</v>
      </c>
      <c r="AX56">
        <v>1.38125733333333</v>
      </c>
      <c r="AY56">
        <v>13.346959999999999</v>
      </c>
      <c r="AZ56">
        <v>11.713419999999999</v>
      </c>
      <c r="BA56">
        <v>300.00139999999999</v>
      </c>
      <c r="BB56">
        <v>0.89996386666666695</v>
      </c>
      <c r="BC56">
        <v>0</v>
      </c>
      <c r="BD56">
        <v>0.100036133333333</v>
      </c>
      <c r="BE56">
        <v>0</v>
      </c>
      <c r="BF56">
        <v>24</v>
      </c>
      <c r="BG56">
        <v>4946.6066666666702</v>
      </c>
      <c r="BH56">
        <v>1770998647.0999999</v>
      </c>
      <c r="BI56" t="s">
        <v>289</v>
      </c>
      <c r="BJ56">
        <v>1770998646.0999999</v>
      </c>
      <c r="BK56">
        <v>1770998647.0999999</v>
      </c>
      <c r="BL56">
        <v>1</v>
      </c>
      <c r="BM56">
        <v>-0.376</v>
      </c>
      <c r="BN56">
        <v>4.2000000000000003E-2</v>
      </c>
      <c r="BO56">
        <v>-1.1910000000000001</v>
      </c>
      <c r="BP56">
        <v>0.09</v>
      </c>
      <c r="BQ56">
        <v>410</v>
      </c>
      <c r="BR56">
        <v>14</v>
      </c>
      <c r="BS56">
        <v>0.41</v>
      </c>
      <c r="BT56">
        <v>0.04</v>
      </c>
      <c r="BU56">
        <v>-0.97150424999999996</v>
      </c>
      <c r="BV56">
        <v>-5.6832947368421198E-2</v>
      </c>
      <c r="BW56">
        <v>1.41645168603627E-2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1.5543370000000001</v>
      </c>
      <c r="CD56">
        <v>4.7912481203008297E-2</v>
      </c>
      <c r="CE56">
        <v>4.9899740480287098E-3</v>
      </c>
      <c r="CF56">
        <v>1</v>
      </c>
      <c r="CG56">
        <v>2</v>
      </c>
      <c r="CH56">
        <v>2</v>
      </c>
      <c r="CI56" t="s">
        <v>304</v>
      </c>
      <c r="CJ56">
        <v>3.5324499999999999</v>
      </c>
      <c r="CK56">
        <v>2.70269</v>
      </c>
      <c r="CL56">
        <v>9.84593E-2</v>
      </c>
      <c r="CM56">
        <v>9.7195400000000001E-2</v>
      </c>
      <c r="CN56">
        <v>8.72777E-2</v>
      </c>
      <c r="CO56">
        <v>7.9731399999999994E-2</v>
      </c>
      <c r="CP56">
        <v>31651.5</v>
      </c>
      <c r="CQ56">
        <v>27774.7</v>
      </c>
      <c r="CR56">
        <v>32489.4</v>
      </c>
      <c r="CS56">
        <v>30687.1</v>
      </c>
      <c r="CT56">
        <v>40131.1</v>
      </c>
      <c r="CU56">
        <v>39695.599999999999</v>
      </c>
      <c r="CV56">
        <v>47425.8</v>
      </c>
      <c r="CW56">
        <v>46774.1</v>
      </c>
      <c r="CX56">
        <v>2.6404800000000002</v>
      </c>
      <c r="CY56">
        <v>2.1872799999999999</v>
      </c>
      <c r="CZ56">
        <v>0</v>
      </c>
      <c r="DA56">
        <v>0</v>
      </c>
      <c r="DB56">
        <v>999.9</v>
      </c>
      <c r="DC56">
        <v>999.9</v>
      </c>
      <c r="DD56">
        <v>75.168000000000006</v>
      </c>
      <c r="DE56">
        <v>23.212</v>
      </c>
      <c r="DF56">
        <v>21.371500000000001</v>
      </c>
      <c r="DG56">
        <v>30.36</v>
      </c>
      <c r="DH56">
        <v>15.8934</v>
      </c>
      <c r="DI56">
        <v>2</v>
      </c>
      <c r="DJ56">
        <v>-0.20779700000000001</v>
      </c>
      <c r="DK56">
        <v>1.54166</v>
      </c>
      <c r="DL56">
        <v>20.223700000000001</v>
      </c>
      <c r="DM56">
        <v>5.2491599999999998</v>
      </c>
      <c r="DN56">
        <v>12.033899999999999</v>
      </c>
      <c r="DO56">
        <v>4.9671599999999998</v>
      </c>
      <c r="DP56">
        <v>3.2905600000000002</v>
      </c>
      <c r="DQ56">
        <v>9999</v>
      </c>
      <c r="DR56">
        <v>9999</v>
      </c>
      <c r="DS56">
        <v>596.5</v>
      </c>
      <c r="DT56">
        <v>9999</v>
      </c>
      <c r="DU56">
        <v>1.8709100000000001</v>
      </c>
      <c r="DV56">
        <v>1.8760399999999999</v>
      </c>
      <c r="DW56">
        <v>1.87622</v>
      </c>
      <c r="DX56">
        <v>1.8827</v>
      </c>
      <c r="DY56">
        <v>1.8754599999999999</v>
      </c>
      <c r="DZ56">
        <v>1.8745400000000001</v>
      </c>
      <c r="EA56">
        <v>1.8707100000000001</v>
      </c>
      <c r="EB56">
        <v>1.8745400000000001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-1.1910000000000001</v>
      </c>
      <c r="EQ56">
        <v>8.9599999999999999E-2</v>
      </c>
      <c r="ER56">
        <v>-1.1905454545454901</v>
      </c>
      <c r="ES56">
        <v>0</v>
      </c>
      <c r="ET56">
        <v>0</v>
      </c>
      <c r="EU56">
        <v>0</v>
      </c>
      <c r="EV56">
        <v>8.95600000000005E-2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9.8000000000000007</v>
      </c>
      <c r="FE56">
        <v>9.8000000000000007</v>
      </c>
      <c r="FF56">
        <v>1.22925</v>
      </c>
      <c r="FG56">
        <v>2.5622600000000002</v>
      </c>
      <c r="FH56">
        <v>2.19604</v>
      </c>
      <c r="FI56">
        <v>2.5817899999999998</v>
      </c>
      <c r="FJ56">
        <v>2.4462899999999999</v>
      </c>
      <c r="FK56">
        <v>2.2924799999999999</v>
      </c>
      <c r="FL56">
        <v>28.711200000000002</v>
      </c>
      <c r="FM56">
        <v>24.1663</v>
      </c>
      <c r="FN56">
        <v>19</v>
      </c>
      <c r="FO56">
        <v>863.02300000000002</v>
      </c>
      <c r="FP56">
        <v>607.673</v>
      </c>
      <c r="FQ56">
        <v>18.5518</v>
      </c>
      <c r="FR56">
        <v>24.372900000000001</v>
      </c>
      <c r="FS56">
        <v>30.0001</v>
      </c>
      <c r="FT56">
        <v>24.349799999999998</v>
      </c>
      <c r="FU56">
        <v>24.349799999999998</v>
      </c>
      <c r="FV56">
        <v>24.677600000000002</v>
      </c>
      <c r="FW56">
        <v>39.490400000000001</v>
      </c>
      <c r="FX56">
        <v>71.176699999999997</v>
      </c>
      <c r="FY56">
        <v>18.552299999999999</v>
      </c>
      <c r="FZ56">
        <v>410</v>
      </c>
      <c r="GA56">
        <v>13.7988</v>
      </c>
      <c r="GB56">
        <v>99.951999999999998</v>
      </c>
      <c r="GC56">
        <v>99.593000000000004</v>
      </c>
    </row>
    <row r="57" spans="1:185" x14ac:dyDescent="0.2">
      <c r="A57">
        <v>42</v>
      </c>
      <c r="B57">
        <v>1770999250</v>
      </c>
      <c r="C57">
        <v>626.90000009536698</v>
      </c>
      <c r="D57" t="s">
        <v>377</v>
      </c>
      <c r="E57" t="s">
        <v>378</v>
      </c>
      <c r="F57">
        <v>15</v>
      </c>
      <c r="G57">
        <v>1770999241.9333301</v>
      </c>
      <c r="H57">
        <f t="shared" si="0"/>
        <v>1.2635683851394475E-3</v>
      </c>
      <c r="I57">
        <v>0</v>
      </c>
      <c r="J57">
        <f t="shared" si="12"/>
        <v>9.5885631439755637E-3</v>
      </c>
      <c r="K57">
        <f t="shared" si="1"/>
        <v>0.171455535569283</v>
      </c>
      <c r="L57">
        <f t="shared" si="2"/>
        <v>69.725893094829601</v>
      </c>
      <c r="M57">
        <f t="shared" si="3"/>
        <v>1.5375344479723645</v>
      </c>
      <c r="N57">
        <f t="shared" si="4"/>
        <v>2.2051125912166731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26355.808758762476</v>
      </c>
      <c r="T57">
        <f t="shared" si="8"/>
        <v>300.00099999999998</v>
      </c>
      <c r="U57">
        <f t="shared" si="9"/>
        <v>252.90117960112195</v>
      </c>
      <c r="V57">
        <f t="shared" si="10"/>
        <v>0.84300112199999988</v>
      </c>
      <c r="W57">
        <f t="shared" si="11"/>
        <v>0.158702805</v>
      </c>
      <c r="X57">
        <v>1</v>
      </c>
      <c r="Y57">
        <v>1770999241.9333301</v>
      </c>
      <c r="Z57">
        <v>409.13853333333299</v>
      </c>
      <c r="AA57">
        <v>409.99906666666698</v>
      </c>
      <c r="AB57">
        <v>15.296046666666699</v>
      </c>
      <c r="AC57">
        <v>13.7407533333333</v>
      </c>
      <c r="AD57">
        <v>410.20253333333301</v>
      </c>
      <c r="AE57">
        <v>15.2080466666667</v>
      </c>
      <c r="AF57">
        <v>800.00393333333295</v>
      </c>
      <c r="AG57">
        <v>100.45359999999999</v>
      </c>
      <c r="AH57">
        <v>6.4820313333333296E-2</v>
      </c>
      <c r="AI57">
        <v>18.999506666666701</v>
      </c>
      <c r="AJ57">
        <v>999.9</v>
      </c>
      <c r="AK57">
        <v>999.9</v>
      </c>
      <c r="AL57">
        <v>0</v>
      </c>
      <c r="AM57">
        <v>0</v>
      </c>
      <c r="AN57">
        <v>5002.3999999999996</v>
      </c>
      <c r="AO57">
        <v>0</v>
      </c>
      <c r="AP57">
        <v>1.86317</v>
      </c>
      <c r="AQ57">
        <v>-0.98709333333333305</v>
      </c>
      <c r="AR57">
        <v>415.36599999999999</v>
      </c>
      <c r="AS57">
        <v>415.71120000000002</v>
      </c>
      <c r="AT57">
        <v>1.556856</v>
      </c>
      <c r="AU57">
        <v>409.99906666666698</v>
      </c>
      <c r="AV57">
        <v>13.7407533333333</v>
      </c>
      <c r="AW57">
        <v>1.536702</v>
      </c>
      <c r="AX57">
        <v>1.38030866666667</v>
      </c>
      <c r="AY57">
        <v>13.3383133333333</v>
      </c>
      <c r="AZ57">
        <v>11.70302</v>
      </c>
      <c r="BA57">
        <v>300.00099999999998</v>
      </c>
      <c r="BB57">
        <v>0.89996259999999995</v>
      </c>
      <c r="BC57">
        <v>0</v>
      </c>
      <c r="BD57">
        <v>0.1000374</v>
      </c>
      <c r="BE57">
        <v>0</v>
      </c>
      <c r="BF57">
        <v>24</v>
      </c>
      <c r="BG57">
        <v>4946.6000000000004</v>
      </c>
      <c r="BH57">
        <v>1770999274</v>
      </c>
      <c r="BI57" t="s">
        <v>379</v>
      </c>
      <c r="BJ57">
        <v>1770999268</v>
      </c>
      <c r="BK57">
        <v>1770999274</v>
      </c>
      <c r="BL57">
        <v>2</v>
      </c>
      <c r="BM57">
        <v>0.127</v>
      </c>
      <c r="BN57">
        <v>-2E-3</v>
      </c>
      <c r="BO57">
        <v>-1.0640000000000001</v>
      </c>
      <c r="BP57">
        <v>8.7999999999999995E-2</v>
      </c>
      <c r="BQ57">
        <v>410</v>
      </c>
      <c r="BR57">
        <v>14</v>
      </c>
      <c r="BS57">
        <v>0.23</v>
      </c>
      <c r="BT57">
        <v>0.03</v>
      </c>
      <c r="BU57">
        <v>-0.98532704761904799</v>
      </c>
      <c r="BV57">
        <v>-8.7756857142856901E-2</v>
      </c>
      <c r="BW57">
        <v>1.7870224792670902E-2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1.5579904761904799</v>
      </c>
      <c r="CD57">
        <v>-7.2015584415592599E-3</v>
      </c>
      <c r="CE57">
        <v>3.55615559704376E-3</v>
      </c>
      <c r="CF57">
        <v>1</v>
      </c>
      <c r="CG57">
        <v>2</v>
      </c>
      <c r="CH57">
        <v>2</v>
      </c>
      <c r="CI57" t="s">
        <v>304</v>
      </c>
      <c r="CJ57">
        <v>3.5325500000000001</v>
      </c>
      <c r="CK57">
        <v>2.7028699999999999</v>
      </c>
      <c r="CL57">
        <v>9.8460300000000001E-2</v>
      </c>
      <c r="CM57">
        <v>9.7200800000000004E-2</v>
      </c>
      <c r="CN57">
        <v>8.7240100000000001E-2</v>
      </c>
      <c r="CO57">
        <v>7.9701800000000003E-2</v>
      </c>
      <c r="CP57">
        <v>31651.5</v>
      </c>
      <c r="CQ57">
        <v>27774.799999999999</v>
      </c>
      <c r="CR57">
        <v>32489.5</v>
      </c>
      <c r="CS57">
        <v>30687.4</v>
      </c>
      <c r="CT57">
        <v>40132.9</v>
      </c>
      <c r="CU57">
        <v>39697.199999999997</v>
      </c>
      <c r="CV57">
        <v>47425.8</v>
      </c>
      <c r="CW57">
        <v>46774.400000000001</v>
      </c>
      <c r="CX57">
        <v>2.6405599999999998</v>
      </c>
      <c r="CY57">
        <v>2.1869399999999999</v>
      </c>
      <c r="CZ57">
        <v>0</v>
      </c>
      <c r="DA57">
        <v>0</v>
      </c>
      <c r="DB57">
        <v>999.9</v>
      </c>
      <c r="DC57">
        <v>999.9</v>
      </c>
      <c r="DD57">
        <v>75.075999999999993</v>
      </c>
      <c r="DE57">
        <v>23.231999999999999</v>
      </c>
      <c r="DF57">
        <v>21.3718</v>
      </c>
      <c r="DG57">
        <v>30.51</v>
      </c>
      <c r="DH57">
        <v>15.729200000000001</v>
      </c>
      <c r="DI57">
        <v>2</v>
      </c>
      <c r="DJ57">
        <v>-0.20777599999999999</v>
      </c>
      <c r="DK57">
        <v>1.5434699999999999</v>
      </c>
      <c r="DL57">
        <v>20.2241</v>
      </c>
      <c r="DM57">
        <v>5.2526299999999999</v>
      </c>
      <c r="DN57">
        <v>12.033899999999999</v>
      </c>
      <c r="DO57">
        <v>4.9676799999999997</v>
      </c>
      <c r="DP57">
        <v>3.2909999999999999</v>
      </c>
      <c r="DQ57">
        <v>9999</v>
      </c>
      <c r="DR57">
        <v>9999</v>
      </c>
      <c r="DS57">
        <v>596.5</v>
      </c>
      <c r="DT57">
        <v>9999</v>
      </c>
      <c r="DU57">
        <v>1.8709199999999999</v>
      </c>
      <c r="DV57">
        <v>1.8760300000000001</v>
      </c>
      <c r="DW57">
        <v>1.87622</v>
      </c>
      <c r="DX57">
        <v>1.8827499999999999</v>
      </c>
      <c r="DY57">
        <v>1.87547</v>
      </c>
      <c r="DZ57">
        <v>1.8745400000000001</v>
      </c>
      <c r="EA57">
        <v>1.8707199999999999</v>
      </c>
      <c r="EB57">
        <v>1.8745400000000001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-1.0640000000000001</v>
      </c>
      <c r="EQ57">
        <v>8.7999999999999995E-2</v>
      </c>
      <c r="ER57">
        <v>-1.1905454545454901</v>
      </c>
      <c r="ES57">
        <v>0</v>
      </c>
      <c r="ET57">
        <v>0</v>
      </c>
      <c r="EU57">
        <v>0</v>
      </c>
      <c r="EV57">
        <v>8.95600000000005E-2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10.1</v>
      </c>
      <c r="FE57">
        <v>10</v>
      </c>
      <c r="FF57">
        <v>1.22925</v>
      </c>
      <c r="FG57">
        <v>2.5671400000000002</v>
      </c>
      <c r="FH57">
        <v>2.19604</v>
      </c>
      <c r="FI57">
        <v>2.5817899999999998</v>
      </c>
      <c r="FJ57">
        <v>2.4462899999999999</v>
      </c>
      <c r="FK57">
        <v>2.2473100000000001</v>
      </c>
      <c r="FL57">
        <v>28.711200000000002</v>
      </c>
      <c r="FM57">
        <v>24.157499999999999</v>
      </c>
      <c r="FN57">
        <v>19</v>
      </c>
      <c r="FO57">
        <v>863.17</v>
      </c>
      <c r="FP57">
        <v>607.46500000000003</v>
      </c>
      <c r="FQ57">
        <v>18.549499999999998</v>
      </c>
      <c r="FR57">
        <v>24.375800000000002</v>
      </c>
      <c r="FS57">
        <v>30.0001</v>
      </c>
      <c r="FT57">
        <v>24.354299999999999</v>
      </c>
      <c r="FU57">
        <v>24.3551</v>
      </c>
      <c r="FV57">
        <v>24.675899999999999</v>
      </c>
      <c r="FW57">
        <v>39.490400000000001</v>
      </c>
      <c r="FX57">
        <v>70.410799999999995</v>
      </c>
      <c r="FY57">
        <v>18.550999999999998</v>
      </c>
      <c r="FZ57">
        <v>410</v>
      </c>
      <c r="GA57">
        <v>13.7988</v>
      </c>
      <c r="GB57">
        <v>99.952100000000002</v>
      </c>
      <c r="GC57">
        <v>99.593800000000002</v>
      </c>
    </row>
    <row r="58" spans="1:185" x14ac:dyDescent="0.2">
      <c r="A58">
        <v>43</v>
      </c>
      <c r="B58">
        <v>1770999276</v>
      </c>
      <c r="C58">
        <v>652.90000009536698</v>
      </c>
      <c r="D58" t="s">
        <v>380</v>
      </c>
      <c r="E58" t="s">
        <v>381</v>
      </c>
      <c r="F58">
        <v>15</v>
      </c>
      <c r="G58">
        <v>1770999275</v>
      </c>
      <c r="H58">
        <f t="shared" si="0"/>
        <v>2.4335021520528522E-7</v>
      </c>
      <c r="I58">
        <v>0</v>
      </c>
      <c r="J58">
        <f t="shared" si="12"/>
        <v>-2.6453010422140245E-3</v>
      </c>
      <c r="K58">
        <f t="shared" si="1"/>
        <v>-4.7301300531117821E-2</v>
      </c>
      <c r="L58">
        <f t="shared" si="2"/>
        <v>62.619543531419694</v>
      </c>
      <c r="M58">
        <f t="shared" si="3"/>
        <v>1.3807446988109997</v>
      </c>
      <c r="N58">
        <f t="shared" si="4"/>
        <v>2.2049740719016957</v>
      </c>
      <c r="O58">
        <v>484</v>
      </c>
      <c r="P58">
        <v>60</v>
      </c>
      <c r="Q58">
        <f t="shared" si="5"/>
        <v>1</v>
      </c>
      <c r="R58">
        <f t="shared" si="6"/>
        <v>0</v>
      </c>
      <c r="S58">
        <f t="shared" si="7"/>
        <v>26249.481490201051</v>
      </c>
      <c r="T58">
        <f t="shared" si="8"/>
        <v>299.99799999999999</v>
      </c>
      <c r="U58">
        <f t="shared" si="9"/>
        <v>252.89875499705997</v>
      </c>
      <c r="V58">
        <f t="shared" si="10"/>
        <v>0.84300146999999992</v>
      </c>
      <c r="W58">
        <f t="shared" si="11"/>
        <v>0.15870367499999999</v>
      </c>
      <c r="X58">
        <v>1</v>
      </c>
      <c r="Y58">
        <v>1770999275</v>
      </c>
      <c r="Z58">
        <v>409.971</v>
      </c>
      <c r="AA58">
        <v>409.91199999999998</v>
      </c>
      <c r="AB58">
        <v>13.734999999999999</v>
      </c>
      <c r="AC58">
        <v>13.7347</v>
      </c>
      <c r="AD58">
        <v>411.03500000000003</v>
      </c>
      <c r="AE58">
        <v>13.647</v>
      </c>
      <c r="AF58">
        <v>800.02599999999995</v>
      </c>
      <c r="AG58">
        <v>100.452</v>
      </c>
      <c r="AH58">
        <v>7.5462600000000005E-2</v>
      </c>
      <c r="AI58">
        <v>18.9985</v>
      </c>
      <c r="AJ58">
        <v>999.9</v>
      </c>
      <c r="AK58">
        <v>999.9</v>
      </c>
      <c r="AL58">
        <v>0</v>
      </c>
      <c r="AM58">
        <v>0</v>
      </c>
      <c r="AN58">
        <v>4985</v>
      </c>
      <c r="AO58">
        <v>0</v>
      </c>
      <c r="AP58">
        <v>1.86317</v>
      </c>
      <c r="AQ58">
        <v>5.9387200000000001E-2</v>
      </c>
      <c r="AR58">
        <v>415.68099999999998</v>
      </c>
      <c r="AS58">
        <v>415.62</v>
      </c>
      <c r="AT58">
        <v>3.3092499999999998E-4</v>
      </c>
      <c r="AU58">
        <v>409.91199999999998</v>
      </c>
      <c r="AV58">
        <v>13.7347</v>
      </c>
      <c r="AW58">
        <v>1.37971</v>
      </c>
      <c r="AX58">
        <v>1.37967</v>
      </c>
      <c r="AY58">
        <v>11.696400000000001</v>
      </c>
      <c r="AZ58">
        <v>11.696099999999999</v>
      </c>
      <c r="BA58">
        <v>299.99799999999999</v>
      </c>
      <c r="BB58">
        <v>0.89995099999999995</v>
      </c>
      <c r="BC58">
        <v>0</v>
      </c>
      <c r="BD58">
        <v>0.100049</v>
      </c>
      <c r="BE58">
        <v>0</v>
      </c>
      <c r="BF58">
        <v>24</v>
      </c>
      <c r="BG58">
        <v>4946.53</v>
      </c>
      <c r="BH58">
        <v>1770999274</v>
      </c>
      <c r="BI58" t="s">
        <v>379</v>
      </c>
      <c r="BJ58">
        <v>1770999268</v>
      </c>
      <c r="BK58">
        <v>1770999274</v>
      </c>
      <c r="BL58">
        <v>2</v>
      </c>
      <c r="BM58">
        <v>0.127</v>
      </c>
      <c r="BN58">
        <v>-2E-3</v>
      </c>
      <c r="BO58">
        <v>-1.0640000000000001</v>
      </c>
      <c r="BP58">
        <v>8.7999999999999995E-2</v>
      </c>
      <c r="BQ58">
        <v>410</v>
      </c>
      <c r="BR58">
        <v>14</v>
      </c>
      <c r="BS58">
        <v>0.23</v>
      </c>
      <c r="BT58">
        <v>0.03</v>
      </c>
      <c r="BU58">
        <v>-9.8140225095238107E-2</v>
      </c>
      <c r="BV58">
        <v>0.94718568428571304</v>
      </c>
      <c r="BW58">
        <v>0.109771015517263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5.0460725952380901E-2</v>
      </c>
      <c r="CD58">
        <v>-0.75564920649350598</v>
      </c>
      <c r="CE58">
        <v>0.144177512588372</v>
      </c>
      <c r="CF58">
        <v>0</v>
      </c>
      <c r="CG58">
        <v>0</v>
      </c>
      <c r="CH58">
        <v>2</v>
      </c>
      <c r="CI58" t="s">
        <v>299</v>
      </c>
      <c r="CJ58">
        <v>3.53363</v>
      </c>
      <c r="CK58">
        <v>2.71258</v>
      </c>
      <c r="CL58">
        <v>9.85872E-2</v>
      </c>
      <c r="CM58">
        <v>9.71751E-2</v>
      </c>
      <c r="CN58">
        <v>8.0446900000000002E-2</v>
      </c>
      <c r="CO58">
        <v>7.9685199999999998E-2</v>
      </c>
      <c r="CP58">
        <v>31647.7</v>
      </c>
      <c r="CQ58">
        <v>27776.2</v>
      </c>
      <c r="CR58">
        <v>32490.3</v>
      </c>
      <c r="CS58">
        <v>30688.1</v>
      </c>
      <c r="CT58">
        <v>40443.199999999997</v>
      </c>
      <c r="CU58">
        <v>39699.1</v>
      </c>
      <c r="CV58">
        <v>47427.3</v>
      </c>
      <c r="CW58">
        <v>46775.9</v>
      </c>
      <c r="CX58">
        <v>1.6991400000000001</v>
      </c>
      <c r="CY58">
        <v>1.6230199999999999</v>
      </c>
      <c r="CZ58">
        <v>0</v>
      </c>
      <c r="DA58">
        <v>0</v>
      </c>
      <c r="DB58">
        <v>999.9</v>
      </c>
      <c r="DC58">
        <v>999.9</v>
      </c>
      <c r="DD58">
        <v>74.911000000000001</v>
      </c>
      <c r="DE58">
        <v>23.262</v>
      </c>
      <c r="DF58">
        <v>21.363199999999999</v>
      </c>
      <c r="DG58">
        <v>30.62</v>
      </c>
      <c r="DH58">
        <v>16.225999999999999</v>
      </c>
      <c r="DI58">
        <v>2</v>
      </c>
      <c r="DJ58">
        <v>-0.20735200000000001</v>
      </c>
      <c r="DK58">
        <v>1.5371699999999999</v>
      </c>
      <c r="DL58">
        <v>20.222999999999999</v>
      </c>
      <c r="DM58">
        <v>5.2462799999999996</v>
      </c>
      <c r="DN58">
        <v>12.033899999999999</v>
      </c>
      <c r="DO58">
        <v>4.9664400000000004</v>
      </c>
      <c r="DP58">
        <v>3.2901799999999999</v>
      </c>
      <c r="DQ58">
        <v>9999</v>
      </c>
      <c r="DR58">
        <v>9999</v>
      </c>
      <c r="DS58">
        <v>596.5</v>
      </c>
      <c r="DT58">
        <v>9999</v>
      </c>
      <c r="DU58">
        <v>1.87093</v>
      </c>
      <c r="DV58">
        <v>1.8760300000000001</v>
      </c>
      <c r="DW58">
        <v>1.87622</v>
      </c>
      <c r="DX58">
        <v>1.8827400000000001</v>
      </c>
      <c r="DY58">
        <v>1.87547</v>
      </c>
      <c r="DZ58">
        <v>1.8745400000000001</v>
      </c>
      <c r="EA58">
        <v>1.8707100000000001</v>
      </c>
      <c r="EB58">
        <v>1.8745499999999999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-1.0629999999999999</v>
      </c>
      <c r="EQ58">
        <v>8.7999999999999995E-2</v>
      </c>
      <c r="ER58">
        <v>-1.0635999999999499</v>
      </c>
      <c r="ES58">
        <v>0</v>
      </c>
      <c r="ET58">
        <v>0</v>
      </c>
      <c r="EU58">
        <v>0</v>
      </c>
      <c r="EV58">
        <v>8.8020000000000195E-2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0.1</v>
      </c>
      <c r="FE58">
        <v>0</v>
      </c>
      <c r="FF58">
        <v>1.22925</v>
      </c>
      <c r="FG58">
        <v>2.5683600000000002</v>
      </c>
      <c r="FH58">
        <v>2.19604</v>
      </c>
      <c r="FI58">
        <v>2.5817899999999998</v>
      </c>
      <c r="FJ58">
        <v>2.4462899999999999</v>
      </c>
      <c r="FK58">
        <v>2.31934</v>
      </c>
      <c r="FL58">
        <v>28.753399999999999</v>
      </c>
      <c r="FM58">
        <v>24.1313</v>
      </c>
      <c r="FN58">
        <v>19</v>
      </c>
      <c r="FO58">
        <v>290.77300000000002</v>
      </c>
      <c r="FP58">
        <v>278.64299999999997</v>
      </c>
      <c r="FQ58">
        <v>18.5549</v>
      </c>
      <c r="FR58">
        <v>24.382300000000001</v>
      </c>
      <c r="FS58">
        <v>30.0001</v>
      </c>
      <c r="FT58">
        <v>24.3781</v>
      </c>
      <c r="FU58">
        <v>24.377600000000001</v>
      </c>
      <c r="FV58">
        <v>24.679200000000002</v>
      </c>
      <c r="FW58">
        <v>36.042000000000002</v>
      </c>
      <c r="FX58">
        <v>70.410799999999995</v>
      </c>
      <c r="FY58">
        <v>18.555700000000002</v>
      </c>
      <c r="FZ58">
        <v>410</v>
      </c>
      <c r="GA58">
        <v>14.855499999999999</v>
      </c>
      <c r="GB58">
        <v>99.954999999999998</v>
      </c>
      <c r="GC58">
        <v>99.596500000000006</v>
      </c>
    </row>
    <row r="59" spans="1:185" x14ac:dyDescent="0.2">
      <c r="A59">
        <v>44</v>
      </c>
      <c r="B59">
        <v>1770999291</v>
      </c>
      <c r="C59">
        <v>667.90000009536698</v>
      </c>
      <c r="D59" t="s">
        <v>382</v>
      </c>
      <c r="E59" t="s">
        <v>383</v>
      </c>
      <c r="F59">
        <v>15</v>
      </c>
      <c r="G59">
        <v>1770999282.9333301</v>
      </c>
      <c r="H59">
        <f t="shared" si="0"/>
        <v>8.4894531013383152E-4</v>
      </c>
      <c r="I59">
        <v>0</v>
      </c>
      <c r="J59">
        <f t="shared" si="12"/>
        <v>9.7450431229406925E-3</v>
      </c>
      <c r="K59">
        <f t="shared" si="1"/>
        <v>0.17425359385981981</v>
      </c>
      <c r="L59">
        <f t="shared" si="2"/>
        <v>68.465178203073435</v>
      </c>
      <c r="M59">
        <f t="shared" si="3"/>
        <v>1.5097562481015754</v>
      </c>
      <c r="N59">
        <f t="shared" si="4"/>
        <v>2.2051446994317492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26330.084591272935</v>
      </c>
      <c r="T59">
        <f t="shared" si="8"/>
        <v>299.99633333333298</v>
      </c>
      <c r="U59">
        <f t="shared" si="9"/>
        <v>252.89726719562168</v>
      </c>
      <c r="V59">
        <f t="shared" si="10"/>
        <v>0.84300119399999995</v>
      </c>
      <c r="W59">
        <f t="shared" si="11"/>
        <v>0.15870298499999999</v>
      </c>
      <c r="X59">
        <v>1</v>
      </c>
      <c r="Y59">
        <v>1770999282.9333301</v>
      </c>
      <c r="Z59">
        <v>409.25400000000002</v>
      </c>
      <c r="AA59">
        <v>409.9058</v>
      </c>
      <c r="AB59">
        <v>15.019453333333299</v>
      </c>
      <c r="AC59">
        <v>13.9747066666667</v>
      </c>
      <c r="AD59">
        <v>410.31760000000003</v>
      </c>
      <c r="AE59">
        <v>14.9314533333333</v>
      </c>
      <c r="AF59">
        <v>800.38026666666701</v>
      </c>
      <c r="AG59">
        <v>100.453133333333</v>
      </c>
      <c r="AH59">
        <v>6.6919866666666702E-2</v>
      </c>
      <c r="AI59">
        <v>18.999739999999999</v>
      </c>
      <c r="AJ59">
        <v>999.9</v>
      </c>
      <c r="AK59">
        <v>999.9</v>
      </c>
      <c r="AL59">
        <v>0</v>
      </c>
      <c r="AM59">
        <v>0</v>
      </c>
      <c r="AN59">
        <v>4998.2</v>
      </c>
      <c r="AO59">
        <v>0</v>
      </c>
      <c r="AP59">
        <v>1.86317</v>
      </c>
      <c r="AQ59">
        <v>-0.65179843333333298</v>
      </c>
      <c r="AR59">
        <v>415.49453333333298</v>
      </c>
      <c r="AS59">
        <v>415.71526666666699</v>
      </c>
      <c r="AT59">
        <v>1.0447587949999999</v>
      </c>
      <c r="AU59">
        <v>409.9058</v>
      </c>
      <c r="AV59">
        <v>13.9747066666667</v>
      </c>
      <c r="AW59">
        <v>1.5087539999999999</v>
      </c>
      <c r="AX59">
        <v>1.4038040000000001</v>
      </c>
      <c r="AY59">
        <v>13.048413333333301</v>
      </c>
      <c r="AZ59">
        <v>11.9582466666667</v>
      </c>
      <c r="BA59">
        <v>299.99633333333298</v>
      </c>
      <c r="BB59">
        <v>0.89996019999999999</v>
      </c>
      <c r="BC59">
        <v>0</v>
      </c>
      <c r="BD59">
        <v>0.1000398</v>
      </c>
      <c r="BE59">
        <v>0</v>
      </c>
      <c r="BF59">
        <v>24</v>
      </c>
      <c r="BG59">
        <v>4946.5159999999996</v>
      </c>
      <c r="BH59">
        <v>1770999274</v>
      </c>
      <c r="BI59" t="s">
        <v>379</v>
      </c>
      <c r="BJ59">
        <v>1770999268</v>
      </c>
      <c r="BK59">
        <v>1770999274</v>
      </c>
      <c r="BL59">
        <v>2</v>
      </c>
      <c r="BM59">
        <v>0.127</v>
      </c>
      <c r="BN59">
        <v>-2E-3</v>
      </c>
      <c r="BO59">
        <v>-1.0640000000000001</v>
      </c>
      <c r="BP59">
        <v>8.7999999999999995E-2</v>
      </c>
      <c r="BQ59">
        <v>410</v>
      </c>
      <c r="BR59">
        <v>14</v>
      </c>
      <c r="BS59">
        <v>0.23</v>
      </c>
      <c r="BT59">
        <v>0.03</v>
      </c>
      <c r="BU59">
        <v>-0.415419739380952</v>
      </c>
      <c r="BV59">
        <v>-3.8409412602857098</v>
      </c>
      <c r="BW59">
        <v>0.42317541138481901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0.68083446642857104</v>
      </c>
      <c r="CD59">
        <v>5.5988433771428596</v>
      </c>
      <c r="CE59">
        <v>0.59441273354718005</v>
      </c>
      <c r="CF59">
        <v>0</v>
      </c>
      <c r="CG59">
        <v>0</v>
      </c>
      <c r="CH59">
        <v>2</v>
      </c>
      <c r="CI59" t="s">
        <v>299</v>
      </c>
      <c r="CJ59">
        <v>3.53254</v>
      </c>
      <c r="CK59">
        <v>2.70268</v>
      </c>
      <c r="CL59">
        <v>9.8447099999999996E-2</v>
      </c>
      <c r="CM59">
        <v>9.7199099999999997E-2</v>
      </c>
      <c r="CN59">
        <v>8.7623199999999998E-2</v>
      </c>
      <c r="CO59">
        <v>8.0717200000000003E-2</v>
      </c>
      <c r="CP59">
        <v>31651.7</v>
      </c>
      <c r="CQ59">
        <v>27775.7</v>
      </c>
      <c r="CR59">
        <v>32489.3</v>
      </c>
      <c r="CS59">
        <v>30688.400000000001</v>
      </c>
      <c r="CT59">
        <v>40115.5</v>
      </c>
      <c r="CU59">
        <v>39653.800000000003</v>
      </c>
      <c r="CV59">
        <v>47425.9</v>
      </c>
      <c r="CW59">
        <v>46776.5</v>
      </c>
      <c r="CX59">
        <v>2.6369400000000001</v>
      </c>
      <c r="CY59">
        <v>2.1854200000000001</v>
      </c>
      <c r="CZ59">
        <v>0</v>
      </c>
      <c r="DA59">
        <v>0</v>
      </c>
      <c r="DB59">
        <v>999.9</v>
      </c>
      <c r="DC59">
        <v>999.9</v>
      </c>
      <c r="DD59">
        <v>74.837999999999994</v>
      </c>
      <c r="DE59">
        <v>23.283000000000001</v>
      </c>
      <c r="DF59">
        <v>21.369499999999999</v>
      </c>
      <c r="DG59">
        <v>30.29</v>
      </c>
      <c r="DH59">
        <v>15.697100000000001</v>
      </c>
      <c r="DI59">
        <v>2</v>
      </c>
      <c r="DJ59">
        <v>-0.207203</v>
      </c>
      <c r="DK59">
        <v>1.544</v>
      </c>
      <c r="DL59">
        <v>20.2241</v>
      </c>
      <c r="DM59">
        <v>5.2522700000000002</v>
      </c>
      <c r="DN59">
        <v>12.033899999999999</v>
      </c>
      <c r="DO59">
        <v>4.9676799999999997</v>
      </c>
      <c r="DP59">
        <v>3.2909999999999999</v>
      </c>
      <c r="DQ59">
        <v>9999</v>
      </c>
      <c r="DR59">
        <v>9999</v>
      </c>
      <c r="DS59">
        <v>596.5</v>
      </c>
      <c r="DT59">
        <v>9999</v>
      </c>
      <c r="DU59">
        <v>1.8709499999999999</v>
      </c>
      <c r="DV59">
        <v>1.8760600000000001</v>
      </c>
      <c r="DW59">
        <v>1.87622</v>
      </c>
      <c r="DX59">
        <v>1.88276</v>
      </c>
      <c r="DY59">
        <v>1.8754599999999999</v>
      </c>
      <c r="DZ59">
        <v>1.8745400000000001</v>
      </c>
      <c r="EA59">
        <v>1.8707100000000001</v>
      </c>
      <c r="EB59">
        <v>1.8745400000000001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-1.0640000000000001</v>
      </c>
      <c r="EQ59">
        <v>8.8099999999999998E-2</v>
      </c>
      <c r="ER59">
        <v>-1.0635999999999499</v>
      </c>
      <c r="ES59">
        <v>0</v>
      </c>
      <c r="ET59">
        <v>0</v>
      </c>
      <c r="EU59">
        <v>0</v>
      </c>
      <c r="EV59">
        <v>8.8020000000000195E-2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0.4</v>
      </c>
      <c r="FE59">
        <v>0.3</v>
      </c>
      <c r="FF59">
        <v>1.23047</v>
      </c>
      <c r="FG59">
        <v>2.5622600000000002</v>
      </c>
      <c r="FH59">
        <v>2.19604</v>
      </c>
      <c r="FI59">
        <v>2.5817899999999998</v>
      </c>
      <c r="FJ59">
        <v>2.4462899999999999</v>
      </c>
      <c r="FK59">
        <v>2.3168899999999999</v>
      </c>
      <c r="FL59">
        <v>28.7745</v>
      </c>
      <c r="FM59">
        <v>24.1663</v>
      </c>
      <c r="FN59">
        <v>19</v>
      </c>
      <c r="FO59">
        <v>860.06399999999996</v>
      </c>
      <c r="FP59">
        <v>606.41399999999999</v>
      </c>
      <c r="FQ59">
        <v>18.556899999999999</v>
      </c>
      <c r="FR59">
        <v>24.3856</v>
      </c>
      <c r="FS59">
        <v>30.0001</v>
      </c>
      <c r="FT59">
        <v>24.368600000000001</v>
      </c>
      <c r="FU59">
        <v>24.368200000000002</v>
      </c>
      <c r="FV59">
        <v>24.685199999999998</v>
      </c>
      <c r="FW59">
        <v>38.682000000000002</v>
      </c>
      <c r="FX59">
        <v>70.034300000000002</v>
      </c>
      <c r="FY59">
        <v>18.5535</v>
      </c>
      <c r="FZ59">
        <v>410</v>
      </c>
      <c r="GA59">
        <v>13.909599999999999</v>
      </c>
      <c r="GB59">
        <v>99.951999999999998</v>
      </c>
      <c r="GC59">
        <v>99.597700000000003</v>
      </c>
    </row>
    <row r="60" spans="1:185" x14ac:dyDescent="0.2">
      <c r="A60">
        <v>45</v>
      </c>
      <c r="B60">
        <v>1770999306</v>
      </c>
      <c r="C60">
        <v>682.90000009536698</v>
      </c>
      <c r="D60" t="s">
        <v>384</v>
      </c>
      <c r="E60" t="s">
        <v>385</v>
      </c>
      <c r="F60">
        <v>15</v>
      </c>
      <c r="G60">
        <v>1770999297.9333301</v>
      </c>
      <c r="H60">
        <f t="shared" si="0"/>
        <v>1.1568990737115268E-3</v>
      </c>
      <c r="I60">
        <v>0</v>
      </c>
      <c r="J60">
        <f t="shared" si="12"/>
        <v>1.2409000362128124E-2</v>
      </c>
      <c r="K60">
        <f t="shared" si="1"/>
        <v>0.22188849059255114</v>
      </c>
      <c r="L60">
        <f t="shared" si="2"/>
        <v>70.175900392177383</v>
      </c>
      <c r="M60">
        <f t="shared" si="3"/>
        <v>1.5476140595290255</v>
      </c>
      <c r="N60">
        <f t="shared" si="4"/>
        <v>2.2053355224232227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26334.458571034611</v>
      </c>
      <c r="T60">
        <f t="shared" si="8"/>
        <v>300.00093333333302</v>
      </c>
      <c r="U60">
        <f t="shared" si="9"/>
        <v>252.90103880078374</v>
      </c>
      <c r="V60">
        <f t="shared" si="10"/>
        <v>0.84300083999999997</v>
      </c>
      <c r="W60">
        <f t="shared" si="11"/>
        <v>0.15870209999999998</v>
      </c>
      <c r="X60">
        <v>1</v>
      </c>
      <c r="Y60">
        <v>1770999297.9333301</v>
      </c>
      <c r="Z60">
        <v>409.12293333333298</v>
      </c>
      <c r="AA60">
        <v>409.99193333333301</v>
      </c>
      <c r="AB60">
        <v>15.3966933333333</v>
      </c>
      <c r="AC60">
        <v>13.97284</v>
      </c>
      <c r="AD60">
        <v>410.1866</v>
      </c>
      <c r="AE60">
        <v>15.308666666666699</v>
      </c>
      <c r="AF60">
        <v>800.00279999999998</v>
      </c>
      <c r="AG60">
        <v>100.450933333333</v>
      </c>
      <c r="AH60">
        <v>6.5068773333333302E-2</v>
      </c>
      <c r="AI60">
        <v>19.0011266666667</v>
      </c>
      <c r="AJ60">
        <v>999.9</v>
      </c>
      <c r="AK60">
        <v>999.9</v>
      </c>
      <c r="AL60">
        <v>0</v>
      </c>
      <c r="AM60">
        <v>0</v>
      </c>
      <c r="AN60">
        <v>4999.0333333333301</v>
      </c>
      <c r="AO60">
        <v>0</v>
      </c>
      <c r="AP60">
        <v>1.86317</v>
      </c>
      <c r="AQ60">
        <v>-0.86899213333333303</v>
      </c>
      <c r="AR60">
        <v>415.52066666666701</v>
      </c>
      <c r="AS60">
        <v>415.80193333333301</v>
      </c>
      <c r="AT60">
        <v>1.4238360000000001</v>
      </c>
      <c r="AU60">
        <v>409.99193333333301</v>
      </c>
      <c r="AV60">
        <v>13.97284</v>
      </c>
      <c r="AW60">
        <v>1.5466106666666699</v>
      </c>
      <c r="AX60">
        <v>1.40358466666667</v>
      </c>
      <c r="AY60">
        <v>13.436913333333299</v>
      </c>
      <c r="AZ60">
        <v>11.956426666666699</v>
      </c>
      <c r="BA60">
        <v>300.00093333333302</v>
      </c>
      <c r="BB60">
        <v>0.89997199999999999</v>
      </c>
      <c r="BC60">
        <v>0</v>
      </c>
      <c r="BD60">
        <v>0.10002800000000001</v>
      </c>
      <c r="BE60">
        <v>0</v>
      </c>
      <c r="BF60">
        <v>24</v>
      </c>
      <c r="BG60">
        <v>4946.6073333333297</v>
      </c>
      <c r="BH60">
        <v>1770999274</v>
      </c>
      <c r="BI60" t="s">
        <v>379</v>
      </c>
      <c r="BJ60">
        <v>1770999268</v>
      </c>
      <c r="BK60">
        <v>1770999274</v>
      </c>
      <c r="BL60">
        <v>2</v>
      </c>
      <c r="BM60">
        <v>0.127</v>
      </c>
      <c r="BN60">
        <v>-2E-3</v>
      </c>
      <c r="BO60">
        <v>-1.0640000000000001</v>
      </c>
      <c r="BP60">
        <v>8.7999999999999995E-2</v>
      </c>
      <c r="BQ60">
        <v>410</v>
      </c>
      <c r="BR60">
        <v>14</v>
      </c>
      <c r="BS60">
        <v>0.23</v>
      </c>
      <c r="BT60">
        <v>0.03</v>
      </c>
      <c r="BU60">
        <v>-0.87777852380952404</v>
      </c>
      <c r="BV60">
        <v>0.22413031168830999</v>
      </c>
      <c r="BW60">
        <v>3.1946040047643197E-2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1.4119376190476201</v>
      </c>
      <c r="CD60">
        <v>0.21422181818181901</v>
      </c>
      <c r="CE60">
        <v>2.46452956787491E-2</v>
      </c>
      <c r="CF60">
        <v>0</v>
      </c>
      <c r="CG60">
        <v>1</v>
      </c>
      <c r="CH60">
        <v>2</v>
      </c>
      <c r="CI60" t="s">
        <v>290</v>
      </c>
      <c r="CJ60">
        <v>3.5324800000000001</v>
      </c>
      <c r="CK60">
        <v>2.7027999999999999</v>
      </c>
      <c r="CL60">
        <v>9.8451700000000003E-2</v>
      </c>
      <c r="CM60">
        <v>9.7192200000000006E-2</v>
      </c>
      <c r="CN60">
        <v>8.7725800000000007E-2</v>
      </c>
      <c r="CO60">
        <v>8.0691299999999994E-2</v>
      </c>
      <c r="CP60">
        <v>31651.9</v>
      </c>
      <c r="CQ60">
        <v>27776</v>
      </c>
      <c r="CR60">
        <v>32489.599999999999</v>
      </c>
      <c r="CS60">
        <v>30688.400000000001</v>
      </c>
      <c r="CT60">
        <v>40111.199999999997</v>
      </c>
      <c r="CU60">
        <v>39655.4</v>
      </c>
      <c r="CV60">
        <v>47426.400000000001</v>
      </c>
      <c r="CW60">
        <v>46777.1</v>
      </c>
      <c r="CX60">
        <v>2.6389999999999998</v>
      </c>
      <c r="CY60">
        <v>2.1859799999999998</v>
      </c>
      <c r="CZ60">
        <v>0</v>
      </c>
      <c r="DA60">
        <v>0</v>
      </c>
      <c r="DB60">
        <v>999.9</v>
      </c>
      <c r="DC60">
        <v>999.9</v>
      </c>
      <c r="DD60">
        <v>74.721999999999994</v>
      </c>
      <c r="DE60">
        <v>23.292999999999999</v>
      </c>
      <c r="DF60">
        <v>21.349900000000002</v>
      </c>
      <c r="DG60">
        <v>30.62</v>
      </c>
      <c r="DH60">
        <v>15.865399999999999</v>
      </c>
      <c r="DI60">
        <v>2</v>
      </c>
      <c r="DJ60">
        <v>-0.20697399999999999</v>
      </c>
      <c r="DK60">
        <v>1.5512999999999999</v>
      </c>
      <c r="DL60">
        <v>20.223800000000001</v>
      </c>
      <c r="DM60">
        <v>5.2509499999999996</v>
      </c>
      <c r="DN60">
        <v>12.033899999999999</v>
      </c>
      <c r="DO60">
        <v>4.9675200000000004</v>
      </c>
      <c r="DP60">
        <v>3.2907999999999999</v>
      </c>
      <c r="DQ60">
        <v>9999</v>
      </c>
      <c r="DR60">
        <v>9999</v>
      </c>
      <c r="DS60">
        <v>596.5</v>
      </c>
      <c r="DT60">
        <v>9999</v>
      </c>
      <c r="DU60">
        <v>1.8709</v>
      </c>
      <c r="DV60">
        <v>1.8760300000000001</v>
      </c>
      <c r="DW60">
        <v>1.87622</v>
      </c>
      <c r="DX60">
        <v>1.88269</v>
      </c>
      <c r="DY60">
        <v>1.8754599999999999</v>
      </c>
      <c r="DZ60">
        <v>1.87453</v>
      </c>
      <c r="EA60">
        <v>1.8706400000000001</v>
      </c>
      <c r="EB60">
        <v>1.8745400000000001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-1.0640000000000001</v>
      </c>
      <c r="EQ60">
        <v>8.7999999999999995E-2</v>
      </c>
      <c r="ER60">
        <v>-1.0635999999999499</v>
      </c>
      <c r="ES60">
        <v>0</v>
      </c>
      <c r="ET60">
        <v>0</v>
      </c>
      <c r="EU60">
        <v>0</v>
      </c>
      <c r="EV60">
        <v>8.8020000000000195E-2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0.6</v>
      </c>
      <c r="FE60">
        <v>0.5</v>
      </c>
      <c r="FF60">
        <v>1.23047</v>
      </c>
      <c r="FG60">
        <v>2.5683600000000002</v>
      </c>
      <c r="FH60">
        <v>2.19604</v>
      </c>
      <c r="FI60">
        <v>2.5805699999999998</v>
      </c>
      <c r="FJ60">
        <v>2.4462899999999999</v>
      </c>
      <c r="FK60">
        <v>2.2497600000000002</v>
      </c>
      <c r="FL60">
        <v>28.7956</v>
      </c>
      <c r="FM60">
        <v>24.157499999999999</v>
      </c>
      <c r="FN60">
        <v>19</v>
      </c>
      <c r="FO60">
        <v>862.01800000000003</v>
      </c>
      <c r="FP60">
        <v>606.90700000000004</v>
      </c>
      <c r="FQ60">
        <v>18.5519</v>
      </c>
      <c r="FR60">
        <v>24.389600000000002</v>
      </c>
      <c r="FS60">
        <v>30.0002</v>
      </c>
      <c r="FT60">
        <v>24.372</v>
      </c>
      <c r="FU60">
        <v>24.372199999999999</v>
      </c>
      <c r="FV60">
        <v>24.6874</v>
      </c>
      <c r="FW60">
        <v>38.970300000000002</v>
      </c>
      <c r="FX60">
        <v>69.284499999999994</v>
      </c>
      <c r="FY60">
        <v>18.5504</v>
      </c>
      <c r="FZ60">
        <v>410</v>
      </c>
      <c r="GA60">
        <v>13.882099999999999</v>
      </c>
      <c r="GB60">
        <v>99.9529</v>
      </c>
      <c r="GC60">
        <v>99.598500000000001</v>
      </c>
    </row>
    <row r="61" spans="1:185" x14ac:dyDescent="0.2">
      <c r="A61">
        <v>46</v>
      </c>
      <c r="B61">
        <v>1770999321</v>
      </c>
      <c r="C61">
        <v>697.90000009536698</v>
      </c>
      <c r="D61" t="s">
        <v>386</v>
      </c>
      <c r="E61" t="s">
        <v>387</v>
      </c>
      <c r="F61">
        <v>15</v>
      </c>
      <c r="G61">
        <v>1770999312.9333301</v>
      </c>
      <c r="H61">
        <f t="shared" si="0"/>
        <v>1.2142525159303341E-3</v>
      </c>
      <c r="I61">
        <v>0</v>
      </c>
      <c r="J61">
        <f t="shared" si="12"/>
        <v>1.0280960844292022E-2</v>
      </c>
      <c r="K61">
        <f t="shared" si="1"/>
        <v>0.18383647489795463</v>
      </c>
      <c r="L61">
        <f t="shared" si="2"/>
        <v>70.181688443484873</v>
      </c>
      <c r="M61">
        <f t="shared" si="3"/>
        <v>1.5478376468072987</v>
      </c>
      <c r="N61">
        <f t="shared" si="4"/>
        <v>2.205472226638896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26330.465752944547</v>
      </c>
      <c r="T61">
        <f t="shared" si="8"/>
        <v>299.99953333333298</v>
      </c>
      <c r="U61">
        <f t="shared" si="9"/>
        <v>252.89987179958715</v>
      </c>
      <c r="V61">
        <f t="shared" si="10"/>
        <v>0.84300088399999995</v>
      </c>
      <c r="W61">
        <f t="shared" si="11"/>
        <v>0.15870221000000004</v>
      </c>
      <c r="X61">
        <v>1</v>
      </c>
      <c r="Y61">
        <v>1770999312.9333301</v>
      </c>
      <c r="Z61">
        <v>409.14966666666697</v>
      </c>
      <c r="AA61">
        <v>410.00046666666702</v>
      </c>
      <c r="AB61">
        <v>15.3988</v>
      </c>
      <c r="AC61">
        <v>13.9043733333333</v>
      </c>
      <c r="AD61">
        <v>410.21353333333298</v>
      </c>
      <c r="AE61">
        <v>15.31076</v>
      </c>
      <c r="AF61">
        <v>800.00879999999995</v>
      </c>
      <c r="AG61">
        <v>100.451533333333</v>
      </c>
      <c r="AH61">
        <v>6.5237246666666707E-2</v>
      </c>
      <c r="AI61">
        <v>19.002120000000001</v>
      </c>
      <c r="AJ61">
        <v>999.9</v>
      </c>
      <c r="AK61">
        <v>999.9</v>
      </c>
      <c r="AL61">
        <v>0</v>
      </c>
      <c r="AM61">
        <v>0</v>
      </c>
      <c r="AN61">
        <v>4998.3666666666704</v>
      </c>
      <c r="AO61">
        <v>0</v>
      </c>
      <c r="AP61">
        <v>1.86317</v>
      </c>
      <c r="AQ61">
        <v>-0.85066526666666697</v>
      </c>
      <c r="AR61">
        <v>415.54866666666697</v>
      </c>
      <c r="AS61">
        <v>415.78160000000003</v>
      </c>
      <c r="AT61">
        <v>1.4944139999999999</v>
      </c>
      <c r="AU61">
        <v>410.00046666666702</v>
      </c>
      <c r="AV61">
        <v>13.9043733333333</v>
      </c>
      <c r="AW61">
        <v>1.546832</v>
      </c>
      <c r="AX61">
        <v>1.3967160000000001</v>
      </c>
      <c r="AY61">
        <v>13.439113333333299</v>
      </c>
      <c r="AZ61">
        <v>11.881966666666701</v>
      </c>
      <c r="BA61">
        <v>299.99953333333298</v>
      </c>
      <c r="BB61">
        <v>0.89997053333333299</v>
      </c>
      <c r="BC61">
        <v>0</v>
      </c>
      <c r="BD61">
        <v>0.100029466666667</v>
      </c>
      <c r="BE61">
        <v>0</v>
      </c>
      <c r="BF61">
        <v>24</v>
      </c>
      <c r="BG61">
        <v>4946.58</v>
      </c>
      <c r="BH61">
        <v>1770999274</v>
      </c>
      <c r="BI61" t="s">
        <v>379</v>
      </c>
      <c r="BJ61">
        <v>1770999268</v>
      </c>
      <c r="BK61">
        <v>1770999274</v>
      </c>
      <c r="BL61">
        <v>2</v>
      </c>
      <c r="BM61">
        <v>0.127</v>
      </c>
      <c r="BN61">
        <v>-2E-3</v>
      </c>
      <c r="BO61">
        <v>-1.0640000000000001</v>
      </c>
      <c r="BP61">
        <v>8.7999999999999995E-2</v>
      </c>
      <c r="BQ61">
        <v>410</v>
      </c>
      <c r="BR61">
        <v>14</v>
      </c>
      <c r="BS61">
        <v>0.23</v>
      </c>
      <c r="BT61">
        <v>0.03</v>
      </c>
      <c r="BU61">
        <v>-0.85137019999999997</v>
      </c>
      <c r="BV61">
        <v>0.123109804511278</v>
      </c>
      <c r="BW61">
        <v>3.0875631931346799E-2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1.4797294999999999</v>
      </c>
      <c r="CD61">
        <v>0.36412556390977702</v>
      </c>
      <c r="CE61">
        <v>3.7635770415257903E-2</v>
      </c>
      <c r="CF61">
        <v>0</v>
      </c>
      <c r="CG61">
        <v>1</v>
      </c>
      <c r="CH61">
        <v>2</v>
      </c>
      <c r="CI61" t="s">
        <v>290</v>
      </c>
      <c r="CJ61">
        <v>3.53241</v>
      </c>
      <c r="CK61">
        <v>2.7033900000000002</v>
      </c>
      <c r="CL61">
        <v>9.8455000000000001E-2</v>
      </c>
      <c r="CM61">
        <v>9.71939E-2</v>
      </c>
      <c r="CN61">
        <v>8.7603700000000007E-2</v>
      </c>
      <c r="CO61">
        <v>8.0241400000000004E-2</v>
      </c>
      <c r="CP61">
        <v>31651.9</v>
      </c>
      <c r="CQ61">
        <v>27776.5</v>
      </c>
      <c r="CR61">
        <v>32489.8</v>
      </c>
      <c r="CS61">
        <v>30689.1</v>
      </c>
      <c r="CT61">
        <v>40117.199999999997</v>
      </c>
      <c r="CU61">
        <v>39676.400000000001</v>
      </c>
      <c r="CV61">
        <v>47426.8</v>
      </c>
      <c r="CW61">
        <v>46778.3</v>
      </c>
      <c r="CX61">
        <v>2.6398600000000001</v>
      </c>
      <c r="CY61">
        <v>2.1859799999999998</v>
      </c>
      <c r="CZ61">
        <v>0</v>
      </c>
      <c r="DA61">
        <v>0</v>
      </c>
      <c r="DB61">
        <v>999.9</v>
      </c>
      <c r="DC61">
        <v>999.9</v>
      </c>
      <c r="DD61">
        <v>74.631</v>
      </c>
      <c r="DE61">
        <v>23.323</v>
      </c>
      <c r="DF61">
        <v>21.363</v>
      </c>
      <c r="DG61">
        <v>30.23</v>
      </c>
      <c r="DH61">
        <v>15.789300000000001</v>
      </c>
      <c r="DI61">
        <v>2</v>
      </c>
      <c r="DJ61">
        <v>-0.20675399999999999</v>
      </c>
      <c r="DK61">
        <v>1.56271</v>
      </c>
      <c r="DL61">
        <v>20.224299999999999</v>
      </c>
      <c r="DM61">
        <v>5.25251</v>
      </c>
      <c r="DN61">
        <v>12.033899999999999</v>
      </c>
      <c r="DO61">
        <v>4.9675599999999998</v>
      </c>
      <c r="DP61">
        <v>3.2909999999999999</v>
      </c>
      <c r="DQ61">
        <v>9999</v>
      </c>
      <c r="DR61">
        <v>9999</v>
      </c>
      <c r="DS61">
        <v>596.5</v>
      </c>
      <c r="DT61">
        <v>9999</v>
      </c>
      <c r="DU61">
        <v>1.8708899999999999</v>
      </c>
      <c r="DV61">
        <v>1.87602</v>
      </c>
      <c r="DW61">
        <v>1.87622</v>
      </c>
      <c r="DX61">
        <v>1.88273</v>
      </c>
      <c r="DY61">
        <v>1.8754599999999999</v>
      </c>
      <c r="DZ61">
        <v>1.87453</v>
      </c>
      <c r="EA61">
        <v>1.8707</v>
      </c>
      <c r="EB61">
        <v>1.8745400000000001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-1.0629999999999999</v>
      </c>
      <c r="EQ61">
        <v>8.7999999999999995E-2</v>
      </c>
      <c r="ER61">
        <v>-1.0635999999999499</v>
      </c>
      <c r="ES61">
        <v>0</v>
      </c>
      <c r="ET61">
        <v>0</v>
      </c>
      <c r="EU61">
        <v>0</v>
      </c>
      <c r="EV61">
        <v>8.8020000000000195E-2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0.9</v>
      </c>
      <c r="FE61">
        <v>0.8</v>
      </c>
      <c r="FF61">
        <v>1.22925</v>
      </c>
      <c r="FG61">
        <v>2.5659200000000002</v>
      </c>
      <c r="FH61">
        <v>2.19604</v>
      </c>
      <c r="FI61">
        <v>2.5805699999999998</v>
      </c>
      <c r="FJ61">
        <v>2.4462899999999999</v>
      </c>
      <c r="FK61">
        <v>2.2485400000000002</v>
      </c>
      <c r="FL61">
        <v>28.816800000000001</v>
      </c>
      <c r="FM61">
        <v>24.157499999999999</v>
      </c>
      <c r="FN61">
        <v>19</v>
      </c>
      <c r="FO61">
        <v>862.86599999999999</v>
      </c>
      <c r="FP61">
        <v>606.947</v>
      </c>
      <c r="FQ61">
        <v>18.546199999999999</v>
      </c>
      <c r="FR61">
        <v>24.392600000000002</v>
      </c>
      <c r="FS61">
        <v>30.0001</v>
      </c>
      <c r="FT61">
        <v>24.375299999999999</v>
      </c>
      <c r="FU61">
        <v>24.375499999999999</v>
      </c>
      <c r="FV61">
        <v>24.686599999999999</v>
      </c>
      <c r="FW61">
        <v>38.970300000000002</v>
      </c>
      <c r="FX61">
        <v>68.911299999999997</v>
      </c>
      <c r="FY61">
        <v>18.5441</v>
      </c>
      <c r="FZ61">
        <v>410</v>
      </c>
      <c r="GA61">
        <v>13.895</v>
      </c>
      <c r="GB61">
        <v>99.953699999999998</v>
      </c>
      <c r="GC61">
        <v>99.600899999999996</v>
      </c>
    </row>
    <row r="62" spans="1:185" x14ac:dyDescent="0.2">
      <c r="A62">
        <v>47</v>
      </c>
      <c r="B62">
        <v>1770999336</v>
      </c>
      <c r="C62">
        <v>712.90000009536698</v>
      </c>
      <c r="D62" t="s">
        <v>388</v>
      </c>
      <c r="E62" t="s">
        <v>389</v>
      </c>
      <c r="F62">
        <v>15</v>
      </c>
      <c r="G62">
        <v>1770999327.9333301</v>
      </c>
      <c r="H62">
        <f t="shared" si="0"/>
        <v>1.2335106650739832E-3</v>
      </c>
      <c r="I62">
        <v>0</v>
      </c>
      <c r="J62">
        <f t="shared" si="12"/>
        <v>9.8771920362253959E-3</v>
      </c>
      <c r="K62">
        <f t="shared" si="1"/>
        <v>0.17661658217849852</v>
      </c>
      <c r="L62">
        <f t="shared" si="2"/>
        <v>70.075469976728769</v>
      </c>
      <c r="M62">
        <f t="shared" si="3"/>
        <v>1.5454506654138738</v>
      </c>
      <c r="N62">
        <f t="shared" si="4"/>
        <v>2.2054089197362496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26399.99346727581</v>
      </c>
      <c r="T62">
        <f t="shared" si="8"/>
        <v>300.00186666666701</v>
      </c>
      <c r="U62">
        <f t="shared" si="9"/>
        <v>252.90191200210586</v>
      </c>
      <c r="V62">
        <f t="shared" si="10"/>
        <v>0.84300112799999993</v>
      </c>
      <c r="W62">
        <f t="shared" si="11"/>
        <v>0.15870282000000002</v>
      </c>
      <c r="X62">
        <v>1</v>
      </c>
      <c r="Y62">
        <v>1770999327.9333301</v>
      </c>
      <c r="Z62">
        <v>409.13560000000001</v>
      </c>
      <c r="AA62">
        <v>409.98719999999997</v>
      </c>
      <c r="AB62">
        <v>15.375106666666699</v>
      </c>
      <c r="AC62">
        <v>13.856946666666699</v>
      </c>
      <c r="AD62">
        <v>410.19926666666697</v>
      </c>
      <c r="AE62">
        <v>15.287086666666699</v>
      </c>
      <c r="AF62">
        <v>800.01139999999998</v>
      </c>
      <c r="AG62">
        <v>100.45099999999999</v>
      </c>
      <c r="AH62">
        <v>6.5419099999999994E-2</v>
      </c>
      <c r="AI62">
        <v>19.001660000000001</v>
      </c>
      <c r="AJ62">
        <v>999.9</v>
      </c>
      <c r="AK62">
        <v>999.9</v>
      </c>
      <c r="AL62">
        <v>0</v>
      </c>
      <c r="AM62">
        <v>0</v>
      </c>
      <c r="AN62">
        <v>5009.8</v>
      </c>
      <c r="AO62">
        <v>0</v>
      </c>
      <c r="AP62">
        <v>1.86317</v>
      </c>
      <c r="AQ62">
        <v>-0.85159493333333303</v>
      </c>
      <c r="AR62">
        <v>415.52440000000001</v>
      </c>
      <c r="AS62">
        <v>415.7482</v>
      </c>
      <c r="AT62">
        <v>1.5181706666666701</v>
      </c>
      <c r="AU62">
        <v>409.98719999999997</v>
      </c>
      <c r="AV62">
        <v>13.856946666666699</v>
      </c>
      <c r="AW62">
        <v>1.54444466666667</v>
      </c>
      <c r="AX62">
        <v>1.39194333333333</v>
      </c>
      <c r="AY62">
        <v>13.4154133333333</v>
      </c>
      <c r="AZ62">
        <v>11.830159999999999</v>
      </c>
      <c r="BA62">
        <v>300.00186666666701</v>
      </c>
      <c r="BB62">
        <v>0.89996240000000005</v>
      </c>
      <c r="BC62">
        <v>0</v>
      </c>
      <c r="BD62">
        <v>0.1000376</v>
      </c>
      <c r="BE62">
        <v>0</v>
      </c>
      <c r="BF62">
        <v>24</v>
      </c>
      <c r="BG62">
        <v>4946.6126666666696</v>
      </c>
      <c r="BH62">
        <v>1770999274</v>
      </c>
      <c r="BI62" t="s">
        <v>379</v>
      </c>
      <c r="BJ62">
        <v>1770999268</v>
      </c>
      <c r="BK62">
        <v>1770999274</v>
      </c>
      <c r="BL62">
        <v>2</v>
      </c>
      <c r="BM62">
        <v>0.127</v>
      </c>
      <c r="BN62">
        <v>-2E-3</v>
      </c>
      <c r="BO62">
        <v>-1.0640000000000001</v>
      </c>
      <c r="BP62">
        <v>8.7999999999999995E-2</v>
      </c>
      <c r="BQ62">
        <v>410</v>
      </c>
      <c r="BR62">
        <v>14</v>
      </c>
      <c r="BS62">
        <v>0.23</v>
      </c>
      <c r="BT62">
        <v>0.03</v>
      </c>
      <c r="BU62">
        <v>-0.84190871428571401</v>
      </c>
      <c r="BV62">
        <v>-4.7007194805196398E-2</v>
      </c>
      <c r="BW62">
        <v>3.04019444853416E-2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1.5183185714285701</v>
      </c>
      <c r="CD62">
        <v>4.3581818181820404E-3</v>
      </c>
      <c r="CE62">
        <v>2.2411121510244199E-3</v>
      </c>
      <c r="CF62">
        <v>1</v>
      </c>
      <c r="CG62">
        <v>2</v>
      </c>
      <c r="CH62">
        <v>2</v>
      </c>
      <c r="CI62" t="s">
        <v>304</v>
      </c>
      <c r="CJ62">
        <v>3.5324599999999999</v>
      </c>
      <c r="CK62">
        <v>2.70322</v>
      </c>
      <c r="CL62">
        <v>9.8445900000000003E-2</v>
      </c>
      <c r="CM62">
        <v>9.7185400000000005E-2</v>
      </c>
      <c r="CN62">
        <v>8.7562100000000004E-2</v>
      </c>
      <c r="CO62">
        <v>8.01708E-2</v>
      </c>
      <c r="CP62">
        <v>31652.6</v>
      </c>
      <c r="CQ62">
        <v>27777.599999999999</v>
      </c>
      <c r="CR62">
        <v>32490.2</v>
      </c>
      <c r="CS62">
        <v>30690.1</v>
      </c>
      <c r="CT62">
        <v>40119.699999999997</v>
      </c>
      <c r="CU62">
        <v>39680.699999999997</v>
      </c>
      <c r="CV62">
        <v>47427.5</v>
      </c>
      <c r="CW62">
        <v>46779.6</v>
      </c>
      <c r="CX62">
        <v>2.63992</v>
      </c>
      <c r="CY62">
        <v>2.1857799999999998</v>
      </c>
      <c r="CZ62">
        <v>0</v>
      </c>
      <c r="DA62">
        <v>0</v>
      </c>
      <c r="DB62">
        <v>999.9</v>
      </c>
      <c r="DC62">
        <v>999.9</v>
      </c>
      <c r="DD62">
        <v>74.489999999999995</v>
      </c>
      <c r="DE62">
        <v>23.363</v>
      </c>
      <c r="DF62">
        <v>21.374400000000001</v>
      </c>
      <c r="DG62">
        <v>30.23</v>
      </c>
      <c r="DH62">
        <v>15.837300000000001</v>
      </c>
      <c r="DI62">
        <v>2</v>
      </c>
      <c r="DJ62">
        <v>-0.20646999999999999</v>
      </c>
      <c r="DK62">
        <v>1.5643100000000001</v>
      </c>
      <c r="DL62">
        <v>20.2241</v>
      </c>
      <c r="DM62">
        <v>5.2523900000000001</v>
      </c>
      <c r="DN62">
        <v>12.033899999999999</v>
      </c>
      <c r="DO62">
        <v>4.9676</v>
      </c>
      <c r="DP62">
        <v>3.2909999999999999</v>
      </c>
      <c r="DQ62">
        <v>9999</v>
      </c>
      <c r="DR62">
        <v>9999</v>
      </c>
      <c r="DS62">
        <v>596.5</v>
      </c>
      <c r="DT62">
        <v>9999</v>
      </c>
      <c r="DU62">
        <v>1.8708899999999999</v>
      </c>
      <c r="DV62">
        <v>1.87605</v>
      </c>
      <c r="DW62">
        <v>1.87622</v>
      </c>
      <c r="DX62">
        <v>1.88273</v>
      </c>
      <c r="DY62">
        <v>1.8754599999999999</v>
      </c>
      <c r="DZ62">
        <v>1.8745400000000001</v>
      </c>
      <c r="EA62">
        <v>1.8707100000000001</v>
      </c>
      <c r="EB62">
        <v>1.8745400000000001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-1.0629999999999999</v>
      </c>
      <c r="EQ62">
        <v>8.7999999999999995E-2</v>
      </c>
      <c r="ER62">
        <v>-1.0635999999999499</v>
      </c>
      <c r="ES62">
        <v>0</v>
      </c>
      <c r="ET62">
        <v>0</v>
      </c>
      <c r="EU62">
        <v>0</v>
      </c>
      <c r="EV62">
        <v>8.8020000000000195E-2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1.1000000000000001</v>
      </c>
      <c r="FE62">
        <v>1</v>
      </c>
      <c r="FF62">
        <v>1.23047</v>
      </c>
      <c r="FG62">
        <v>2.5671400000000002</v>
      </c>
      <c r="FH62">
        <v>2.19604</v>
      </c>
      <c r="FI62">
        <v>2.5805699999999998</v>
      </c>
      <c r="FJ62">
        <v>2.4462899999999999</v>
      </c>
      <c r="FK62">
        <v>2.2997999999999998</v>
      </c>
      <c r="FL62">
        <v>28.816800000000001</v>
      </c>
      <c r="FM62">
        <v>24.1663</v>
      </c>
      <c r="FN62">
        <v>19</v>
      </c>
      <c r="FO62">
        <v>862.98</v>
      </c>
      <c r="FP62">
        <v>606.83600000000001</v>
      </c>
      <c r="FQ62">
        <v>18.5398</v>
      </c>
      <c r="FR62">
        <v>24.395800000000001</v>
      </c>
      <c r="FS62">
        <v>30.0002</v>
      </c>
      <c r="FT62">
        <v>24.378799999999998</v>
      </c>
      <c r="FU62">
        <v>24.3796</v>
      </c>
      <c r="FV62">
        <v>24.6905</v>
      </c>
      <c r="FW62">
        <v>38.970300000000002</v>
      </c>
      <c r="FX62">
        <v>68.536799999999999</v>
      </c>
      <c r="FY62">
        <v>18.539000000000001</v>
      </c>
      <c r="FZ62">
        <v>410</v>
      </c>
      <c r="GA62">
        <v>13.895</v>
      </c>
      <c r="GB62">
        <v>99.954999999999998</v>
      </c>
      <c r="GC62">
        <v>99.603800000000007</v>
      </c>
    </row>
    <row r="63" spans="1:185" x14ac:dyDescent="0.2">
      <c r="A63">
        <v>48</v>
      </c>
      <c r="B63">
        <v>1770999351</v>
      </c>
      <c r="C63">
        <v>727.90000009536698</v>
      </c>
      <c r="D63" t="s">
        <v>390</v>
      </c>
      <c r="E63" t="s">
        <v>391</v>
      </c>
      <c r="F63">
        <v>15</v>
      </c>
      <c r="G63">
        <v>1770999342.9333301</v>
      </c>
      <c r="H63">
        <f t="shared" si="0"/>
        <v>1.2373311893802649E-3</v>
      </c>
      <c r="I63">
        <v>0</v>
      </c>
      <c r="J63">
        <f t="shared" si="12"/>
        <v>1.0584477216249428E-2</v>
      </c>
      <c r="K63">
        <f t="shared" si="1"/>
        <v>0.18926372831711774</v>
      </c>
      <c r="L63">
        <f t="shared" si="2"/>
        <v>70.043688982671412</v>
      </c>
      <c r="M63">
        <f t="shared" si="3"/>
        <v>1.5446231696550698</v>
      </c>
      <c r="N63">
        <f t="shared" si="4"/>
        <v>2.2052281827092299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26278.862370746509</v>
      </c>
      <c r="T63">
        <f t="shared" si="8"/>
        <v>299.99880000000002</v>
      </c>
      <c r="U63">
        <f t="shared" si="9"/>
        <v>252.8993675984832</v>
      </c>
      <c r="V63">
        <f t="shared" si="10"/>
        <v>0.84300126399999997</v>
      </c>
      <c r="W63">
        <f t="shared" si="11"/>
        <v>0.15870315999999995</v>
      </c>
      <c r="X63">
        <v>1</v>
      </c>
      <c r="Y63">
        <v>1770999342.9333301</v>
      </c>
      <c r="Z63">
        <v>409.11219999999997</v>
      </c>
      <c r="AA63">
        <v>409.981533333333</v>
      </c>
      <c r="AB63">
        <v>15.367139999999999</v>
      </c>
      <c r="AC63">
        <v>13.844253333333301</v>
      </c>
      <c r="AD63">
        <v>410.17573333333303</v>
      </c>
      <c r="AE63">
        <v>15.2791266666667</v>
      </c>
      <c r="AF63">
        <v>800.005</v>
      </c>
      <c r="AG63">
        <v>100.449266666667</v>
      </c>
      <c r="AH63">
        <v>6.5413986666666701E-2</v>
      </c>
      <c r="AI63">
        <v>19.000346666666701</v>
      </c>
      <c r="AJ63">
        <v>999.9</v>
      </c>
      <c r="AK63">
        <v>999.9</v>
      </c>
      <c r="AL63">
        <v>0</v>
      </c>
      <c r="AM63">
        <v>0</v>
      </c>
      <c r="AN63">
        <v>4989.9666666666699</v>
      </c>
      <c r="AO63">
        <v>0</v>
      </c>
      <c r="AP63">
        <v>1.86317</v>
      </c>
      <c r="AQ63">
        <v>-0.86946406666666698</v>
      </c>
      <c r="AR63">
        <v>415.49713333333301</v>
      </c>
      <c r="AS63">
        <v>415.73713333333302</v>
      </c>
      <c r="AT63">
        <v>1.5229033333333299</v>
      </c>
      <c r="AU63">
        <v>409.981533333333</v>
      </c>
      <c r="AV63">
        <v>13.844253333333301</v>
      </c>
      <c r="AW63">
        <v>1.54361866666667</v>
      </c>
      <c r="AX63">
        <v>1.39064266666667</v>
      </c>
      <c r="AY63">
        <v>13.4072</v>
      </c>
      <c r="AZ63">
        <v>11.816000000000001</v>
      </c>
      <c r="BA63">
        <v>299.99880000000002</v>
      </c>
      <c r="BB63">
        <v>0.89995786666666699</v>
      </c>
      <c r="BC63">
        <v>0</v>
      </c>
      <c r="BD63">
        <v>0.10004213333333301</v>
      </c>
      <c r="BE63">
        <v>0</v>
      </c>
      <c r="BF63">
        <v>24</v>
      </c>
      <c r="BG63">
        <v>4946.5506666666697</v>
      </c>
      <c r="BH63">
        <v>1770999274</v>
      </c>
      <c r="BI63" t="s">
        <v>379</v>
      </c>
      <c r="BJ63">
        <v>1770999268</v>
      </c>
      <c r="BK63">
        <v>1770999274</v>
      </c>
      <c r="BL63">
        <v>2</v>
      </c>
      <c r="BM63">
        <v>0.127</v>
      </c>
      <c r="BN63">
        <v>-2E-3</v>
      </c>
      <c r="BO63">
        <v>-1.0640000000000001</v>
      </c>
      <c r="BP63">
        <v>8.7999999999999995E-2</v>
      </c>
      <c r="BQ63">
        <v>410</v>
      </c>
      <c r="BR63">
        <v>14</v>
      </c>
      <c r="BS63">
        <v>0.23</v>
      </c>
      <c r="BT63">
        <v>0.03</v>
      </c>
      <c r="BU63">
        <v>-0.85766445000000002</v>
      </c>
      <c r="BV63">
        <v>-0.18559890225563799</v>
      </c>
      <c r="BW63">
        <v>2.6449997361956398E-2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1.5223564999999999</v>
      </c>
      <c r="CD63">
        <v>1.63754887218053E-2</v>
      </c>
      <c r="CE63">
        <v>2.14768078400865E-3</v>
      </c>
      <c r="CF63">
        <v>1</v>
      </c>
      <c r="CG63">
        <v>2</v>
      </c>
      <c r="CH63">
        <v>2</v>
      </c>
      <c r="CI63" t="s">
        <v>304</v>
      </c>
      <c r="CJ63">
        <v>3.5325600000000001</v>
      </c>
      <c r="CK63">
        <v>2.7031499999999999</v>
      </c>
      <c r="CL63">
        <v>9.8444500000000004E-2</v>
      </c>
      <c r="CM63">
        <v>9.7188899999999995E-2</v>
      </c>
      <c r="CN63">
        <v>8.7515899999999994E-2</v>
      </c>
      <c r="CO63">
        <v>8.0131099999999997E-2</v>
      </c>
      <c r="CP63">
        <v>31652.3</v>
      </c>
      <c r="CQ63">
        <v>27778.2</v>
      </c>
      <c r="CR63">
        <v>32489.9</v>
      </c>
      <c r="CS63">
        <v>30690.799999999999</v>
      </c>
      <c r="CT63">
        <v>40121.699999999997</v>
      </c>
      <c r="CU63">
        <v>39683.699999999997</v>
      </c>
      <c r="CV63">
        <v>47427.3</v>
      </c>
      <c r="CW63">
        <v>46781.1</v>
      </c>
      <c r="CX63">
        <v>2.64</v>
      </c>
      <c r="CY63">
        <v>2.1857199999999999</v>
      </c>
      <c r="CZ63">
        <v>0</v>
      </c>
      <c r="DA63">
        <v>0</v>
      </c>
      <c r="DB63">
        <v>999.9</v>
      </c>
      <c r="DC63">
        <v>999.9</v>
      </c>
      <c r="DD63">
        <v>74.393000000000001</v>
      </c>
      <c r="DE63">
        <v>23.363</v>
      </c>
      <c r="DF63">
        <v>21.345099999999999</v>
      </c>
      <c r="DG63">
        <v>30.56</v>
      </c>
      <c r="DH63">
        <v>15.8413</v>
      </c>
      <c r="DI63">
        <v>2</v>
      </c>
      <c r="DJ63">
        <v>-0.206402</v>
      </c>
      <c r="DK63">
        <v>1.5399799999999999</v>
      </c>
      <c r="DL63">
        <v>20.2242</v>
      </c>
      <c r="DM63">
        <v>5.25251</v>
      </c>
      <c r="DN63">
        <v>12.033899999999999</v>
      </c>
      <c r="DO63">
        <v>4.9675599999999998</v>
      </c>
      <c r="DP63">
        <v>3.2909999999999999</v>
      </c>
      <c r="DQ63">
        <v>9999</v>
      </c>
      <c r="DR63">
        <v>9999</v>
      </c>
      <c r="DS63">
        <v>596.5</v>
      </c>
      <c r="DT63">
        <v>9999</v>
      </c>
      <c r="DU63">
        <v>1.87096</v>
      </c>
      <c r="DV63">
        <v>1.87605</v>
      </c>
      <c r="DW63">
        <v>1.87622</v>
      </c>
      <c r="DX63">
        <v>1.8827700000000001</v>
      </c>
      <c r="DY63">
        <v>1.8754599999999999</v>
      </c>
      <c r="DZ63">
        <v>1.8745400000000001</v>
      </c>
      <c r="EA63">
        <v>1.8707199999999999</v>
      </c>
      <c r="EB63">
        <v>1.8745400000000001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-1.0640000000000001</v>
      </c>
      <c r="EQ63">
        <v>8.7999999999999995E-2</v>
      </c>
      <c r="ER63">
        <v>-1.0635999999999499</v>
      </c>
      <c r="ES63">
        <v>0</v>
      </c>
      <c r="ET63">
        <v>0</v>
      </c>
      <c r="EU63">
        <v>0</v>
      </c>
      <c r="EV63">
        <v>8.8020000000000195E-2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1.4</v>
      </c>
      <c r="FE63">
        <v>1.3</v>
      </c>
      <c r="FF63">
        <v>1.23047</v>
      </c>
      <c r="FG63">
        <v>2.5708000000000002</v>
      </c>
      <c r="FH63">
        <v>2.19604</v>
      </c>
      <c r="FI63">
        <v>2.5817899999999998</v>
      </c>
      <c r="FJ63">
        <v>2.4462899999999999</v>
      </c>
      <c r="FK63">
        <v>2.2583000000000002</v>
      </c>
      <c r="FL63">
        <v>28.837900000000001</v>
      </c>
      <c r="FM63">
        <v>24.157499999999999</v>
      </c>
      <c r="FN63">
        <v>19</v>
      </c>
      <c r="FO63">
        <v>863.12099999999998</v>
      </c>
      <c r="FP63">
        <v>606.84699999999998</v>
      </c>
      <c r="FQ63">
        <v>18.543900000000001</v>
      </c>
      <c r="FR63">
        <v>24.399100000000001</v>
      </c>
      <c r="FS63">
        <v>30.0001</v>
      </c>
      <c r="FT63">
        <v>24.382899999999999</v>
      </c>
      <c r="FU63">
        <v>24.384499999999999</v>
      </c>
      <c r="FV63">
        <v>24.691700000000001</v>
      </c>
      <c r="FW63">
        <v>38.970300000000002</v>
      </c>
      <c r="FX63">
        <v>67.790300000000002</v>
      </c>
      <c r="FY63">
        <v>18.543500000000002</v>
      </c>
      <c r="FZ63">
        <v>410</v>
      </c>
      <c r="GA63">
        <v>13.895</v>
      </c>
      <c r="GB63">
        <v>99.954499999999996</v>
      </c>
      <c r="GC63">
        <v>99.606700000000004</v>
      </c>
    </row>
    <row r="64" spans="1:185" x14ac:dyDescent="0.2">
      <c r="A64">
        <v>49</v>
      </c>
      <c r="B64">
        <v>1770999590</v>
      </c>
      <c r="C64">
        <v>966.90000009536698</v>
      </c>
      <c r="D64" t="s">
        <v>392</v>
      </c>
      <c r="E64" t="s">
        <v>393</v>
      </c>
      <c r="F64">
        <v>15</v>
      </c>
      <c r="G64">
        <v>1770999581.5</v>
      </c>
      <c r="H64">
        <f t="shared" si="0"/>
        <v>1.6568377455003112E-4</v>
      </c>
      <c r="I64">
        <v>0</v>
      </c>
      <c r="J64">
        <f t="shared" si="12"/>
        <v>-0.39173668321576288</v>
      </c>
      <c r="K64">
        <f t="shared" si="1"/>
        <v>-7.0047432357050088</v>
      </c>
      <c r="L64">
        <f t="shared" si="2"/>
        <v>71.755732054171645</v>
      </c>
      <c r="M64">
        <f t="shared" si="3"/>
        <v>1.5800127223196014</v>
      </c>
      <c r="N64">
        <f t="shared" si="4"/>
        <v>2.2019324130464986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26291.539843586408</v>
      </c>
      <c r="T64">
        <f t="shared" si="8"/>
        <v>99.999925000000005</v>
      </c>
      <c r="U64">
        <f t="shared" si="9"/>
        <v>84.299839875072678</v>
      </c>
      <c r="V64">
        <f t="shared" si="10"/>
        <v>0.84299903099999995</v>
      </c>
      <c r="W64">
        <f t="shared" si="11"/>
        <v>0.15869772366000001</v>
      </c>
      <c r="X64">
        <v>1</v>
      </c>
      <c r="Y64">
        <v>1770999581.5</v>
      </c>
      <c r="Z64">
        <v>418.73037499999998</v>
      </c>
      <c r="AA64">
        <v>410.061125</v>
      </c>
      <c r="AB64">
        <v>15.72009375</v>
      </c>
      <c r="AC64">
        <v>15.516243749999999</v>
      </c>
      <c r="AD64">
        <v>419.7940625</v>
      </c>
      <c r="AE64">
        <v>15.6320625</v>
      </c>
      <c r="AF64">
        <v>799.99612500000001</v>
      </c>
      <c r="AG64">
        <v>100.4443125</v>
      </c>
      <c r="AH64">
        <v>6.4803250000000007E-2</v>
      </c>
      <c r="AI64">
        <v>18.976381249999999</v>
      </c>
      <c r="AJ64">
        <v>999.9</v>
      </c>
      <c r="AK64">
        <v>999.9</v>
      </c>
      <c r="AL64">
        <v>0</v>
      </c>
      <c r="AM64">
        <v>0</v>
      </c>
      <c r="AN64">
        <v>4991.90625</v>
      </c>
      <c r="AO64">
        <v>0</v>
      </c>
      <c r="AP64">
        <v>1.8172975</v>
      </c>
      <c r="AQ64">
        <v>8.6691062500000005</v>
      </c>
      <c r="AR64">
        <v>425.41731249999998</v>
      </c>
      <c r="AS64">
        <v>416.52418749999998</v>
      </c>
      <c r="AT64">
        <v>0.20385995000000001</v>
      </c>
      <c r="AU64">
        <v>410.061125</v>
      </c>
      <c r="AV64">
        <v>15.516243749999999</v>
      </c>
      <c r="AW64">
        <v>1.5789949999999999</v>
      </c>
      <c r="AX64">
        <v>1.5585175</v>
      </c>
      <c r="AY64">
        <v>13.753987499999999</v>
      </c>
      <c r="AZ64">
        <v>13.55394375</v>
      </c>
      <c r="BA64">
        <v>99.999925000000005</v>
      </c>
      <c r="BB64">
        <v>0.90003012500000001</v>
      </c>
      <c r="BC64">
        <v>0</v>
      </c>
      <c r="BD64">
        <v>9.9969799999999998E-2</v>
      </c>
      <c r="BE64">
        <v>0</v>
      </c>
      <c r="BF64">
        <v>24</v>
      </c>
      <c r="BG64">
        <v>1648.8887500000001</v>
      </c>
      <c r="BH64">
        <v>1770999274</v>
      </c>
      <c r="BI64" t="s">
        <v>379</v>
      </c>
      <c r="BJ64">
        <v>1770999268</v>
      </c>
      <c r="BK64">
        <v>1770999274</v>
      </c>
      <c r="BL64">
        <v>2</v>
      </c>
      <c r="BM64">
        <v>0.127</v>
      </c>
      <c r="BN64">
        <v>-2E-3</v>
      </c>
      <c r="BO64">
        <v>-1.0640000000000001</v>
      </c>
      <c r="BP64">
        <v>8.7999999999999995E-2</v>
      </c>
      <c r="BQ64">
        <v>410</v>
      </c>
      <c r="BR64">
        <v>14</v>
      </c>
      <c r="BS64">
        <v>0.23</v>
      </c>
      <c r="BT64">
        <v>0.03</v>
      </c>
      <c r="BU64">
        <v>11.5765615</v>
      </c>
      <c r="BV64">
        <v>-55.188146616541303</v>
      </c>
      <c r="BW64">
        <v>5.4186631982263602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-3.6777740000000003E-2</v>
      </c>
      <c r="CD64">
        <v>4.87925730225564</v>
      </c>
      <c r="CE64">
        <v>0.46930176748208502</v>
      </c>
      <c r="CF64">
        <v>0</v>
      </c>
      <c r="CG64">
        <v>0</v>
      </c>
      <c r="CH64">
        <v>2</v>
      </c>
      <c r="CI64" t="s">
        <v>299</v>
      </c>
      <c r="CJ64">
        <v>3.53241</v>
      </c>
      <c r="CK64">
        <v>2.7023799999999998</v>
      </c>
      <c r="CL64">
        <v>9.9318799999999999E-2</v>
      </c>
      <c r="CM64">
        <v>9.71915E-2</v>
      </c>
      <c r="CN64">
        <v>9.0224299999999993E-2</v>
      </c>
      <c r="CO64">
        <v>8.5714399999999996E-2</v>
      </c>
      <c r="CP64">
        <v>31621</v>
      </c>
      <c r="CQ64">
        <v>27780.9</v>
      </c>
      <c r="CR64">
        <v>32489.4</v>
      </c>
      <c r="CS64">
        <v>30694.1</v>
      </c>
      <c r="CT64">
        <v>39999</v>
      </c>
      <c r="CU64">
        <v>39440.800000000003</v>
      </c>
      <c r="CV64">
        <v>47427.9</v>
      </c>
      <c r="CW64">
        <v>46787.9</v>
      </c>
      <c r="CX64">
        <v>2.6377999999999999</v>
      </c>
      <c r="CY64">
        <v>2.1846000000000001</v>
      </c>
      <c r="CZ64">
        <v>0</v>
      </c>
      <c r="DA64">
        <v>0</v>
      </c>
      <c r="DB64">
        <v>999.9</v>
      </c>
      <c r="DC64">
        <v>999.9</v>
      </c>
      <c r="DD64">
        <v>72.86</v>
      </c>
      <c r="DE64">
        <v>23.645</v>
      </c>
      <c r="DF64">
        <v>21.265499999999999</v>
      </c>
      <c r="DG64">
        <v>30.34</v>
      </c>
      <c r="DH64">
        <v>15.9816</v>
      </c>
      <c r="DI64">
        <v>2</v>
      </c>
      <c r="DJ64">
        <v>-0.20117499999999999</v>
      </c>
      <c r="DK64">
        <v>1.33815</v>
      </c>
      <c r="DL64">
        <v>20.239899999999999</v>
      </c>
      <c r="DM64">
        <v>5.2456800000000001</v>
      </c>
      <c r="DN64">
        <v>12.033899999999999</v>
      </c>
      <c r="DO64">
        <v>4.9665999999999997</v>
      </c>
      <c r="DP64">
        <v>3.2906399999999998</v>
      </c>
      <c r="DQ64">
        <v>9999</v>
      </c>
      <c r="DR64">
        <v>9999</v>
      </c>
      <c r="DS64">
        <v>596.6</v>
      </c>
      <c r="DT64">
        <v>9999</v>
      </c>
      <c r="DU64">
        <v>1.87096</v>
      </c>
      <c r="DV64">
        <v>1.8760699999999999</v>
      </c>
      <c r="DW64">
        <v>1.87622</v>
      </c>
      <c r="DX64">
        <v>1.88276</v>
      </c>
      <c r="DY64">
        <v>1.87548</v>
      </c>
      <c r="DZ64">
        <v>1.8745400000000001</v>
      </c>
      <c r="EA64">
        <v>1.87073</v>
      </c>
      <c r="EB64">
        <v>1.8745499999999999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-1.0640000000000001</v>
      </c>
      <c r="EQ64">
        <v>8.7999999999999995E-2</v>
      </c>
      <c r="ER64">
        <v>-1.0635999999999499</v>
      </c>
      <c r="ES64">
        <v>0</v>
      </c>
      <c r="ET64">
        <v>0</v>
      </c>
      <c r="EU64">
        <v>0</v>
      </c>
      <c r="EV64">
        <v>8.8020000000000195E-2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5.4</v>
      </c>
      <c r="FE64">
        <v>5.3</v>
      </c>
      <c r="FF64">
        <v>1.23291</v>
      </c>
      <c r="FG64">
        <v>2.5708000000000002</v>
      </c>
      <c r="FH64">
        <v>2.19604</v>
      </c>
      <c r="FI64">
        <v>2.5793499999999998</v>
      </c>
      <c r="FJ64">
        <v>2.4462899999999999</v>
      </c>
      <c r="FK64">
        <v>2.2961399999999998</v>
      </c>
      <c r="FL64">
        <v>29.1554</v>
      </c>
      <c r="FM64">
        <v>24.14</v>
      </c>
      <c r="FN64">
        <v>19</v>
      </c>
      <c r="FO64">
        <v>862.34900000000005</v>
      </c>
      <c r="FP64">
        <v>606.84</v>
      </c>
      <c r="FQ64">
        <v>18.087</v>
      </c>
      <c r="FR64">
        <v>24.470600000000001</v>
      </c>
      <c r="FS64">
        <v>29.998899999999999</v>
      </c>
      <c r="FT64">
        <v>24.460100000000001</v>
      </c>
      <c r="FU64">
        <v>24.458100000000002</v>
      </c>
      <c r="FV64">
        <v>24.733699999999999</v>
      </c>
      <c r="FW64">
        <v>34.723300000000002</v>
      </c>
      <c r="FX64">
        <v>63.270200000000003</v>
      </c>
      <c r="FY64">
        <v>18.203900000000001</v>
      </c>
      <c r="FZ64">
        <v>410</v>
      </c>
      <c r="GA64">
        <v>14.7859</v>
      </c>
      <c r="GB64">
        <v>99.954599999999999</v>
      </c>
      <c r="GC64">
        <v>99.619699999999995</v>
      </c>
    </row>
    <row r="65" spans="1:185" x14ac:dyDescent="0.2">
      <c r="A65">
        <v>50</v>
      </c>
      <c r="B65">
        <v>1770999605</v>
      </c>
      <c r="C65">
        <v>981.90000009536698</v>
      </c>
      <c r="D65" t="s">
        <v>394</v>
      </c>
      <c r="E65" t="s">
        <v>395</v>
      </c>
      <c r="F65">
        <v>15</v>
      </c>
      <c r="G65">
        <v>1770999596.9333301</v>
      </c>
      <c r="H65">
        <f t="shared" si="0"/>
        <v>9.2941088656889955E-4</v>
      </c>
      <c r="I65">
        <v>0</v>
      </c>
      <c r="J65">
        <f t="shared" si="12"/>
        <v>-0.12323481350355797</v>
      </c>
      <c r="K65">
        <f t="shared" si="1"/>
        <v>-2.2035930339895242</v>
      </c>
      <c r="L65">
        <f t="shared" si="2"/>
        <v>73.378384782066902</v>
      </c>
      <c r="M65">
        <f t="shared" si="3"/>
        <v>1.6096036930639566</v>
      </c>
      <c r="N65">
        <f t="shared" si="4"/>
        <v>2.193566535764536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26384.717922405343</v>
      </c>
      <c r="T65">
        <f t="shared" si="8"/>
        <v>99.998113333333293</v>
      </c>
      <c r="U65">
        <f t="shared" si="9"/>
        <v>84.298266122705812</v>
      </c>
      <c r="V65">
        <f t="shared" si="10"/>
        <v>0.84299856579999988</v>
      </c>
      <c r="W65">
        <f t="shared" si="11"/>
        <v>0.15869640150799996</v>
      </c>
      <c r="X65">
        <v>1</v>
      </c>
      <c r="Y65">
        <v>1770999596.9333301</v>
      </c>
      <c r="Z65">
        <v>412.31673333333299</v>
      </c>
      <c r="AA65">
        <v>410.04126666666701</v>
      </c>
      <c r="AB65">
        <v>16.01464</v>
      </c>
      <c r="AC65">
        <v>14.8714866666667</v>
      </c>
      <c r="AD65">
        <v>413.38013333333299</v>
      </c>
      <c r="AE65">
        <v>15.926633333333299</v>
      </c>
      <c r="AF65">
        <v>800.00353333333305</v>
      </c>
      <c r="AG65">
        <v>100.44353333333299</v>
      </c>
      <c r="AH65">
        <v>6.4732419999999999E-2</v>
      </c>
      <c r="AI65">
        <v>18.915406666666701</v>
      </c>
      <c r="AJ65">
        <v>999.9</v>
      </c>
      <c r="AK65">
        <v>999.9</v>
      </c>
      <c r="AL65">
        <v>0</v>
      </c>
      <c r="AM65">
        <v>0</v>
      </c>
      <c r="AN65">
        <v>5006.3333333333303</v>
      </c>
      <c r="AO65">
        <v>0</v>
      </c>
      <c r="AP65">
        <v>1.86317</v>
      </c>
      <c r="AQ65">
        <v>2.2753346666666698</v>
      </c>
      <c r="AR65">
        <v>419.02719999999999</v>
      </c>
      <c r="AS65">
        <v>416.23126666666701</v>
      </c>
      <c r="AT65">
        <v>1.1431630666666699</v>
      </c>
      <c r="AU65">
        <v>410.04126666666701</v>
      </c>
      <c r="AV65">
        <v>14.8714866666667</v>
      </c>
      <c r="AW65">
        <v>1.60856666666667</v>
      </c>
      <c r="AX65">
        <v>1.4937433333333301</v>
      </c>
      <c r="AY65">
        <v>14.0411133333333</v>
      </c>
      <c r="AZ65">
        <v>12.9033466666667</v>
      </c>
      <c r="BA65">
        <v>99.998113333333293</v>
      </c>
      <c r="BB65">
        <v>0.90004799999999996</v>
      </c>
      <c r="BC65">
        <v>0</v>
      </c>
      <c r="BD65">
        <v>9.9952006666666607E-2</v>
      </c>
      <c r="BE65">
        <v>0</v>
      </c>
      <c r="BF65">
        <v>24</v>
      </c>
      <c r="BG65">
        <v>1648.8720000000001</v>
      </c>
      <c r="BH65">
        <v>1770999274</v>
      </c>
      <c r="BI65" t="s">
        <v>379</v>
      </c>
      <c r="BJ65">
        <v>1770999268</v>
      </c>
      <c r="BK65">
        <v>1770999274</v>
      </c>
      <c r="BL65">
        <v>2</v>
      </c>
      <c r="BM65">
        <v>0.127</v>
      </c>
      <c r="BN65">
        <v>-2E-3</v>
      </c>
      <c r="BO65">
        <v>-1.0640000000000001</v>
      </c>
      <c r="BP65">
        <v>8.7999999999999995E-2</v>
      </c>
      <c r="BQ65">
        <v>410</v>
      </c>
      <c r="BR65">
        <v>14</v>
      </c>
      <c r="BS65">
        <v>0.23</v>
      </c>
      <c r="BT65">
        <v>0.03</v>
      </c>
      <c r="BU65">
        <v>3.43314952380952</v>
      </c>
      <c r="BV65">
        <v>-17.384872207792199</v>
      </c>
      <c r="BW65">
        <v>1.78986509035491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0.94138452380952398</v>
      </c>
      <c r="CD65">
        <v>3.0357378701298701</v>
      </c>
      <c r="CE65">
        <v>0.310525495272376</v>
      </c>
      <c r="CF65">
        <v>0</v>
      </c>
      <c r="CG65">
        <v>0</v>
      </c>
      <c r="CH65">
        <v>2</v>
      </c>
      <c r="CI65" t="s">
        <v>299</v>
      </c>
      <c r="CJ65">
        <v>3.5324399999999998</v>
      </c>
      <c r="CK65">
        <v>2.70261</v>
      </c>
      <c r="CL65">
        <v>9.8755300000000004E-2</v>
      </c>
      <c r="CM65">
        <v>9.7173700000000002E-2</v>
      </c>
      <c r="CN65">
        <v>9.0158100000000005E-2</v>
      </c>
      <c r="CO65">
        <v>8.3327100000000001E-2</v>
      </c>
      <c r="CP65">
        <v>31640.799999999999</v>
      </c>
      <c r="CQ65">
        <v>27781.599999999999</v>
      </c>
      <c r="CR65">
        <v>32489.5</v>
      </c>
      <c r="CS65">
        <v>30694.400000000001</v>
      </c>
      <c r="CT65">
        <v>40002.300000000003</v>
      </c>
      <c r="CU65">
        <v>39547.599999999999</v>
      </c>
      <c r="CV65">
        <v>47428.2</v>
      </c>
      <c r="CW65">
        <v>46788.5</v>
      </c>
      <c r="CX65">
        <v>2.6385200000000002</v>
      </c>
      <c r="CY65">
        <v>2.1835</v>
      </c>
      <c r="CZ65">
        <v>0</v>
      </c>
      <c r="DA65">
        <v>0</v>
      </c>
      <c r="DB65">
        <v>999.9</v>
      </c>
      <c r="DC65">
        <v>999.9</v>
      </c>
      <c r="DD65">
        <v>72.763000000000005</v>
      </c>
      <c r="DE65">
        <v>23.664999999999999</v>
      </c>
      <c r="DF65">
        <v>21.2636</v>
      </c>
      <c r="DG65">
        <v>30.49</v>
      </c>
      <c r="DH65">
        <v>16.029599999999999</v>
      </c>
      <c r="DI65">
        <v>2</v>
      </c>
      <c r="DJ65">
        <v>-0.200659</v>
      </c>
      <c r="DK65">
        <v>1.45045</v>
      </c>
      <c r="DL65">
        <v>20.2394</v>
      </c>
      <c r="DM65">
        <v>5.2495200000000004</v>
      </c>
      <c r="DN65">
        <v>12.033899999999999</v>
      </c>
      <c r="DO65">
        <v>4.9662800000000002</v>
      </c>
      <c r="DP65">
        <v>3.2909999999999999</v>
      </c>
      <c r="DQ65">
        <v>9999</v>
      </c>
      <c r="DR65">
        <v>9999</v>
      </c>
      <c r="DS65">
        <v>596.6</v>
      </c>
      <c r="DT65">
        <v>9999</v>
      </c>
      <c r="DU65">
        <v>1.8709800000000001</v>
      </c>
      <c r="DV65">
        <v>1.87605</v>
      </c>
      <c r="DW65">
        <v>1.8762300000000001</v>
      </c>
      <c r="DX65">
        <v>1.88276</v>
      </c>
      <c r="DY65">
        <v>1.87548</v>
      </c>
      <c r="DZ65">
        <v>1.8745499999999999</v>
      </c>
      <c r="EA65">
        <v>1.87073</v>
      </c>
      <c r="EB65">
        <v>1.87456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-1.0640000000000001</v>
      </c>
      <c r="EQ65">
        <v>8.7999999999999995E-2</v>
      </c>
      <c r="ER65">
        <v>-1.0635999999999499</v>
      </c>
      <c r="ES65">
        <v>0</v>
      </c>
      <c r="ET65">
        <v>0</v>
      </c>
      <c r="EU65">
        <v>0</v>
      </c>
      <c r="EV65">
        <v>8.8020000000000195E-2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5.6</v>
      </c>
      <c r="FE65">
        <v>5.5</v>
      </c>
      <c r="FF65">
        <v>1.23291</v>
      </c>
      <c r="FG65">
        <v>2.5695800000000002</v>
      </c>
      <c r="FH65">
        <v>2.19604</v>
      </c>
      <c r="FI65">
        <v>2.5805699999999998</v>
      </c>
      <c r="FJ65">
        <v>2.4462899999999999</v>
      </c>
      <c r="FK65">
        <v>2.2888199999999999</v>
      </c>
      <c r="FL65">
        <v>29.1554</v>
      </c>
      <c r="FM65">
        <v>24.1663</v>
      </c>
      <c r="FN65">
        <v>19</v>
      </c>
      <c r="FO65">
        <v>863.09500000000003</v>
      </c>
      <c r="FP65">
        <v>606.03800000000001</v>
      </c>
      <c r="FQ65">
        <v>18.321400000000001</v>
      </c>
      <c r="FR65">
        <v>24.477599999999999</v>
      </c>
      <c r="FS65">
        <v>30.000299999999999</v>
      </c>
      <c r="FT65">
        <v>24.4651</v>
      </c>
      <c r="FU65">
        <v>24.464300000000001</v>
      </c>
      <c r="FV65">
        <v>24.731200000000001</v>
      </c>
      <c r="FW65">
        <v>36.552100000000003</v>
      </c>
      <c r="FX65">
        <v>62.511800000000001</v>
      </c>
      <c r="FY65">
        <v>18.382100000000001</v>
      </c>
      <c r="FZ65">
        <v>410</v>
      </c>
      <c r="GA65">
        <v>14.369400000000001</v>
      </c>
      <c r="GB65">
        <v>99.955200000000005</v>
      </c>
      <c r="GC65">
        <v>99.620800000000003</v>
      </c>
    </row>
    <row r="66" spans="1:185" x14ac:dyDescent="0.2">
      <c r="A66">
        <v>51</v>
      </c>
      <c r="B66">
        <v>1770999620</v>
      </c>
      <c r="C66">
        <v>996.90000009536698</v>
      </c>
      <c r="D66" t="s">
        <v>396</v>
      </c>
      <c r="E66" t="s">
        <v>397</v>
      </c>
      <c r="F66">
        <v>15</v>
      </c>
      <c r="G66">
        <v>1770999611.9333301</v>
      </c>
      <c r="H66">
        <f t="shared" si="0"/>
        <v>1.2125697037176641E-3</v>
      </c>
      <c r="I66">
        <v>0</v>
      </c>
      <c r="J66">
        <f t="shared" si="12"/>
        <v>-4.4043386097795546E-2</v>
      </c>
      <c r="K66">
        <f t="shared" si="1"/>
        <v>-0.78755098530344458</v>
      </c>
      <c r="L66">
        <f t="shared" si="2"/>
        <v>72.993692970715685</v>
      </c>
      <c r="M66">
        <f t="shared" si="3"/>
        <v>1.5995242509770413</v>
      </c>
      <c r="N66">
        <f t="shared" si="4"/>
        <v>2.191318435715746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26298.39092070498</v>
      </c>
      <c r="T66">
        <f t="shared" si="8"/>
        <v>100.000133333333</v>
      </c>
      <c r="U66">
        <f t="shared" si="9"/>
        <v>84.299914319735606</v>
      </c>
      <c r="V66">
        <f t="shared" si="10"/>
        <v>0.84299801919999995</v>
      </c>
      <c r="W66">
        <f t="shared" si="11"/>
        <v>0.15869499603200002</v>
      </c>
      <c r="X66">
        <v>1</v>
      </c>
      <c r="Y66">
        <v>1770999611.9333301</v>
      </c>
      <c r="Z66">
        <v>410.394133333333</v>
      </c>
      <c r="AA66">
        <v>410.03173333333302</v>
      </c>
      <c r="AB66">
        <v>15.914239999999999</v>
      </c>
      <c r="AC66">
        <v>14.422646666666701</v>
      </c>
      <c r="AD66">
        <v>411.45760000000001</v>
      </c>
      <c r="AE66">
        <v>15.8262066666667</v>
      </c>
      <c r="AF66">
        <v>799.99860000000001</v>
      </c>
      <c r="AG66">
        <v>100.444</v>
      </c>
      <c r="AH66">
        <v>6.4993893333333302E-2</v>
      </c>
      <c r="AI66">
        <v>18.898986666666701</v>
      </c>
      <c r="AJ66">
        <v>999.9</v>
      </c>
      <c r="AK66">
        <v>999.9</v>
      </c>
      <c r="AL66">
        <v>0</v>
      </c>
      <c r="AM66">
        <v>0</v>
      </c>
      <c r="AN66">
        <v>4991.8999999999996</v>
      </c>
      <c r="AO66">
        <v>0</v>
      </c>
      <c r="AP66">
        <v>1.86317</v>
      </c>
      <c r="AQ66">
        <v>0.36227817333333301</v>
      </c>
      <c r="AR66">
        <v>417.030666666667</v>
      </c>
      <c r="AS66">
        <v>416.03206666666699</v>
      </c>
      <c r="AT66">
        <v>1.491582</v>
      </c>
      <c r="AU66">
        <v>410.03173333333302</v>
      </c>
      <c r="AV66">
        <v>14.422646666666701</v>
      </c>
      <c r="AW66">
        <v>1.5984926666666699</v>
      </c>
      <c r="AX66">
        <v>1.4486713333333301</v>
      </c>
      <c r="AY66">
        <v>13.94422</v>
      </c>
      <c r="AZ66">
        <v>12.4365666666667</v>
      </c>
      <c r="BA66">
        <v>100.000133333333</v>
      </c>
      <c r="BB66">
        <v>0.90006679999999994</v>
      </c>
      <c r="BC66">
        <v>0</v>
      </c>
      <c r="BD66">
        <v>9.9933226666666694E-2</v>
      </c>
      <c r="BE66">
        <v>0</v>
      </c>
      <c r="BF66">
        <v>24</v>
      </c>
      <c r="BG66">
        <v>1648.9159999999999</v>
      </c>
      <c r="BH66">
        <v>1770999274</v>
      </c>
      <c r="BI66" t="s">
        <v>379</v>
      </c>
      <c r="BJ66">
        <v>1770999268</v>
      </c>
      <c r="BK66">
        <v>1770999274</v>
      </c>
      <c r="BL66">
        <v>2</v>
      </c>
      <c r="BM66">
        <v>0.127</v>
      </c>
      <c r="BN66">
        <v>-2E-3</v>
      </c>
      <c r="BO66">
        <v>-1.0640000000000001</v>
      </c>
      <c r="BP66">
        <v>8.7999999999999995E-2</v>
      </c>
      <c r="BQ66">
        <v>410</v>
      </c>
      <c r="BR66">
        <v>14</v>
      </c>
      <c r="BS66">
        <v>0.23</v>
      </c>
      <c r="BT66">
        <v>0.03</v>
      </c>
      <c r="BU66">
        <v>0.67449665000000003</v>
      </c>
      <c r="BV66">
        <v>-5.4192975428571399</v>
      </c>
      <c r="BW66">
        <v>0.52756017724170501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1.4341010000000001</v>
      </c>
      <c r="CD66">
        <v>0.974243007518796</v>
      </c>
      <c r="CE66">
        <v>9.4731897051626698E-2</v>
      </c>
      <c r="CF66">
        <v>0</v>
      </c>
      <c r="CG66">
        <v>0</v>
      </c>
      <c r="CH66">
        <v>2</v>
      </c>
      <c r="CI66" t="s">
        <v>299</v>
      </c>
      <c r="CJ66">
        <v>3.5325199999999999</v>
      </c>
      <c r="CK66">
        <v>2.7028599999999998</v>
      </c>
      <c r="CL66">
        <v>9.8568699999999995E-2</v>
      </c>
      <c r="CM66">
        <v>9.7164100000000003E-2</v>
      </c>
      <c r="CN66">
        <v>8.9521000000000003E-2</v>
      </c>
      <c r="CO66">
        <v>8.1816899999999998E-2</v>
      </c>
      <c r="CP66">
        <v>31646.9</v>
      </c>
      <c r="CQ66">
        <v>27782.1</v>
      </c>
      <c r="CR66">
        <v>32489.1</v>
      </c>
      <c r="CS66">
        <v>30694.6</v>
      </c>
      <c r="CT66">
        <v>40031</v>
      </c>
      <c r="CU66">
        <v>39615.300000000003</v>
      </c>
      <c r="CV66">
        <v>47427.8</v>
      </c>
      <c r="CW66">
        <v>46789</v>
      </c>
      <c r="CX66">
        <v>2.6388600000000002</v>
      </c>
      <c r="CY66">
        <v>2.1826599999999998</v>
      </c>
      <c r="CZ66">
        <v>0</v>
      </c>
      <c r="DA66">
        <v>0</v>
      </c>
      <c r="DB66">
        <v>999.9</v>
      </c>
      <c r="DC66">
        <v>999.9</v>
      </c>
      <c r="DD66">
        <v>72.647000000000006</v>
      </c>
      <c r="DE66">
        <v>23.684999999999999</v>
      </c>
      <c r="DF66">
        <v>21.255099999999999</v>
      </c>
      <c r="DG66">
        <v>30.64</v>
      </c>
      <c r="DH66">
        <v>16.025600000000001</v>
      </c>
      <c r="DI66">
        <v>2</v>
      </c>
      <c r="DJ66">
        <v>-0.20049800000000001</v>
      </c>
      <c r="DK66">
        <v>1.21913</v>
      </c>
      <c r="DL66">
        <v>20.241499999999998</v>
      </c>
      <c r="DM66">
        <v>5.25047</v>
      </c>
      <c r="DN66">
        <v>12.033899999999999</v>
      </c>
      <c r="DO66">
        <v>4.9658800000000003</v>
      </c>
      <c r="DP66">
        <v>3.2909999999999999</v>
      </c>
      <c r="DQ66">
        <v>9999</v>
      </c>
      <c r="DR66">
        <v>9999</v>
      </c>
      <c r="DS66">
        <v>596.6</v>
      </c>
      <c r="DT66">
        <v>9999</v>
      </c>
      <c r="DU66">
        <v>1.8710199999999999</v>
      </c>
      <c r="DV66">
        <v>1.8760699999999999</v>
      </c>
      <c r="DW66">
        <v>1.8762300000000001</v>
      </c>
      <c r="DX66">
        <v>1.8827799999999999</v>
      </c>
      <c r="DY66">
        <v>1.87548</v>
      </c>
      <c r="DZ66">
        <v>1.8745499999999999</v>
      </c>
      <c r="EA66">
        <v>1.87073</v>
      </c>
      <c r="EB66">
        <v>1.8745799999999999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-1.0629999999999999</v>
      </c>
      <c r="EQ66">
        <v>8.7999999999999995E-2</v>
      </c>
      <c r="ER66">
        <v>-1.0635999999999499</v>
      </c>
      <c r="ES66">
        <v>0</v>
      </c>
      <c r="ET66">
        <v>0</v>
      </c>
      <c r="EU66">
        <v>0</v>
      </c>
      <c r="EV66">
        <v>8.8020000000000195E-2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5.9</v>
      </c>
      <c r="FE66">
        <v>5.8</v>
      </c>
      <c r="FF66">
        <v>1.23169</v>
      </c>
      <c r="FG66">
        <v>2.5744600000000002</v>
      </c>
      <c r="FH66">
        <v>2.19604</v>
      </c>
      <c r="FI66">
        <v>2.5805699999999998</v>
      </c>
      <c r="FJ66">
        <v>2.4462899999999999</v>
      </c>
      <c r="FK66">
        <v>2.2485400000000002</v>
      </c>
      <c r="FL66">
        <v>29.197800000000001</v>
      </c>
      <c r="FM66">
        <v>24.157499999999999</v>
      </c>
      <c r="FN66">
        <v>19</v>
      </c>
      <c r="FO66">
        <v>863.50300000000004</v>
      </c>
      <c r="FP66">
        <v>605.44399999999996</v>
      </c>
      <c r="FQ66">
        <v>18.522600000000001</v>
      </c>
      <c r="FR66">
        <v>24.485299999999999</v>
      </c>
      <c r="FS66">
        <v>30.0001</v>
      </c>
      <c r="FT66">
        <v>24.470800000000001</v>
      </c>
      <c r="FU66">
        <v>24.470500000000001</v>
      </c>
      <c r="FV66">
        <v>24.729700000000001</v>
      </c>
      <c r="FW66">
        <v>37.442799999999998</v>
      </c>
      <c r="FX66">
        <v>62.132899999999999</v>
      </c>
      <c r="FY66">
        <v>18.5945</v>
      </c>
      <c r="FZ66">
        <v>410</v>
      </c>
      <c r="GA66">
        <v>14.107200000000001</v>
      </c>
      <c r="GB66">
        <v>99.954099999999997</v>
      </c>
      <c r="GC66">
        <v>99.621700000000004</v>
      </c>
    </row>
    <row r="67" spans="1:185" x14ac:dyDescent="0.2">
      <c r="A67">
        <v>52</v>
      </c>
      <c r="B67">
        <v>1770999635</v>
      </c>
      <c r="C67">
        <v>1011.90000009537</v>
      </c>
      <c r="D67" t="s">
        <v>398</v>
      </c>
      <c r="E67" t="s">
        <v>399</v>
      </c>
      <c r="F67">
        <v>15</v>
      </c>
      <c r="G67">
        <v>1770999626.9333301</v>
      </c>
      <c r="H67">
        <f t="shared" si="0"/>
        <v>1.3117788379025342E-3</v>
      </c>
      <c r="I67">
        <v>0</v>
      </c>
      <c r="J67">
        <f t="shared" si="12"/>
        <v>-1.7742281236962823E-2</v>
      </c>
      <c r="K67">
        <f t="shared" si="1"/>
        <v>-0.31725424195757418</v>
      </c>
      <c r="L67">
        <f t="shared" si="2"/>
        <v>72.259620680444442</v>
      </c>
      <c r="M67">
        <f t="shared" si="3"/>
        <v>1.5842098794876536</v>
      </c>
      <c r="N67">
        <f t="shared" si="4"/>
        <v>2.1923860996912024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26358.254428687273</v>
      </c>
      <c r="T67">
        <f t="shared" si="8"/>
        <v>100.00018</v>
      </c>
      <c r="U67">
        <f t="shared" si="9"/>
        <v>84.299995479718717</v>
      </c>
      <c r="V67">
        <f t="shared" si="10"/>
        <v>0.84299843739999991</v>
      </c>
      <c r="W67">
        <f t="shared" si="11"/>
        <v>0.15869553484400001</v>
      </c>
      <c r="X67">
        <v>1</v>
      </c>
      <c r="Y67">
        <v>1770999626.9333301</v>
      </c>
      <c r="Z67">
        <v>409.726133333333</v>
      </c>
      <c r="AA67">
        <v>410.00139999999999</v>
      </c>
      <c r="AB67">
        <v>15.76196</v>
      </c>
      <c r="AC67">
        <v>14.148099999999999</v>
      </c>
      <c r="AD67">
        <v>410.789733333333</v>
      </c>
      <c r="AE67">
        <v>15.6739333333333</v>
      </c>
      <c r="AF67">
        <v>800.00906666666697</v>
      </c>
      <c r="AG67">
        <v>100.4434</v>
      </c>
      <c r="AH67">
        <v>6.5031660000000005E-2</v>
      </c>
      <c r="AI67">
        <v>18.906786666666701</v>
      </c>
      <c r="AJ67">
        <v>999.9</v>
      </c>
      <c r="AK67">
        <v>999.9</v>
      </c>
      <c r="AL67">
        <v>0</v>
      </c>
      <c r="AM67">
        <v>0</v>
      </c>
      <c r="AN67">
        <v>5001.8666666666704</v>
      </c>
      <c r="AO67">
        <v>0</v>
      </c>
      <c r="AP67">
        <v>1.86317</v>
      </c>
      <c r="AQ67">
        <v>-0.27528883999999998</v>
      </c>
      <c r="AR67">
        <v>416.2876</v>
      </c>
      <c r="AS67">
        <v>415.8854</v>
      </c>
      <c r="AT67">
        <v>1.6138553333333301</v>
      </c>
      <c r="AU67">
        <v>410.00139999999999</v>
      </c>
      <c r="AV67">
        <v>14.148099999999999</v>
      </c>
      <c r="AW67">
        <v>1.5831853333333299</v>
      </c>
      <c r="AX67">
        <v>1.42108266666667</v>
      </c>
      <c r="AY67">
        <v>13.796053333333299</v>
      </c>
      <c r="AZ67">
        <v>12.1443733333333</v>
      </c>
      <c r="BA67">
        <v>100.00018</v>
      </c>
      <c r="BB67">
        <v>0.90006039999999998</v>
      </c>
      <c r="BC67">
        <v>0</v>
      </c>
      <c r="BD67">
        <v>9.99398866666667E-2</v>
      </c>
      <c r="BE67">
        <v>0</v>
      </c>
      <c r="BF67">
        <v>24</v>
      </c>
      <c r="BG67">
        <v>1648.912</v>
      </c>
      <c r="BH67">
        <v>1770999274</v>
      </c>
      <c r="BI67" t="s">
        <v>379</v>
      </c>
      <c r="BJ67">
        <v>1770999268</v>
      </c>
      <c r="BK67">
        <v>1770999274</v>
      </c>
      <c r="BL67">
        <v>2</v>
      </c>
      <c r="BM67">
        <v>0.127</v>
      </c>
      <c r="BN67">
        <v>-2E-3</v>
      </c>
      <c r="BO67">
        <v>-1.0640000000000001</v>
      </c>
      <c r="BP67">
        <v>8.7999999999999995E-2</v>
      </c>
      <c r="BQ67">
        <v>410</v>
      </c>
      <c r="BR67">
        <v>14</v>
      </c>
      <c r="BS67">
        <v>0.23</v>
      </c>
      <c r="BT67">
        <v>0.03</v>
      </c>
      <c r="BU67">
        <v>-0.200936845</v>
      </c>
      <c r="BV67">
        <v>-1.7960961518797001</v>
      </c>
      <c r="BW67">
        <v>0.17367679610181799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1.599718</v>
      </c>
      <c r="CD67">
        <v>0.28272721804511403</v>
      </c>
      <c r="CE67">
        <v>3.0951063245064799E-2</v>
      </c>
      <c r="CF67">
        <v>0</v>
      </c>
      <c r="CG67">
        <v>0</v>
      </c>
      <c r="CH67">
        <v>2</v>
      </c>
      <c r="CI67" t="s">
        <v>299</v>
      </c>
      <c r="CJ67">
        <v>3.5324900000000001</v>
      </c>
      <c r="CK67">
        <v>2.7027899999999998</v>
      </c>
      <c r="CL67">
        <v>9.8497500000000002E-2</v>
      </c>
      <c r="CM67">
        <v>9.7164399999999998E-2</v>
      </c>
      <c r="CN67">
        <v>8.8893700000000006E-2</v>
      </c>
      <c r="CO67">
        <v>8.0925800000000006E-2</v>
      </c>
      <c r="CP67">
        <v>31649</v>
      </c>
      <c r="CQ67">
        <v>27781.4</v>
      </c>
      <c r="CR67">
        <v>32488.7</v>
      </c>
      <c r="CS67">
        <v>30693.9</v>
      </c>
      <c r="CT67">
        <v>40059.199999999997</v>
      </c>
      <c r="CU67">
        <v>39654.199999999997</v>
      </c>
      <c r="CV67">
        <v>47427.3</v>
      </c>
      <c r="CW67">
        <v>46788.1</v>
      </c>
      <c r="CX67">
        <v>2.6388199999999999</v>
      </c>
      <c r="CY67">
        <v>2.1818599999999999</v>
      </c>
      <c r="CZ67">
        <v>0</v>
      </c>
      <c r="DA67">
        <v>0</v>
      </c>
      <c r="DB67">
        <v>999.9</v>
      </c>
      <c r="DC67">
        <v>999.9</v>
      </c>
      <c r="DD67">
        <v>72.537000000000006</v>
      </c>
      <c r="DE67">
        <v>23.696000000000002</v>
      </c>
      <c r="DF67">
        <v>21.237400000000001</v>
      </c>
      <c r="DG67">
        <v>30.58</v>
      </c>
      <c r="DH67">
        <v>15.9696</v>
      </c>
      <c r="DI67">
        <v>2</v>
      </c>
      <c r="DJ67">
        <v>-0.20011999999999999</v>
      </c>
      <c r="DK67">
        <v>1.06501</v>
      </c>
      <c r="DL67">
        <v>20.243099999999998</v>
      </c>
      <c r="DM67">
        <v>5.2507099999999998</v>
      </c>
      <c r="DN67">
        <v>12.033899999999999</v>
      </c>
      <c r="DO67">
        <v>4.9659599999999999</v>
      </c>
      <c r="DP67">
        <v>3.2909999999999999</v>
      </c>
      <c r="DQ67">
        <v>9999</v>
      </c>
      <c r="DR67">
        <v>9999</v>
      </c>
      <c r="DS67">
        <v>596.6</v>
      </c>
      <c r="DT67">
        <v>9999</v>
      </c>
      <c r="DU67">
        <v>1.8709899999999999</v>
      </c>
      <c r="DV67">
        <v>1.8760600000000001</v>
      </c>
      <c r="DW67">
        <v>1.87622</v>
      </c>
      <c r="DX67">
        <v>1.8827499999999999</v>
      </c>
      <c r="DY67">
        <v>1.87548</v>
      </c>
      <c r="DZ67">
        <v>1.8745499999999999</v>
      </c>
      <c r="EA67">
        <v>1.87073</v>
      </c>
      <c r="EB67">
        <v>1.8745499999999999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-1.0629999999999999</v>
      </c>
      <c r="EQ67">
        <v>8.7999999999999995E-2</v>
      </c>
      <c r="ER67">
        <v>-1.0635999999999499</v>
      </c>
      <c r="ES67">
        <v>0</v>
      </c>
      <c r="ET67">
        <v>0</v>
      </c>
      <c r="EU67">
        <v>0</v>
      </c>
      <c r="EV67">
        <v>8.8020000000000195E-2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6.1</v>
      </c>
      <c r="FE67">
        <v>6</v>
      </c>
      <c r="FF67">
        <v>1.23169</v>
      </c>
      <c r="FG67">
        <v>2.5671400000000002</v>
      </c>
      <c r="FH67">
        <v>2.19604</v>
      </c>
      <c r="FI67">
        <v>2.5805699999999998</v>
      </c>
      <c r="FJ67">
        <v>2.4462899999999999</v>
      </c>
      <c r="FK67">
        <v>2.2448700000000001</v>
      </c>
      <c r="FL67">
        <v>29.197800000000001</v>
      </c>
      <c r="FM67">
        <v>24.1663</v>
      </c>
      <c r="FN67">
        <v>19</v>
      </c>
      <c r="FO67">
        <v>863.56</v>
      </c>
      <c r="FP67">
        <v>604.88699999999994</v>
      </c>
      <c r="FQ67">
        <v>18.731000000000002</v>
      </c>
      <c r="FR67">
        <v>24.4924</v>
      </c>
      <c r="FS67">
        <v>30.000299999999999</v>
      </c>
      <c r="FT67">
        <v>24.476600000000001</v>
      </c>
      <c r="FU67">
        <v>24.477</v>
      </c>
      <c r="FV67">
        <v>24.727799999999998</v>
      </c>
      <c r="FW67">
        <v>37.998199999999997</v>
      </c>
      <c r="FX67">
        <v>61.757899999999999</v>
      </c>
      <c r="FY67">
        <v>18.790099999999999</v>
      </c>
      <c r="FZ67">
        <v>410</v>
      </c>
      <c r="GA67">
        <v>13.943300000000001</v>
      </c>
      <c r="GB67">
        <v>99.953000000000003</v>
      </c>
      <c r="GC67">
        <v>99.619799999999998</v>
      </c>
    </row>
    <row r="68" spans="1:185" x14ac:dyDescent="0.2">
      <c r="A68">
        <v>53</v>
      </c>
      <c r="B68">
        <v>1770999650</v>
      </c>
      <c r="C68">
        <v>1026.9000000953699</v>
      </c>
      <c r="D68" t="s">
        <v>400</v>
      </c>
      <c r="E68" t="s">
        <v>401</v>
      </c>
      <c r="F68">
        <v>15</v>
      </c>
      <c r="G68">
        <v>1770999641.9333301</v>
      </c>
      <c r="H68">
        <f t="shared" si="0"/>
        <v>1.3396456902406051E-3</v>
      </c>
      <c r="I68">
        <v>0</v>
      </c>
      <c r="J68">
        <f t="shared" si="12"/>
        <v>-7.7837318163783663E-3</v>
      </c>
      <c r="K68">
        <f t="shared" si="1"/>
        <v>-0.1391828877033906</v>
      </c>
      <c r="L68">
        <f t="shared" si="2"/>
        <v>71.564902940671402</v>
      </c>
      <c r="M68">
        <f t="shared" si="3"/>
        <v>1.5713810793841374</v>
      </c>
      <c r="N68">
        <f t="shared" si="4"/>
        <v>2.195742626363709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26318.95249358183</v>
      </c>
      <c r="T68">
        <f t="shared" si="8"/>
        <v>100.00163999999999</v>
      </c>
      <c r="U68">
        <f t="shared" si="9"/>
        <v>84.301253057876906</v>
      </c>
      <c r="V68">
        <f t="shared" si="10"/>
        <v>0.84299870540000055</v>
      </c>
      <c r="W68">
        <f t="shared" si="11"/>
        <v>0.15869711428400013</v>
      </c>
      <c r="X68">
        <v>1</v>
      </c>
      <c r="Y68">
        <v>1770999641.9333301</v>
      </c>
      <c r="Z68">
        <v>409.492866666667</v>
      </c>
      <c r="AA68">
        <v>410.00459999999998</v>
      </c>
      <c r="AB68">
        <v>15.63424</v>
      </c>
      <c r="AC68">
        <v>13.985886666666699</v>
      </c>
      <c r="AD68">
        <v>410.55666666666701</v>
      </c>
      <c r="AE68">
        <v>15.5462266666667</v>
      </c>
      <c r="AF68">
        <v>800.01133333333303</v>
      </c>
      <c r="AG68">
        <v>100.443666666667</v>
      </c>
      <c r="AH68">
        <v>6.528544E-2</v>
      </c>
      <c r="AI68">
        <v>18.931286666666701</v>
      </c>
      <c r="AJ68">
        <v>999.9</v>
      </c>
      <c r="AK68">
        <v>999.9</v>
      </c>
      <c r="AL68">
        <v>0</v>
      </c>
      <c r="AM68">
        <v>0</v>
      </c>
      <c r="AN68">
        <v>4995.7666666666701</v>
      </c>
      <c r="AO68">
        <v>0</v>
      </c>
      <c r="AP68">
        <v>1.86317</v>
      </c>
      <c r="AQ68">
        <v>-0.51147673333333299</v>
      </c>
      <c r="AR68">
        <v>415.99686666666702</v>
      </c>
      <c r="AS68">
        <v>415.82</v>
      </c>
      <c r="AT68">
        <v>1.648344</v>
      </c>
      <c r="AU68">
        <v>410.00459999999998</v>
      </c>
      <c r="AV68">
        <v>13.985886666666699</v>
      </c>
      <c r="AW68">
        <v>1.5703606666666701</v>
      </c>
      <c r="AX68">
        <v>1.40479333333333</v>
      </c>
      <c r="AY68">
        <v>13.670959999999999</v>
      </c>
      <c r="AZ68">
        <v>11.9694133333333</v>
      </c>
      <c r="BA68">
        <v>100.00163999999999</v>
      </c>
      <c r="BB68">
        <v>0.90003793333333404</v>
      </c>
      <c r="BC68">
        <v>0</v>
      </c>
      <c r="BD68">
        <v>9.9961886666666694E-2</v>
      </c>
      <c r="BE68">
        <v>0</v>
      </c>
      <c r="BF68">
        <v>24</v>
      </c>
      <c r="BG68">
        <v>1648.92266666667</v>
      </c>
      <c r="BH68">
        <v>1770999274</v>
      </c>
      <c r="BI68" t="s">
        <v>379</v>
      </c>
      <c r="BJ68">
        <v>1770999268</v>
      </c>
      <c r="BK68">
        <v>1770999274</v>
      </c>
      <c r="BL68">
        <v>2</v>
      </c>
      <c r="BM68">
        <v>0.127</v>
      </c>
      <c r="BN68">
        <v>-2E-3</v>
      </c>
      <c r="BO68">
        <v>-1.0640000000000001</v>
      </c>
      <c r="BP68">
        <v>8.7999999999999995E-2</v>
      </c>
      <c r="BQ68">
        <v>410</v>
      </c>
      <c r="BR68">
        <v>14</v>
      </c>
      <c r="BS68">
        <v>0.23</v>
      </c>
      <c r="BT68">
        <v>0.03</v>
      </c>
      <c r="BU68">
        <v>-0.47926025</v>
      </c>
      <c r="BV68">
        <v>-0.63173923308270596</v>
      </c>
      <c r="BW68">
        <v>6.4105603595064106E-2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1.6424405</v>
      </c>
      <c r="CD68">
        <v>0.127499097744358</v>
      </c>
      <c r="CE68">
        <v>1.75696617710757E-2</v>
      </c>
      <c r="CF68">
        <v>0</v>
      </c>
      <c r="CG68">
        <v>0</v>
      </c>
      <c r="CH68">
        <v>2</v>
      </c>
      <c r="CI68" t="s">
        <v>299</v>
      </c>
      <c r="CJ68">
        <v>3.5324900000000001</v>
      </c>
      <c r="CK68">
        <v>2.7032600000000002</v>
      </c>
      <c r="CL68">
        <v>9.8474199999999998E-2</v>
      </c>
      <c r="CM68">
        <v>9.7157099999999996E-2</v>
      </c>
      <c r="CN68">
        <v>8.8397799999999999E-2</v>
      </c>
      <c r="CO68">
        <v>8.0514199999999994E-2</v>
      </c>
      <c r="CP68">
        <v>31649.3</v>
      </c>
      <c r="CQ68">
        <v>27781.599999999999</v>
      </c>
      <c r="CR68">
        <v>32488.2</v>
      </c>
      <c r="CS68">
        <v>30693.9</v>
      </c>
      <c r="CT68">
        <v>40081.9</v>
      </c>
      <c r="CU68">
        <v>39672.6</v>
      </c>
      <c r="CV68">
        <v>47427.4</v>
      </c>
      <c r="CW68">
        <v>46788.2</v>
      </c>
      <c r="CX68">
        <v>2.63862</v>
      </c>
      <c r="CY68">
        <v>2.1810999999999998</v>
      </c>
      <c r="CZ68">
        <v>0</v>
      </c>
      <c r="DA68">
        <v>0</v>
      </c>
      <c r="DB68">
        <v>999.9</v>
      </c>
      <c r="DC68">
        <v>999.9</v>
      </c>
      <c r="DD68">
        <v>72.427000000000007</v>
      </c>
      <c r="DE68">
        <v>23.716000000000001</v>
      </c>
      <c r="DF68">
        <v>21.230799999999999</v>
      </c>
      <c r="DG68">
        <v>30.49</v>
      </c>
      <c r="DH68">
        <v>15.9856</v>
      </c>
      <c r="DI68">
        <v>2</v>
      </c>
      <c r="DJ68">
        <v>-0.19969700000000001</v>
      </c>
      <c r="DK68">
        <v>1.00457</v>
      </c>
      <c r="DL68">
        <v>20.243300000000001</v>
      </c>
      <c r="DM68">
        <v>5.2515499999999999</v>
      </c>
      <c r="DN68">
        <v>12.033899999999999</v>
      </c>
      <c r="DO68">
        <v>4.9659599999999999</v>
      </c>
      <c r="DP68">
        <v>3.2909999999999999</v>
      </c>
      <c r="DQ68">
        <v>9999</v>
      </c>
      <c r="DR68">
        <v>9999</v>
      </c>
      <c r="DS68">
        <v>596.6</v>
      </c>
      <c r="DT68">
        <v>9999</v>
      </c>
      <c r="DU68">
        <v>1.8709499999999999</v>
      </c>
      <c r="DV68">
        <v>1.8760399999999999</v>
      </c>
      <c r="DW68">
        <v>1.87622</v>
      </c>
      <c r="DX68">
        <v>1.8827400000000001</v>
      </c>
      <c r="DY68">
        <v>1.87547</v>
      </c>
      <c r="DZ68">
        <v>1.8745400000000001</v>
      </c>
      <c r="EA68">
        <v>1.87073</v>
      </c>
      <c r="EB68">
        <v>1.8745499999999999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-1.0629999999999999</v>
      </c>
      <c r="EQ68">
        <v>8.7999999999999995E-2</v>
      </c>
      <c r="ER68">
        <v>-1.0635999999999499</v>
      </c>
      <c r="ES68">
        <v>0</v>
      </c>
      <c r="ET68">
        <v>0</v>
      </c>
      <c r="EU68">
        <v>0</v>
      </c>
      <c r="EV68">
        <v>8.8020000000000195E-2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6.4</v>
      </c>
      <c r="FE68">
        <v>6.3</v>
      </c>
      <c r="FF68">
        <v>1.23169</v>
      </c>
      <c r="FG68">
        <v>2.5647000000000002</v>
      </c>
      <c r="FH68">
        <v>2.19604</v>
      </c>
      <c r="FI68">
        <v>2.5805699999999998</v>
      </c>
      <c r="FJ68">
        <v>2.4462899999999999</v>
      </c>
      <c r="FK68">
        <v>2.2888199999999999</v>
      </c>
      <c r="FL68">
        <v>29.219000000000001</v>
      </c>
      <c r="FM68">
        <v>24.1663</v>
      </c>
      <c r="FN68">
        <v>19</v>
      </c>
      <c r="FO68">
        <v>863.476</v>
      </c>
      <c r="FP68">
        <v>604.36300000000006</v>
      </c>
      <c r="FQ68">
        <v>18.898700000000002</v>
      </c>
      <c r="FR68">
        <v>24.498999999999999</v>
      </c>
      <c r="FS68">
        <v>30.000299999999999</v>
      </c>
      <c r="FT68">
        <v>24.482700000000001</v>
      </c>
      <c r="FU68">
        <v>24.483599999999999</v>
      </c>
      <c r="FV68">
        <v>24.728000000000002</v>
      </c>
      <c r="FW68">
        <v>38.5824</v>
      </c>
      <c r="FX68">
        <v>61.002800000000001</v>
      </c>
      <c r="FY68">
        <v>18.934200000000001</v>
      </c>
      <c r="FZ68">
        <v>410</v>
      </c>
      <c r="GA68">
        <v>13.8444</v>
      </c>
      <c r="GB68">
        <v>99.952500000000001</v>
      </c>
      <c r="GC68">
        <v>99.619900000000001</v>
      </c>
    </row>
    <row r="69" spans="1:185" x14ac:dyDescent="0.2">
      <c r="A69">
        <v>54</v>
      </c>
      <c r="B69">
        <v>1770999665</v>
      </c>
      <c r="C69">
        <v>1041.9000000953699</v>
      </c>
      <c r="D69" t="s">
        <v>402</v>
      </c>
      <c r="E69" t="s">
        <v>403</v>
      </c>
      <c r="F69">
        <v>15</v>
      </c>
      <c r="G69">
        <v>1770999656.9333301</v>
      </c>
      <c r="H69">
        <f t="shared" si="0"/>
        <v>1.3488375894620032E-3</v>
      </c>
      <c r="I69">
        <v>0</v>
      </c>
      <c r="J69">
        <f t="shared" si="12"/>
        <v>-3.8480588031400563E-3</v>
      </c>
      <c r="K69">
        <f t="shared" si="1"/>
        <v>-6.8808117867900018E-2</v>
      </c>
      <c r="L69">
        <f t="shared" si="2"/>
        <v>70.922866886914647</v>
      </c>
      <c r="M69">
        <f t="shared" si="3"/>
        <v>1.5606360383646138</v>
      </c>
      <c r="N69">
        <f t="shared" si="4"/>
        <v>2.2004694774296456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26352.642336895151</v>
      </c>
      <c r="T69">
        <f t="shared" si="8"/>
        <v>99.998720000000006</v>
      </c>
      <c r="U69">
        <f t="shared" si="9"/>
        <v>84.29883394111387</v>
      </c>
      <c r="V69">
        <f t="shared" si="10"/>
        <v>0.84299912980000002</v>
      </c>
      <c r="W69">
        <f t="shared" si="11"/>
        <v>0.158697811508</v>
      </c>
      <c r="X69">
        <v>1</v>
      </c>
      <c r="Y69">
        <v>1770999656.9333301</v>
      </c>
      <c r="Z69">
        <v>409.40839999999997</v>
      </c>
      <c r="AA69">
        <v>410.01266666666697</v>
      </c>
      <c r="AB69">
        <v>15.527419999999999</v>
      </c>
      <c r="AC69">
        <v>13.867566666666701</v>
      </c>
      <c r="AD69">
        <v>410.47193333333303</v>
      </c>
      <c r="AE69">
        <v>15.439413333333301</v>
      </c>
      <c r="AF69">
        <v>800.00660000000005</v>
      </c>
      <c r="AG69">
        <v>100.44306666666699</v>
      </c>
      <c r="AH69">
        <v>6.5326766666666702E-2</v>
      </c>
      <c r="AI69">
        <v>18.965733333333301</v>
      </c>
      <c r="AJ69">
        <v>999.9</v>
      </c>
      <c r="AK69">
        <v>999.9</v>
      </c>
      <c r="AL69">
        <v>0</v>
      </c>
      <c r="AM69">
        <v>0</v>
      </c>
      <c r="AN69">
        <v>5001.8333333333303</v>
      </c>
      <c r="AO69">
        <v>0</v>
      </c>
      <c r="AP69">
        <v>1.86317</v>
      </c>
      <c r="AQ69">
        <v>-0.60422160000000003</v>
      </c>
      <c r="AR69">
        <v>415.86573333333303</v>
      </c>
      <c r="AS69">
        <v>415.77839999999998</v>
      </c>
      <c r="AT69">
        <v>1.65986266666667</v>
      </c>
      <c r="AU69">
        <v>410.01266666666697</v>
      </c>
      <c r="AV69">
        <v>13.867566666666701</v>
      </c>
      <c r="AW69">
        <v>1.5596239999999999</v>
      </c>
      <c r="AX69">
        <v>1.39290133333333</v>
      </c>
      <c r="AY69">
        <v>13.565533333333301</v>
      </c>
      <c r="AZ69">
        <v>11.840526666666699</v>
      </c>
      <c r="BA69">
        <v>99.998720000000006</v>
      </c>
      <c r="BB69">
        <v>0.90002919999999997</v>
      </c>
      <c r="BC69">
        <v>0</v>
      </c>
      <c r="BD69">
        <v>9.9970806666666703E-2</v>
      </c>
      <c r="BE69">
        <v>0</v>
      </c>
      <c r="BF69">
        <v>24</v>
      </c>
      <c r="BG69">
        <v>1648.8713333333301</v>
      </c>
      <c r="BH69">
        <v>1770999274</v>
      </c>
      <c r="BI69" t="s">
        <v>379</v>
      </c>
      <c r="BJ69">
        <v>1770999268</v>
      </c>
      <c r="BK69">
        <v>1770999274</v>
      </c>
      <c r="BL69">
        <v>2</v>
      </c>
      <c r="BM69">
        <v>0.127</v>
      </c>
      <c r="BN69">
        <v>-2E-3</v>
      </c>
      <c r="BO69">
        <v>-1.0640000000000001</v>
      </c>
      <c r="BP69">
        <v>8.7999999999999995E-2</v>
      </c>
      <c r="BQ69">
        <v>410</v>
      </c>
      <c r="BR69">
        <v>14</v>
      </c>
      <c r="BS69">
        <v>0.23</v>
      </c>
      <c r="BT69">
        <v>0.03</v>
      </c>
      <c r="BU69">
        <v>-0.59033659999999999</v>
      </c>
      <c r="BV69">
        <v>-0.31997314285714201</v>
      </c>
      <c r="BW69">
        <v>3.9971082223777703E-2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1.6591320000000001</v>
      </c>
      <c r="CD69">
        <v>4.0971428571427701E-2</v>
      </c>
      <c r="CE69">
        <v>1.40252474487975E-2</v>
      </c>
      <c r="CF69">
        <v>1</v>
      </c>
      <c r="CG69">
        <v>2</v>
      </c>
      <c r="CH69">
        <v>2</v>
      </c>
      <c r="CI69" t="s">
        <v>304</v>
      </c>
      <c r="CJ69">
        <v>3.5325199999999999</v>
      </c>
      <c r="CK69">
        <v>2.70323</v>
      </c>
      <c r="CL69">
        <v>9.8461000000000007E-2</v>
      </c>
      <c r="CM69">
        <v>9.7159099999999998E-2</v>
      </c>
      <c r="CN69">
        <v>8.8015499999999997E-2</v>
      </c>
      <c r="CO69">
        <v>8.00709E-2</v>
      </c>
      <c r="CP69">
        <v>31649.599999999999</v>
      </c>
      <c r="CQ69">
        <v>27781.8</v>
      </c>
      <c r="CR69">
        <v>32488.1</v>
      </c>
      <c r="CS69">
        <v>30694.3</v>
      </c>
      <c r="CT69">
        <v>40098.6</v>
      </c>
      <c r="CU69">
        <v>39692.6</v>
      </c>
      <c r="CV69">
        <v>47426.6</v>
      </c>
      <c r="CW69">
        <v>46788.6</v>
      </c>
      <c r="CX69">
        <v>2.6385999999999998</v>
      </c>
      <c r="CY69">
        <v>2.1804999999999999</v>
      </c>
      <c r="CZ69">
        <v>0</v>
      </c>
      <c r="DA69">
        <v>0</v>
      </c>
      <c r="DB69">
        <v>999.9</v>
      </c>
      <c r="DC69">
        <v>999.9</v>
      </c>
      <c r="DD69">
        <v>72.274000000000001</v>
      </c>
      <c r="DE69">
        <v>23.736000000000001</v>
      </c>
      <c r="DF69">
        <v>21.209700000000002</v>
      </c>
      <c r="DG69">
        <v>30.55</v>
      </c>
      <c r="DH69">
        <v>15.901400000000001</v>
      </c>
      <c r="DI69">
        <v>2</v>
      </c>
      <c r="DJ69">
        <v>-0.19920499999999999</v>
      </c>
      <c r="DK69">
        <v>1.04657</v>
      </c>
      <c r="DL69">
        <v>20.242999999999999</v>
      </c>
      <c r="DM69">
        <v>5.2523900000000001</v>
      </c>
      <c r="DN69">
        <v>12.033899999999999</v>
      </c>
      <c r="DO69">
        <v>4.9661600000000004</v>
      </c>
      <c r="DP69">
        <v>3.2909999999999999</v>
      </c>
      <c r="DQ69">
        <v>9999</v>
      </c>
      <c r="DR69">
        <v>9999</v>
      </c>
      <c r="DS69">
        <v>596.6</v>
      </c>
      <c r="DT69">
        <v>9999</v>
      </c>
      <c r="DU69">
        <v>1.87097</v>
      </c>
      <c r="DV69">
        <v>1.87599</v>
      </c>
      <c r="DW69">
        <v>1.87622</v>
      </c>
      <c r="DX69">
        <v>1.8827400000000001</v>
      </c>
      <c r="DY69">
        <v>1.8754599999999999</v>
      </c>
      <c r="DZ69">
        <v>1.8745499999999999</v>
      </c>
      <c r="EA69">
        <v>1.8707199999999999</v>
      </c>
      <c r="EB69">
        <v>1.8745499999999999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-1.0640000000000001</v>
      </c>
      <c r="EQ69">
        <v>8.7999999999999995E-2</v>
      </c>
      <c r="ER69">
        <v>-1.0635999999999499</v>
      </c>
      <c r="ES69">
        <v>0</v>
      </c>
      <c r="ET69">
        <v>0</v>
      </c>
      <c r="EU69">
        <v>0</v>
      </c>
      <c r="EV69">
        <v>8.8020000000000195E-2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6.6</v>
      </c>
      <c r="FE69">
        <v>6.5</v>
      </c>
      <c r="FF69">
        <v>1.23169</v>
      </c>
      <c r="FG69">
        <v>2.5683600000000002</v>
      </c>
      <c r="FH69">
        <v>2.19604</v>
      </c>
      <c r="FI69">
        <v>2.5805699999999998</v>
      </c>
      <c r="FJ69">
        <v>2.4462899999999999</v>
      </c>
      <c r="FK69">
        <v>2.2924799999999999</v>
      </c>
      <c r="FL69">
        <v>29.240200000000002</v>
      </c>
      <c r="FM69">
        <v>24.1663</v>
      </c>
      <c r="FN69">
        <v>19</v>
      </c>
      <c r="FO69">
        <v>863.55799999999999</v>
      </c>
      <c r="FP69">
        <v>603.96500000000003</v>
      </c>
      <c r="FQ69">
        <v>18.998200000000001</v>
      </c>
      <c r="FR69">
        <v>24.505099999999999</v>
      </c>
      <c r="FS69">
        <v>30.0001</v>
      </c>
      <c r="FT69">
        <v>24.488900000000001</v>
      </c>
      <c r="FU69">
        <v>24.490100000000002</v>
      </c>
      <c r="FV69">
        <v>24.726400000000002</v>
      </c>
      <c r="FW69">
        <v>38.5824</v>
      </c>
      <c r="FX69">
        <v>60.627800000000001</v>
      </c>
      <c r="FY69">
        <v>19.0059</v>
      </c>
      <c r="FZ69">
        <v>410</v>
      </c>
      <c r="GA69">
        <v>13.7927</v>
      </c>
      <c r="GB69">
        <v>99.951400000000007</v>
      </c>
      <c r="GC69">
        <v>99.620800000000003</v>
      </c>
    </row>
    <row r="70" spans="1:185" x14ac:dyDescent="0.2">
      <c r="A70">
        <v>55</v>
      </c>
      <c r="B70">
        <v>1770999680</v>
      </c>
      <c r="C70">
        <v>1056.9000000953699</v>
      </c>
      <c r="D70" t="s">
        <v>404</v>
      </c>
      <c r="E70" t="s">
        <v>405</v>
      </c>
      <c r="F70">
        <v>15</v>
      </c>
      <c r="G70">
        <v>1770999671.9333301</v>
      </c>
      <c r="H70">
        <f t="shared" si="0"/>
        <v>1.3153757690960992E-3</v>
      </c>
      <c r="I70">
        <v>0</v>
      </c>
      <c r="J70">
        <f t="shared" si="12"/>
        <v>-1.6234525757665699E-3</v>
      </c>
      <c r="K70">
        <f t="shared" si="1"/>
        <v>-2.9029368286975804E-2</v>
      </c>
      <c r="L70">
        <f t="shared" si="2"/>
        <v>70.376104753357964</v>
      </c>
      <c r="M70">
        <f t="shared" si="3"/>
        <v>1.5518562069356783</v>
      </c>
      <c r="N70">
        <f t="shared" si="4"/>
        <v>2.2050896570282719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26323.576502508888</v>
      </c>
      <c r="T70">
        <f t="shared" si="8"/>
        <v>100.0001</v>
      </c>
      <c r="U70">
        <f t="shared" si="9"/>
        <v>84.299939399855077</v>
      </c>
      <c r="V70">
        <f t="shared" si="10"/>
        <v>0.84299855099999976</v>
      </c>
      <c r="W70">
        <f t="shared" si="11"/>
        <v>0.15869644245999995</v>
      </c>
      <c r="X70">
        <v>1</v>
      </c>
      <c r="Y70">
        <v>1770999671.9333301</v>
      </c>
      <c r="Z70">
        <v>409.36840000000001</v>
      </c>
      <c r="AA70">
        <v>410.0052</v>
      </c>
      <c r="AB70">
        <v>15.440333333333299</v>
      </c>
      <c r="AC70">
        <v>13.8215133333333</v>
      </c>
      <c r="AD70">
        <v>410.43180000000001</v>
      </c>
      <c r="AE70">
        <v>15.3523333333333</v>
      </c>
      <c r="AF70">
        <v>800.00613333333297</v>
      </c>
      <c r="AG70">
        <v>100.44133333333301</v>
      </c>
      <c r="AH70">
        <v>6.5318526666666696E-2</v>
      </c>
      <c r="AI70">
        <v>18.99934</v>
      </c>
      <c r="AJ70">
        <v>999.9</v>
      </c>
      <c r="AK70">
        <v>999.9</v>
      </c>
      <c r="AL70">
        <v>0</v>
      </c>
      <c r="AM70">
        <v>0</v>
      </c>
      <c r="AN70">
        <v>4997.6333333333296</v>
      </c>
      <c r="AO70">
        <v>0</v>
      </c>
      <c r="AP70">
        <v>1.86317</v>
      </c>
      <c r="AQ70">
        <v>-0.63683466666666699</v>
      </c>
      <c r="AR70">
        <v>415.78820000000002</v>
      </c>
      <c r="AS70">
        <v>415.75153333333299</v>
      </c>
      <c r="AT70">
        <v>1.618814</v>
      </c>
      <c r="AU70">
        <v>410.0052</v>
      </c>
      <c r="AV70">
        <v>13.8215133333333</v>
      </c>
      <c r="AW70">
        <v>1.5508486666666701</v>
      </c>
      <c r="AX70">
        <v>1.38825333333333</v>
      </c>
      <c r="AY70">
        <v>13.478899999999999</v>
      </c>
      <c r="AZ70">
        <v>11.78992</v>
      </c>
      <c r="BA70">
        <v>100.0001</v>
      </c>
      <c r="BB70">
        <v>0.90004733333333298</v>
      </c>
      <c r="BC70">
        <v>0</v>
      </c>
      <c r="BD70">
        <v>9.9952633333333304E-2</v>
      </c>
      <c r="BE70">
        <v>0</v>
      </c>
      <c r="BF70">
        <v>24</v>
      </c>
      <c r="BG70">
        <v>1648.902</v>
      </c>
      <c r="BH70">
        <v>1770999274</v>
      </c>
      <c r="BI70" t="s">
        <v>379</v>
      </c>
      <c r="BJ70">
        <v>1770999268</v>
      </c>
      <c r="BK70">
        <v>1770999274</v>
      </c>
      <c r="BL70">
        <v>2</v>
      </c>
      <c r="BM70">
        <v>0.127</v>
      </c>
      <c r="BN70">
        <v>-2E-3</v>
      </c>
      <c r="BO70">
        <v>-1.0640000000000001</v>
      </c>
      <c r="BP70">
        <v>8.7999999999999995E-2</v>
      </c>
      <c r="BQ70">
        <v>410</v>
      </c>
      <c r="BR70">
        <v>14</v>
      </c>
      <c r="BS70">
        <v>0.23</v>
      </c>
      <c r="BT70">
        <v>0.03</v>
      </c>
      <c r="BU70">
        <v>-0.63127495238095199</v>
      </c>
      <c r="BV70">
        <v>-9.1742649350651198E-2</v>
      </c>
      <c r="BW70">
        <v>1.6351408450988699E-2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1.63104380952381</v>
      </c>
      <c r="CD70">
        <v>-0.25169142857143001</v>
      </c>
      <c r="CE70">
        <v>2.5834383968102202E-2</v>
      </c>
      <c r="CF70">
        <v>0</v>
      </c>
      <c r="CG70">
        <v>1</v>
      </c>
      <c r="CH70">
        <v>2</v>
      </c>
      <c r="CI70" t="s">
        <v>290</v>
      </c>
      <c r="CJ70">
        <v>3.5325099999999998</v>
      </c>
      <c r="CK70">
        <v>2.70309</v>
      </c>
      <c r="CL70">
        <v>9.8451700000000003E-2</v>
      </c>
      <c r="CM70">
        <v>9.7151000000000001E-2</v>
      </c>
      <c r="CN70">
        <v>8.7660199999999994E-2</v>
      </c>
      <c r="CO70">
        <v>7.9965700000000001E-2</v>
      </c>
      <c r="CP70">
        <v>31650.3</v>
      </c>
      <c r="CQ70">
        <v>27781.4</v>
      </c>
      <c r="CR70">
        <v>32488.5</v>
      </c>
      <c r="CS70">
        <v>30693.599999999999</v>
      </c>
      <c r="CT70">
        <v>40115.5</v>
      </c>
      <c r="CU70">
        <v>39696.9</v>
      </c>
      <c r="CV70">
        <v>47427.4</v>
      </c>
      <c r="CW70">
        <v>46788.1</v>
      </c>
      <c r="CX70">
        <v>2.6385000000000001</v>
      </c>
      <c r="CY70">
        <v>2.17998</v>
      </c>
      <c r="CZ70">
        <v>0</v>
      </c>
      <c r="DA70">
        <v>0</v>
      </c>
      <c r="DB70">
        <v>999.9</v>
      </c>
      <c r="DC70">
        <v>999.9</v>
      </c>
      <c r="DD70">
        <v>72.152000000000001</v>
      </c>
      <c r="DE70">
        <v>23.756</v>
      </c>
      <c r="DF70">
        <v>21.201499999999999</v>
      </c>
      <c r="DG70">
        <v>30.37</v>
      </c>
      <c r="DH70">
        <v>15.9976</v>
      </c>
      <c r="DI70">
        <v>2</v>
      </c>
      <c r="DJ70">
        <v>-0.19817699999999999</v>
      </c>
      <c r="DK70">
        <v>1.5715600000000001</v>
      </c>
      <c r="DL70">
        <v>20.235199999999999</v>
      </c>
      <c r="DM70">
        <v>5.2517899999999997</v>
      </c>
      <c r="DN70">
        <v>12.033899999999999</v>
      </c>
      <c r="DO70">
        <v>4.9662800000000002</v>
      </c>
      <c r="DP70">
        <v>3.2909999999999999</v>
      </c>
      <c r="DQ70">
        <v>9999</v>
      </c>
      <c r="DR70">
        <v>9999</v>
      </c>
      <c r="DS70">
        <v>596.6</v>
      </c>
      <c r="DT70">
        <v>9999</v>
      </c>
      <c r="DU70">
        <v>1.87097</v>
      </c>
      <c r="DV70">
        <v>1.8759999999999999</v>
      </c>
      <c r="DW70">
        <v>1.87622</v>
      </c>
      <c r="DX70">
        <v>1.8827400000000001</v>
      </c>
      <c r="DY70">
        <v>1.87547</v>
      </c>
      <c r="DZ70">
        <v>1.8745400000000001</v>
      </c>
      <c r="EA70">
        <v>1.87073</v>
      </c>
      <c r="EB70">
        <v>1.8745499999999999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-1.0640000000000001</v>
      </c>
      <c r="EQ70">
        <v>8.7999999999999995E-2</v>
      </c>
      <c r="ER70">
        <v>-1.0635999999999499</v>
      </c>
      <c r="ES70">
        <v>0</v>
      </c>
      <c r="ET70">
        <v>0</v>
      </c>
      <c r="EU70">
        <v>0</v>
      </c>
      <c r="EV70">
        <v>8.8020000000000195E-2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6.9</v>
      </c>
      <c r="FE70">
        <v>6.8</v>
      </c>
      <c r="FF70">
        <v>1.23169</v>
      </c>
      <c r="FG70">
        <v>2.5732400000000002</v>
      </c>
      <c r="FH70">
        <v>2.19604</v>
      </c>
      <c r="FI70">
        <v>2.5805699999999998</v>
      </c>
      <c r="FJ70">
        <v>2.4462899999999999</v>
      </c>
      <c r="FK70">
        <v>2.2814899999999998</v>
      </c>
      <c r="FL70">
        <v>29.261399999999998</v>
      </c>
      <c r="FM70">
        <v>24.157499999999999</v>
      </c>
      <c r="FN70">
        <v>19</v>
      </c>
      <c r="FO70">
        <v>863.56600000000003</v>
      </c>
      <c r="FP70">
        <v>603.63599999999997</v>
      </c>
      <c r="FQ70">
        <v>19.0183</v>
      </c>
      <c r="FR70">
        <v>24.510899999999999</v>
      </c>
      <c r="FS70">
        <v>30.000499999999999</v>
      </c>
      <c r="FT70">
        <v>24.495100000000001</v>
      </c>
      <c r="FU70">
        <v>24.4971</v>
      </c>
      <c r="FV70">
        <v>24.7256</v>
      </c>
      <c r="FW70">
        <v>38.5824</v>
      </c>
      <c r="FX70">
        <v>60.253900000000002</v>
      </c>
      <c r="FY70">
        <v>18.593499999999999</v>
      </c>
      <c r="FZ70">
        <v>410</v>
      </c>
      <c r="GA70">
        <v>13.7982</v>
      </c>
      <c r="GB70">
        <v>99.9529</v>
      </c>
      <c r="GC70">
        <v>99.619299999999996</v>
      </c>
    </row>
    <row r="71" spans="1:185" x14ac:dyDescent="0.2">
      <c r="A71">
        <v>56</v>
      </c>
      <c r="B71">
        <v>1770999695</v>
      </c>
      <c r="C71">
        <v>1071.9000000953699</v>
      </c>
      <c r="D71" t="s">
        <v>406</v>
      </c>
      <c r="E71" t="s">
        <v>407</v>
      </c>
      <c r="F71">
        <v>15</v>
      </c>
      <c r="G71">
        <v>1770999686.9333301</v>
      </c>
      <c r="H71">
        <f t="shared" si="0"/>
        <v>1.2791280803735935E-3</v>
      </c>
      <c r="I71">
        <v>0</v>
      </c>
      <c r="J71">
        <f t="shared" si="12"/>
        <v>-1.8003885913169803E-4</v>
      </c>
      <c r="K71">
        <f t="shared" si="1"/>
        <v>-3.2193206168853964E-3</v>
      </c>
      <c r="L71">
        <f t="shared" si="2"/>
        <v>69.987573253481472</v>
      </c>
      <c r="M71">
        <f t="shared" si="3"/>
        <v>1.545091869099102</v>
      </c>
      <c r="N71">
        <f t="shared" si="4"/>
        <v>2.2076660145124301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26343.319166028516</v>
      </c>
      <c r="T71">
        <f t="shared" si="8"/>
        <v>100.00065333333301</v>
      </c>
      <c r="U71">
        <f t="shared" si="9"/>
        <v>84.300429299206186</v>
      </c>
      <c r="V71">
        <f t="shared" si="10"/>
        <v>0.84299878540000006</v>
      </c>
      <c r="W71">
        <f t="shared" si="11"/>
        <v>0.15869679460400002</v>
      </c>
      <c r="X71">
        <v>1</v>
      </c>
      <c r="Y71">
        <v>1770999686.9333301</v>
      </c>
      <c r="Z71">
        <v>409.33986666666698</v>
      </c>
      <c r="AA71">
        <v>409.99033333333301</v>
      </c>
      <c r="AB71">
        <v>15.37312</v>
      </c>
      <c r="AC71">
        <v>13.7988066666667</v>
      </c>
      <c r="AD71">
        <v>410.40346666666699</v>
      </c>
      <c r="AE71">
        <v>15.2850933333333</v>
      </c>
      <c r="AF71">
        <v>800.00840000000005</v>
      </c>
      <c r="AG71">
        <v>100.441</v>
      </c>
      <c r="AH71">
        <v>6.5069626666666699E-2</v>
      </c>
      <c r="AI71">
        <v>19.018053333333299</v>
      </c>
      <c r="AJ71">
        <v>999.9</v>
      </c>
      <c r="AK71">
        <v>999.9</v>
      </c>
      <c r="AL71">
        <v>0</v>
      </c>
      <c r="AM71">
        <v>0</v>
      </c>
      <c r="AN71">
        <v>5001.1666666666697</v>
      </c>
      <c r="AO71">
        <v>0</v>
      </c>
      <c r="AP71">
        <v>1.86317</v>
      </c>
      <c r="AQ71">
        <v>-0.65059813333333305</v>
      </c>
      <c r="AR71">
        <v>415.73079999999999</v>
      </c>
      <c r="AS71">
        <v>415.72686666666698</v>
      </c>
      <c r="AT71">
        <v>1.5743100000000001</v>
      </c>
      <c r="AU71">
        <v>409.99033333333301</v>
      </c>
      <c r="AV71">
        <v>13.7988066666667</v>
      </c>
      <c r="AW71">
        <v>1.544092</v>
      </c>
      <c r="AX71">
        <v>1.385966</v>
      </c>
      <c r="AY71">
        <v>13.4118866666667</v>
      </c>
      <c r="AZ71">
        <v>11.764953333333301</v>
      </c>
      <c r="BA71">
        <v>100.00065333333301</v>
      </c>
      <c r="BB71">
        <v>0.90004300000000004</v>
      </c>
      <c r="BC71">
        <v>0</v>
      </c>
      <c r="BD71">
        <v>9.9957086666666695E-2</v>
      </c>
      <c r="BE71">
        <v>0</v>
      </c>
      <c r="BF71">
        <v>24</v>
      </c>
      <c r="BG71">
        <v>1648.91133333333</v>
      </c>
      <c r="BH71">
        <v>1770999274</v>
      </c>
      <c r="BI71" t="s">
        <v>379</v>
      </c>
      <c r="BJ71">
        <v>1770999268</v>
      </c>
      <c r="BK71">
        <v>1770999274</v>
      </c>
      <c r="BL71">
        <v>2</v>
      </c>
      <c r="BM71">
        <v>0.127</v>
      </c>
      <c r="BN71">
        <v>-2E-3</v>
      </c>
      <c r="BO71">
        <v>-1.0640000000000001</v>
      </c>
      <c r="BP71">
        <v>8.7999999999999995E-2</v>
      </c>
      <c r="BQ71">
        <v>410</v>
      </c>
      <c r="BR71">
        <v>14</v>
      </c>
      <c r="BS71">
        <v>0.23</v>
      </c>
      <c r="BT71">
        <v>0.03</v>
      </c>
      <c r="BU71">
        <v>-0.64895333333333305</v>
      </c>
      <c r="BV71">
        <v>-0.127648675324676</v>
      </c>
      <c r="BW71">
        <v>2.84553915542896E-2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1.5840280952381001</v>
      </c>
      <c r="CD71">
        <v>-0.14696649350649199</v>
      </c>
      <c r="CE71">
        <v>1.4950169490693201E-2</v>
      </c>
      <c r="CF71">
        <v>0</v>
      </c>
      <c r="CG71">
        <v>1</v>
      </c>
      <c r="CH71">
        <v>2</v>
      </c>
      <c r="CI71" t="s">
        <v>290</v>
      </c>
      <c r="CJ71">
        <v>3.5324900000000001</v>
      </c>
      <c r="CK71">
        <v>2.7027199999999998</v>
      </c>
      <c r="CL71">
        <v>9.8446500000000006E-2</v>
      </c>
      <c r="CM71">
        <v>9.7148499999999999E-2</v>
      </c>
      <c r="CN71">
        <v>8.7379700000000005E-2</v>
      </c>
      <c r="CO71">
        <v>7.9878299999999999E-2</v>
      </c>
      <c r="CP71">
        <v>31649.3</v>
      </c>
      <c r="CQ71">
        <v>27781.4</v>
      </c>
      <c r="CR71">
        <v>32487.3</v>
      </c>
      <c r="CS71">
        <v>30693.5</v>
      </c>
      <c r="CT71">
        <v>40127</v>
      </c>
      <c r="CU71">
        <v>39700.699999999997</v>
      </c>
      <c r="CV71">
        <v>47425.8</v>
      </c>
      <c r="CW71">
        <v>46788</v>
      </c>
      <c r="CX71">
        <v>2.6381600000000001</v>
      </c>
      <c r="CY71">
        <v>2.1795399999999998</v>
      </c>
      <c r="CZ71">
        <v>0</v>
      </c>
      <c r="DA71">
        <v>0</v>
      </c>
      <c r="DB71">
        <v>999.9</v>
      </c>
      <c r="DC71">
        <v>999.9</v>
      </c>
      <c r="DD71">
        <v>72.012</v>
      </c>
      <c r="DE71">
        <v>23.786000000000001</v>
      </c>
      <c r="DF71">
        <v>21.198</v>
      </c>
      <c r="DG71">
        <v>30.52</v>
      </c>
      <c r="DH71">
        <v>16.005600000000001</v>
      </c>
      <c r="DI71">
        <v>2</v>
      </c>
      <c r="DJ71">
        <v>-0.195661</v>
      </c>
      <c r="DK71">
        <v>1.8245199999999999</v>
      </c>
      <c r="DL71">
        <v>20.234400000000001</v>
      </c>
      <c r="DM71">
        <v>5.2520300000000004</v>
      </c>
      <c r="DN71">
        <v>12.033899999999999</v>
      </c>
      <c r="DO71">
        <v>4.9664400000000004</v>
      </c>
      <c r="DP71">
        <v>3.2909999999999999</v>
      </c>
      <c r="DQ71">
        <v>9999</v>
      </c>
      <c r="DR71">
        <v>9999</v>
      </c>
      <c r="DS71">
        <v>596.6</v>
      </c>
      <c r="DT71">
        <v>9999</v>
      </c>
      <c r="DU71">
        <v>1.8709499999999999</v>
      </c>
      <c r="DV71">
        <v>1.8760300000000001</v>
      </c>
      <c r="DW71">
        <v>1.87622</v>
      </c>
      <c r="DX71">
        <v>1.8827700000000001</v>
      </c>
      <c r="DY71">
        <v>1.87547</v>
      </c>
      <c r="DZ71">
        <v>1.8745499999999999</v>
      </c>
      <c r="EA71">
        <v>1.87073</v>
      </c>
      <c r="EB71">
        <v>1.8745499999999999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-1.0629999999999999</v>
      </c>
      <c r="EQ71">
        <v>8.7999999999999995E-2</v>
      </c>
      <c r="ER71">
        <v>-1.0635999999999499</v>
      </c>
      <c r="ES71">
        <v>0</v>
      </c>
      <c r="ET71">
        <v>0</v>
      </c>
      <c r="EU71">
        <v>0</v>
      </c>
      <c r="EV71">
        <v>8.8020000000000195E-2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7.1</v>
      </c>
      <c r="FE71">
        <v>7</v>
      </c>
      <c r="FF71">
        <v>1.23169</v>
      </c>
      <c r="FG71">
        <v>2.5708000000000002</v>
      </c>
      <c r="FH71">
        <v>2.19604</v>
      </c>
      <c r="FI71">
        <v>2.5805699999999998</v>
      </c>
      <c r="FJ71">
        <v>2.4462899999999999</v>
      </c>
      <c r="FK71">
        <v>2.2619600000000002</v>
      </c>
      <c r="FL71">
        <v>29.261399999999998</v>
      </c>
      <c r="FM71">
        <v>24.157499999999999</v>
      </c>
      <c r="FN71">
        <v>19</v>
      </c>
      <c r="FO71">
        <v>863.35299999999995</v>
      </c>
      <c r="FP71">
        <v>603.35599999999999</v>
      </c>
      <c r="FQ71">
        <v>18.510999999999999</v>
      </c>
      <c r="FR71">
        <v>24.516300000000001</v>
      </c>
      <c r="FS71">
        <v>29.9999</v>
      </c>
      <c r="FT71">
        <v>24.501300000000001</v>
      </c>
      <c r="FU71">
        <v>24.5029</v>
      </c>
      <c r="FV71">
        <v>24.726299999999998</v>
      </c>
      <c r="FW71">
        <v>38.5824</v>
      </c>
      <c r="FX71">
        <v>59.488999999999997</v>
      </c>
      <c r="FY71">
        <v>18.538900000000002</v>
      </c>
      <c r="FZ71">
        <v>410</v>
      </c>
      <c r="GA71">
        <v>13.818099999999999</v>
      </c>
      <c r="GB71">
        <v>99.949399999999997</v>
      </c>
      <c r="GC71">
        <v>99.619100000000003</v>
      </c>
    </row>
    <row r="72" spans="1:185" x14ac:dyDescent="0.2">
      <c r="A72">
        <v>57</v>
      </c>
      <c r="B72">
        <v>1770999710</v>
      </c>
      <c r="C72">
        <v>1086.9000000953699</v>
      </c>
      <c r="D72" t="s">
        <v>408</v>
      </c>
      <c r="E72" t="s">
        <v>409</v>
      </c>
      <c r="F72">
        <v>15</v>
      </c>
      <c r="G72">
        <v>1770999701.9333301</v>
      </c>
      <c r="H72">
        <f t="shared" si="0"/>
        <v>1.2541725341089433E-3</v>
      </c>
      <c r="I72">
        <v>0</v>
      </c>
      <c r="J72">
        <f t="shared" si="12"/>
        <v>-1.4818956048462802E-5</v>
      </c>
      <c r="K72">
        <f t="shared" si="1"/>
        <v>-2.6498152097618712E-4</v>
      </c>
      <c r="L72">
        <f t="shared" si="2"/>
        <v>69.851055313650448</v>
      </c>
      <c r="M72">
        <f t="shared" si="3"/>
        <v>1.5398010738529546</v>
      </c>
      <c r="N72">
        <f t="shared" si="4"/>
        <v>2.2044063141763921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26323.303720245935</v>
      </c>
      <c r="T72">
        <f t="shared" si="8"/>
        <v>99.998919999999998</v>
      </c>
      <c r="U72">
        <f t="shared" si="9"/>
        <v>84.298995201019153</v>
      </c>
      <c r="V72">
        <f t="shared" si="10"/>
        <v>0.84299905640000061</v>
      </c>
      <c r="W72">
        <f t="shared" si="11"/>
        <v>0.1586977969040001</v>
      </c>
      <c r="X72">
        <v>1</v>
      </c>
      <c r="Y72">
        <v>1770999701.9333301</v>
      </c>
      <c r="Z72">
        <v>409.347933333333</v>
      </c>
      <c r="AA72">
        <v>409.98933333333298</v>
      </c>
      <c r="AB72">
        <v>15.320639999999999</v>
      </c>
      <c r="AC72">
        <v>13.7769666666667</v>
      </c>
      <c r="AD72">
        <v>410.41160000000002</v>
      </c>
      <c r="AE72">
        <v>15.232620000000001</v>
      </c>
      <c r="AF72">
        <v>800.01239999999996</v>
      </c>
      <c r="AG72">
        <v>100.44013333333299</v>
      </c>
      <c r="AH72">
        <v>6.4876500000000004E-2</v>
      </c>
      <c r="AI72">
        <v>18.9943733333333</v>
      </c>
      <c r="AJ72">
        <v>999.9</v>
      </c>
      <c r="AK72">
        <v>999.9</v>
      </c>
      <c r="AL72">
        <v>0</v>
      </c>
      <c r="AM72">
        <v>0</v>
      </c>
      <c r="AN72">
        <v>4997.5666666666702</v>
      </c>
      <c r="AO72">
        <v>0</v>
      </c>
      <c r="AP72">
        <v>1.86317</v>
      </c>
      <c r="AQ72">
        <v>-0.64136966666666695</v>
      </c>
      <c r="AR72">
        <v>415.71693333333297</v>
      </c>
      <c r="AS72">
        <v>415.71653333333302</v>
      </c>
      <c r="AT72">
        <v>1.5436733333333299</v>
      </c>
      <c r="AU72">
        <v>409.98933333333298</v>
      </c>
      <c r="AV72">
        <v>13.7769666666667</v>
      </c>
      <c r="AW72">
        <v>1.538808</v>
      </c>
      <c r="AX72">
        <v>1.38376266666667</v>
      </c>
      <c r="AY72">
        <v>13.35932</v>
      </c>
      <c r="AZ72">
        <v>11.740866666666699</v>
      </c>
      <c r="BA72">
        <v>99.998919999999998</v>
      </c>
      <c r="BB72">
        <v>0.90002913333333401</v>
      </c>
      <c r="BC72">
        <v>0</v>
      </c>
      <c r="BD72">
        <v>9.99707866666667E-2</v>
      </c>
      <c r="BE72">
        <v>0</v>
      </c>
      <c r="BF72">
        <v>24</v>
      </c>
      <c r="BG72">
        <v>1648.876</v>
      </c>
      <c r="BH72">
        <v>1770999274</v>
      </c>
      <c r="BI72" t="s">
        <v>379</v>
      </c>
      <c r="BJ72">
        <v>1770999268</v>
      </c>
      <c r="BK72">
        <v>1770999274</v>
      </c>
      <c r="BL72">
        <v>2</v>
      </c>
      <c r="BM72">
        <v>0.127</v>
      </c>
      <c r="BN72">
        <v>-2E-3</v>
      </c>
      <c r="BO72">
        <v>-1.0640000000000001</v>
      </c>
      <c r="BP72">
        <v>8.7999999999999995E-2</v>
      </c>
      <c r="BQ72">
        <v>410</v>
      </c>
      <c r="BR72">
        <v>14</v>
      </c>
      <c r="BS72">
        <v>0.23</v>
      </c>
      <c r="BT72">
        <v>0.03</v>
      </c>
      <c r="BU72">
        <v>-0.65201823809523796</v>
      </c>
      <c r="BV72">
        <v>0.15808612987012899</v>
      </c>
      <c r="BW72">
        <v>2.5865605159683499E-2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1.54869952380952</v>
      </c>
      <c r="CD72">
        <v>-9.3139480519478707E-2</v>
      </c>
      <c r="CE72">
        <v>9.8912488865232299E-3</v>
      </c>
      <c r="CF72">
        <v>1</v>
      </c>
      <c r="CG72">
        <v>2</v>
      </c>
      <c r="CH72">
        <v>2</v>
      </c>
      <c r="CI72" t="s">
        <v>304</v>
      </c>
      <c r="CJ72">
        <v>3.5324800000000001</v>
      </c>
      <c r="CK72">
        <v>2.7025399999999999</v>
      </c>
      <c r="CL72">
        <v>9.8437700000000003E-2</v>
      </c>
      <c r="CM72">
        <v>9.7145599999999999E-2</v>
      </c>
      <c r="CN72">
        <v>8.7232400000000002E-2</v>
      </c>
      <c r="CO72">
        <v>7.9790200000000006E-2</v>
      </c>
      <c r="CP72">
        <v>31650.6</v>
      </c>
      <c r="CQ72">
        <v>27782.2</v>
      </c>
      <c r="CR72">
        <v>32488.3</v>
      </c>
      <c r="CS72">
        <v>30694.3</v>
      </c>
      <c r="CT72">
        <v>40135</v>
      </c>
      <c r="CU72">
        <v>39705.599999999999</v>
      </c>
      <c r="CV72">
        <v>47427.4</v>
      </c>
      <c r="CW72">
        <v>46789.3</v>
      </c>
      <c r="CX72">
        <v>2.63822</v>
      </c>
      <c r="CY72">
        <v>2.1792400000000001</v>
      </c>
      <c r="CZ72">
        <v>0</v>
      </c>
      <c r="DA72">
        <v>0</v>
      </c>
      <c r="DB72">
        <v>999.9</v>
      </c>
      <c r="DC72">
        <v>999.9</v>
      </c>
      <c r="DD72">
        <v>71.872</v>
      </c>
      <c r="DE72">
        <v>23.795999999999999</v>
      </c>
      <c r="DF72">
        <v>21.170400000000001</v>
      </c>
      <c r="DG72">
        <v>30.43</v>
      </c>
      <c r="DH72">
        <v>16.101800000000001</v>
      </c>
      <c r="DI72">
        <v>2</v>
      </c>
      <c r="DJ72">
        <v>-0.196654</v>
      </c>
      <c r="DK72">
        <v>1.52138</v>
      </c>
      <c r="DL72">
        <v>20.238499999999998</v>
      </c>
      <c r="DM72">
        <v>5.2526299999999999</v>
      </c>
      <c r="DN72">
        <v>12.033899999999999</v>
      </c>
      <c r="DO72">
        <v>4.9666800000000002</v>
      </c>
      <c r="DP72">
        <v>3.2909999999999999</v>
      </c>
      <c r="DQ72">
        <v>9999</v>
      </c>
      <c r="DR72">
        <v>9999</v>
      </c>
      <c r="DS72">
        <v>596.6</v>
      </c>
      <c r="DT72">
        <v>9999</v>
      </c>
      <c r="DU72">
        <v>1.8709499999999999</v>
      </c>
      <c r="DV72">
        <v>1.8760300000000001</v>
      </c>
      <c r="DW72">
        <v>1.87622</v>
      </c>
      <c r="DX72">
        <v>1.8827400000000001</v>
      </c>
      <c r="DY72">
        <v>1.8754599999999999</v>
      </c>
      <c r="DZ72">
        <v>1.8745400000000001</v>
      </c>
      <c r="EA72">
        <v>1.87073</v>
      </c>
      <c r="EB72">
        <v>1.8745400000000001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-1.0640000000000001</v>
      </c>
      <c r="EQ72">
        <v>8.8099999999999998E-2</v>
      </c>
      <c r="ER72">
        <v>-1.0635999999999499</v>
      </c>
      <c r="ES72">
        <v>0</v>
      </c>
      <c r="ET72">
        <v>0</v>
      </c>
      <c r="EU72">
        <v>0</v>
      </c>
      <c r="EV72">
        <v>8.8020000000000195E-2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7.4</v>
      </c>
      <c r="FE72">
        <v>7.3</v>
      </c>
      <c r="FF72">
        <v>1.23169</v>
      </c>
      <c r="FG72">
        <v>2.5756800000000002</v>
      </c>
      <c r="FH72">
        <v>2.19604</v>
      </c>
      <c r="FI72">
        <v>2.5805699999999998</v>
      </c>
      <c r="FJ72">
        <v>2.4462899999999999</v>
      </c>
      <c r="FK72">
        <v>2.2424300000000001</v>
      </c>
      <c r="FL72">
        <v>29.282699999999998</v>
      </c>
      <c r="FM72">
        <v>24.157499999999999</v>
      </c>
      <c r="FN72">
        <v>19</v>
      </c>
      <c r="FO72">
        <v>863.49599999999998</v>
      </c>
      <c r="FP72">
        <v>603.18600000000004</v>
      </c>
      <c r="FQ72">
        <v>18.5381</v>
      </c>
      <c r="FR72">
        <v>24.521599999999999</v>
      </c>
      <c r="FS72">
        <v>29.9998</v>
      </c>
      <c r="FT72">
        <v>24.506599999999999</v>
      </c>
      <c r="FU72">
        <v>24.508600000000001</v>
      </c>
      <c r="FV72">
        <v>24.7288</v>
      </c>
      <c r="FW72">
        <v>38.5824</v>
      </c>
      <c r="FX72">
        <v>59.1096</v>
      </c>
      <c r="FY72">
        <v>18.562899999999999</v>
      </c>
      <c r="FZ72">
        <v>410</v>
      </c>
      <c r="GA72">
        <v>13.818099999999999</v>
      </c>
      <c r="GB72">
        <v>99.952600000000004</v>
      </c>
      <c r="GC72">
        <v>99.621700000000004</v>
      </c>
    </row>
    <row r="73" spans="1:185" x14ac:dyDescent="0.2">
      <c r="A73">
        <v>58</v>
      </c>
      <c r="B73">
        <v>1770999725</v>
      </c>
      <c r="C73">
        <v>1101.9000000953699</v>
      </c>
      <c r="D73" t="s">
        <v>410</v>
      </c>
      <c r="E73" t="s">
        <v>411</v>
      </c>
      <c r="F73">
        <v>15</v>
      </c>
      <c r="G73">
        <v>1770999716.9333301</v>
      </c>
      <c r="H73">
        <f t="shared" si="0"/>
        <v>1.2470652949038549E-3</v>
      </c>
      <c r="I73">
        <v>0</v>
      </c>
      <c r="J73">
        <f t="shared" si="12"/>
        <v>2.0479284433553699E-3</v>
      </c>
      <c r="K73">
        <f t="shared" si="1"/>
        <v>3.661952920273305E-2</v>
      </c>
      <c r="L73">
        <f t="shared" si="2"/>
        <v>69.804359465918097</v>
      </c>
      <c r="M73">
        <f t="shared" si="3"/>
        <v>1.5372474477502907</v>
      </c>
      <c r="N73">
        <f t="shared" si="4"/>
        <v>2.2022226971380636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26340.210489931593</v>
      </c>
      <c r="T73">
        <f t="shared" si="8"/>
        <v>100.001033333333</v>
      </c>
      <c r="U73">
        <f t="shared" si="9"/>
        <v>84.300836579643047</v>
      </c>
      <c r="V73">
        <f t="shared" si="10"/>
        <v>0.84299965480000039</v>
      </c>
      <c r="W73">
        <f t="shared" si="11"/>
        <v>0.15869905904800005</v>
      </c>
      <c r="X73">
        <v>1</v>
      </c>
      <c r="Y73">
        <v>1770999716.9333301</v>
      </c>
      <c r="Z73">
        <v>409.301733333333</v>
      </c>
      <c r="AA73">
        <v>409.98553333333302</v>
      </c>
      <c r="AB73">
        <v>15.295306666666701</v>
      </c>
      <c r="AC73">
        <v>13.7603333333333</v>
      </c>
      <c r="AD73">
        <v>410.36533333333301</v>
      </c>
      <c r="AE73">
        <v>15.207280000000001</v>
      </c>
      <c r="AF73">
        <v>800.00806666666699</v>
      </c>
      <c r="AG73">
        <v>100.439533333333</v>
      </c>
      <c r="AH73">
        <v>6.4986206666666699E-2</v>
      </c>
      <c r="AI73">
        <v>18.978493333333301</v>
      </c>
      <c r="AJ73">
        <v>999.9</v>
      </c>
      <c r="AK73">
        <v>999.9</v>
      </c>
      <c r="AL73">
        <v>0</v>
      </c>
      <c r="AM73">
        <v>0</v>
      </c>
      <c r="AN73">
        <v>5000.1333333333296</v>
      </c>
      <c r="AO73">
        <v>0</v>
      </c>
      <c r="AP73">
        <v>1.86317</v>
      </c>
      <c r="AQ73">
        <v>-0.68398653333333304</v>
      </c>
      <c r="AR73">
        <v>415.6592</v>
      </c>
      <c r="AS73">
        <v>415.70580000000001</v>
      </c>
      <c r="AT73">
        <v>1.5349693333333301</v>
      </c>
      <c r="AU73">
        <v>409.98553333333302</v>
      </c>
      <c r="AV73">
        <v>13.7603333333333</v>
      </c>
      <c r="AW73">
        <v>1.5362513333333301</v>
      </c>
      <c r="AX73">
        <v>1.3820806666666701</v>
      </c>
      <c r="AY73">
        <v>13.3338066666667</v>
      </c>
      <c r="AZ73">
        <v>11.722440000000001</v>
      </c>
      <c r="BA73">
        <v>100.001033333333</v>
      </c>
      <c r="BB73">
        <v>0.90001266666666702</v>
      </c>
      <c r="BC73">
        <v>0</v>
      </c>
      <c r="BD73">
        <v>9.9987373333333407E-2</v>
      </c>
      <c r="BE73">
        <v>0</v>
      </c>
      <c r="BF73">
        <v>24</v>
      </c>
      <c r="BG73">
        <v>1648.902</v>
      </c>
      <c r="BH73">
        <v>1770999274</v>
      </c>
      <c r="BI73" t="s">
        <v>379</v>
      </c>
      <c r="BJ73">
        <v>1770999268</v>
      </c>
      <c r="BK73">
        <v>1770999274</v>
      </c>
      <c r="BL73">
        <v>2</v>
      </c>
      <c r="BM73">
        <v>0.127</v>
      </c>
      <c r="BN73">
        <v>-2E-3</v>
      </c>
      <c r="BO73">
        <v>-1.0640000000000001</v>
      </c>
      <c r="BP73">
        <v>8.7999999999999995E-2</v>
      </c>
      <c r="BQ73">
        <v>410</v>
      </c>
      <c r="BR73">
        <v>14</v>
      </c>
      <c r="BS73">
        <v>0.23</v>
      </c>
      <c r="BT73">
        <v>0.03</v>
      </c>
      <c r="BU73">
        <v>-0.66800661904761904</v>
      </c>
      <c r="BV73">
        <v>-0.20103825974025899</v>
      </c>
      <c r="BW73">
        <v>2.38080646150001E-2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1.5363466666666701</v>
      </c>
      <c r="CD73">
        <v>-2.1784675324675502E-2</v>
      </c>
      <c r="CE73">
        <v>2.8093522950068902E-3</v>
      </c>
      <c r="CF73">
        <v>1</v>
      </c>
      <c r="CG73">
        <v>2</v>
      </c>
      <c r="CH73">
        <v>2</v>
      </c>
      <c r="CI73" t="s">
        <v>304</v>
      </c>
      <c r="CJ73">
        <v>3.5325099999999998</v>
      </c>
      <c r="CK73">
        <v>2.70302</v>
      </c>
      <c r="CL73">
        <v>9.8431500000000005E-2</v>
      </c>
      <c r="CM73">
        <v>9.7148899999999996E-2</v>
      </c>
      <c r="CN73">
        <v>8.71194E-2</v>
      </c>
      <c r="CO73">
        <v>7.9711500000000005E-2</v>
      </c>
      <c r="CP73">
        <v>31650.5</v>
      </c>
      <c r="CQ73">
        <v>27782.2</v>
      </c>
      <c r="CR73">
        <v>32488.1</v>
      </c>
      <c r="CS73">
        <v>30694.400000000001</v>
      </c>
      <c r="CT73">
        <v>40140</v>
      </c>
      <c r="CU73">
        <v>39709.300000000003</v>
      </c>
      <c r="CV73">
        <v>47427.199999999997</v>
      </c>
      <c r="CW73">
        <v>46789.4</v>
      </c>
      <c r="CX73">
        <v>2.6381999999999999</v>
      </c>
      <c r="CY73">
        <v>2.1787200000000002</v>
      </c>
      <c r="CZ73">
        <v>0</v>
      </c>
      <c r="DA73">
        <v>0</v>
      </c>
      <c r="DB73">
        <v>999.9</v>
      </c>
      <c r="DC73">
        <v>999.9</v>
      </c>
      <c r="DD73">
        <v>71.768000000000001</v>
      </c>
      <c r="DE73">
        <v>23.806000000000001</v>
      </c>
      <c r="DF73">
        <v>21.152000000000001</v>
      </c>
      <c r="DG73">
        <v>30.4</v>
      </c>
      <c r="DH73">
        <v>16.029599999999999</v>
      </c>
      <c r="DI73">
        <v>2</v>
      </c>
      <c r="DJ73">
        <v>-0.19639200000000001</v>
      </c>
      <c r="DK73">
        <v>1.48078</v>
      </c>
      <c r="DL73">
        <v>20.239000000000001</v>
      </c>
      <c r="DM73">
        <v>5.2523900000000001</v>
      </c>
      <c r="DN73">
        <v>12.033899999999999</v>
      </c>
      <c r="DO73">
        <v>4.9667599999999998</v>
      </c>
      <c r="DP73">
        <v>3.2909999999999999</v>
      </c>
      <c r="DQ73">
        <v>9999</v>
      </c>
      <c r="DR73">
        <v>9999</v>
      </c>
      <c r="DS73">
        <v>596.6</v>
      </c>
      <c r="DT73">
        <v>9999</v>
      </c>
      <c r="DU73">
        <v>1.8710100000000001</v>
      </c>
      <c r="DV73">
        <v>1.8760600000000001</v>
      </c>
      <c r="DW73">
        <v>1.87622</v>
      </c>
      <c r="DX73">
        <v>1.8827700000000001</v>
      </c>
      <c r="DY73">
        <v>1.87548</v>
      </c>
      <c r="DZ73">
        <v>1.8745499999999999</v>
      </c>
      <c r="EA73">
        <v>1.87073</v>
      </c>
      <c r="EB73">
        <v>1.8745499999999999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-1.0640000000000001</v>
      </c>
      <c r="EQ73">
        <v>8.7999999999999995E-2</v>
      </c>
      <c r="ER73">
        <v>-1.0635999999999499</v>
      </c>
      <c r="ES73">
        <v>0</v>
      </c>
      <c r="ET73">
        <v>0</v>
      </c>
      <c r="EU73">
        <v>0</v>
      </c>
      <c r="EV73">
        <v>8.8020000000000195E-2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7.6</v>
      </c>
      <c r="FE73">
        <v>7.5</v>
      </c>
      <c r="FF73">
        <v>1.23169</v>
      </c>
      <c r="FG73">
        <v>2.5671400000000002</v>
      </c>
      <c r="FH73">
        <v>2.19604</v>
      </c>
      <c r="FI73">
        <v>2.5805699999999998</v>
      </c>
      <c r="FJ73">
        <v>2.4462899999999999</v>
      </c>
      <c r="FK73">
        <v>2.2766099999999998</v>
      </c>
      <c r="FL73">
        <v>29.303899999999999</v>
      </c>
      <c r="FM73">
        <v>24.1663</v>
      </c>
      <c r="FN73">
        <v>19</v>
      </c>
      <c r="FO73">
        <v>863.57100000000003</v>
      </c>
      <c r="FP73">
        <v>602.83799999999997</v>
      </c>
      <c r="FQ73">
        <v>18.59</v>
      </c>
      <c r="FR73">
        <v>24.5274</v>
      </c>
      <c r="FS73">
        <v>30.0002</v>
      </c>
      <c r="FT73">
        <v>24.5124</v>
      </c>
      <c r="FU73">
        <v>24.513999999999999</v>
      </c>
      <c r="FV73">
        <v>24.728899999999999</v>
      </c>
      <c r="FW73">
        <v>38.289200000000001</v>
      </c>
      <c r="FX73">
        <v>58.734099999999998</v>
      </c>
      <c r="FY73">
        <v>18.6082</v>
      </c>
      <c r="FZ73">
        <v>410</v>
      </c>
      <c r="GA73">
        <v>13.838200000000001</v>
      </c>
      <c r="GB73">
        <v>99.952100000000002</v>
      </c>
      <c r="GC73">
        <v>99.622</v>
      </c>
    </row>
    <row r="74" spans="1:185" x14ac:dyDescent="0.2">
      <c r="A74">
        <v>59</v>
      </c>
      <c r="B74">
        <v>1770999740</v>
      </c>
      <c r="C74">
        <v>1116.9000000953699</v>
      </c>
      <c r="D74" t="s">
        <v>412</v>
      </c>
      <c r="E74" t="s">
        <v>413</v>
      </c>
      <c r="F74">
        <v>15</v>
      </c>
      <c r="G74">
        <v>1770999731.9333301</v>
      </c>
      <c r="H74">
        <f t="shared" si="0"/>
        <v>1.2192988804580012E-3</v>
      </c>
      <c r="I74">
        <v>0</v>
      </c>
      <c r="J74">
        <f t="shared" si="12"/>
        <v>3.1169220252427027E-3</v>
      </c>
      <c r="K74">
        <f t="shared" si="1"/>
        <v>5.5734475243191223E-2</v>
      </c>
      <c r="L74">
        <f t="shared" si="2"/>
        <v>69.721321165818665</v>
      </c>
      <c r="M74">
        <f t="shared" si="3"/>
        <v>1.5350495322604476</v>
      </c>
      <c r="N74">
        <f t="shared" si="4"/>
        <v>2.2016931214048991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26349.959534272497</v>
      </c>
      <c r="T74">
        <f t="shared" si="8"/>
        <v>99.999499999999998</v>
      </c>
      <c r="U74">
        <f t="shared" si="9"/>
        <v>84.299542240181324</v>
      </c>
      <c r="V74">
        <f t="shared" si="10"/>
        <v>0.84299963740000028</v>
      </c>
      <c r="W74">
        <f t="shared" si="11"/>
        <v>0.15869905452400004</v>
      </c>
      <c r="X74">
        <v>1</v>
      </c>
      <c r="Y74">
        <v>1770999731.9333301</v>
      </c>
      <c r="Z74">
        <v>409.291</v>
      </c>
      <c r="AA74">
        <v>409.984466666667</v>
      </c>
      <c r="AB74">
        <v>15.2735066666667</v>
      </c>
      <c r="AC74">
        <v>13.772686666666701</v>
      </c>
      <c r="AD74">
        <v>410.35466666666701</v>
      </c>
      <c r="AE74">
        <v>15.1854933333333</v>
      </c>
      <c r="AF74">
        <v>800.01326666666705</v>
      </c>
      <c r="AG74">
        <v>100.43899999999999</v>
      </c>
      <c r="AH74">
        <v>6.5066666666666703E-2</v>
      </c>
      <c r="AI74">
        <v>18.974640000000001</v>
      </c>
      <c r="AJ74">
        <v>999.9</v>
      </c>
      <c r="AK74">
        <v>999.9</v>
      </c>
      <c r="AL74">
        <v>0</v>
      </c>
      <c r="AM74">
        <v>0</v>
      </c>
      <c r="AN74">
        <v>5001.7</v>
      </c>
      <c r="AO74">
        <v>0</v>
      </c>
      <c r="AP74">
        <v>1.86317</v>
      </c>
      <c r="AQ74">
        <v>-0.69340426666666699</v>
      </c>
      <c r="AR74">
        <v>415.63933333333301</v>
      </c>
      <c r="AS74">
        <v>415.70979999999997</v>
      </c>
      <c r="AT74">
        <v>1.50082266666667</v>
      </c>
      <c r="AU74">
        <v>409.984466666667</v>
      </c>
      <c r="AV74">
        <v>13.772686666666701</v>
      </c>
      <c r="AW74">
        <v>1.5340579999999999</v>
      </c>
      <c r="AX74">
        <v>1.3833166666666701</v>
      </c>
      <c r="AY74">
        <v>13.311906666666699</v>
      </c>
      <c r="AZ74">
        <v>11.7359733333333</v>
      </c>
      <c r="BA74">
        <v>99.999499999999998</v>
      </c>
      <c r="BB74">
        <v>0.90001266666666702</v>
      </c>
      <c r="BC74">
        <v>0</v>
      </c>
      <c r="BD74">
        <v>9.9987353333333306E-2</v>
      </c>
      <c r="BE74">
        <v>0</v>
      </c>
      <c r="BF74">
        <v>24</v>
      </c>
      <c r="BG74">
        <v>1648.876</v>
      </c>
      <c r="BH74">
        <v>1770999274</v>
      </c>
      <c r="BI74" t="s">
        <v>379</v>
      </c>
      <c r="BJ74">
        <v>1770999268</v>
      </c>
      <c r="BK74">
        <v>1770999274</v>
      </c>
      <c r="BL74">
        <v>2</v>
      </c>
      <c r="BM74">
        <v>0.127</v>
      </c>
      <c r="BN74">
        <v>-2E-3</v>
      </c>
      <c r="BO74">
        <v>-1.0640000000000001</v>
      </c>
      <c r="BP74">
        <v>8.7999999999999995E-2</v>
      </c>
      <c r="BQ74">
        <v>410</v>
      </c>
      <c r="BR74">
        <v>14</v>
      </c>
      <c r="BS74">
        <v>0.23</v>
      </c>
      <c r="BT74">
        <v>0.03</v>
      </c>
      <c r="BU74">
        <v>-0.692548619047619</v>
      </c>
      <c r="BV74">
        <v>-0.115926701298703</v>
      </c>
      <c r="BW74">
        <v>3.3302022157214999E-2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1.50974904761905</v>
      </c>
      <c r="CD74">
        <v>-0.16429792207791999</v>
      </c>
      <c r="CE74">
        <v>1.7976778382060899E-2</v>
      </c>
      <c r="CF74">
        <v>0</v>
      </c>
      <c r="CG74">
        <v>1</v>
      </c>
      <c r="CH74">
        <v>2</v>
      </c>
      <c r="CI74" t="s">
        <v>290</v>
      </c>
      <c r="CJ74">
        <v>3.53254</v>
      </c>
      <c r="CK74">
        <v>2.7028699999999999</v>
      </c>
      <c r="CL74">
        <v>9.8431299999999999E-2</v>
      </c>
      <c r="CM74">
        <v>9.7145899999999993E-2</v>
      </c>
      <c r="CN74">
        <v>8.7076899999999999E-2</v>
      </c>
      <c r="CO74">
        <v>7.98397E-2</v>
      </c>
      <c r="CP74">
        <v>31649.8</v>
      </c>
      <c r="CQ74">
        <v>27782.1</v>
      </c>
      <c r="CR74">
        <v>32487.4</v>
      </c>
      <c r="CS74">
        <v>30694.2</v>
      </c>
      <c r="CT74">
        <v>40141.300000000003</v>
      </c>
      <c r="CU74">
        <v>39703.800000000003</v>
      </c>
      <c r="CV74">
        <v>47426.400000000001</v>
      </c>
      <c r="CW74">
        <v>46789.7</v>
      </c>
      <c r="CX74">
        <v>2.6378599999999999</v>
      </c>
      <c r="CY74">
        <v>2.1785800000000002</v>
      </c>
      <c r="CZ74">
        <v>0</v>
      </c>
      <c r="DA74">
        <v>0</v>
      </c>
      <c r="DB74">
        <v>999.9</v>
      </c>
      <c r="DC74">
        <v>999.9</v>
      </c>
      <c r="DD74">
        <v>71.646000000000001</v>
      </c>
      <c r="DE74">
        <v>23.837</v>
      </c>
      <c r="DF74">
        <v>21.155200000000001</v>
      </c>
      <c r="DG74">
        <v>30.49</v>
      </c>
      <c r="DH74">
        <v>15.9535</v>
      </c>
      <c r="DI74">
        <v>2</v>
      </c>
      <c r="DJ74">
        <v>-0.19628499999999999</v>
      </c>
      <c r="DK74">
        <v>1.41706</v>
      </c>
      <c r="DL74">
        <v>20.239799999999999</v>
      </c>
      <c r="DM74">
        <v>5.2516699999999998</v>
      </c>
      <c r="DN74">
        <v>12.033899999999999</v>
      </c>
      <c r="DO74">
        <v>4.9671599999999998</v>
      </c>
      <c r="DP74">
        <v>3.2909999999999999</v>
      </c>
      <c r="DQ74">
        <v>9999</v>
      </c>
      <c r="DR74">
        <v>9999</v>
      </c>
      <c r="DS74">
        <v>596.6</v>
      </c>
      <c r="DT74">
        <v>9999</v>
      </c>
      <c r="DU74">
        <v>1.8710100000000001</v>
      </c>
      <c r="DV74">
        <v>1.8760699999999999</v>
      </c>
      <c r="DW74">
        <v>1.87622</v>
      </c>
      <c r="DX74">
        <v>1.8827799999999999</v>
      </c>
      <c r="DY74">
        <v>1.87548</v>
      </c>
      <c r="DZ74">
        <v>1.8745700000000001</v>
      </c>
      <c r="EA74">
        <v>1.87073</v>
      </c>
      <c r="EB74">
        <v>1.87462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-1.0629999999999999</v>
      </c>
      <c r="EQ74">
        <v>8.7999999999999995E-2</v>
      </c>
      <c r="ER74">
        <v>-1.0635999999999499</v>
      </c>
      <c r="ES74">
        <v>0</v>
      </c>
      <c r="ET74">
        <v>0</v>
      </c>
      <c r="EU74">
        <v>0</v>
      </c>
      <c r="EV74">
        <v>8.8020000000000195E-2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7.9</v>
      </c>
      <c r="FE74">
        <v>7.8</v>
      </c>
      <c r="FF74">
        <v>1.23169</v>
      </c>
      <c r="FG74">
        <v>2.5683600000000002</v>
      </c>
      <c r="FH74">
        <v>2.19604</v>
      </c>
      <c r="FI74">
        <v>2.5805699999999998</v>
      </c>
      <c r="FJ74">
        <v>2.4462899999999999</v>
      </c>
      <c r="FK74">
        <v>2.32178</v>
      </c>
      <c r="FL74">
        <v>29.325099999999999</v>
      </c>
      <c r="FM74">
        <v>24.14</v>
      </c>
      <c r="FN74">
        <v>19</v>
      </c>
      <c r="FO74">
        <v>863.34400000000005</v>
      </c>
      <c r="FP74">
        <v>602.79100000000005</v>
      </c>
      <c r="FQ74">
        <v>18.643999999999998</v>
      </c>
      <c r="FR74">
        <v>24.532699999999998</v>
      </c>
      <c r="FS74">
        <v>30.0001</v>
      </c>
      <c r="FT74">
        <v>24.517700000000001</v>
      </c>
      <c r="FU74">
        <v>24.519300000000001</v>
      </c>
      <c r="FV74">
        <v>24.730899999999998</v>
      </c>
      <c r="FW74">
        <v>38.015300000000003</v>
      </c>
      <c r="FX74">
        <v>57.984499999999997</v>
      </c>
      <c r="FY74">
        <v>18.6614</v>
      </c>
      <c r="FZ74">
        <v>410</v>
      </c>
      <c r="GA74">
        <v>13.863</v>
      </c>
      <c r="GB74">
        <v>99.950199999999995</v>
      </c>
      <c r="GC74">
        <v>99.622200000000007</v>
      </c>
    </row>
    <row r="75" spans="1:185" x14ac:dyDescent="0.2">
      <c r="A75">
        <v>60</v>
      </c>
      <c r="B75">
        <v>1770999755</v>
      </c>
      <c r="C75">
        <v>1131.9000000953699</v>
      </c>
      <c r="D75" t="s">
        <v>414</v>
      </c>
      <c r="E75" t="s">
        <v>415</v>
      </c>
      <c r="F75">
        <v>15</v>
      </c>
      <c r="G75">
        <v>1770999746.9333301</v>
      </c>
      <c r="H75">
        <f t="shared" si="0"/>
        <v>1.1697685774005177E-3</v>
      </c>
      <c r="I75">
        <v>0</v>
      </c>
      <c r="J75">
        <f t="shared" si="12"/>
        <v>3.022679383077658E-3</v>
      </c>
      <c r="K75">
        <f t="shared" si="1"/>
        <v>5.4049298596466601E-2</v>
      </c>
      <c r="L75">
        <f t="shared" si="2"/>
        <v>69.710448897938036</v>
      </c>
      <c r="M75">
        <f t="shared" si="3"/>
        <v>1.5351959359827185</v>
      </c>
      <c r="N75">
        <f t="shared" si="4"/>
        <v>2.202246521508382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26332.41445851724</v>
      </c>
      <c r="T75">
        <f t="shared" si="8"/>
        <v>99.999186666666702</v>
      </c>
      <c r="U75">
        <f t="shared" si="9"/>
        <v>84.299235460641796</v>
      </c>
      <c r="V75">
        <f t="shared" si="10"/>
        <v>0.84299921100000053</v>
      </c>
      <c r="W75">
        <f t="shared" si="11"/>
        <v>0.15869809246000011</v>
      </c>
      <c r="X75">
        <v>1</v>
      </c>
      <c r="Y75">
        <v>1770999746.9333301</v>
      </c>
      <c r="Z75">
        <v>409.32</v>
      </c>
      <c r="AA75">
        <v>409.986066666667</v>
      </c>
      <c r="AB75">
        <v>15.2751466666667</v>
      </c>
      <c r="AC75">
        <v>13.8352866666667</v>
      </c>
      <c r="AD75">
        <v>410.3836</v>
      </c>
      <c r="AE75">
        <v>15.1871333333333</v>
      </c>
      <c r="AF75">
        <v>800.008466666667</v>
      </c>
      <c r="AG75">
        <v>100.437733333333</v>
      </c>
      <c r="AH75">
        <v>6.5127260000000006E-2</v>
      </c>
      <c r="AI75">
        <v>18.978666666666701</v>
      </c>
      <c r="AJ75">
        <v>999.9</v>
      </c>
      <c r="AK75">
        <v>999.9</v>
      </c>
      <c r="AL75">
        <v>0</v>
      </c>
      <c r="AM75">
        <v>0</v>
      </c>
      <c r="AN75">
        <v>4998.9333333333298</v>
      </c>
      <c r="AO75">
        <v>0</v>
      </c>
      <c r="AP75">
        <v>1.86317</v>
      </c>
      <c r="AQ75">
        <v>-0.66603813333333295</v>
      </c>
      <c r="AR75">
        <v>415.66946666666701</v>
      </c>
      <c r="AS75">
        <v>415.73793333333299</v>
      </c>
      <c r="AT75">
        <v>1.4398500000000001</v>
      </c>
      <c r="AU75">
        <v>409.986066666667</v>
      </c>
      <c r="AV75">
        <v>13.8352866666667</v>
      </c>
      <c r="AW75">
        <v>1.5342026666666699</v>
      </c>
      <c r="AX75">
        <v>1.3895866666666701</v>
      </c>
      <c r="AY75">
        <v>13.3133466666667</v>
      </c>
      <c r="AZ75">
        <v>11.80444</v>
      </c>
      <c r="BA75">
        <v>99.999186666666702</v>
      </c>
      <c r="BB75">
        <v>0.90002533333333401</v>
      </c>
      <c r="BC75">
        <v>0</v>
      </c>
      <c r="BD75">
        <v>9.9974633333333299E-2</v>
      </c>
      <c r="BE75">
        <v>0</v>
      </c>
      <c r="BF75">
        <v>24</v>
      </c>
      <c r="BG75">
        <v>1648.87533333333</v>
      </c>
      <c r="BH75">
        <v>1770999274</v>
      </c>
      <c r="BI75" t="s">
        <v>379</v>
      </c>
      <c r="BJ75">
        <v>1770999268</v>
      </c>
      <c r="BK75">
        <v>1770999274</v>
      </c>
      <c r="BL75">
        <v>2</v>
      </c>
      <c r="BM75">
        <v>0.127</v>
      </c>
      <c r="BN75">
        <v>-2E-3</v>
      </c>
      <c r="BO75">
        <v>-1.0640000000000001</v>
      </c>
      <c r="BP75">
        <v>8.7999999999999995E-2</v>
      </c>
      <c r="BQ75">
        <v>410</v>
      </c>
      <c r="BR75">
        <v>14</v>
      </c>
      <c r="BS75">
        <v>0.23</v>
      </c>
      <c r="BT75">
        <v>0.03</v>
      </c>
      <c r="BU75">
        <v>-0.68444690476190495</v>
      </c>
      <c r="BV75">
        <v>0.24121410389610301</v>
      </c>
      <c r="BW75">
        <v>3.5121105572826099E-2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1.4579899999999999</v>
      </c>
      <c r="CD75">
        <v>-0.29357376623376702</v>
      </c>
      <c r="CE75">
        <v>3.20162830595992E-2</v>
      </c>
      <c r="CF75">
        <v>0</v>
      </c>
      <c r="CG75">
        <v>1</v>
      </c>
      <c r="CH75">
        <v>2</v>
      </c>
      <c r="CI75" t="s">
        <v>290</v>
      </c>
      <c r="CJ75">
        <v>3.5324900000000001</v>
      </c>
      <c r="CK75">
        <v>2.70269</v>
      </c>
      <c r="CL75">
        <v>9.8430799999999999E-2</v>
      </c>
      <c r="CM75">
        <v>9.7140099999999993E-2</v>
      </c>
      <c r="CN75">
        <v>8.71561E-2</v>
      </c>
      <c r="CO75">
        <v>8.0177499999999999E-2</v>
      </c>
      <c r="CP75">
        <v>31649.599999999999</v>
      </c>
      <c r="CQ75">
        <v>27782.9</v>
      </c>
      <c r="CR75">
        <v>32487.1</v>
      </c>
      <c r="CS75">
        <v>30695</v>
      </c>
      <c r="CT75">
        <v>40137.4</v>
      </c>
      <c r="CU75">
        <v>39689.800000000003</v>
      </c>
      <c r="CV75">
        <v>47426.1</v>
      </c>
      <c r="CW75">
        <v>46790.9</v>
      </c>
      <c r="CX75">
        <v>2.63774</v>
      </c>
      <c r="CY75">
        <v>2.1783800000000002</v>
      </c>
      <c r="CZ75">
        <v>0</v>
      </c>
      <c r="DA75">
        <v>0</v>
      </c>
      <c r="DB75">
        <v>999.9</v>
      </c>
      <c r="DC75">
        <v>999.9</v>
      </c>
      <c r="DD75">
        <v>71.53</v>
      </c>
      <c r="DE75">
        <v>23.856999999999999</v>
      </c>
      <c r="DF75">
        <v>21.148299999999999</v>
      </c>
      <c r="DG75">
        <v>30.55</v>
      </c>
      <c r="DH75">
        <v>15.9655</v>
      </c>
      <c r="DI75">
        <v>2</v>
      </c>
      <c r="DJ75">
        <v>-0.19590399999999999</v>
      </c>
      <c r="DK75">
        <v>1.39144</v>
      </c>
      <c r="DL75">
        <v>20.239699999999999</v>
      </c>
      <c r="DM75">
        <v>5.2513100000000001</v>
      </c>
      <c r="DN75">
        <v>12.033899999999999</v>
      </c>
      <c r="DO75">
        <v>4.9669600000000003</v>
      </c>
      <c r="DP75">
        <v>3.2909999999999999</v>
      </c>
      <c r="DQ75">
        <v>9999</v>
      </c>
      <c r="DR75">
        <v>9999</v>
      </c>
      <c r="DS75">
        <v>596.6</v>
      </c>
      <c r="DT75">
        <v>9999</v>
      </c>
      <c r="DU75">
        <v>1.87097</v>
      </c>
      <c r="DV75">
        <v>1.8760600000000001</v>
      </c>
      <c r="DW75">
        <v>1.8762300000000001</v>
      </c>
      <c r="DX75">
        <v>1.88276</v>
      </c>
      <c r="DY75">
        <v>1.87548</v>
      </c>
      <c r="DZ75">
        <v>1.8745499999999999</v>
      </c>
      <c r="EA75">
        <v>1.87073</v>
      </c>
      <c r="EB75">
        <v>1.8745700000000001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-1.0640000000000001</v>
      </c>
      <c r="EQ75">
        <v>8.7999999999999995E-2</v>
      </c>
      <c r="ER75">
        <v>-1.0635999999999499</v>
      </c>
      <c r="ES75">
        <v>0</v>
      </c>
      <c r="ET75">
        <v>0</v>
      </c>
      <c r="EU75">
        <v>0</v>
      </c>
      <c r="EV75">
        <v>8.8020000000000195E-2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8.1</v>
      </c>
      <c r="FE75">
        <v>8</v>
      </c>
      <c r="FF75">
        <v>1.23291</v>
      </c>
      <c r="FG75">
        <v>2.5720200000000002</v>
      </c>
      <c r="FH75">
        <v>2.19604</v>
      </c>
      <c r="FI75">
        <v>2.5805699999999998</v>
      </c>
      <c r="FJ75">
        <v>2.4462899999999999</v>
      </c>
      <c r="FK75">
        <v>2.2705099999999998</v>
      </c>
      <c r="FL75">
        <v>29.346399999999999</v>
      </c>
      <c r="FM75">
        <v>24.1663</v>
      </c>
      <c r="FN75">
        <v>19</v>
      </c>
      <c r="FO75">
        <v>863.31399999999996</v>
      </c>
      <c r="FP75">
        <v>602.69100000000003</v>
      </c>
      <c r="FQ75">
        <v>18.6936</v>
      </c>
      <c r="FR75">
        <v>24.537600000000001</v>
      </c>
      <c r="FS75">
        <v>30.000299999999999</v>
      </c>
      <c r="FT75">
        <v>24.5227</v>
      </c>
      <c r="FU75">
        <v>24.5242</v>
      </c>
      <c r="FV75">
        <v>24.732099999999999</v>
      </c>
      <c r="FW75">
        <v>38.015300000000003</v>
      </c>
      <c r="FX75">
        <v>57.604599999999998</v>
      </c>
      <c r="FY75">
        <v>18.706199999999999</v>
      </c>
      <c r="FZ75">
        <v>410</v>
      </c>
      <c r="GA75">
        <v>13.857699999999999</v>
      </c>
      <c r="GB75">
        <v>99.9495</v>
      </c>
      <c r="GC75">
        <v>99.624799999999993</v>
      </c>
    </row>
    <row r="76" spans="1:185" x14ac:dyDescent="0.2">
      <c r="A76">
        <v>61</v>
      </c>
      <c r="B76">
        <v>1770999770</v>
      </c>
      <c r="C76">
        <v>1146.9000000953699</v>
      </c>
      <c r="D76" t="s">
        <v>416</v>
      </c>
      <c r="E76" t="s">
        <v>417</v>
      </c>
      <c r="F76">
        <v>15</v>
      </c>
      <c r="G76">
        <v>1770999761.9333301</v>
      </c>
      <c r="H76">
        <f t="shared" si="0"/>
        <v>1.167013051922148E-3</v>
      </c>
      <c r="I76">
        <v>0</v>
      </c>
      <c r="J76">
        <f t="shared" si="12"/>
        <v>2.5329804534959428E-3</v>
      </c>
      <c r="K76">
        <f t="shared" si="1"/>
        <v>4.529286752557251E-2</v>
      </c>
      <c r="L76">
        <f t="shared" si="2"/>
        <v>69.748301737582992</v>
      </c>
      <c r="M76">
        <f t="shared" si="3"/>
        <v>1.536534527982006</v>
      </c>
      <c r="N76">
        <f t="shared" si="4"/>
        <v>2.2029705235877648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26338.474559669539</v>
      </c>
      <c r="T76">
        <f t="shared" si="8"/>
        <v>100.000153333333</v>
      </c>
      <c r="U76">
        <f t="shared" si="9"/>
        <v>84.300043819868776</v>
      </c>
      <c r="V76">
        <f t="shared" si="10"/>
        <v>0.84299914560000055</v>
      </c>
      <c r="W76">
        <f t="shared" si="11"/>
        <v>0.15869796793600008</v>
      </c>
      <c r="X76">
        <v>1</v>
      </c>
      <c r="Y76">
        <v>1770999761.9333301</v>
      </c>
      <c r="Z76">
        <v>409.3356</v>
      </c>
      <c r="AA76">
        <v>409.98933333333298</v>
      </c>
      <c r="AB76">
        <v>15.2887066666667</v>
      </c>
      <c r="AC76">
        <v>13.852259999999999</v>
      </c>
      <c r="AD76">
        <v>410.39926666666702</v>
      </c>
      <c r="AE76">
        <v>15.200673333333301</v>
      </c>
      <c r="AF76">
        <v>800.00946666666698</v>
      </c>
      <c r="AG76">
        <v>100.436333333333</v>
      </c>
      <c r="AH76">
        <v>6.4942639999999996E-2</v>
      </c>
      <c r="AI76">
        <v>18.983933333333301</v>
      </c>
      <c r="AJ76">
        <v>999.9</v>
      </c>
      <c r="AK76">
        <v>999.9</v>
      </c>
      <c r="AL76">
        <v>0</v>
      </c>
      <c r="AM76">
        <v>0</v>
      </c>
      <c r="AN76">
        <v>5000.0666666666702</v>
      </c>
      <c r="AO76">
        <v>0</v>
      </c>
      <c r="AP76">
        <v>1.86317</v>
      </c>
      <c r="AQ76">
        <v>-0.65376593333333299</v>
      </c>
      <c r="AR76">
        <v>415.69093333333302</v>
      </c>
      <c r="AS76">
        <v>415.74833333333299</v>
      </c>
      <c r="AT76">
        <v>1.436434</v>
      </c>
      <c r="AU76">
        <v>409.98933333333298</v>
      </c>
      <c r="AV76">
        <v>13.852259999999999</v>
      </c>
      <c r="AW76">
        <v>1.535542</v>
      </c>
      <c r="AX76">
        <v>1.39127133333333</v>
      </c>
      <c r="AY76">
        <v>13.326739999999999</v>
      </c>
      <c r="AZ76">
        <v>11.8228266666667</v>
      </c>
      <c r="BA76">
        <v>100.000153333333</v>
      </c>
      <c r="BB76">
        <v>0.90002693333333394</v>
      </c>
      <c r="BC76">
        <v>0</v>
      </c>
      <c r="BD76">
        <v>9.9973013333333305E-2</v>
      </c>
      <c r="BE76">
        <v>0</v>
      </c>
      <c r="BF76">
        <v>24</v>
      </c>
      <c r="BG76">
        <v>1648.89333333333</v>
      </c>
      <c r="BH76">
        <v>1770999274</v>
      </c>
      <c r="BI76" t="s">
        <v>379</v>
      </c>
      <c r="BJ76">
        <v>1770999268</v>
      </c>
      <c r="BK76">
        <v>1770999274</v>
      </c>
      <c r="BL76">
        <v>2</v>
      </c>
      <c r="BM76">
        <v>0.127</v>
      </c>
      <c r="BN76">
        <v>-2E-3</v>
      </c>
      <c r="BO76">
        <v>-1.0640000000000001</v>
      </c>
      <c r="BP76">
        <v>8.7999999999999995E-2</v>
      </c>
      <c r="BQ76">
        <v>410</v>
      </c>
      <c r="BR76">
        <v>14</v>
      </c>
      <c r="BS76">
        <v>0.23</v>
      </c>
      <c r="BT76">
        <v>0.03</v>
      </c>
      <c r="BU76">
        <v>-0.65565960000000001</v>
      </c>
      <c r="BV76">
        <v>6.4644360902255907E-2</v>
      </c>
      <c r="BW76">
        <v>1.3592996267931499E-2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1.4320329999999999</v>
      </c>
      <c r="CD76">
        <v>6.6881503759399205E-2</v>
      </c>
      <c r="CE76">
        <v>6.7021713645653604E-3</v>
      </c>
      <c r="CF76">
        <v>1</v>
      </c>
      <c r="CG76">
        <v>2</v>
      </c>
      <c r="CH76">
        <v>2</v>
      </c>
      <c r="CI76" t="s">
        <v>304</v>
      </c>
      <c r="CJ76">
        <v>3.5325000000000002</v>
      </c>
      <c r="CK76">
        <v>2.7027299999999999</v>
      </c>
      <c r="CL76">
        <v>9.8430000000000004E-2</v>
      </c>
      <c r="CM76">
        <v>9.7139500000000004E-2</v>
      </c>
      <c r="CN76">
        <v>8.7178000000000005E-2</v>
      </c>
      <c r="CO76">
        <v>8.0102099999999996E-2</v>
      </c>
      <c r="CP76">
        <v>31648.6</v>
      </c>
      <c r="CQ76">
        <v>27783</v>
      </c>
      <c r="CR76">
        <v>32486.1</v>
      </c>
      <c r="CS76">
        <v>30695.1</v>
      </c>
      <c r="CT76">
        <v>40135.199999999997</v>
      </c>
      <c r="CU76">
        <v>39693.300000000003</v>
      </c>
      <c r="CV76">
        <v>47424.6</v>
      </c>
      <c r="CW76">
        <v>46791.1</v>
      </c>
      <c r="CX76">
        <v>2.6377199999999998</v>
      </c>
      <c r="CY76">
        <v>2.1781199999999998</v>
      </c>
      <c r="CZ76">
        <v>0</v>
      </c>
      <c r="DA76">
        <v>0</v>
      </c>
      <c r="DB76">
        <v>999.9</v>
      </c>
      <c r="DC76">
        <v>999.9</v>
      </c>
      <c r="DD76">
        <v>71.394999999999996</v>
      </c>
      <c r="DE76">
        <v>23.876999999999999</v>
      </c>
      <c r="DF76">
        <v>21.1327</v>
      </c>
      <c r="DG76">
        <v>30.73</v>
      </c>
      <c r="DH76">
        <v>15.961499999999999</v>
      </c>
      <c r="DI76">
        <v>2</v>
      </c>
      <c r="DJ76">
        <v>-0.19550400000000001</v>
      </c>
      <c r="DK76">
        <v>1.37171</v>
      </c>
      <c r="DL76">
        <v>20.240100000000002</v>
      </c>
      <c r="DM76">
        <v>5.2522700000000002</v>
      </c>
      <c r="DN76">
        <v>12.033899999999999</v>
      </c>
      <c r="DO76">
        <v>4.9675599999999998</v>
      </c>
      <c r="DP76">
        <v>3.2909999999999999</v>
      </c>
      <c r="DQ76">
        <v>9999</v>
      </c>
      <c r="DR76">
        <v>9999</v>
      </c>
      <c r="DS76">
        <v>596.6</v>
      </c>
      <c r="DT76">
        <v>9999</v>
      </c>
      <c r="DU76">
        <v>1.8710100000000001</v>
      </c>
      <c r="DV76">
        <v>1.8760699999999999</v>
      </c>
      <c r="DW76">
        <v>1.8762300000000001</v>
      </c>
      <c r="DX76">
        <v>1.8827799999999999</v>
      </c>
      <c r="DY76">
        <v>1.8754900000000001</v>
      </c>
      <c r="DZ76">
        <v>1.87456</v>
      </c>
      <c r="EA76">
        <v>1.87073</v>
      </c>
      <c r="EB76">
        <v>1.8745799999999999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-1.0629999999999999</v>
      </c>
      <c r="EQ76">
        <v>8.8099999999999998E-2</v>
      </c>
      <c r="ER76">
        <v>-1.0635999999999499</v>
      </c>
      <c r="ES76">
        <v>0</v>
      </c>
      <c r="ET76">
        <v>0</v>
      </c>
      <c r="EU76">
        <v>0</v>
      </c>
      <c r="EV76">
        <v>8.8020000000000195E-2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8.4</v>
      </c>
      <c r="FE76">
        <v>8.3000000000000007</v>
      </c>
      <c r="FF76">
        <v>1.23169</v>
      </c>
      <c r="FG76">
        <v>2.5744600000000002</v>
      </c>
      <c r="FH76">
        <v>2.19604</v>
      </c>
      <c r="FI76">
        <v>2.5793499999999998</v>
      </c>
      <c r="FJ76">
        <v>2.4462899999999999</v>
      </c>
      <c r="FK76">
        <v>2.2985799999999998</v>
      </c>
      <c r="FL76">
        <v>29.367599999999999</v>
      </c>
      <c r="FM76">
        <v>24.1663</v>
      </c>
      <c r="FN76">
        <v>19</v>
      </c>
      <c r="FO76">
        <v>863.37599999999998</v>
      </c>
      <c r="FP76">
        <v>602.54399999999998</v>
      </c>
      <c r="FQ76">
        <v>18.732399999999998</v>
      </c>
      <c r="FR76">
        <v>24.542200000000001</v>
      </c>
      <c r="FS76">
        <v>30.000299999999999</v>
      </c>
      <c r="FT76">
        <v>24.5276</v>
      </c>
      <c r="FU76">
        <v>24.5291</v>
      </c>
      <c r="FV76">
        <v>24.734200000000001</v>
      </c>
      <c r="FW76">
        <v>38.015300000000003</v>
      </c>
      <c r="FX76">
        <v>57.2181</v>
      </c>
      <c r="FY76">
        <v>18.739899999999999</v>
      </c>
      <c r="FZ76">
        <v>410</v>
      </c>
      <c r="GA76">
        <v>13.8569</v>
      </c>
      <c r="GB76">
        <v>99.9465</v>
      </c>
      <c r="GC76">
        <v>99.625200000000007</v>
      </c>
    </row>
    <row r="77" spans="1:185" x14ac:dyDescent="0.2">
      <c r="A77">
        <v>62</v>
      </c>
      <c r="B77">
        <v>1770999785</v>
      </c>
      <c r="C77">
        <v>1161.9000000953699</v>
      </c>
      <c r="D77" t="s">
        <v>418</v>
      </c>
      <c r="E77" t="s">
        <v>419</v>
      </c>
      <c r="F77">
        <v>15</v>
      </c>
      <c r="G77">
        <v>1770999776.9333301</v>
      </c>
      <c r="H77">
        <f t="shared" si="0"/>
        <v>1.1804140029492306E-3</v>
      </c>
      <c r="I77">
        <v>0</v>
      </c>
      <c r="J77">
        <f t="shared" si="12"/>
        <v>2.7783549618721928E-3</v>
      </c>
      <c r="K77">
        <f t="shared" si="1"/>
        <v>4.9680471498867743E-2</v>
      </c>
      <c r="L77">
        <f t="shared" si="2"/>
        <v>69.720057768344589</v>
      </c>
      <c r="M77">
        <f t="shared" si="3"/>
        <v>1.5366646418801919</v>
      </c>
      <c r="N77">
        <f t="shared" si="4"/>
        <v>2.2040495820958612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26356.955816875474</v>
      </c>
      <c r="T77">
        <f t="shared" si="8"/>
        <v>100.000193333333</v>
      </c>
      <c r="U77">
        <f t="shared" si="9"/>
        <v>84.300086639852154</v>
      </c>
      <c r="V77">
        <f t="shared" si="10"/>
        <v>0.8429992366000002</v>
      </c>
      <c r="W77">
        <f t="shared" si="11"/>
        <v>0.15869774071600004</v>
      </c>
      <c r="X77">
        <v>1</v>
      </c>
      <c r="Y77">
        <v>1770999776.9333301</v>
      </c>
      <c r="Z77">
        <v>409.32799999999997</v>
      </c>
      <c r="AA77">
        <v>409.99406666666698</v>
      </c>
      <c r="AB77">
        <v>15.2901666666667</v>
      </c>
      <c r="AC77">
        <v>13.83722</v>
      </c>
      <c r="AD77">
        <v>410.39166666666699</v>
      </c>
      <c r="AE77">
        <v>15.2021266666667</v>
      </c>
      <c r="AF77">
        <v>800.00546666666605</v>
      </c>
      <c r="AG77">
        <v>100.43519999999999</v>
      </c>
      <c r="AH77">
        <v>6.4989133333333296E-2</v>
      </c>
      <c r="AI77">
        <v>18.991779999999999</v>
      </c>
      <c r="AJ77">
        <v>999.9</v>
      </c>
      <c r="AK77">
        <v>999.9</v>
      </c>
      <c r="AL77">
        <v>0</v>
      </c>
      <c r="AM77">
        <v>0</v>
      </c>
      <c r="AN77">
        <v>5003.2666666666701</v>
      </c>
      <c r="AO77">
        <v>0</v>
      </c>
      <c r="AP77">
        <v>1.86317</v>
      </c>
      <c r="AQ77">
        <v>-0.66608480000000003</v>
      </c>
      <c r="AR77">
        <v>415.68380000000002</v>
      </c>
      <c r="AS77">
        <v>415.74686666666702</v>
      </c>
      <c r="AT77">
        <v>1.452952</v>
      </c>
      <c r="AU77">
        <v>409.99406666666698</v>
      </c>
      <c r="AV77">
        <v>13.83722</v>
      </c>
      <c r="AW77">
        <v>1.5356713333333301</v>
      </c>
      <c r="AX77">
        <v>1.3897426666666699</v>
      </c>
      <c r="AY77">
        <v>13.3280266666667</v>
      </c>
      <c r="AZ77">
        <v>11.806186666666701</v>
      </c>
      <c r="BA77">
        <v>100.000193333333</v>
      </c>
      <c r="BB77">
        <v>0.90003066666666698</v>
      </c>
      <c r="BC77">
        <v>0</v>
      </c>
      <c r="BD77">
        <v>9.9969513333333301E-2</v>
      </c>
      <c r="BE77">
        <v>0</v>
      </c>
      <c r="BF77">
        <v>24</v>
      </c>
      <c r="BG77">
        <v>1648.8979999999999</v>
      </c>
      <c r="BH77">
        <v>1770999274</v>
      </c>
      <c r="BI77" t="s">
        <v>379</v>
      </c>
      <c r="BJ77">
        <v>1770999268</v>
      </c>
      <c r="BK77">
        <v>1770999274</v>
      </c>
      <c r="BL77">
        <v>2</v>
      </c>
      <c r="BM77">
        <v>0.127</v>
      </c>
      <c r="BN77">
        <v>-2E-3</v>
      </c>
      <c r="BO77">
        <v>-1.0640000000000001</v>
      </c>
      <c r="BP77">
        <v>8.7999999999999995E-2</v>
      </c>
      <c r="BQ77">
        <v>410</v>
      </c>
      <c r="BR77">
        <v>14</v>
      </c>
      <c r="BS77">
        <v>0.23</v>
      </c>
      <c r="BT77">
        <v>0.03</v>
      </c>
      <c r="BU77">
        <v>-0.66128695000000004</v>
      </c>
      <c r="BV77">
        <v>-4.3754436090236498E-3</v>
      </c>
      <c r="BW77">
        <v>2.3440839269264699E-2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1.4503615000000001</v>
      </c>
      <c r="CD77">
        <v>4.9721954887219699E-2</v>
      </c>
      <c r="CE77">
        <v>5.7491845291310602E-3</v>
      </c>
      <c r="CF77">
        <v>1</v>
      </c>
      <c r="CG77">
        <v>2</v>
      </c>
      <c r="CH77">
        <v>2</v>
      </c>
      <c r="CI77" t="s">
        <v>304</v>
      </c>
      <c r="CJ77">
        <v>3.5325099999999998</v>
      </c>
      <c r="CK77">
        <v>2.7030500000000002</v>
      </c>
      <c r="CL77">
        <v>9.8429900000000001E-2</v>
      </c>
      <c r="CM77">
        <v>9.7138699999999994E-2</v>
      </c>
      <c r="CN77">
        <v>8.7121199999999996E-2</v>
      </c>
      <c r="CO77">
        <v>8.0039200000000005E-2</v>
      </c>
      <c r="CP77">
        <v>31649.1</v>
      </c>
      <c r="CQ77">
        <v>27783.3</v>
      </c>
      <c r="CR77">
        <v>32486.6</v>
      </c>
      <c r="CS77">
        <v>30695.4</v>
      </c>
      <c r="CT77">
        <v>40138.5</v>
      </c>
      <c r="CU77">
        <v>39696.5</v>
      </c>
      <c r="CV77">
        <v>47425.4</v>
      </c>
      <c r="CW77">
        <v>46791.6</v>
      </c>
      <c r="CX77">
        <v>2.6375199999999999</v>
      </c>
      <c r="CY77">
        <v>2.1777000000000002</v>
      </c>
      <c r="CZ77">
        <v>0</v>
      </c>
      <c r="DA77">
        <v>0</v>
      </c>
      <c r="DB77">
        <v>999.9</v>
      </c>
      <c r="DC77">
        <v>999.9</v>
      </c>
      <c r="DD77">
        <v>71.272999999999996</v>
      </c>
      <c r="DE77">
        <v>23.896999999999998</v>
      </c>
      <c r="DF77">
        <v>21.121099999999998</v>
      </c>
      <c r="DG77">
        <v>30.46</v>
      </c>
      <c r="DH77">
        <v>15.9415</v>
      </c>
      <c r="DI77">
        <v>2</v>
      </c>
      <c r="DJ77">
        <v>-0.195411</v>
      </c>
      <c r="DK77">
        <v>1.37981</v>
      </c>
      <c r="DL77">
        <v>20.239899999999999</v>
      </c>
      <c r="DM77">
        <v>5.2521500000000003</v>
      </c>
      <c r="DN77">
        <v>12.033899999999999</v>
      </c>
      <c r="DO77">
        <v>4.9676</v>
      </c>
      <c r="DP77">
        <v>3.2909999999999999</v>
      </c>
      <c r="DQ77">
        <v>9999</v>
      </c>
      <c r="DR77">
        <v>9999</v>
      </c>
      <c r="DS77">
        <v>596.6</v>
      </c>
      <c r="DT77">
        <v>9999</v>
      </c>
      <c r="DU77">
        <v>1.8710199999999999</v>
      </c>
      <c r="DV77">
        <v>1.8760699999999999</v>
      </c>
      <c r="DW77">
        <v>1.87622</v>
      </c>
      <c r="DX77">
        <v>1.8827799999999999</v>
      </c>
      <c r="DY77">
        <v>1.87551</v>
      </c>
      <c r="DZ77">
        <v>1.8745799999999999</v>
      </c>
      <c r="EA77">
        <v>1.87073</v>
      </c>
      <c r="EB77">
        <v>1.8745700000000001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-1.0629999999999999</v>
      </c>
      <c r="EQ77">
        <v>8.7999999999999995E-2</v>
      </c>
      <c r="ER77">
        <v>-1.0635999999999499</v>
      </c>
      <c r="ES77">
        <v>0</v>
      </c>
      <c r="ET77">
        <v>0</v>
      </c>
      <c r="EU77">
        <v>0</v>
      </c>
      <c r="EV77">
        <v>8.8020000000000195E-2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8.6</v>
      </c>
      <c r="FE77">
        <v>8.5</v>
      </c>
      <c r="FF77">
        <v>1.23169</v>
      </c>
      <c r="FG77">
        <v>2.5708000000000002</v>
      </c>
      <c r="FH77">
        <v>2.19604</v>
      </c>
      <c r="FI77">
        <v>2.5793499999999998</v>
      </c>
      <c r="FJ77">
        <v>2.4462899999999999</v>
      </c>
      <c r="FK77">
        <v>2.2973599999999998</v>
      </c>
      <c r="FL77">
        <v>29.367599999999999</v>
      </c>
      <c r="FM77">
        <v>24.1663</v>
      </c>
      <c r="FN77">
        <v>19</v>
      </c>
      <c r="FO77">
        <v>863.26499999999999</v>
      </c>
      <c r="FP77">
        <v>602.26499999999999</v>
      </c>
      <c r="FQ77">
        <v>18.754799999999999</v>
      </c>
      <c r="FR77">
        <v>24.545999999999999</v>
      </c>
      <c r="FS77">
        <v>30.0002</v>
      </c>
      <c r="FT77">
        <v>24.5321</v>
      </c>
      <c r="FU77">
        <v>24.5337</v>
      </c>
      <c r="FV77">
        <v>24.735199999999999</v>
      </c>
      <c r="FW77">
        <v>38.015300000000003</v>
      </c>
      <c r="FX77">
        <v>56.8264</v>
      </c>
      <c r="FY77">
        <v>18.757200000000001</v>
      </c>
      <c r="FZ77">
        <v>410</v>
      </c>
      <c r="GA77">
        <v>13.875299999999999</v>
      </c>
      <c r="GB77">
        <v>99.947999999999993</v>
      </c>
      <c r="GC77">
        <v>99.626000000000005</v>
      </c>
    </row>
    <row r="78" spans="1:185" x14ac:dyDescent="0.2">
      <c r="A78">
        <v>63</v>
      </c>
      <c r="B78">
        <v>1770999800</v>
      </c>
      <c r="C78">
        <v>1176.9000000953699</v>
      </c>
      <c r="D78" t="s">
        <v>420</v>
      </c>
      <c r="E78" t="s">
        <v>421</v>
      </c>
      <c r="F78">
        <v>15</v>
      </c>
      <c r="G78">
        <v>1770999791.9333301</v>
      </c>
      <c r="H78">
        <f t="shared" si="0"/>
        <v>1.1800042899056719E-3</v>
      </c>
      <c r="I78">
        <v>0</v>
      </c>
      <c r="J78">
        <f t="shared" si="12"/>
        <v>3.2572360948088753E-3</v>
      </c>
      <c r="K78">
        <f t="shared" si="1"/>
        <v>5.824346679741476E-2</v>
      </c>
      <c r="L78">
        <f t="shared" si="2"/>
        <v>69.611309432248547</v>
      </c>
      <c r="M78">
        <f t="shared" si="3"/>
        <v>1.5351367500353836</v>
      </c>
      <c r="N78">
        <f t="shared" si="4"/>
        <v>2.2052979071303134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26323.908407163271</v>
      </c>
      <c r="T78">
        <f t="shared" si="8"/>
        <v>99.999053333333407</v>
      </c>
      <c r="U78">
        <f t="shared" si="9"/>
        <v>84.299103480932317</v>
      </c>
      <c r="V78">
        <f t="shared" si="10"/>
        <v>0.84299901519999976</v>
      </c>
      <c r="W78">
        <f t="shared" si="11"/>
        <v>0.15869774587199995</v>
      </c>
      <c r="X78">
        <v>1</v>
      </c>
      <c r="Y78">
        <v>1770999791.9333301</v>
      </c>
      <c r="Z78">
        <v>409.31093333333303</v>
      </c>
      <c r="AA78">
        <v>409.98746666666699</v>
      </c>
      <c r="AB78">
        <v>15.2750066666667</v>
      </c>
      <c r="AC78">
        <v>13.8225466666667</v>
      </c>
      <c r="AD78">
        <v>410.37459999999999</v>
      </c>
      <c r="AE78">
        <v>15.187006666666701</v>
      </c>
      <c r="AF78">
        <v>800.00806666666699</v>
      </c>
      <c r="AG78">
        <v>100.4346</v>
      </c>
      <c r="AH78">
        <v>6.5307039999999997E-2</v>
      </c>
      <c r="AI78">
        <v>19.0008533333333</v>
      </c>
      <c r="AJ78">
        <v>999.9</v>
      </c>
      <c r="AK78">
        <v>999.9</v>
      </c>
      <c r="AL78">
        <v>0</v>
      </c>
      <c r="AM78">
        <v>0</v>
      </c>
      <c r="AN78">
        <v>4998</v>
      </c>
      <c r="AO78">
        <v>0</v>
      </c>
      <c r="AP78">
        <v>1.86317</v>
      </c>
      <c r="AQ78">
        <v>-0.67643833333333303</v>
      </c>
      <c r="AR78">
        <v>415.66026666666698</v>
      </c>
      <c r="AS78">
        <v>415.73386666666698</v>
      </c>
      <c r="AT78">
        <v>1.452464</v>
      </c>
      <c r="AU78">
        <v>409.98746666666699</v>
      </c>
      <c r="AV78">
        <v>13.8225466666667</v>
      </c>
      <c r="AW78">
        <v>1.5341433333333301</v>
      </c>
      <c r="AX78">
        <v>1.38826466666667</v>
      </c>
      <c r="AY78">
        <v>13.312753333333299</v>
      </c>
      <c r="AZ78">
        <v>11.790053333333301</v>
      </c>
      <c r="BA78">
        <v>99.999053333333407</v>
      </c>
      <c r="BB78">
        <v>0.90002973333333303</v>
      </c>
      <c r="BC78">
        <v>0</v>
      </c>
      <c r="BD78">
        <v>9.9970160000000002E-2</v>
      </c>
      <c r="BE78">
        <v>0</v>
      </c>
      <c r="BF78">
        <v>24</v>
      </c>
      <c r="BG78">
        <v>1648.87466666667</v>
      </c>
      <c r="BH78">
        <v>1770999274</v>
      </c>
      <c r="BI78" t="s">
        <v>379</v>
      </c>
      <c r="BJ78">
        <v>1770999268</v>
      </c>
      <c r="BK78">
        <v>1770999274</v>
      </c>
      <c r="BL78">
        <v>2</v>
      </c>
      <c r="BM78">
        <v>0.127</v>
      </c>
      <c r="BN78">
        <v>-2E-3</v>
      </c>
      <c r="BO78">
        <v>-1.0640000000000001</v>
      </c>
      <c r="BP78">
        <v>8.7999999999999995E-2</v>
      </c>
      <c r="BQ78">
        <v>410</v>
      </c>
      <c r="BR78">
        <v>14</v>
      </c>
      <c r="BS78">
        <v>0.23</v>
      </c>
      <c r="BT78">
        <v>0.03</v>
      </c>
      <c r="BU78">
        <v>-0.66760699999999995</v>
      </c>
      <c r="BV78">
        <v>-9.3038526315789696E-2</v>
      </c>
      <c r="BW78">
        <v>2.1943684932116601E-2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1.453492</v>
      </c>
      <c r="CD78">
        <v>-3.03338345864748E-3</v>
      </c>
      <c r="CE78">
        <v>2.7990330473218702E-3</v>
      </c>
      <c r="CF78">
        <v>1</v>
      </c>
      <c r="CG78">
        <v>2</v>
      </c>
      <c r="CH78">
        <v>2</v>
      </c>
      <c r="CI78" t="s">
        <v>304</v>
      </c>
      <c r="CJ78">
        <v>3.5325799999999998</v>
      </c>
      <c r="CK78">
        <v>2.7031000000000001</v>
      </c>
      <c r="CL78">
        <v>9.8420800000000003E-2</v>
      </c>
      <c r="CM78">
        <v>9.7136399999999998E-2</v>
      </c>
      <c r="CN78">
        <v>8.7060299999999993E-2</v>
      </c>
      <c r="CO78">
        <v>7.99932E-2</v>
      </c>
      <c r="CP78">
        <v>31649.7</v>
      </c>
      <c r="CQ78">
        <v>27783.5</v>
      </c>
      <c r="CR78">
        <v>32486.9</v>
      </c>
      <c r="CS78">
        <v>30695.599999999999</v>
      </c>
      <c r="CT78">
        <v>40141.9</v>
      </c>
      <c r="CU78">
        <v>39698.800000000003</v>
      </c>
      <c r="CV78">
        <v>47426.2</v>
      </c>
      <c r="CW78">
        <v>46791.9</v>
      </c>
      <c r="CX78">
        <v>2.6376400000000002</v>
      </c>
      <c r="CY78">
        <v>2.1777199999999999</v>
      </c>
      <c r="CZ78">
        <v>0</v>
      </c>
      <c r="DA78">
        <v>0</v>
      </c>
      <c r="DB78">
        <v>999.9</v>
      </c>
      <c r="DC78">
        <v>999.9</v>
      </c>
      <c r="DD78">
        <v>71.120999999999995</v>
      </c>
      <c r="DE78">
        <v>23.907</v>
      </c>
      <c r="DF78">
        <v>21.09</v>
      </c>
      <c r="DG78">
        <v>30.58</v>
      </c>
      <c r="DH78">
        <v>15.8934</v>
      </c>
      <c r="DI78">
        <v>2</v>
      </c>
      <c r="DJ78">
        <v>-0.194354</v>
      </c>
      <c r="DK78">
        <v>1.76312</v>
      </c>
      <c r="DL78">
        <v>20.235199999999999</v>
      </c>
      <c r="DM78">
        <v>5.2521500000000003</v>
      </c>
      <c r="DN78">
        <v>12.033899999999999</v>
      </c>
      <c r="DO78">
        <v>4.9677600000000002</v>
      </c>
      <c r="DP78">
        <v>3.2909999999999999</v>
      </c>
      <c r="DQ78">
        <v>9999</v>
      </c>
      <c r="DR78">
        <v>9999</v>
      </c>
      <c r="DS78">
        <v>596.6</v>
      </c>
      <c r="DT78">
        <v>9999</v>
      </c>
      <c r="DU78">
        <v>1.8710100000000001</v>
      </c>
      <c r="DV78">
        <v>1.8760699999999999</v>
      </c>
      <c r="DW78">
        <v>1.87626</v>
      </c>
      <c r="DX78">
        <v>1.8827799999999999</v>
      </c>
      <c r="DY78">
        <v>1.87548</v>
      </c>
      <c r="DZ78">
        <v>1.87459</v>
      </c>
      <c r="EA78">
        <v>1.8707400000000001</v>
      </c>
      <c r="EB78">
        <v>1.8746100000000001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-1.0640000000000001</v>
      </c>
      <c r="EQ78">
        <v>8.7999999999999995E-2</v>
      </c>
      <c r="ER78">
        <v>-1.0635999999999499</v>
      </c>
      <c r="ES78">
        <v>0</v>
      </c>
      <c r="ET78">
        <v>0</v>
      </c>
      <c r="EU78">
        <v>0</v>
      </c>
      <c r="EV78">
        <v>8.8020000000000195E-2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8.9</v>
      </c>
      <c r="FE78">
        <v>8.8000000000000007</v>
      </c>
      <c r="FF78">
        <v>1.23169</v>
      </c>
      <c r="FG78">
        <v>2.5708000000000002</v>
      </c>
      <c r="FH78">
        <v>2.19604</v>
      </c>
      <c r="FI78">
        <v>2.5805699999999998</v>
      </c>
      <c r="FJ78">
        <v>2.4462899999999999</v>
      </c>
      <c r="FK78">
        <v>2.3034699999999999</v>
      </c>
      <c r="FL78">
        <v>29.3889</v>
      </c>
      <c r="FM78">
        <v>24.14</v>
      </c>
      <c r="FN78">
        <v>19</v>
      </c>
      <c r="FO78">
        <v>863.45</v>
      </c>
      <c r="FP78">
        <v>602.33500000000004</v>
      </c>
      <c r="FQ78">
        <v>18.689900000000002</v>
      </c>
      <c r="FR78">
        <v>24.55</v>
      </c>
      <c r="FS78">
        <v>30.000599999999999</v>
      </c>
      <c r="FT78">
        <v>24.5367</v>
      </c>
      <c r="FU78">
        <v>24.5382</v>
      </c>
      <c r="FV78">
        <v>24.7348</v>
      </c>
      <c r="FW78">
        <v>37.730400000000003</v>
      </c>
      <c r="FX78">
        <v>56.068899999999999</v>
      </c>
      <c r="FY78">
        <v>18.652799999999999</v>
      </c>
      <c r="FZ78">
        <v>410</v>
      </c>
      <c r="GA78">
        <v>13.901199999999999</v>
      </c>
      <c r="GB78">
        <v>99.949299999999994</v>
      </c>
      <c r="GC78">
        <v>99.626800000000003</v>
      </c>
    </row>
    <row r="79" spans="1:185" x14ac:dyDescent="0.2">
      <c r="A79">
        <v>64</v>
      </c>
      <c r="B79">
        <v>1770999815</v>
      </c>
      <c r="C79">
        <v>1191.9000000953699</v>
      </c>
      <c r="D79" t="s">
        <v>422</v>
      </c>
      <c r="E79" t="s">
        <v>423</v>
      </c>
      <c r="F79">
        <v>15</v>
      </c>
      <c r="G79">
        <v>1770999806.9333301</v>
      </c>
      <c r="H79">
        <f t="shared" si="0"/>
        <v>1.162887013876574E-3</v>
      </c>
      <c r="I79">
        <v>0</v>
      </c>
      <c r="J79">
        <f t="shared" si="12"/>
        <v>3.5631867860415837E-3</v>
      </c>
      <c r="K79">
        <f t="shared" si="1"/>
        <v>6.3714248898490533E-2</v>
      </c>
      <c r="L79">
        <f t="shared" si="2"/>
        <v>69.546354318293396</v>
      </c>
      <c r="M79">
        <f t="shared" si="3"/>
        <v>1.5339588949829124</v>
      </c>
      <c r="N79">
        <f t="shared" si="4"/>
        <v>2.2056639920511572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26347.582431573272</v>
      </c>
      <c r="T79">
        <f t="shared" si="8"/>
        <v>100.00066</v>
      </c>
      <c r="U79">
        <f t="shared" si="9"/>
        <v>84.300444939264509</v>
      </c>
      <c r="V79">
        <f t="shared" si="10"/>
        <v>0.84299888560000014</v>
      </c>
      <c r="W79">
        <f t="shared" si="11"/>
        <v>0.15869705809600004</v>
      </c>
      <c r="X79">
        <v>1</v>
      </c>
      <c r="Y79">
        <v>1770999806.9333301</v>
      </c>
      <c r="Z79">
        <v>409.3014</v>
      </c>
      <c r="AA79">
        <v>409.976</v>
      </c>
      <c r="AB79">
        <v>15.2636866666667</v>
      </c>
      <c r="AC79">
        <v>13.832280000000001</v>
      </c>
      <c r="AD79">
        <v>410.36500000000001</v>
      </c>
      <c r="AE79">
        <v>15.17568</v>
      </c>
      <c r="AF79">
        <v>800.00819999999999</v>
      </c>
      <c r="AG79">
        <v>100.432133333333</v>
      </c>
      <c r="AH79">
        <v>6.5140260000000005E-2</v>
      </c>
      <c r="AI79">
        <v>19.003513333333299</v>
      </c>
      <c r="AJ79">
        <v>999.9</v>
      </c>
      <c r="AK79">
        <v>999.9</v>
      </c>
      <c r="AL79">
        <v>0</v>
      </c>
      <c r="AM79">
        <v>0</v>
      </c>
      <c r="AN79">
        <v>5002.0333333333301</v>
      </c>
      <c r="AO79">
        <v>0</v>
      </c>
      <c r="AP79">
        <v>1.86317</v>
      </c>
      <c r="AQ79">
        <v>-0.67465019999999998</v>
      </c>
      <c r="AR79">
        <v>415.6456</v>
      </c>
      <c r="AS79">
        <v>415.72640000000001</v>
      </c>
      <c r="AT79">
        <v>1.43140666666667</v>
      </c>
      <c r="AU79">
        <v>409.976</v>
      </c>
      <c r="AV79">
        <v>13.832280000000001</v>
      </c>
      <c r="AW79">
        <v>1.5329646666666701</v>
      </c>
      <c r="AX79">
        <v>1.38920466666667</v>
      </c>
      <c r="AY79">
        <v>13.300966666666699</v>
      </c>
      <c r="AZ79">
        <v>11.8003</v>
      </c>
      <c r="BA79">
        <v>100.00066</v>
      </c>
      <c r="BB79">
        <v>0.90003946666666701</v>
      </c>
      <c r="BC79">
        <v>0</v>
      </c>
      <c r="BD79">
        <v>9.9960613333333295E-2</v>
      </c>
      <c r="BE79">
        <v>0</v>
      </c>
      <c r="BF79">
        <v>24</v>
      </c>
      <c r="BG79">
        <v>1648.9059999999999</v>
      </c>
      <c r="BH79">
        <v>1770999274</v>
      </c>
      <c r="BI79" t="s">
        <v>379</v>
      </c>
      <c r="BJ79">
        <v>1770999268</v>
      </c>
      <c r="BK79">
        <v>1770999274</v>
      </c>
      <c r="BL79">
        <v>2</v>
      </c>
      <c r="BM79">
        <v>0.127</v>
      </c>
      <c r="BN79">
        <v>-2E-3</v>
      </c>
      <c r="BO79">
        <v>-1.0640000000000001</v>
      </c>
      <c r="BP79">
        <v>8.7999999999999995E-2</v>
      </c>
      <c r="BQ79">
        <v>410</v>
      </c>
      <c r="BR79">
        <v>14</v>
      </c>
      <c r="BS79">
        <v>0.23</v>
      </c>
      <c r="BT79">
        <v>0.03</v>
      </c>
      <c r="BU79">
        <v>-0.67626957142857103</v>
      </c>
      <c r="BV79">
        <v>4.46938441558438E-2</v>
      </c>
      <c r="BW79">
        <v>2.15464305398087E-2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1.4395885714285701</v>
      </c>
      <c r="CD79">
        <v>-0.120682597402596</v>
      </c>
      <c r="CE79">
        <v>1.28423152065329E-2</v>
      </c>
      <c r="CF79">
        <v>0</v>
      </c>
      <c r="CG79">
        <v>1</v>
      </c>
      <c r="CH79">
        <v>2</v>
      </c>
      <c r="CI79" t="s">
        <v>290</v>
      </c>
      <c r="CJ79">
        <v>3.5325700000000002</v>
      </c>
      <c r="CK79">
        <v>2.7030599999999998</v>
      </c>
      <c r="CL79">
        <v>9.8419199999999998E-2</v>
      </c>
      <c r="CM79">
        <v>9.7123600000000004E-2</v>
      </c>
      <c r="CN79">
        <v>8.7062100000000003E-2</v>
      </c>
      <c r="CO79">
        <v>8.0190899999999996E-2</v>
      </c>
      <c r="CP79">
        <v>31649.599999999999</v>
      </c>
      <c r="CQ79">
        <v>27784.1</v>
      </c>
      <c r="CR79">
        <v>32486.799999999999</v>
      </c>
      <c r="CS79">
        <v>30695.8</v>
      </c>
      <c r="CT79">
        <v>40141.800000000003</v>
      </c>
      <c r="CU79">
        <v>39690.5</v>
      </c>
      <c r="CV79">
        <v>47426.1</v>
      </c>
      <c r="CW79">
        <v>46792.5</v>
      </c>
      <c r="CX79">
        <v>2.6374399999999998</v>
      </c>
      <c r="CY79">
        <v>2.1775600000000002</v>
      </c>
      <c r="CZ79">
        <v>0</v>
      </c>
      <c r="DA79">
        <v>0</v>
      </c>
      <c r="DB79">
        <v>999.9</v>
      </c>
      <c r="DC79">
        <v>999.9</v>
      </c>
      <c r="DD79">
        <v>70.974000000000004</v>
      </c>
      <c r="DE79">
        <v>23.937000000000001</v>
      </c>
      <c r="DF79">
        <v>21.084299999999999</v>
      </c>
      <c r="DG79">
        <v>30.64</v>
      </c>
      <c r="DH79">
        <v>15.9375</v>
      </c>
      <c r="DI79">
        <v>2</v>
      </c>
      <c r="DJ79">
        <v>-0.19444900000000001</v>
      </c>
      <c r="DK79">
        <v>1.5369699999999999</v>
      </c>
      <c r="DL79">
        <v>20.238199999999999</v>
      </c>
      <c r="DM79">
        <v>5.2523900000000001</v>
      </c>
      <c r="DN79">
        <v>12.033899999999999</v>
      </c>
      <c r="DO79">
        <v>4.9677199999999999</v>
      </c>
      <c r="DP79">
        <v>3.2909999999999999</v>
      </c>
      <c r="DQ79">
        <v>9999</v>
      </c>
      <c r="DR79">
        <v>9999</v>
      </c>
      <c r="DS79">
        <v>596.70000000000005</v>
      </c>
      <c r="DT79">
        <v>9999</v>
      </c>
      <c r="DU79">
        <v>1.8710199999999999</v>
      </c>
      <c r="DV79">
        <v>1.8760699999999999</v>
      </c>
      <c r="DW79">
        <v>1.8762399999999999</v>
      </c>
      <c r="DX79">
        <v>1.8827799999999999</v>
      </c>
      <c r="DY79">
        <v>1.87551</v>
      </c>
      <c r="DZ79">
        <v>1.87456</v>
      </c>
      <c r="EA79">
        <v>1.8707400000000001</v>
      </c>
      <c r="EB79">
        <v>1.87462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-1.0629999999999999</v>
      </c>
      <c r="EQ79">
        <v>8.7999999999999995E-2</v>
      </c>
      <c r="ER79">
        <v>-1.0635999999999499</v>
      </c>
      <c r="ES79">
        <v>0</v>
      </c>
      <c r="ET79">
        <v>0</v>
      </c>
      <c r="EU79">
        <v>0</v>
      </c>
      <c r="EV79">
        <v>8.8020000000000195E-2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9.1</v>
      </c>
      <c r="FE79">
        <v>9</v>
      </c>
      <c r="FF79">
        <v>1.23291</v>
      </c>
      <c r="FG79">
        <v>2.5732400000000002</v>
      </c>
      <c r="FH79">
        <v>2.19604</v>
      </c>
      <c r="FI79">
        <v>2.5793499999999998</v>
      </c>
      <c r="FJ79">
        <v>2.4462899999999999</v>
      </c>
      <c r="FK79">
        <v>2.2802699999999998</v>
      </c>
      <c r="FL79">
        <v>29.4101</v>
      </c>
      <c r="FM79">
        <v>24.1663</v>
      </c>
      <c r="FN79">
        <v>19</v>
      </c>
      <c r="FO79">
        <v>863.33799999999997</v>
      </c>
      <c r="FP79">
        <v>602.25699999999995</v>
      </c>
      <c r="FQ79">
        <v>18.6356</v>
      </c>
      <c r="FR79">
        <v>24.554099999999998</v>
      </c>
      <c r="FS79">
        <v>30.0001</v>
      </c>
      <c r="FT79">
        <v>24.5411</v>
      </c>
      <c r="FU79">
        <v>24.542300000000001</v>
      </c>
      <c r="FV79">
        <v>24.74</v>
      </c>
      <c r="FW79">
        <v>37.451900000000002</v>
      </c>
      <c r="FX79">
        <v>55.693199999999997</v>
      </c>
      <c r="FY79">
        <v>18.642199999999999</v>
      </c>
      <c r="FZ79">
        <v>410</v>
      </c>
      <c r="GA79">
        <v>13.920500000000001</v>
      </c>
      <c r="GB79">
        <v>99.949200000000005</v>
      </c>
      <c r="GC79">
        <v>99.627700000000004</v>
      </c>
    </row>
    <row r="80" spans="1:185" x14ac:dyDescent="0.2">
      <c r="A80">
        <v>65</v>
      </c>
      <c r="B80">
        <v>1770999830</v>
      </c>
      <c r="C80">
        <v>1206.9000000953699</v>
      </c>
      <c r="D80" t="s">
        <v>424</v>
      </c>
      <c r="E80" t="s">
        <v>425</v>
      </c>
      <c r="F80">
        <v>15</v>
      </c>
      <c r="G80">
        <v>1770999821.9333301</v>
      </c>
      <c r="H80">
        <f t="shared" ref="H80:H143" si="13">AF80*Q80*(AB80-AC80)/(1000*X80*(1000-Q80*AB80))</f>
        <v>1.1140152894555122E-3</v>
      </c>
      <c r="I80">
        <v>0</v>
      </c>
      <c r="J80">
        <f t="shared" si="12"/>
        <v>4.2369527063696403E-3</v>
      </c>
      <c r="K80">
        <f t="shared" ref="K80:K143" si="14">AF80*Q80*(AA80-Z80*(1000-Q80*AC80)/(1000-Q80*AB80))/(1000*X80)</f>
        <v>7.5762028631865805E-2</v>
      </c>
      <c r="L80">
        <f t="shared" ref="L80:L143" si="15">(M80/N80*100)</f>
        <v>69.661300668800834</v>
      </c>
      <c r="M80">
        <f t="shared" ref="M80:M143" si="16">AB80*(AG80+AH80)/1000</f>
        <v>1.5359867793513102</v>
      </c>
      <c r="N80">
        <f t="shared" ref="N80:N143" si="17">0.61365*EXP(17.502*AI80/(240.97+AI80))</f>
        <v>2.204935544706577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26331.367426248118</v>
      </c>
      <c r="T80">
        <f t="shared" ref="T80:T143" si="21">$B$11*AO80+$C$11*AP80+$D$11*BA80</f>
        <v>100.000373333333</v>
      </c>
      <c r="U80">
        <f t="shared" ref="U80:U143" si="22">T80*V80</f>
        <v>84.300252279766639</v>
      </c>
      <c r="V80">
        <f t="shared" ref="V80:V143" si="23">($B$11*$D$9+$C$11*$D$9+$D$11*(BB80*$E$9+BC80*$F$9+BD80*$G$9+BE80*$H$9))/($B$11+$C$11+$D$11)</f>
        <v>0.84299937560000027</v>
      </c>
      <c r="W80">
        <f t="shared" ref="W80:W143" si="24">($B$11*$L$9+$C$11*$L$9+$D$11*(BB80*$M$9+BC80*$N$9+BD80*$O$9+BE80*$P$9))/($B$11+$C$11+$D$11)</f>
        <v>0.15869854293600005</v>
      </c>
      <c r="X80">
        <v>1</v>
      </c>
      <c r="Y80">
        <v>1770999821.9333301</v>
      </c>
      <c r="Z80">
        <v>409.3098</v>
      </c>
      <c r="AA80">
        <v>409.97446666666701</v>
      </c>
      <c r="AB80">
        <v>15.284140000000001</v>
      </c>
      <c r="AC80">
        <v>13.91292</v>
      </c>
      <c r="AD80">
        <v>410.3734</v>
      </c>
      <c r="AE80">
        <v>15.1961266666667</v>
      </c>
      <c r="AF80">
        <v>800.00913333333301</v>
      </c>
      <c r="AG80">
        <v>100.43040000000001</v>
      </c>
      <c r="AH80">
        <v>6.5066499999999999E-2</v>
      </c>
      <c r="AI80">
        <v>18.99822</v>
      </c>
      <c r="AJ80">
        <v>999.9</v>
      </c>
      <c r="AK80">
        <v>999.9</v>
      </c>
      <c r="AL80">
        <v>0</v>
      </c>
      <c r="AM80">
        <v>0</v>
      </c>
      <c r="AN80">
        <v>4999.3666666666704</v>
      </c>
      <c r="AO80">
        <v>0</v>
      </c>
      <c r="AP80">
        <v>1.86317</v>
      </c>
      <c r="AQ80">
        <v>-0.66478673333333305</v>
      </c>
      <c r="AR80">
        <v>415.66273333333299</v>
      </c>
      <c r="AS80">
        <v>415.75900000000001</v>
      </c>
      <c r="AT80">
        <v>1.3712293333333301</v>
      </c>
      <c r="AU80">
        <v>409.97446666666701</v>
      </c>
      <c r="AV80">
        <v>13.91292</v>
      </c>
      <c r="AW80">
        <v>1.53499266666667</v>
      </c>
      <c r="AX80">
        <v>1.3972786666666701</v>
      </c>
      <c r="AY80">
        <v>13.3212333333333</v>
      </c>
      <c r="AZ80">
        <v>11.8881333333333</v>
      </c>
      <c r="BA80">
        <v>100.000373333333</v>
      </c>
      <c r="BB80">
        <v>0.90001926666666698</v>
      </c>
      <c r="BC80">
        <v>0</v>
      </c>
      <c r="BD80">
        <v>9.9980680000000002E-2</v>
      </c>
      <c r="BE80">
        <v>0</v>
      </c>
      <c r="BF80">
        <v>24</v>
      </c>
      <c r="BG80">
        <v>1648.8920000000001</v>
      </c>
      <c r="BH80">
        <v>1770999274</v>
      </c>
      <c r="BI80" t="s">
        <v>379</v>
      </c>
      <c r="BJ80">
        <v>1770999268</v>
      </c>
      <c r="BK80">
        <v>1770999274</v>
      </c>
      <c r="BL80">
        <v>2</v>
      </c>
      <c r="BM80">
        <v>0.127</v>
      </c>
      <c r="BN80">
        <v>-2E-3</v>
      </c>
      <c r="BO80">
        <v>-1.0640000000000001</v>
      </c>
      <c r="BP80">
        <v>8.7999999999999995E-2</v>
      </c>
      <c r="BQ80">
        <v>410</v>
      </c>
      <c r="BR80">
        <v>14</v>
      </c>
      <c r="BS80">
        <v>0.23</v>
      </c>
      <c r="BT80">
        <v>0.03</v>
      </c>
      <c r="BU80">
        <v>-0.66429790476190498</v>
      </c>
      <c r="BV80">
        <v>8.1271090909091903E-2</v>
      </c>
      <c r="BW80">
        <v>2.4134275446432301E-2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1.38569571428571</v>
      </c>
      <c r="CD80">
        <v>-0.198392727272725</v>
      </c>
      <c r="CE80">
        <v>2.7019030431201199E-2</v>
      </c>
      <c r="CF80">
        <v>0</v>
      </c>
      <c r="CG80">
        <v>1</v>
      </c>
      <c r="CH80">
        <v>2</v>
      </c>
      <c r="CI80" t="s">
        <v>290</v>
      </c>
      <c r="CJ80">
        <v>3.5325500000000001</v>
      </c>
      <c r="CK80">
        <v>2.7027000000000001</v>
      </c>
      <c r="CL80">
        <v>9.8421800000000004E-2</v>
      </c>
      <c r="CM80">
        <v>9.7128800000000001E-2</v>
      </c>
      <c r="CN80">
        <v>8.7213299999999994E-2</v>
      </c>
      <c r="CO80">
        <v>8.0414700000000006E-2</v>
      </c>
      <c r="CP80">
        <v>31649.9</v>
      </c>
      <c r="CQ80">
        <v>27784.2</v>
      </c>
      <c r="CR80">
        <v>32487.200000000001</v>
      </c>
      <c r="CS80">
        <v>30696.1</v>
      </c>
      <c r="CT80">
        <v>40135.4</v>
      </c>
      <c r="CU80">
        <v>39681</v>
      </c>
      <c r="CV80">
        <v>47426.7</v>
      </c>
      <c r="CW80">
        <v>46792.9</v>
      </c>
      <c r="CX80">
        <v>2.6373600000000001</v>
      </c>
      <c r="CY80">
        <v>2.1773400000000001</v>
      </c>
      <c r="CZ80">
        <v>0</v>
      </c>
      <c r="DA80">
        <v>0</v>
      </c>
      <c r="DB80">
        <v>999.9</v>
      </c>
      <c r="DC80">
        <v>999.9</v>
      </c>
      <c r="DD80">
        <v>70.858000000000004</v>
      </c>
      <c r="DE80">
        <v>23.946999999999999</v>
      </c>
      <c r="DF80">
        <v>21.063500000000001</v>
      </c>
      <c r="DG80">
        <v>30.52</v>
      </c>
      <c r="DH80">
        <v>15.961499999999999</v>
      </c>
      <c r="DI80">
        <v>2</v>
      </c>
      <c r="DJ80">
        <v>-0.194356</v>
      </c>
      <c r="DK80">
        <v>1.49621</v>
      </c>
      <c r="DL80">
        <v>20.238700000000001</v>
      </c>
      <c r="DM80">
        <v>5.2527499999999998</v>
      </c>
      <c r="DN80">
        <v>12.033899999999999</v>
      </c>
      <c r="DO80">
        <v>4.9674399999999999</v>
      </c>
      <c r="DP80">
        <v>3.2909999999999999</v>
      </c>
      <c r="DQ80">
        <v>9999</v>
      </c>
      <c r="DR80">
        <v>9999</v>
      </c>
      <c r="DS80">
        <v>596.70000000000005</v>
      </c>
      <c r="DT80">
        <v>9999</v>
      </c>
      <c r="DU80">
        <v>1.87097</v>
      </c>
      <c r="DV80">
        <v>1.8760699999999999</v>
      </c>
      <c r="DW80">
        <v>1.87622</v>
      </c>
      <c r="DX80">
        <v>1.88276</v>
      </c>
      <c r="DY80">
        <v>1.8754599999999999</v>
      </c>
      <c r="DZ80">
        <v>1.8745499999999999</v>
      </c>
      <c r="EA80">
        <v>1.87073</v>
      </c>
      <c r="EB80">
        <v>1.8745499999999999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-1.0640000000000001</v>
      </c>
      <c r="EQ80">
        <v>8.8099999999999998E-2</v>
      </c>
      <c r="ER80">
        <v>-1.0635999999999499</v>
      </c>
      <c r="ES80">
        <v>0</v>
      </c>
      <c r="ET80">
        <v>0</v>
      </c>
      <c r="EU80">
        <v>0</v>
      </c>
      <c r="EV80">
        <v>8.8020000000000195E-2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9.4</v>
      </c>
      <c r="FE80">
        <v>9.3000000000000007</v>
      </c>
      <c r="FF80">
        <v>1.23291</v>
      </c>
      <c r="FG80">
        <v>2.5732400000000002</v>
      </c>
      <c r="FH80">
        <v>2.19604</v>
      </c>
      <c r="FI80">
        <v>2.5793499999999998</v>
      </c>
      <c r="FJ80">
        <v>2.4462899999999999</v>
      </c>
      <c r="FK80">
        <v>2.2814899999999998</v>
      </c>
      <c r="FL80">
        <v>29.4101</v>
      </c>
      <c r="FM80">
        <v>24.1663</v>
      </c>
      <c r="FN80">
        <v>19</v>
      </c>
      <c r="FO80">
        <v>863.33100000000002</v>
      </c>
      <c r="FP80">
        <v>602.13199999999995</v>
      </c>
      <c r="FQ80">
        <v>18.647500000000001</v>
      </c>
      <c r="FR80">
        <v>24.556699999999999</v>
      </c>
      <c r="FS80">
        <v>30.0001</v>
      </c>
      <c r="FT80">
        <v>24.545200000000001</v>
      </c>
      <c r="FU80">
        <v>24.546399999999998</v>
      </c>
      <c r="FV80">
        <v>24.7422</v>
      </c>
      <c r="FW80">
        <v>37.451900000000002</v>
      </c>
      <c r="FX80">
        <v>55.315399999999997</v>
      </c>
      <c r="FY80">
        <v>18.650300000000001</v>
      </c>
      <c r="FZ80">
        <v>410</v>
      </c>
      <c r="GA80">
        <v>13.907500000000001</v>
      </c>
      <c r="GB80">
        <v>99.950299999999999</v>
      </c>
      <c r="GC80">
        <v>99.628699999999995</v>
      </c>
    </row>
    <row r="81" spans="1:185" x14ac:dyDescent="0.2">
      <c r="A81">
        <v>66</v>
      </c>
      <c r="B81">
        <v>1770999845</v>
      </c>
      <c r="C81">
        <v>1221.9000000953699</v>
      </c>
      <c r="D81" t="s">
        <v>426</v>
      </c>
      <c r="E81" t="s">
        <v>427</v>
      </c>
      <c r="F81">
        <v>15</v>
      </c>
      <c r="G81">
        <v>1770999836.9333301</v>
      </c>
      <c r="H81">
        <f t="shared" si="13"/>
        <v>1.124937254382804E-3</v>
      </c>
      <c r="I81">
        <v>0</v>
      </c>
      <c r="J81">
        <f t="shared" ref="J81:J144" si="25">K81*(0.0007335/0.0131159)</f>
        <v>4.062204529860493E-3</v>
      </c>
      <c r="K81">
        <f t="shared" si="14"/>
        <v>7.263731205616529E-2</v>
      </c>
      <c r="L81">
        <f t="shared" si="15"/>
        <v>69.720126068464353</v>
      </c>
      <c r="M81">
        <f t="shared" si="16"/>
        <v>1.5373362851931951</v>
      </c>
      <c r="N81">
        <f t="shared" si="17"/>
        <v>2.2050107650171902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26307.022074384982</v>
      </c>
      <c r="T81">
        <f t="shared" si="21"/>
        <v>100.000593333333</v>
      </c>
      <c r="U81">
        <f t="shared" si="22"/>
        <v>84.30041873951653</v>
      </c>
      <c r="V81">
        <f t="shared" si="23"/>
        <v>0.8429991856000002</v>
      </c>
      <c r="W81">
        <f t="shared" si="24"/>
        <v>0.15869819785600003</v>
      </c>
      <c r="X81">
        <v>1</v>
      </c>
      <c r="Y81">
        <v>1770999836.9333301</v>
      </c>
      <c r="Z81">
        <v>409.340933333333</v>
      </c>
      <c r="AA81">
        <v>410.00733333333301</v>
      </c>
      <c r="AB81">
        <v>15.297639999999999</v>
      </c>
      <c r="AC81">
        <v>13.912979999999999</v>
      </c>
      <c r="AD81">
        <v>410.40440000000001</v>
      </c>
      <c r="AE81">
        <v>15.2096133333333</v>
      </c>
      <c r="AF81">
        <v>800.00026666666702</v>
      </c>
      <c r="AG81">
        <v>100.429866666667</v>
      </c>
      <c r="AH81">
        <v>6.5130286666666704E-2</v>
      </c>
      <c r="AI81">
        <v>18.9987666666667</v>
      </c>
      <c r="AJ81">
        <v>999.9</v>
      </c>
      <c r="AK81">
        <v>999.9</v>
      </c>
      <c r="AL81">
        <v>0</v>
      </c>
      <c r="AM81">
        <v>0</v>
      </c>
      <c r="AN81">
        <v>4995.3999999999996</v>
      </c>
      <c r="AO81">
        <v>0</v>
      </c>
      <c r="AP81">
        <v>1.86317</v>
      </c>
      <c r="AQ81">
        <v>-0.66648346666666702</v>
      </c>
      <c r="AR81">
        <v>415.7</v>
      </c>
      <c r="AS81">
        <v>415.79226666666699</v>
      </c>
      <c r="AT81">
        <v>1.38465666666667</v>
      </c>
      <c r="AU81">
        <v>410.00733333333301</v>
      </c>
      <c r="AV81">
        <v>13.912979999999999</v>
      </c>
      <c r="AW81">
        <v>1.5363386666666701</v>
      </c>
      <c r="AX81">
        <v>1.3972773333333299</v>
      </c>
      <c r="AY81">
        <v>13.3346866666667</v>
      </c>
      <c r="AZ81">
        <v>11.888120000000001</v>
      </c>
      <c r="BA81">
        <v>100.000593333333</v>
      </c>
      <c r="BB81">
        <v>0.900023666666667</v>
      </c>
      <c r="BC81">
        <v>0</v>
      </c>
      <c r="BD81">
        <v>9.99762133333333E-2</v>
      </c>
      <c r="BE81">
        <v>0</v>
      </c>
      <c r="BF81">
        <v>24</v>
      </c>
      <c r="BG81">
        <v>1648.8966666666699</v>
      </c>
      <c r="BH81">
        <v>1770999274</v>
      </c>
      <c r="BI81" t="s">
        <v>379</v>
      </c>
      <c r="BJ81">
        <v>1770999268</v>
      </c>
      <c r="BK81">
        <v>1770999274</v>
      </c>
      <c r="BL81">
        <v>2</v>
      </c>
      <c r="BM81">
        <v>0.127</v>
      </c>
      <c r="BN81">
        <v>-2E-3</v>
      </c>
      <c r="BO81">
        <v>-1.0640000000000001</v>
      </c>
      <c r="BP81">
        <v>8.7999999999999995E-2</v>
      </c>
      <c r="BQ81">
        <v>410</v>
      </c>
      <c r="BR81">
        <v>14</v>
      </c>
      <c r="BS81">
        <v>0.23</v>
      </c>
      <c r="BT81">
        <v>0.03</v>
      </c>
      <c r="BU81">
        <v>-0.66012110000000002</v>
      </c>
      <c r="BV81">
        <v>-4.7597864661654603E-2</v>
      </c>
      <c r="BW81">
        <v>2.1247187168893698E-2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1.382409</v>
      </c>
      <c r="CD81">
        <v>4.7270977443608801E-2</v>
      </c>
      <c r="CE81">
        <v>6.2392835325861097E-3</v>
      </c>
      <c r="CF81">
        <v>1</v>
      </c>
      <c r="CG81">
        <v>2</v>
      </c>
      <c r="CH81">
        <v>2</v>
      </c>
      <c r="CI81" t="s">
        <v>304</v>
      </c>
      <c r="CJ81">
        <v>3.5325500000000001</v>
      </c>
      <c r="CK81">
        <v>2.7029000000000001</v>
      </c>
      <c r="CL81">
        <v>9.8420099999999996E-2</v>
      </c>
      <c r="CM81">
        <v>9.7130900000000006E-2</v>
      </c>
      <c r="CN81">
        <v>8.7195499999999995E-2</v>
      </c>
      <c r="CO81">
        <v>8.0366199999999999E-2</v>
      </c>
      <c r="CP81">
        <v>31649.8</v>
      </c>
      <c r="CQ81">
        <v>27784.1</v>
      </c>
      <c r="CR81">
        <v>32487.1</v>
      </c>
      <c r="CS81">
        <v>30696.1</v>
      </c>
      <c r="CT81">
        <v>40136.199999999997</v>
      </c>
      <c r="CU81">
        <v>39683</v>
      </c>
      <c r="CV81">
        <v>47426.7</v>
      </c>
      <c r="CW81">
        <v>46792.800000000003</v>
      </c>
      <c r="CX81">
        <v>2.6373199999999999</v>
      </c>
      <c r="CY81">
        <v>2.177</v>
      </c>
      <c r="CZ81">
        <v>0</v>
      </c>
      <c r="DA81">
        <v>0</v>
      </c>
      <c r="DB81">
        <v>999.9</v>
      </c>
      <c r="DC81">
        <v>999.9</v>
      </c>
      <c r="DD81">
        <v>70.73</v>
      </c>
      <c r="DE81">
        <v>23.978000000000002</v>
      </c>
      <c r="DF81">
        <v>21.064599999999999</v>
      </c>
      <c r="DG81">
        <v>30.64</v>
      </c>
      <c r="DH81">
        <v>15.9495</v>
      </c>
      <c r="DI81">
        <v>2</v>
      </c>
      <c r="DJ81">
        <v>-0.194104</v>
      </c>
      <c r="DK81">
        <v>1.5040899999999999</v>
      </c>
      <c r="DL81">
        <v>20.238600000000002</v>
      </c>
      <c r="DM81">
        <v>5.2516699999999998</v>
      </c>
      <c r="DN81">
        <v>12.033899999999999</v>
      </c>
      <c r="DO81">
        <v>4.9672799999999997</v>
      </c>
      <c r="DP81">
        <v>3.2909999999999999</v>
      </c>
      <c r="DQ81">
        <v>9999</v>
      </c>
      <c r="DR81">
        <v>9999</v>
      </c>
      <c r="DS81">
        <v>596.70000000000005</v>
      </c>
      <c r="DT81">
        <v>9999</v>
      </c>
      <c r="DU81">
        <v>1.87096</v>
      </c>
      <c r="DV81">
        <v>1.8760600000000001</v>
      </c>
      <c r="DW81">
        <v>1.87622</v>
      </c>
      <c r="DX81">
        <v>1.8827700000000001</v>
      </c>
      <c r="DY81">
        <v>1.8754599999999999</v>
      </c>
      <c r="DZ81">
        <v>1.8745499999999999</v>
      </c>
      <c r="EA81">
        <v>1.87073</v>
      </c>
      <c r="EB81">
        <v>1.8745400000000001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-1.0629999999999999</v>
      </c>
      <c r="EQ81">
        <v>8.7999999999999995E-2</v>
      </c>
      <c r="ER81">
        <v>-1.0635999999999499</v>
      </c>
      <c r="ES81">
        <v>0</v>
      </c>
      <c r="ET81">
        <v>0</v>
      </c>
      <c r="EU81">
        <v>0</v>
      </c>
      <c r="EV81">
        <v>8.8020000000000195E-2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9.6</v>
      </c>
      <c r="FE81">
        <v>9.5</v>
      </c>
      <c r="FF81">
        <v>1.23291</v>
      </c>
      <c r="FG81">
        <v>2.5744600000000002</v>
      </c>
      <c r="FH81">
        <v>2.19604</v>
      </c>
      <c r="FI81">
        <v>2.5793499999999998</v>
      </c>
      <c r="FJ81">
        <v>2.4462899999999999</v>
      </c>
      <c r="FK81">
        <v>2.2985799999999998</v>
      </c>
      <c r="FL81">
        <v>29.4314</v>
      </c>
      <c r="FM81">
        <v>24.1663</v>
      </c>
      <c r="FN81">
        <v>19</v>
      </c>
      <c r="FO81">
        <v>863.36199999999997</v>
      </c>
      <c r="FP81">
        <v>601.91200000000003</v>
      </c>
      <c r="FQ81">
        <v>18.652899999999999</v>
      </c>
      <c r="FR81">
        <v>24.560300000000002</v>
      </c>
      <c r="FS81">
        <v>30.0002</v>
      </c>
      <c r="FT81">
        <v>24.549399999999999</v>
      </c>
      <c r="FU81">
        <v>24.5505</v>
      </c>
      <c r="FV81">
        <v>24.741199999999999</v>
      </c>
      <c r="FW81">
        <v>37.451900000000002</v>
      </c>
      <c r="FX81">
        <v>54.939300000000003</v>
      </c>
      <c r="FY81">
        <v>18.652899999999999</v>
      </c>
      <c r="FZ81">
        <v>410</v>
      </c>
      <c r="GA81">
        <v>13.912000000000001</v>
      </c>
      <c r="GB81">
        <v>99.950199999999995</v>
      </c>
      <c r="GC81">
        <v>99.628600000000006</v>
      </c>
    </row>
    <row r="82" spans="1:185" x14ac:dyDescent="0.2">
      <c r="A82">
        <v>67</v>
      </c>
      <c r="B82">
        <v>1770999860</v>
      </c>
      <c r="C82">
        <v>1236.9000000953699</v>
      </c>
      <c r="D82" t="s">
        <v>428</v>
      </c>
      <c r="E82" t="s">
        <v>429</v>
      </c>
      <c r="F82">
        <v>15</v>
      </c>
      <c r="G82">
        <v>1770999851.9333301</v>
      </c>
      <c r="H82">
        <f t="shared" si="13"/>
        <v>1.1329851690491169E-3</v>
      </c>
      <c r="I82">
        <v>0</v>
      </c>
      <c r="J82">
        <f t="shared" si="25"/>
        <v>3.8494814353966945E-3</v>
      </c>
      <c r="K82">
        <f t="shared" si="14"/>
        <v>6.8833556317E-2</v>
      </c>
      <c r="L82">
        <f t="shared" si="15"/>
        <v>69.715891606734459</v>
      </c>
      <c r="M82">
        <f t="shared" si="16"/>
        <v>1.5372525078021626</v>
      </c>
      <c r="N82">
        <f t="shared" si="17"/>
        <v>2.2050245250735143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26338.497744183169</v>
      </c>
      <c r="T82">
        <f t="shared" si="21"/>
        <v>99.998599999999996</v>
      </c>
      <c r="U82">
        <f t="shared" si="22"/>
        <v>84.298737961145747</v>
      </c>
      <c r="V82">
        <f t="shared" si="23"/>
        <v>0.84299918159999987</v>
      </c>
      <c r="W82">
        <f t="shared" si="24"/>
        <v>0.15869779809599999</v>
      </c>
      <c r="X82">
        <v>1</v>
      </c>
      <c r="Y82">
        <v>1770999851.9333301</v>
      </c>
      <c r="Z82">
        <v>409.322133333333</v>
      </c>
      <c r="AA82">
        <v>409.987866666667</v>
      </c>
      <c r="AB82">
        <v>15.2970333333333</v>
      </c>
      <c r="AC82">
        <v>13.902473333333299</v>
      </c>
      <c r="AD82">
        <v>410.38560000000001</v>
      </c>
      <c r="AE82">
        <v>15.2090266666667</v>
      </c>
      <c r="AF82">
        <v>800.00419999999997</v>
      </c>
      <c r="AG82">
        <v>100.4284</v>
      </c>
      <c r="AH82">
        <v>6.5105786666666707E-2</v>
      </c>
      <c r="AI82">
        <v>18.9988666666667</v>
      </c>
      <c r="AJ82">
        <v>999.9</v>
      </c>
      <c r="AK82">
        <v>999.9</v>
      </c>
      <c r="AL82">
        <v>0</v>
      </c>
      <c r="AM82">
        <v>0</v>
      </c>
      <c r="AN82">
        <v>5000.6333333333296</v>
      </c>
      <c r="AO82">
        <v>0</v>
      </c>
      <c r="AP82">
        <v>1.86317</v>
      </c>
      <c r="AQ82">
        <v>-0.66573273333333305</v>
      </c>
      <c r="AR82">
        <v>415.68073333333302</v>
      </c>
      <c r="AS82">
        <v>415.76799999999997</v>
      </c>
      <c r="AT82">
        <v>1.3945666666666701</v>
      </c>
      <c r="AU82">
        <v>409.987866666667</v>
      </c>
      <c r="AV82">
        <v>13.902473333333299</v>
      </c>
      <c r="AW82">
        <v>1.5362560000000001</v>
      </c>
      <c r="AX82">
        <v>1.3962013333333301</v>
      </c>
      <c r="AY82">
        <v>13.33386</v>
      </c>
      <c r="AZ82">
        <v>11.8764466666667</v>
      </c>
      <c r="BA82">
        <v>99.998599999999996</v>
      </c>
      <c r="BB82">
        <v>0.90002959999999999</v>
      </c>
      <c r="BC82">
        <v>0</v>
      </c>
      <c r="BD82">
        <v>9.997048E-2</v>
      </c>
      <c r="BE82">
        <v>0</v>
      </c>
      <c r="BF82">
        <v>24</v>
      </c>
      <c r="BG82">
        <v>1648.8679999999999</v>
      </c>
      <c r="BH82">
        <v>1770999274</v>
      </c>
      <c r="BI82" t="s">
        <v>379</v>
      </c>
      <c r="BJ82">
        <v>1770999268</v>
      </c>
      <c r="BK82">
        <v>1770999274</v>
      </c>
      <c r="BL82">
        <v>2</v>
      </c>
      <c r="BM82">
        <v>0.127</v>
      </c>
      <c r="BN82">
        <v>-2E-3</v>
      </c>
      <c r="BO82">
        <v>-1.0640000000000001</v>
      </c>
      <c r="BP82">
        <v>8.7999999999999995E-2</v>
      </c>
      <c r="BQ82">
        <v>410</v>
      </c>
      <c r="BR82">
        <v>14</v>
      </c>
      <c r="BS82">
        <v>0.23</v>
      </c>
      <c r="BT82">
        <v>0.03</v>
      </c>
      <c r="BU82">
        <v>-0.66355380952380905</v>
      </c>
      <c r="BV82">
        <v>-3.5356363636358302E-3</v>
      </c>
      <c r="BW82">
        <v>1.7268233046121E-2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1.39252333333333</v>
      </c>
      <c r="CD82">
        <v>4.1208311688313702E-2</v>
      </c>
      <c r="CE82">
        <v>4.6440256893318897E-3</v>
      </c>
      <c r="CF82">
        <v>1</v>
      </c>
      <c r="CG82">
        <v>2</v>
      </c>
      <c r="CH82">
        <v>2</v>
      </c>
      <c r="CI82" t="s">
        <v>304</v>
      </c>
      <c r="CJ82">
        <v>3.5325500000000001</v>
      </c>
      <c r="CK82">
        <v>2.7031399999999999</v>
      </c>
      <c r="CL82">
        <v>9.8417199999999996E-2</v>
      </c>
      <c r="CM82">
        <v>9.7122700000000006E-2</v>
      </c>
      <c r="CN82">
        <v>8.7198700000000004E-2</v>
      </c>
      <c r="CO82">
        <v>8.0336400000000002E-2</v>
      </c>
      <c r="CP82">
        <v>31649.200000000001</v>
      </c>
      <c r="CQ82">
        <v>27784.9</v>
      </c>
      <c r="CR82">
        <v>32486.3</v>
      </c>
      <c r="CS82">
        <v>30696.799999999999</v>
      </c>
      <c r="CT82">
        <v>40135.199999999997</v>
      </c>
      <c r="CU82">
        <v>39685.300000000003</v>
      </c>
      <c r="CV82">
        <v>47425.7</v>
      </c>
      <c r="CW82">
        <v>46794</v>
      </c>
      <c r="CX82">
        <v>2.6373799999999998</v>
      </c>
      <c r="CY82">
        <v>2.1767400000000001</v>
      </c>
      <c r="CZ82">
        <v>0</v>
      </c>
      <c r="DA82">
        <v>0</v>
      </c>
      <c r="DB82">
        <v>999.9</v>
      </c>
      <c r="DC82">
        <v>999.9</v>
      </c>
      <c r="DD82">
        <v>70.602000000000004</v>
      </c>
      <c r="DE82">
        <v>23.988</v>
      </c>
      <c r="DF82">
        <v>21.039200000000001</v>
      </c>
      <c r="DG82">
        <v>30.76</v>
      </c>
      <c r="DH82">
        <v>15.9535</v>
      </c>
      <c r="DI82">
        <v>2</v>
      </c>
      <c r="DJ82">
        <v>-0.19373599999999999</v>
      </c>
      <c r="DK82">
        <v>1.5039100000000001</v>
      </c>
      <c r="DL82">
        <v>20.238600000000002</v>
      </c>
      <c r="DM82">
        <v>5.2510700000000003</v>
      </c>
      <c r="DN82">
        <v>12.033899999999999</v>
      </c>
      <c r="DO82">
        <v>4.9671599999999998</v>
      </c>
      <c r="DP82">
        <v>3.2909999999999999</v>
      </c>
      <c r="DQ82">
        <v>9999</v>
      </c>
      <c r="DR82">
        <v>9999</v>
      </c>
      <c r="DS82">
        <v>596.70000000000005</v>
      </c>
      <c r="DT82">
        <v>9999</v>
      </c>
      <c r="DU82">
        <v>1.8709499999999999</v>
      </c>
      <c r="DV82">
        <v>1.8760699999999999</v>
      </c>
      <c r="DW82">
        <v>1.87622</v>
      </c>
      <c r="DX82">
        <v>1.88276</v>
      </c>
      <c r="DY82">
        <v>1.8754599999999999</v>
      </c>
      <c r="DZ82">
        <v>1.8745400000000001</v>
      </c>
      <c r="EA82">
        <v>1.87073</v>
      </c>
      <c r="EB82">
        <v>1.8745499999999999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-1.0640000000000001</v>
      </c>
      <c r="EQ82">
        <v>8.7999999999999995E-2</v>
      </c>
      <c r="ER82">
        <v>-1.0635999999999499</v>
      </c>
      <c r="ES82">
        <v>0</v>
      </c>
      <c r="ET82">
        <v>0</v>
      </c>
      <c r="EU82">
        <v>0</v>
      </c>
      <c r="EV82">
        <v>8.8020000000000195E-2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9.9</v>
      </c>
      <c r="FE82">
        <v>9.8000000000000007</v>
      </c>
      <c r="FF82">
        <v>1.23291</v>
      </c>
      <c r="FG82">
        <v>2.5708000000000002</v>
      </c>
      <c r="FH82">
        <v>2.19604</v>
      </c>
      <c r="FI82">
        <v>2.5805699999999998</v>
      </c>
      <c r="FJ82">
        <v>2.4462899999999999</v>
      </c>
      <c r="FK82">
        <v>2.2680699999999998</v>
      </c>
      <c r="FL82">
        <v>29.4527</v>
      </c>
      <c r="FM82">
        <v>24.14</v>
      </c>
      <c r="FN82">
        <v>19</v>
      </c>
      <c r="FO82">
        <v>863.47799999999995</v>
      </c>
      <c r="FP82">
        <v>601.755</v>
      </c>
      <c r="FQ82">
        <v>18.654599999999999</v>
      </c>
      <c r="FR82">
        <v>24.5641</v>
      </c>
      <c r="FS82">
        <v>30.0002</v>
      </c>
      <c r="FT82">
        <v>24.5532</v>
      </c>
      <c r="FU82">
        <v>24.554600000000001</v>
      </c>
      <c r="FV82">
        <v>24.743300000000001</v>
      </c>
      <c r="FW82">
        <v>37.451900000000002</v>
      </c>
      <c r="FX82">
        <v>54.188400000000001</v>
      </c>
      <c r="FY82">
        <v>18.6553</v>
      </c>
      <c r="FZ82">
        <v>410</v>
      </c>
      <c r="GA82">
        <v>13.9092</v>
      </c>
      <c r="GB82">
        <v>99.947999999999993</v>
      </c>
      <c r="GC82">
        <v>99.631</v>
      </c>
    </row>
    <row r="83" spans="1:185" x14ac:dyDescent="0.2">
      <c r="A83">
        <v>68</v>
      </c>
      <c r="B83">
        <v>1770999875</v>
      </c>
      <c r="C83">
        <v>1251.9000000953699</v>
      </c>
      <c r="D83" t="s">
        <v>430</v>
      </c>
      <c r="E83" t="s">
        <v>431</v>
      </c>
      <c r="F83">
        <v>15</v>
      </c>
      <c r="G83">
        <v>1770999866.9333301</v>
      </c>
      <c r="H83">
        <f t="shared" si="13"/>
        <v>1.1370587842233339E-3</v>
      </c>
      <c r="I83">
        <v>0</v>
      </c>
      <c r="J83">
        <f t="shared" si="25"/>
        <v>1.1088152279834802E-3</v>
      </c>
      <c r="K83">
        <f t="shared" si="14"/>
        <v>1.982700701937086E-2</v>
      </c>
      <c r="L83">
        <f t="shared" si="15"/>
        <v>69.691050984230458</v>
      </c>
      <c r="M83">
        <f t="shared" si="16"/>
        <v>1.5367009301663257</v>
      </c>
      <c r="N83">
        <f t="shared" si="17"/>
        <v>2.2050190210419514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26355.182651360272</v>
      </c>
      <c r="T83">
        <f t="shared" si="21"/>
        <v>100.000713333333</v>
      </c>
      <c r="U83">
        <f t="shared" si="22"/>
        <v>84.300473399087096</v>
      </c>
      <c r="V83">
        <f t="shared" si="23"/>
        <v>0.84299872060000025</v>
      </c>
      <c r="W83">
        <f t="shared" si="24"/>
        <v>0.15869645071600005</v>
      </c>
      <c r="X83">
        <v>1</v>
      </c>
      <c r="Y83">
        <v>1770999866.9333301</v>
      </c>
      <c r="Z83">
        <v>409.39786666666703</v>
      </c>
      <c r="AA83">
        <v>410.00453333333297</v>
      </c>
      <c r="AB83">
        <v>15.291733333333299</v>
      </c>
      <c r="AC83">
        <v>13.892153333333299</v>
      </c>
      <c r="AD83">
        <v>410.40086666666701</v>
      </c>
      <c r="AE83">
        <v>15.202733333333301</v>
      </c>
      <c r="AF83">
        <v>800.00513333333299</v>
      </c>
      <c r="AG83">
        <v>100.42700000000001</v>
      </c>
      <c r="AH83">
        <v>6.5265766666666697E-2</v>
      </c>
      <c r="AI83">
        <v>18.998826666666702</v>
      </c>
      <c r="AJ83">
        <v>999.9</v>
      </c>
      <c r="AK83">
        <v>999.9</v>
      </c>
      <c r="AL83">
        <v>0</v>
      </c>
      <c r="AM83">
        <v>0</v>
      </c>
      <c r="AN83">
        <v>5003.4333333333298</v>
      </c>
      <c r="AO83">
        <v>0</v>
      </c>
      <c r="AP83">
        <v>1.86317</v>
      </c>
      <c r="AQ83">
        <v>-0.66736046666666704</v>
      </c>
      <c r="AR83">
        <v>415.69333333333299</v>
      </c>
      <c r="AS83">
        <v>415.78059999999999</v>
      </c>
      <c r="AT83">
        <v>1.3985860000000001</v>
      </c>
      <c r="AU83">
        <v>410.00453333333297</v>
      </c>
      <c r="AV83">
        <v>13.892153333333299</v>
      </c>
      <c r="AW83">
        <v>1.535604</v>
      </c>
      <c r="AX83">
        <v>1.39514733333333</v>
      </c>
      <c r="AY83">
        <v>13.327353333333299</v>
      </c>
      <c r="AZ83">
        <v>11.865</v>
      </c>
      <c r="BA83">
        <v>100.000713333333</v>
      </c>
      <c r="BB83">
        <v>0.90004786666666703</v>
      </c>
      <c r="BC83">
        <v>0</v>
      </c>
      <c r="BD83">
        <v>9.9952313333333306E-2</v>
      </c>
      <c r="BE83">
        <v>0</v>
      </c>
      <c r="BF83">
        <v>24</v>
      </c>
      <c r="BG83">
        <v>1648.914</v>
      </c>
      <c r="BH83">
        <v>1770999899</v>
      </c>
      <c r="BI83" t="s">
        <v>432</v>
      </c>
      <c r="BJ83">
        <v>1770999896</v>
      </c>
      <c r="BK83">
        <v>1770999899</v>
      </c>
      <c r="BL83">
        <v>3</v>
      </c>
      <c r="BM83">
        <v>6.0999999999999999E-2</v>
      </c>
      <c r="BN83">
        <v>1E-3</v>
      </c>
      <c r="BO83">
        <v>-1.0029999999999999</v>
      </c>
      <c r="BP83">
        <v>8.8999999999999996E-2</v>
      </c>
      <c r="BQ83">
        <v>410</v>
      </c>
      <c r="BR83">
        <v>14</v>
      </c>
      <c r="BS83">
        <v>0.21</v>
      </c>
      <c r="BT83">
        <v>0.02</v>
      </c>
      <c r="BU83">
        <v>-0.66501465000000004</v>
      </c>
      <c r="BV83">
        <v>3.0734390977443699E-2</v>
      </c>
      <c r="BW83">
        <v>2.6157522625957899E-2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1.3984669999999999</v>
      </c>
      <c r="CD83">
        <v>-8.2348872180426202E-3</v>
      </c>
      <c r="CE83">
        <v>2.2678846972454402E-3</v>
      </c>
      <c r="CF83">
        <v>1</v>
      </c>
      <c r="CG83">
        <v>2</v>
      </c>
      <c r="CH83">
        <v>2</v>
      </c>
      <c r="CI83" t="s">
        <v>304</v>
      </c>
      <c r="CJ83">
        <v>3.53254</v>
      </c>
      <c r="CK83">
        <v>2.7030400000000001</v>
      </c>
      <c r="CL83">
        <v>9.8425700000000005E-2</v>
      </c>
      <c r="CM83">
        <v>9.7124600000000005E-2</v>
      </c>
      <c r="CN83">
        <v>8.7133500000000003E-2</v>
      </c>
      <c r="CO83">
        <v>8.0279400000000001E-2</v>
      </c>
      <c r="CP83">
        <v>31650.1</v>
      </c>
      <c r="CQ83">
        <v>27784.799999999999</v>
      </c>
      <c r="CR83">
        <v>32487.599999999999</v>
      </c>
      <c r="CS83">
        <v>30696.7</v>
      </c>
      <c r="CT83">
        <v>40139.9</v>
      </c>
      <c r="CU83">
        <v>39687.9</v>
      </c>
      <c r="CV83">
        <v>47427.7</v>
      </c>
      <c r="CW83">
        <v>46794.1</v>
      </c>
      <c r="CX83">
        <v>2.6372399999999998</v>
      </c>
      <c r="CY83">
        <v>2.1763599999999999</v>
      </c>
      <c r="CZ83">
        <v>0</v>
      </c>
      <c r="DA83">
        <v>0</v>
      </c>
      <c r="DB83">
        <v>999.9</v>
      </c>
      <c r="DC83">
        <v>999.9</v>
      </c>
      <c r="DD83">
        <v>70.486000000000004</v>
      </c>
      <c r="DE83">
        <v>23.988</v>
      </c>
      <c r="DF83">
        <v>21.004999999999999</v>
      </c>
      <c r="DG83">
        <v>30.58</v>
      </c>
      <c r="DH83">
        <v>16.021599999999999</v>
      </c>
      <c r="DI83">
        <v>2</v>
      </c>
      <c r="DJ83">
        <v>-0.19372</v>
      </c>
      <c r="DK83">
        <v>1.5030300000000001</v>
      </c>
      <c r="DL83">
        <v>20.238600000000002</v>
      </c>
      <c r="DM83">
        <v>5.2515499999999999</v>
      </c>
      <c r="DN83">
        <v>12.033899999999999</v>
      </c>
      <c r="DO83">
        <v>4.9673600000000002</v>
      </c>
      <c r="DP83">
        <v>3.2909999999999999</v>
      </c>
      <c r="DQ83">
        <v>9999</v>
      </c>
      <c r="DR83">
        <v>9999</v>
      </c>
      <c r="DS83">
        <v>596.70000000000005</v>
      </c>
      <c r="DT83">
        <v>9999</v>
      </c>
      <c r="DU83">
        <v>1.8709899999999999</v>
      </c>
      <c r="DV83">
        <v>1.8760600000000001</v>
      </c>
      <c r="DW83">
        <v>1.8762300000000001</v>
      </c>
      <c r="DX83">
        <v>1.88276</v>
      </c>
      <c r="DY83">
        <v>1.87547</v>
      </c>
      <c r="DZ83">
        <v>1.8745499999999999</v>
      </c>
      <c r="EA83">
        <v>1.87073</v>
      </c>
      <c r="EB83">
        <v>1.8746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-1.0029999999999999</v>
      </c>
      <c r="EQ83">
        <v>8.8999999999999996E-2</v>
      </c>
      <c r="ER83">
        <v>-1.0635999999999499</v>
      </c>
      <c r="ES83">
        <v>0</v>
      </c>
      <c r="ET83">
        <v>0</v>
      </c>
      <c r="EU83">
        <v>0</v>
      </c>
      <c r="EV83">
        <v>8.8020000000000195E-2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10.1</v>
      </c>
      <c r="FE83">
        <v>10</v>
      </c>
      <c r="FF83">
        <v>1.23291</v>
      </c>
      <c r="FG83">
        <v>2.5695800000000002</v>
      </c>
      <c r="FH83">
        <v>2.19604</v>
      </c>
      <c r="FI83">
        <v>2.5793499999999998</v>
      </c>
      <c r="FJ83">
        <v>2.4462899999999999</v>
      </c>
      <c r="FK83">
        <v>2.2814899999999998</v>
      </c>
      <c r="FL83">
        <v>29.4527</v>
      </c>
      <c r="FM83">
        <v>24.1663</v>
      </c>
      <c r="FN83">
        <v>19</v>
      </c>
      <c r="FO83">
        <v>863.40899999999999</v>
      </c>
      <c r="FP83">
        <v>601.50300000000004</v>
      </c>
      <c r="FQ83">
        <v>18.657</v>
      </c>
      <c r="FR83">
        <v>24.566600000000001</v>
      </c>
      <c r="FS83">
        <v>30.0001</v>
      </c>
      <c r="FT83">
        <v>24.556899999999999</v>
      </c>
      <c r="FU83">
        <v>24.558700000000002</v>
      </c>
      <c r="FV83">
        <v>24.742799999999999</v>
      </c>
      <c r="FW83">
        <v>37.451900000000002</v>
      </c>
      <c r="FX83">
        <v>53.813800000000001</v>
      </c>
      <c r="FY83">
        <v>18.657699999999998</v>
      </c>
      <c r="FZ83">
        <v>410</v>
      </c>
      <c r="GA83">
        <v>13.9223</v>
      </c>
      <c r="GB83">
        <v>99.952100000000002</v>
      </c>
      <c r="GC83">
        <v>99.631</v>
      </c>
    </row>
    <row r="84" spans="1:185" x14ac:dyDescent="0.2">
      <c r="A84">
        <v>69</v>
      </c>
      <c r="B84">
        <v>1770999901</v>
      </c>
      <c r="C84">
        <v>1277.9000000953699</v>
      </c>
      <c r="D84" t="s">
        <v>433</v>
      </c>
      <c r="E84" t="s">
        <v>434</v>
      </c>
      <c r="F84">
        <v>15</v>
      </c>
      <c r="G84">
        <v>1770999900</v>
      </c>
      <c r="H84">
        <f t="shared" si="13"/>
        <v>-8.9243259994762437E-7</v>
      </c>
      <c r="I84">
        <v>0</v>
      </c>
      <c r="J84">
        <f t="shared" si="25"/>
        <v>-1.3217928423125596E-3</v>
      </c>
      <c r="K84">
        <f t="shared" si="14"/>
        <v>-2.3635313892961553E-2</v>
      </c>
      <c r="L84">
        <f t="shared" si="15"/>
        <v>63.265490924144821</v>
      </c>
      <c r="M84">
        <f t="shared" si="16"/>
        <v>1.3950050818666999</v>
      </c>
      <c r="N84">
        <f t="shared" si="17"/>
        <v>2.2050015916881258</v>
      </c>
      <c r="O84">
        <v>485</v>
      </c>
      <c r="P84">
        <v>61</v>
      </c>
      <c r="Q84">
        <f t="shared" si="18"/>
        <v>1</v>
      </c>
      <c r="R84">
        <f t="shared" si="19"/>
        <v>0</v>
      </c>
      <c r="S84">
        <f t="shared" si="20"/>
        <v>26412.905670395474</v>
      </c>
      <c r="T84">
        <f t="shared" si="21"/>
        <v>100.008</v>
      </c>
      <c r="U84">
        <f t="shared" si="22"/>
        <v>84.306668393951995</v>
      </c>
      <c r="V84">
        <f t="shared" si="23"/>
        <v>0.84299924399999993</v>
      </c>
      <c r="W84">
        <f t="shared" si="24"/>
        <v>0.15869772024000001</v>
      </c>
      <c r="X84">
        <v>1</v>
      </c>
      <c r="Y84">
        <v>1770999900</v>
      </c>
      <c r="Z84">
        <v>410.02100000000002</v>
      </c>
      <c r="AA84">
        <v>409.99099999999999</v>
      </c>
      <c r="AB84">
        <v>13.880599999999999</v>
      </c>
      <c r="AC84">
        <v>13.8817</v>
      </c>
      <c r="AD84">
        <v>411.02300000000002</v>
      </c>
      <c r="AE84">
        <v>13.7912</v>
      </c>
      <c r="AF84">
        <v>800.04100000000005</v>
      </c>
      <c r="AG84">
        <v>100.425</v>
      </c>
      <c r="AH84">
        <v>7.5344499999999995E-2</v>
      </c>
      <c r="AI84">
        <v>18.998699999999999</v>
      </c>
      <c r="AJ84">
        <v>999.9</v>
      </c>
      <c r="AK84">
        <v>999.9</v>
      </c>
      <c r="AL84">
        <v>0</v>
      </c>
      <c r="AM84">
        <v>0</v>
      </c>
      <c r="AN84">
        <v>5013</v>
      </c>
      <c r="AO84">
        <v>0</v>
      </c>
      <c r="AP84">
        <v>1.86317</v>
      </c>
      <c r="AQ84">
        <v>2.9571500000000001E-2</v>
      </c>
      <c r="AR84">
        <v>415.79199999999997</v>
      </c>
      <c r="AS84">
        <v>415.76299999999998</v>
      </c>
      <c r="AT84">
        <v>-1.0919599999999999E-3</v>
      </c>
      <c r="AU84">
        <v>409.99099999999999</v>
      </c>
      <c r="AV84">
        <v>13.8817</v>
      </c>
      <c r="AW84">
        <v>1.3939600000000001</v>
      </c>
      <c r="AX84">
        <v>1.3940699999999999</v>
      </c>
      <c r="AY84">
        <v>11.852</v>
      </c>
      <c r="AZ84">
        <v>11.853199999999999</v>
      </c>
      <c r="BA84">
        <v>100.008</v>
      </c>
      <c r="BB84">
        <v>0.90003100000000003</v>
      </c>
      <c r="BC84">
        <v>0</v>
      </c>
      <c r="BD84">
        <v>9.9969199999999994E-2</v>
      </c>
      <c r="BE84">
        <v>0</v>
      </c>
      <c r="BF84">
        <v>24</v>
      </c>
      <c r="BG84">
        <v>1649.03</v>
      </c>
      <c r="BH84">
        <v>1770999899</v>
      </c>
      <c r="BI84" t="s">
        <v>432</v>
      </c>
      <c r="BJ84">
        <v>1770999896</v>
      </c>
      <c r="BK84">
        <v>1770999899</v>
      </c>
      <c r="BL84">
        <v>3</v>
      </c>
      <c r="BM84">
        <v>6.0999999999999999E-2</v>
      </c>
      <c r="BN84">
        <v>1E-3</v>
      </c>
      <c r="BO84">
        <v>-1.0029999999999999</v>
      </c>
      <c r="BP84">
        <v>8.8999999999999996E-2</v>
      </c>
      <c r="BQ84">
        <v>410</v>
      </c>
      <c r="BR84">
        <v>14</v>
      </c>
      <c r="BS84">
        <v>0.21</v>
      </c>
      <c r="BT84">
        <v>0.02</v>
      </c>
      <c r="BU84">
        <v>-5.52536E-2</v>
      </c>
      <c r="BV84">
        <v>0.44384895338345798</v>
      </c>
      <c r="BW84">
        <v>4.9270676478652103E-2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1.7003423019999998E-2</v>
      </c>
      <c r="CD84">
        <v>-0.29980753773834601</v>
      </c>
      <c r="CE84">
        <v>6.1831333822257001E-2</v>
      </c>
      <c r="CF84">
        <v>0</v>
      </c>
      <c r="CG84">
        <v>1</v>
      </c>
      <c r="CH84">
        <v>2</v>
      </c>
      <c r="CI84" t="s">
        <v>290</v>
      </c>
      <c r="CJ84">
        <v>3.53355</v>
      </c>
      <c r="CK84">
        <v>2.7124600000000001</v>
      </c>
      <c r="CL84">
        <v>9.8510200000000006E-2</v>
      </c>
      <c r="CM84">
        <v>9.7116599999999997E-2</v>
      </c>
      <c r="CN84">
        <v>8.10221E-2</v>
      </c>
      <c r="CO84">
        <v>8.0255000000000007E-2</v>
      </c>
      <c r="CP84">
        <v>31646.7</v>
      </c>
      <c r="CQ84">
        <v>27785.4</v>
      </c>
      <c r="CR84">
        <v>32487.3</v>
      </c>
      <c r="CS84">
        <v>30697.1</v>
      </c>
      <c r="CT84">
        <v>40417.300000000003</v>
      </c>
      <c r="CU84">
        <v>39689.699999999997</v>
      </c>
      <c r="CV84">
        <v>47427.1</v>
      </c>
      <c r="CW84">
        <v>46794.9</v>
      </c>
      <c r="CX84">
        <v>1.6925600000000001</v>
      </c>
      <c r="CY84">
        <v>1.6201399999999999</v>
      </c>
      <c r="CZ84">
        <v>0</v>
      </c>
      <c r="DA84">
        <v>0</v>
      </c>
      <c r="DB84">
        <v>999.9</v>
      </c>
      <c r="DC84">
        <v>999.9</v>
      </c>
      <c r="DD84">
        <v>70.290999999999997</v>
      </c>
      <c r="DE84">
        <v>24.038</v>
      </c>
      <c r="DF84">
        <v>21.0105</v>
      </c>
      <c r="DG84">
        <v>30.66</v>
      </c>
      <c r="DH84">
        <v>16.510400000000001</v>
      </c>
      <c r="DI84">
        <v>2</v>
      </c>
      <c r="DJ84">
        <v>-0.193244</v>
      </c>
      <c r="DK84">
        <v>1.5119100000000001</v>
      </c>
      <c r="DL84">
        <v>20.236699999999999</v>
      </c>
      <c r="DM84">
        <v>5.2434099999999999</v>
      </c>
      <c r="DN84">
        <v>12.033899999999999</v>
      </c>
      <c r="DO84">
        <v>4.9657200000000001</v>
      </c>
      <c r="DP84">
        <v>3.2899600000000002</v>
      </c>
      <c r="DQ84">
        <v>9999</v>
      </c>
      <c r="DR84">
        <v>9999</v>
      </c>
      <c r="DS84">
        <v>596.70000000000005</v>
      </c>
      <c r="DT84">
        <v>9999</v>
      </c>
      <c r="DU84">
        <v>1.87096</v>
      </c>
      <c r="DV84">
        <v>1.87605</v>
      </c>
      <c r="DW84">
        <v>1.87622</v>
      </c>
      <c r="DX84">
        <v>1.8827499999999999</v>
      </c>
      <c r="DY84">
        <v>1.87547</v>
      </c>
      <c r="DZ84">
        <v>1.8745499999999999</v>
      </c>
      <c r="EA84">
        <v>1.87073</v>
      </c>
      <c r="EB84">
        <v>1.8745499999999999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-1.0029999999999999</v>
      </c>
      <c r="EQ84">
        <v>8.9399999999999993E-2</v>
      </c>
      <c r="ER84">
        <v>-1.0028181818181601</v>
      </c>
      <c r="ES84">
        <v>0</v>
      </c>
      <c r="ET84">
        <v>0</v>
      </c>
      <c r="EU84">
        <v>0</v>
      </c>
      <c r="EV84">
        <v>8.9420000000002303E-2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0.1</v>
      </c>
      <c r="FE84">
        <v>0</v>
      </c>
      <c r="FF84">
        <v>1.23291</v>
      </c>
      <c r="FG84">
        <v>2.5756800000000002</v>
      </c>
      <c r="FH84">
        <v>2.19604</v>
      </c>
      <c r="FI84">
        <v>2.5793499999999998</v>
      </c>
      <c r="FJ84">
        <v>2.4462899999999999</v>
      </c>
      <c r="FK84">
        <v>2.2192400000000001</v>
      </c>
      <c r="FL84">
        <v>29.495200000000001</v>
      </c>
      <c r="FM84">
        <v>24.122499999999999</v>
      </c>
      <c r="FN84">
        <v>19</v>
      </c>
      <c r="FO84">
        <v>290.108</v>
      </c>
      <c r="FP84">
        <v>278.61700000000002</v>
      </c>
      <c r="FQ84">
        <v>18.652100000000001</v>
      </c>
      <c r="FR84">
        <v>24.572700000000001</v>
      </c>
      <c r="FS84">
        <v>30.0001</v>
      </c>
      <c r="FT84">
        <v>24.578299999999999</v>
      </c>
      <c r="FU84">
        <v>24.578900000000001</v>
      </c>
      <c r="FV84">
        <v>24.743400000000001</v>
      </c>
      <c r="FW84">
        <v>34.462800000000001</v>
      </c>
      <c r="FX84">
        <v>53.813800000000001</v>
      </c>
      <c r="FY84">
        <v>18.6525</v>
      </c>
      <c r="FZ84">
        <v>410</v>
      </c>
      <c r="GA84">
        <v>14.8819</v>
      </c>
      <c r="GB84">
        <v>99.950900000000004</v>
      </c>
      <c r="GC84">
        <v>99.6327</v>
      </c>
    </row>
    <row r="85" spans="1:185" x14ac:dyDescent="0.2">
      <c r="A85">
        <v>70</v>
      </c>
      <c r="B85">
        <v>1770999916</v>
      </c>
      <c r="C85">
        <v>1292.9000000953699</v>
      </c>
      <c r="D85" t="s">
        <v>435</v>
      </c>
      <c r="E85" t="s">
        <v>436</v>
      </c>
      <c r="F85">
        <v>15</v>
      </c>
      <c r="G85">
        <v>1770999907.9333301</v>
      </c>
      <c r="H85">
        <f t="shared" si="13"/>
        <v>7.8105054691651916E-4</v>
      </c>
      <c r="I85">
        <v>0</v>
      </c>
      <c r="J85">
        <f t="shared" si="25"/>
        <v>1.8288685416647547E-3</v>
      </c>
      <c r="K85">
        <f t="shared" si="14"/>
        <v>3.2702463402345949E-2</v>
      </c>
      <c r="L85">
        <f t="shared" si="15"/>
        <v>68.558936984355043</v>
      </c>
      <c r="M85">
        <f t="shared" si="16"/>
        <v>1.5117677894046673</v>
      </c>
      <c r="N85">
        <f t="shared" si="17"/>
        <v>2.2050630536317217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26358.390290977601</v>
      </c>
      <c r="T85">
        <f t="shared" si="21"/>
        <v>100.000633333333</v>
      </c>
      <c r="U85">
        <f t="shared" si="22"/>
        <v>84.300470659599227</v>
      </c>
      <c r="V85">
        <f t="shared" si="23"/>
        <v>0.84299936760000027</v>
      </c>
      <c r="W85">
        <f t="shared" si="24"/>
        <v>0.15869878277600005</v>
      </c>
      <c r="X85">
        <v>1</v>
      </c>
      <c r="Y85">
        <v>1770999907.9333301</v>
      </c>
      <c r="Z85">
        <v>409.49866666666702</v>
      </c>
      <c r="AA85">
        <v>409.93913333333302</v>
      </c>
      <c r="AB85">
        <v>15.04382</v>
      </c>
      <c r="AC85">
        <v>14.082653333333299</v>
      </c>
      <c r="AD85">
        <v>410.50126666666699</v>
      </c>
      <c r="AE85">
        <v>14.9543866666667</v>
      </c>
      <c r="AF85">
        <v>800.38206666666701</v>
      </c>
      <c r="AG85">
        <v>100.423866666667</v>
      </c>
      <c r="AH85">
        <v>6.7085060000000002E-2</v>
      </c>
      <c r="AI85">
        <v>18.9991466666667</v>
      </c>
      <c r="AJ85">
        <v>999.9</v>
      </c>
      <c r="AK85">
        <v>999.9</v>
      </c>
      <c r="AL85">
        <v>0</v>
      </c>
      <c r="AM85">
        <v>0</v>
      </c>
      <c r="AN85">
        <v>5004.1000000000004</v>
      </c>
      <c r="AO85">
        <v>0</v>
      </c>
      <c r="AP85">
        <v>1.86317</v>
      </c>
      <c r="AQ85">
        <v>-0.44043173333333302</v>
      </c>
      <c r="AR85">
        <v>415.75313333333298</v>
      </c>
      <c r="AS85">
        <v>415.79453333333299</v>
      </c>
      <c r="AT85">
        <v>0.96116513599999998</v>
      </c>
      <c r="AU85">
        <v>409.93913333333302</v>
      </c>
      <c r="AV85">
        <v>14.082653333333299</v>
      </c>
      <c r="AW85">
        <v>1.510758</v>
      </c>
      <c r="AX85">
        <v>1.414234</v>
      </c>
      <c r="AY85">
        <v>13.070346666666699</v>
      </c>
      <c r="AZ85">
        <v>12.070740000000001</v>
      </c>
      <c r="BA85">
        <v>100.000633333333</v>
      </c>
      <c r="BB85">
        <v>0.90001566666666699</v>
      </c>
      <c r="BC85">
        <v>0</v>
      </c>
      <c r="BD85">
        <v>9.9984146666666704E-2</v>
      </c>
      <c r="BE85">
        <v>0</v>
      </c>
      <c r="BF85">
        <v>24</v>
      </c>
      <c r="BG85">
        <v>1648.894</v>
      </c>
      <c r="BH85">
        <v>1770999899</v>
      </c>
      <c r="BI85" t="s">
        <v>432</v>
      </c>
      <c r="BJ85">
        <v>1770999896</v>
      </c>
      <c r="BK85">
        <v>1770999899</v>
      </c>
      <c r="BL85">
        <v>3</v>
      </c>
      <c r="BM85">
        <v>6.0999999999999999E-2</v>
      </c>
      <c r="BN85">
        <v>1E-3</v>
      </c>
      <c r="BO85">
        <v>-1.0029999999999999</v>
      </c>
      <c r="BP85">
        <v>8.8999999999999996E-2</v>
      </c>
      <c r="BQ85">
        <v>410</v>
      </c>
      <c r="BR85">
        <v>14</v>
      </c>
      <c r="BS85">
        <v>0.21</v>
      </c>
      <c r="BT85">
        <v>0.02</v>
      </c>
      <c r="BU85">
        <v>-0.30222166499999997</v>
      </c>
      <c r="BV85">
        <v>-2.6811706330827101</v>
      </c>
      <c r="BW85">
        <v>0.28601659916685801</v>
      </c>
      <c r="BX85">
        <v>0</v>
      </c>
      <c r="BY85">
        <v>0</v>
      </c>
      <c r="BZ85">
        <v>0</v>
      </c>
      <c r="CA85">
        <v>0</v>
      </c>
      <c r="CB85">
        <v>-1</v>
      </c>
      <c r="CC85">
        <v>0.6570279765</v>
      </c>
      <c r="CD85">
        <v>5.3801197060150399</v>
      </c>
      <c r="CE85">
        <v>0.54333138199940101</v>
      </c>
      <c r="CF85">
        <v>0</v>
      </c>
      <c r="CG85">
        <v>0</v>
      </c>
      <c r="CH85">
        <v>2</v>
      </c>
      <c r="CI85" t="s">
        <v>299</v>
      </c>
      <c r="CJ85">
        <v>3.5325000000000002</v>
      </c>
      <c r="CK85">
        <v>2.7032699999999998</v>
      </c>
      <c r="CL85">
        <v>9.8411299999999993E-2</v>
      </c>
      <c r="CM85">
        <v>9.7122399999999998E-2</v>
      </c>
      <c r="CN85">
        <v>8.7473899999999993E-2</v>
      </c>
      <c r="CO85">
        <v>8.1074999999999994E-2</v>
      </c>
      <c r="CP85">
        <v>31650</v>
      </c>
      <c r="CQ85">
        <v>27785.4</v>
      </c>
      <c r="CR85">
        <v>32487</v>
      </c>
      <c r="CS85">
        <v>30697.3</v>
      </c>
      <c r="CT85">
        <v>40123.599999999999</v>
      </c>
      <c r="CU85">
        <v>39653.599999999999</v>
      </c>
      <c r="CV85">
        <v>47426.7</v>
      </c>
      <c r="CW85">
        <v>46795.3</v>
      </c>
      <c r="CX85">
        <v>2.6337799999999998</v>
      </c>
      <c r="CY85">
        <v>2.1750799999999999</v>
      </c>
      <c r="CZ85">
        <v>0</v>
      </c>
      <c r="DA85">
        <v>0</v>
      </c>
      <c r="DB85">
        <v>999.9</v>
      </c>
      <c r="DC85">
        <v>999.9</v>
      </c>
      <c r="DD85">
        <v>70.204999999999998</v>
      </c>
      <c r="DE85">
        <v>24.047999999999998</v>
      </c>
      <c r="DF85">
        <v>20.996700000000001</v>
      </c>
      <c r="DG85">
        <v>30.39</v>
      </c>
      <c r="DH85">
        <v>16.025600000000001</v>
      </c>
      <c r="DI85">
        <v>2</v>
      </c>
      <c r="DJ85">
        <v>-0.19301599999999999</v>
      </c>
      <c r="DK85">
        <v>1.51119</v>
      </c>
      <c r="DL85">
        <v>20.238600000000002</v>
      </c>
      <c r="DM85">
        <v>5.2517899999999997</v>
      </c>
      <c r="DN85">
        <v>12.033899999999999</v>
      </c>
      <c r="DO85">
        <v>4.9673600000000002</v>
      </c>
      <c r="DP85">
        <v>3.2910200000000001</v>
      </c>
      <c r="DQ85">
        <v>9999</v>
      </c>
      <c r="DR85">
        <v>9999</v>
      </c>
      <c r="DS85">
        <v>596.70000000000005</v>
      </c>
      <c r="DT85">
        <v>9999</v>
      </c>
      <c r="DU85">
        <v>1.87097</v>
      </c>
      <c r="DV85">
        <v>1.87605</v>
      </c>
      <c r="DW85">
        <v>1.87622</v>
      </c>
      <c r="DX85">
        <v>1.8827700000000001</v>
      </c>
      <c r="DY85">
        <v>1.8754599999999999</v>
      </c>
      <c r="DZ85">
        <v>1.8745400000000001</v>
      </c>
      <c r="EA85">
        <v>1.87073</v>
      </c>
      <c r="EB85">
        <v>1.8745499999999999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-1.002</v>
      </c>
      <c r="EQ85">
        <v>8.9399999999999993E-2</v>
      </c>
      <c r="ER85">
        <v>-1.0028181818181601</v>
      </c>
      <c r="ES85">
        <v>0</v>
      </c>
      <c r="ET85">
        <v>0</v>
      </c>
      <c r="EU85">
        <v>0</v>
      </c>
      <c r="EV85">
        <v>8.9420000000002303E-2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0.3</v>
      </c>
      <c r="FE85">
        <v>0.3</v>
      </c>
      <c r="FF85">
        <v>1.23291</v>
      </c>
      <c r="FG85">
        <v>2.5756800000000002</v>
      </c>
      <c r="FH85">
        <v>2.19604</v>
      </c>
      <c r="FI85">
        <v>2.5793499999999998</v>
      </c>
      <c r="FJ85">
        <v>2.4462899999999999</v>
      </c>
      <c r="FK85">
        <v>2.2522000000000002</v>
      </c>
      <c r="FL85">
        <v>29.495200000000001</v>
      </c>
      <c r="FM85">
        <v>24.157499999999999</v>
      </c>
      <c r="FN85">
        <v>19</v>
      </c>
      <c r="FO85">
        <v>860.42700000000002</v>
      </c>
      <c r="FP85">
        <v>600.61400000000003</v>
      </c>
      <c r="FQ85">
        <v>18.652999999999999</v>
      </c>
      <c r="FR85">
        <v>24.576499999999999</v>
      </c>
      <c r="FS85">
        <v>30.0002</v>
      </c>
      <c r="FT85">
        <v>24.57</v>
      </c>
      <c r="FU85">
        <v>24.569099999999999</v>
      </c>
      <c r="FV85">
        <v>24.748999999999999</v>
      </c>
      <c r="FW85">
        <v>36.672899999999998</v>
      </c>
      <c r="FX85">
        <v>53.438600000000001</v>
      </c>
      <c r="FY85">
        <v>18.653199999999998</v>
      </c>
      <c r="FZ85">
        <v>410</v>
      </c>
      <c r="GA85">
        <v>14.024900000000001</v>
      </c>
      <c r="GB85">
        <v>99.950199999999995</v>
      </c>
      <c r="GC85">
        <v>99.633300000000006</v>
      </c>
    </row>
    <row r="86" spans="1:185" x14ac:dyDescent="0.2">
      <c r="A86">
        <v>71</v>
      </c>
      <c r="B86">
        <v>1770999931</v>
      </c>
      <c r="C86">
        <v>1307.9000000953699</v>
      </c>
      <c r="D86" t="s">
        <v>437</v>
      </c>
      <c r="E86" t="s">
        <v>438</v>
      </c>
      <c r="F86">
        <v>15</v>
      </c>
      <c r="G86">
        <v>1770999922.9333301</v>
      </c>
      <c r="H86">
        <f t="shared" si="13"/>
        <v>1.0590069024216232E-3</v>
      </c>
      <c r="I86">
        <v>0</v>
      </c>
      <c r="J86">
        <f t="shared" si="25"/>
        <v>1.6597470662924015E-3</v>
      </c>
      <c r="K86">
        <f t="shared" si="14"/>
        <v>2.9678359300319711E-2</v>
      </c>
      <c r="L86">
        <f t="shared" si="15"/>
        <v>70.060061585426482</v>
      </c>
      <c r="M86">
        <f t="shared" si="16"/>
        <v>1.5449019540124758</v>
      </c>
      <c r="N86">
        <f t="shared" si="17"/>
        <v>2.2051107564738968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26334.414670163675</v>
      </c>
      <c r="T86">
        <f t="shared" si="21"/>
        <v>99.999586666666602</v>
      </c>
      <c r="U86">
        <f t="shared" si="22"/>
        <v>84.299584040279072</v>
      </c>
      <c r="V86">
        <f t="shared" si="23"/>
        <v>0.8429993248000005</v>
      </c>
      <c r="W86">
        <f t="shared" si="24"/>
        <v>0.1586987537280001</v>
      </c>
      <c r="X86">
        <v>1</v>
      </c>
      <c r="Y86">
        <v>1770999922.9333301</v>
      </c>
      <c r="Z86">
        <v>409.4212</v>
      </c>
      <c r="AA86">
        <v>410.00026666666702</v>
      </c>
      <c r="AB86">
        <v>15.374026666666699</v>
      </c>
      <c r="AC86">
        <v>14.0706333333333</v>
      </c>
      <c r="AD86">
        <v>410.42399999999998</v>
      </c>
      <c r="AE86">
        <v>15.284613333333301</v>
      </c>
      <c r="AF86">
        <v>800.008466666667</v>
      </c>
      <c r="AG86">
        <v>100.422333333333</v>
      </c>
      <c r="AH86">
        <v>6.5456073333333295E-2</v>
      </c>
      <c r="AI86">
        <v>18.999493333333302</v>
      </c>
      <c r="AJ86">
        <v>999.9</v>
      </c>
      <c r="AK86">
        <v>999.9</v>
      </c>
      <c r="AL86">
        <v>0</v>
      </c>
      <c r="AM86">
        <v>0</v>
      </c>
      <c r="AN86">
        <v>5000.2333333333299</v>
      </c>
      <c r="AO86">
        <v>0</v>
      </c>
      <c r="AP86">
        <v>1.86317</v>
      </c>
      <c r="AQ86">
        <v>-0.57926840000000002</v>
      </c>
      <c r="AR86">
        <v>415.81386666666702</v>
      </c>
      <c r="AS86">
        <v>415.85166666666697</v>
      </c>
      <c r="AT86">
        <v>1.3033953333333299</v>
      </c>
      <c r="AU86">
        <v>410.00026666666702</v>
      </c>
      <c r="AV86">
        <v>14.0706333333333</v>
      </c>
      <c r="AW86">
        <v>1.54389333333333</v>
      </c>
      <c r="AX86">
        <v>1.4130053333333299</v>
      </c>
      <c r="AY86">
        <v>13.409933333333299</v>
      </c>
      <c r="AZ86">
        <v>12.057919999999999</v>
      </c>
      <c r="BA86">
        <v>99.999586666666602</v>
      </c>
      <c r="BB86">
        <v>0.90001593333333396</v>
      </c>
      <c r="BC86">
        <v>0</v>
      </c>
      <c r="BD86">
        <v>9.9983840000000004E-2</v>
      </c>
      <c r="BE86">
        <v>0</v>
      </c>
      <c r="BF86">
        <v>24</v>
      </c>
      <c r="BG86">
        <v>1648.8773333333299</v>
      </c>
      <c r="BH86">
        <v>1770999899</v>
      </c>
      <c r="BI86" t="s">
        <v>432</v>
      </c>
      <c r="BJ86">
        <v>1770999896</v>
      </c>
      <c r="BK86">
        <v>1770999899</v>
      </c>
      <c r="BL86">
        <v>3</v>
      </c>
      <c r="BM86">
        <v>6.0999999999999999E-2</v>
      </c>
      <c r="BN86">
        <v>1E-3</v>
      </c>
      <c r="BO86">
        <v>-1.0029999999999999</v>
      </c>
      <c r="BP86">
        <v>8.8999999999999996E-2</v>
      </c>
      <c r="BQ86">
        <v>410</v>
      </c>
      <c r="BR86">
        <v>14</v>
      </c>
      <c r="BS86">
        <v>0.21</v>
      </c>
      <c r="BT86">
        <v>0.02</v>
      </c>
      <c r="BU86">
        <v>-0.58453520000000003</v>
      </c>
      <c r="BV86">
        <v>5.5544030075188502E-2</v>
      </c>
      <c r="BW86">
        <v>1.46702404022565E-2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1.2968835000000001</v>
      </c>
      <c r="CD86">
        <v>0.137607969924811</v>
      </c>
      <c r="CE86">
        <v>1.43993191766139E-2</v>
      </c>
      <c r="CF86">
        <v>0</v>
      </c>
      <c r="CG86">
        <v>1</v>
      </c>
      <c r="CH86">
        <v>2</v>
      </c>
      <c r="CI86" t="s">
        <v>290</v>
      </c>
      <c r="CJ86">
        <v>3.5325700000000002</v>
      </c>
      <c r="CK86">
        <v>2.7031299999999998</v>
      </c>
      <c r="CL86">
        <v>9.8413600000000004E-2</v>
      </c>
      <c r="CM86">
        <v>9.7120499999999998E-2</v>
      </c>
      <c r="CN86">
        <v>8.7535600000000005E-2</v>
      </c>
      <c r="CO86">
        <v>8.1035200000000002E-2</v>
      </c>
      <c r="CP86">
        <v>31649.8</v>
      </c>
      <c r="CQ86">
        <v>27786.1</v>
      </c>
      <c r="CR86">
        <v>32486.9</v>
      </c>
      <c r="CS86">
        <v>30698</v>
      </c>
      <c r="CT86">
        <v>40120.9</v>
      </c>
      <c r="CU86">
        <v>39656.199999999997</v>
      </c>
      <c r="CV86">
        <v>47426.9</v>
      </c>
      <c r="CW86">
        <v>46796.3</v>
      </c>
      <c r="CX86">
        <v>2.6360000000000001</v>
      </c>
      <c r="CY86">
        <v>2.1757200000000001</v>
      </c>
      <c r="CZ86">
        <v>0</v>
      </c>
      <c r="DA86">
        <v>0</v>
      </c>
      <c r="DB86">
        <v>999.9</v>
      </c>
      <c r="DC86">
        <v>999.9</v>
      </c>
      <c r="DD86">
        <v>70.082999999999998</v>
      </c>
      <c r="DE86">
        <v>24.058</v>
      </c>
      <c r="DF86">
        <v>20.972100000000001</v>
      </c>
      <c r="DG86">
        <v>30.36</v>
      </c>
      <c r="DH86">
        <v>15.9535</v>
      </c>
      <c r="DI86">
        <v>2</v>
      </c>
      <c r="DJ86">
        <v>-0.192663</v>
      </c>
      <c r="DK86">
        <v>1.5082800000000001</v>
      </c>
      <c r="DL86">
        <v>20.238299999999999</v>
      </c>
      <c r="DM86">
        <v>5.25</v>
      </c>
      <c r="DN86">
        <v>12.033899999999999</v>
      </c>
      <c r="DO86">
        <v>4.9673600000000002</v>
      </c>
      <c r="DP86">
        <v>3.2907999999999999</v>
      </c>
      <c r="DQ86">
        <v>9999</v>
      </c>
      <c r="DR86">
        <v>9999</v>
      </c>
      <c r="DS86">
        <v>596.70000000000005</v>
      </c>
      <c r="DT86">
        <v>9999</v>
      </c>
      <c r="DU86">
        <v>1.87096</v>
      </c>
      <c r="DV86">
        <v>1.87605</v>
      </c>
      <c r="DW86">
        <v>1.87622</v>
      </c>
      <c r="DX86">
        <v>1.8827199999999999</v>
      </c>
      <c r="DY86">
        <v>1.8754599999999999</v>
      </c>
      <c r="DZ86">
        <v>1.8745400000000001</v>
      </c>
      <c r="EA86">
        <v>1.87073</v>
      </c>
      <c r="EB86">
        <v>1.8745400000000001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-1.002</v>
      </c>
      <c r="EQ86">
        <v>8.9399999999999993E-2</v>
      </c>
      <c r="ER86">
        <v>-1.0028181818181601</v>
      </c>
      <c r="ES86">
        <v>0</v>
      </c>
      <c r="ET86">
        <v>0</v>
      </c>
      <c r="EU86">
        <v>0</v>
      </c>
      <c r="EV86">
        <v>8.9420000000002303E-2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0.6</v>
      </c>
      <c r="FE86">
        <v>0.5</v>
      </c>
      <c r="FF86">
        <v>1.23291</v>
      </c>
      <c r="FG86">
        <v>2.5781200000000002</v>
      </c>
      <c r="FH86">
        <v>2.19604</v>
      </c>
      <c r="FI86">
        <v>2.5793499999999998</v>
      </c>
      <c r="FJ86">
        <v>2.4462899999999999</v>
      </c>
      <c r="FK86">
        <v>2.2729499999999998</v>
      </c>
      <c r="FL86">
        <v>29.516500000000001</v>
      </c>
      <c r="FM86">
        <v>24.1663</v>
      </c>
      <c r="FN86">
        <v>19</v>
      </c>
      <c r="FO86">
        <v>862.51099999999997</v>
      </c>
      <c r="FP86">
        <v>601.16800000000001</v>
      </c>
      <c r="FQ86">
        <v>18.654</v>
      </c>
      <c r="FR86">
        <v>24.5794</v>
      </c>
      <c r="FS86">
        <v>30.0001</v>
      </c>
      <c r="FT86">
        <v>24.572099999999999</v>
      </c>
      <c r="FU86">
        <v>24.5731</v>
      </c>
      <c r="FV86">
        <v>24.749400000000001</v>
      </c>
      <c r="FW86">
        <v>36.672899999999998</v>
      </c>
      <c r="FX86">
        <v>53.067</v>
      </c>
      <c r="FY86">
        <v>18.654299999999999</v>
      </c>
      <c r="FZ86">
        <v>410</v>
      </c>
      <c r="GA86">
        <v>14.024900000000001</v>
      </c>
      <c r="GB86">
        <v>99.950199999999995</v>
      </c>
      <c r="GC86">
        <v>99.635599999999997</v>
      </c>
    </row>
    <row r="87" spans="1:185" x14ac:dyDescent="0.2">
      <c r="A87">
        <v>72</v>
      </c>
      <c r="B87">
        <v>1770999946</v>
      </c>
      <c r="C87">
        <v>1322.9000000953699</v>
      </c>
      <c r="D87" t="s">
        <v>439</v>
      </c>
      <c r="E87" t="s">
        <v>440</v>
      </c>
      <c r="F87">
        <v>15</v>
      </c>
      <c r="G87">
        <v>1770999937.9333301</v>
      </c>
      <c r="H87">
        <f t="shared" si="13"/>
        <v>1.0730450494461554E-3</v>
      </c>
      <c r="I87">
        <v>0</v>
      </c>
      <c r="J87">
        <f t="shared" si="25"/>
        <v>9.863611164647435E-4</v>
      </c>
      <c r="K87">
        <f t="shared" si="14"/>
        <v>1.763737391607352E-2</v>
      </c>
      <c r="L87">
        <f t="shared" si="15"/>
        <v>70.098845994261055</v>
      </c>
      <c r="M87">
        <f t="shared" si="16"/>
        <v>1.5458305042907834</v>
      </c>
      <c r="N87">
        <f t="shared" si="17"/>
        <v>2.2052153389477192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26322.630593528225</v>
      </c>
      <c r="T87">
        <f t="shared" si="21"/>
        <v>99.998793333333396</v>
      </c>
      <c r="U87">
        <f t="shared" si="22"/>
        <v>84.298862161455503</v>
      </c>
      <c r="V87">
        <f t="shared" si="23"/>
        <v>0.84299879379999965</v>
      </c>
      <c r="W87">
        <f t="shared" si="24"/>
        <v>0.15869684158799996</v>
      </c>
      <c r="X87">
        <v>1</v>
      </c>
      <c r="Y87">
        <v>1770999937.9333301</v>
      </c>
      <c r="Z87">
        <v>409.42073333333298</v>
      </c>
      <c r="AA87">
        <v>409.99193333333301</v>
      </c>
      <c r="AB87">
        <v>15.3835</v>
      </c>
      <c r="AC87">
        <v>14.06284</v>
      </c>
      <c r="AD87">
        <v>410.42353333333301</v>
      </c>
      <c r="AE87">
        <v>15.294093333333301</v>
      </c>
      <c r="AF87">
        <v>800.00746666666703</v>
      </c>
      <c r="AG87">
        <v>100.42100000000001</v>
      </c>
      <c r="AH87">
        <v>6.5268033333333295E-2</v>
      </c>
      <c r="AI87">
        <v>19.000253333333301</v>
      </c>
      <c r="AJ87">
        <v>999.9</v>
      </c>
      <c r="AK87">
        <v>999.9</v>
      </c>
      <c r="AL87">
        <v>0</v>
      </c>
      <c r="AM87">
        <v>0</v>
      </c>
      <c r="AN87">
        <v>4998.3666666666704</v>
      </c>
      <c r="AO87">
        <v>0</v>
      </c>
      <c r="AP87">
        <v>1.85940666666667</v>
      </c>
      <c r="AQ87">
        <v>-0.57127280000000003</v>
      </c>
      <c r="AR87">
        <v>415.81740000000002</v>
      </c>
      <c r="AS87">
        <v>415.83993333333302</v>
      </c>
      <c r="AT87">
        <v>1.32066866666667</v>
      </c>
      <c r="AU87">
        <v>409.99193333333301</v>
      </c>
      <c r="AV87">
        <v>14.06284</v>
      </c>
      <c r="AW87">
        <v>1.54482866666667</v>
      </c>
      <c r="AX87">
        <v>1.41220533333333</v>
      </c>
      <c r="AY87">
        <v>13.4192133333333</v>
      </c>
      <c r="AZ87">
        <v>12.049326666666699</v>
      </c>
      <c r="BA87">
        <v>99.998793333333396</v>
      </c>
      <c r="BB87">
        <v>0.90004233333333294</v>
      </c>
      <c r="BC87">
        <v>0</v>
      </c>
      <c r="BD87">
        <v>9.9957740000000003E-2</v>
      </c>
      <c r="BE87">
        <v>0</v>
      </c>
      <c r="BF87">
        <v>24</v>
      </c>
      <c r="BG87">
        <v>1648.8773333333299</v>
      </c>
      <c r="BH87">
        <v>1770999899</v>
      </c>
      <c r="BI87" t="s">
        <v>432</v>
      </c>
      <c r="BJ87">
        <v>1770999896</v>
      </c>
      <c r="BK87">
        <v>1770999899</v>
      </c>
      <c r="BL87">
        <v>3</v>
      </c>
      <c r="BM87">
        <v>6.0999999999999999E-2</v>
      </c>
      <c r="BN87">
        <v>1E-3</v>
      </c>
      <c r="BO87">
        <v>-1.0029999999999999</v>
      </c>
      <c r="BP87">
        <v>8.8999999999999996E-2</v>
      </c>
      <c r="BQ87">
        <v>410</v>
      </c>
      <c r="BR87">
        <v>14</v>
      </c>
      <c r="BS87">
        <v>0.21</v>
      </c>
      <c r="BT87">
        <v>0.02</v>
      </c>
      <c r="BU87">
        <v>-0.57520990476190503</v>
      </c>
      <c r="BV87">
        <v>7.0816831168829794E-2</v>
      </c>
      <c r="BW87">
        <v>1.4967752466409001E-2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1.31797761904762</v>
      </c>
      <c r="CD87">
        <v>5.84025974025991E-2</v>
      </c>
      <c r="CE87">
        <v>6.6133378250478698E-3</v>
      </c>
      <c r="CF87">
        <v>1</v>
      </c>
      <c r="CG87">
        <v>2</v>
      </c>
      <c r="CH87">
        <v>2</v>
      </c>
      <c r="CI87" t="s">
        <v>304</v>
      </c>
      <c r="CJ87">
        <v>3.5325000000000002</v>
      </c>
      <c r="CK87">
        <v>2.7032500000000002</v>
      </c>
      <c r="CL87">
        <v>9.8412700000000006E-2</v>
      </c>
      <c r="CM87">
        <v>9.7114599999999995E-2</v>
      </c>
      <c r="CN87">
        <v>8.7565400000000002E-2</v>
      </c>
      <c r="CO87">
        <v>8.1019999999999995E-2</v>
      </c>
      <c r="CP87">
        <v>31649.7</v>
      </c>
      <c r="CQ87">
        <v>27786.3</v>
      </c>
      <c r="CR87">
        <v>32486.799999999999</v>
      </c>
      <c r="CS87">
        <v>30698</v>
      </c>
      <c r="CT87">
        <v>40119.300000000003</v>
      </c>
      <c r="CU87">
        <v>39657.300000000003</v>
      </c>
      <c r="CV87">
        <v>47426.5</v>
      </c>
      <c r="CW87">
        <v>46796.800000000003</v>
      </c>
      <c r="CX87">
        <v>2.6366000000000001</v>
      </c>
      <c r="CY87">
        <v>2.1757599999999999</v>
      </c>
      <c r="CZ87">
        <v>0</v>
      </c>
      <c r="DA87">
        <v>0</v>
      </c>
      <c r="DB87">
        <v>999.9</v>
      </c>
      <c r="DC87">
        <v>999.9</v>
      </c>
      <c r="DD87">
        <v>69.954999999999998</v>
      </c>
      <c r="DE87">
        <v>24.088000000000001</v>
      </c>
      <c r="DF87">
        <v>20.974900000000002</v>
      </c>
      <c r="DG87">
        <v>30.54</v>
      </c>
      <c r="DH87">
        <v>15.973599999999999</v>
      </c>
      <c r="DI87">
        <v>2</v>
      </c>
      <c r="DJ87">
        <v>-0.192498</v>
      </c>
      <c r="DK87">
        <v>1.5132300000000001</v>
      </c>
      <c r="DL87">
        <v>20.238600000000002</v>
      </c>
      <c r="DM87">
        <v>5.2527499999999998</v>
      </c>
      <c r="DN87">
        <v>12.033899999999999</v>
      </c>
      <c r="DO87">
        <v>4.9677199999999999</v>
      </c>
      <c r="DP87">
        <v>3.2910200000000001</v>
      </c>
      <c r="DQ87">
        <v>9999</v>
      </c>
      <c r="DR87">
        <v>9999</v>
      </c>
      <c r="DS87">
        <v>596.70000000000005</v>
      </c>
      <c r="DT87">
        <v>9999</v>
      </c>
      <c r="DU87">
        <v>1.8709100000000001</v>
      </c>
      <c r="DV87">
        <v>1.8760300000000001</v>
      </c>
      <c r="DW87">
        <v>1.8762099999999999</v>
      </c>
      <c r="DX87">
        <v>1.88273</v>
      </c>
      <c r="DY87">
        <v>1.87547</v>
      </c>
      <c r="DZ87">
        <v>1.8745400000000001</v>
      </c>
      <c r="EA87">
        <v>1.87073</v>
      </c>
      <c r="EB87">
        <v>1.8745499999999999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-1.002</v>
      </c>
      <c r="EQ87">
        <v>8.9499999999999996E-2</v>
      </c>
      <c r="ER87">
        <v>-1.0028181818181601</v>
      </c>
      <c r="ES87">
        <v>0</v>
      </c>
      <c r="ET87">
        <v>0</v>
      </c>
      <c r="EU87">
        <v>0</v>
      </c>
      <c r="EV87">
        <v>8.9420000000002303E-2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0.8</v>
      </c>
      <c r="FE87">
        <v>0.8</v>
      </c>
      <c r="FF87">
        <v>1.23291</v>
      </c>
      <c r="FG87">
        <v>2.5744600000000002</v>
      </c>
      <c r="FH87">
        <v>2.19604</v>
      </c>
      <c r="FI87">
        <v>2.5793499999999998</v>
      </c>
      <c r="FJ87">
        <v>2.4462899999999999</v>
      </c>
      <c r="FK87">
        <v>2.2973599999999998</v>
      </c>
      <c r="FL87">
        <v>29.537800000000001</v>
      </c>
      <c r="FM87">
        <v>24.1663</v>
      </c>
      <c r="FN87">
        <v>19</v>
      </c>
      <c r="FO87">
        <v>863.11300000000006</v>
      </c>
      <c r="FP87">
        <v>601.23800000000006</v>
      </c>
      <c r="FQ87">
        <v>18.653500000000001</v>
      </c>
      <c r="FR87">
        <v>24.582999999999998</v>
      </c>
      <c r="FS87">
        <v>30.0001</v>
      </c>
      <c r="FT87">
        <v>24.574999999999999</v>
      </c>
      <c r="FU87">
        <v>24.5764</v>
      </c>
      <c r="FV87">
        <v>24.7501</v>
      </c>
      <c r="FW87">
        <v>36.672899999999998</v>
      </c>
      <c r="FX87">
        <v>52.317300000000003</v>
      </c>
      <c r="FY87">
        <v>18.652699999999999</v>
      </c>
      <c r="FZ87">
        <v>410</v>
      </c>
      <c r="GA87">
        <v>14.0243</v>
      </c>
      <c r="GB87">
        <v>99.949600000000004</v>
      </c>
      <c r="GC87">
        <v>99.636200000000002</v>
      </c>
    </row>
    <row r="88" spans="1:185" x14ac:dyDescent="0.2">
      <c r="A88">
        <v>73</v>
      </c>
      <c r="B88">
        <v>1770999961</v>
      </c>
      <c r="C88">
        <v>1337.9000000953699</v>
      </c>
      <c r="D88" t="s">
        <v>441</v>
      </c>
      <c r="E88" t="s">
        <v>442</v>
      </c>
      <c r="F88">
        <v>15</v>
      </c>
      <c r="G88">
        <v>1770999952.9333301</v>
      </c>
      <c r="H88">
        <f t="shared" si="13"/>
        <v>1.0840401639890893E-3</v>
      </c>
      <c r="I88">
        <v>0</v>
      </c>
      <c r="J88">
        <f t="shared" si="25"/>
        <v>1.5024235146615542E-3</v>
      </c>
      <c r="K88">
        <f t="shared" si="14"/>
        <v>2.6865216872460091E-2</v>
      </c>
      <c r="L88">
        <f t="shared" si="15"/>
        <v>70.122610018761051</v>
      </c>
      <c r="M88">
        <f t="shared" si="16"/>
        <v>1.5463989412404682</v>
      </c>
      <c r="N88">
        <f t="shared" si="17"/>
        <v>2.2052786409786154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26329.171386371821</v>
      </c>
      <c r="T88">
        <f t="shared" si="21"/>
        <v>100.001173333333</v>
      </c>
      <c r="U88">
        <f t="shared" si="22"/>
        <v>84.300877258687223</v>
      </c>
      <c r="V88">
        <f t="shared" si="23"/>
        <v>0.84299888140000001</v>
      </c>
      <c r="W88">
        <f t="shared" si="24"/>
        <v>0.158697034604</v>
      </c>
      <c r="X88">
        <v>1</v>
      </c>
      <c r="Y88">
        <v>1770999952.9333301</v>
      </c>
      <c r="Z88">
        <v>409.39920000000001</v>
      </c>
      <c r="AA88">
        <v>409.98753333333298</v>
      </c>
      <c r="AB88">
        <v>15.38908</v>
      </c>
      <c r="AC88">
        <v>14.0548933333333</v>
      </c>
      <c r="AD88">
        <v>410.40219999999999</v>
      </c>
      <c r="AE88">
        <v>15.299666666666701</v>
      </c>
      <c r="AF88">
        <v>800.00633333333303</v>
      </c>
      <c r="AG88">
        <v>100.421333333333</v>
      </c>
      <c r="AH88">
        <v>6.5436586666666699E-2</v>
      </c>
      <c r="AI88">
        <v>19.000713333333302</v>
      </c>
      <c r="AJ88">
        <v>999.9</v>
      </c>
      <c r="AK88">
        <v>999.9</v>
      </c>
      <c r="AL88">
        <v>0</v>
      </c>
      <c r="AM88">
        <v>0</v>
      </c>
      <c r="AN88">
        <v>4999.4333333333298</v>
      </c>
      <c r="AO88">
        <v>0</v>
      </c>
      <c r="AP88">
        <v>1.86317</v>
      </c>
      <c r="AQ88">
        <v>-0.58824259999999995</v>
      </c>
      <c r="AR88">
        <v>415.798</v>
      </c>
      <c r="AS88">
        <v>415.83199999999999</v>
      </c>
      <c r="AT88">
        <v>1.33418066666667</v>
      </c>
      <c r="AU88">
        <v>409.98753333333298</v>
      </c>
      <c r="AV88">
        <v>14.0548933333333</v>
      </c>
      <c r="AW88">
        <v>1.54539</v>
      </c>
      <c r="AX88">
        <v>1.4114086666666701</v>
      </c>
      <c r="AY88">
        <v>13.4247866666667</v>
      </c>
      <c r="AZ88">
        <v>12.0407733333333</v>
      </c>
      <c r="BA88">
        <v>100.001173333333</v>
      </c>
      <c r="BB88">
        <v>0.90003979999999995</v>
      </c>
      <c r="BC88">
        <v>0</v>
      </c>
      <c r="BD88">
        <v>9.9960286666666703E-2</v>
      </c>
      <c r="BE88">
        <v>0</v>
      </c>
      <c r="BF88">
        <v>24</v>
      </c>
      <c r="BG88">
        <v>1648.914</v>
      </c>
      <c r="BH88">
        <v>1770999899</v>
      </c>
      <c r="BI88" t="s">
        <v>432</v>
      </c>
      <c r="BJ88">
        <v>1770999896</v>
      </c>
      <c r="BK88">
        <v>1770999899</v>
      </c>
      <c r="BL88">
        <v>3</v>
      </c>
      <c r="BM88">
        <v>6.0999999999999999E-2</v>
      </c>
      <c r="BN88">
        <v>1E-3</v>
      </c>
      <c r="BO88">
        <v>-1.0029999999999999</v>
      </c>
      <c r="BP88">
        <v>8.8999999999999996E-2</v>
      </c>
      <c r="BQ88">
        <v>410</v>
      </c>
      <c r="BR88">
        <v>14</v>
      </c>
      <c r="BS88">
        <v>0.21</v>
      </c>
      <c r="BT88">
        <v>0.02</v>
      </c>
      <c r="BU88">
        <v>-0.58143920000000004</v>
      </c>
      <c r="BV88">
        <v>-0.18447978947368401</v>
      </c>
      <c r="BW88">
        <v>2.5399741161279601E-2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1.3324994999999999</v>
      </c>
      <c r="CD88">
        <v>3.6354135338343002E-2</v>
      </c>
      <c r="CE88">
        <v>4.3616068999853298E-3</v>
      </c>
      <c r="CF88">
        <v>1</v>
      </c>
      <c r="CG88">
        <v>2</v>
      </c>
      <c r="CH88">
        <v>2</v>
      </c>
      <c r="CI88" t="s">
        <v>304</v>
      </c>
      <c r="CJ88">
        <v>3.5325099999999998</v>
      </c>
      <c r="CK88">
        <v>2.7030799999999999</v>
      </c>
      <c r="CL88">
        <v>9.8411499999999999E-2</v>
      </c>
      <c r="CM88">
        <v>9.7115099999999996E-2</v>
      </c>
      <c r="CN88">
        <v>8.7551599999999993E-2</v>
      </c>
      <c r="CO88">
        <v>8.0978800000000004E-2</v>
      </c>
      <c r="CP88">
        <v>31649.5</v>
      </c>
      <c r="CQ88">
        <v>27786.5</v>
      </c>
      <c r="CR88">
        <v>32486.6</v>
      </c>
      <c r="CS88">
        <v>30698.3</v>
      </c>
      <c r="CT88">
        <v>40120.1</v>
      </c>
      <c r="CU88">
        <v>39659.4</v>
      </c>
      <c r="CV88">
        <v>47426.7</v>
      </c>
      <c r="CW88">
        <v>46797.1</v>
      </c>
      <c r="CX88">
        <v>2.637</v>
      </c>
      <c r="CY88">
        <v>2.1753399999999998</v>
      </c>
      <c r="CZ88">
        <v>0</v>
      </c>
      <c r="DA88">
        <v>0</v>
      </c>
      <c r="DB88">
        <v>999.9</v>
      </c>
      <c r="DC88">
        <v>999.9</v>
      </c>
      <c r="DD88">
        <v>69.856999999999999</v>
      </c>
      <c r="DE88">
        <v>24.108000000000001</v>
      </c>
      <c r="DF88">
        <v>20.971599999999999</v>
      </c>
      <c r="DG88">
        <v>30.51</v>
      </c>
      <c r="DH88">
        <v>16.0337</v>
      </c>
      <c r="DI88">
        <v>2</v>
      </c>
      <c r="DJ88">
        <v>-0.19222400000000001</v>
      </c>
      <c r="DK88">
        <v>1.51139</v>
      </c>
      <c r="DL88">
        <v>20.238399999999999</v>
      </c>
      <c r="DM88">
        <v>5.25251</v>
      </c>
      <c r="DN88">
        <v>12.033899999999999</v>
      </c>
      <c r="DO88">
        <v>4.9677199999999999</v>
      </c>
      <c r="DP88">
        <v>3.2909999999999999</v>
      </c>
      <c r="DQ88">
        <v>9999</v>
      </c>
      <c r="DR88">
        <v>9999</v>
      </c>
      <c r="DS88">
        <v>596.70000000000005</v>
      </c>
      <c r="DT88">
        <v>9999</v>
      </c>
      <c r="DU88">
        <v>1.8709899999999999</v>
      </c>
      <c r="DV88">
        <v>1.8760600000000001</v>
      </c>
      <c r="DW88">
        <v>1.87622</v>
      </c>
      <c r="DX88">
        <v>1.88276</v>
      </c>
      <c r="DY88">
        <v>1.87547</v>
      </c>
      <c r="DZ88">
        <v>1.8745499999999999</v>
      </c>
      <c r="EA88">
        <v>1.87073</v>
      </c>
      <c r="EB88">
        <v>1.8745700000000001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-1.0029999999999999</v>
      </c>
      <c r="EQ88">
        <v>8.9499999999999996E-2</v>
      </c>
      <c r="ER88">
        <v>-1.0028181818181601</v>
      </c>
      <c r="ES88">
        <v>0</v>
      </c>
      <c r="ET88">
        <v>0</v>
      </c>
      <c r="EU88">
        <v>0</v>
      </c>
      <c r="EV88">
        <v>8.9420000000002303E-2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1.1000000000000001</v>
      </c>
      <c r="FE88">
        <v>1</v>
      </c>
      <c r="FF88">
        <v>1.23291</v>
      </c>
      <c r="FG88">
        <v>2.5683600000000002</v>
      </c>
      <c r="FH88">
        <v>2.19604</v>
      </c>
      <c r="FI88">
        <v>2.5793499999999998</v>
      </c>
      <c r="FJ88">
        <v>2.4462899999999999</v>
      </c>
      <c r="FK88">
        <v>2.2900399999999999</v>
      </c>
      <c r="FL88">
        <v>29.537800000000001</v>
      </c>
      <c r="FM88">
        <v>24.1663</v>
      </c>
      <c r="FN88">
        <v>19</v>
      </c>
      <c r="FO88">
        <v>863.53700000000003</v>
      </c>
      <c r="FP88">
        <v>600.94500000000005</v>
      </c>
      <c r="FQ88">
        <v>18.653199999999998</v>
      </c>
      <c r="FR88">
        <v>24.585999999999999</v>
      </c>
      <c r="FS88">
        <v>30.000299999999999</v>
      </c>
      <c r="FT88">
        <v>24.578299999999999</v>
      </c>
      <c r="FU88">
        <v>24.579699999999999</v>
      </c>
      <c r="FV88">
        <v>24.751799999999999</v>
      </c>
      <c r="FW88">
        <v>36.672899999999998</v>
      </c>
      <c r="FX88">
        <v>51.9405</v>
      </c>
      <c r="FY88">
        <v>18.653199999999998</v>
      </c>
      <c r="FZ88">
        <v>410</v>
      </c>
      <c r="GA88">
        <v>14.021100000000001</v>
      </c>
      <c r="GB88">
        <v>99.9495</v>
      </c>
      <c r="GC88">
        <v>99.637</v>
      </c>
    </row>
    <row r="89" spans="1:185" x14ac:dyDescent="0.2">
      <c r="A89">
        <v>74</v>
      </c>
      <c r="B89">
        <v>1770999976</v>
      </c>
      <c r="C89">
        <v>1352.9000000953699</v>
      </c>
      <c r="D89" t="s">
        <v>443</v>
      </c>
      <c r="E89" t="s">
        <v>444</v>
      </c>
      <c r="F89">
        <v>15</v>
      </c>
      <c r="G89">
        <v>1770999967.9333301</v>
      </c>
      <c r="H89">
        <f t="shared" si="13"/>
        <v>1.0918472776538404E-3</v>
      </c>
      <c r="I89">
        <v>0</v>
      </c>
      <c r="J89">
        <f t="shared" si="25"/>
        <v>9.6134743240617747E-4</v>
      </c>
      <c r="K89">
        <f t="shared" si="14"/>
        <v>1.7190097871433104E-2</v>
      </c>
      <c r="L89">
        <f t="shared" si="15"/>
        <v>70.108680784054684</v>
      </c>
      <c r="M89">
        <f t="shared" si="16"/>
        <v>1.5461348577070644</v>
      </c>
      <c r="N89">
        <f t="shared" si="17"/>
        <v>2.20534010969254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26326.391671177917</v>
      </c>
      <c r="T89">
        <f t="shared" si="21"/>
        <v>99.998360000000005</v>
      </c>
      <c r="U89">
        <f t="shared" si="22"/>
        <v>84.298502621883671</v>
      </c>
      <c r="V89">
        <f t="shared" si="23"/>
        <v>0.84299885139999964</v>
      </c>
      <c r="W89">
        <f t="shared" si="24"/>
        <v>0.15869682968399992</v>
      </c>
      <c r="X89">
        <v>1</v>
      </c>
      <c r="Y89">
        <v>1770999967.9333301</v>
      </c>
      <c r="Z89">
        <v>409.42206666666698</v>
      </c>
      <c r="AA89">
        <v>410.00233333333301</v>
      </c>
      <c r="AB89">
        <v>15.386786666666699</v>
      </c>
      <c r="AC89">
        <v>14.0429866666667</v>
      </c>
      <c r="AD89">
        <v>410.42500000000001</v>
      </c>
      <c r="AE89">
        <v>15.297373333333301</v>
      </c>
      <c r="AF89">
        <v>800.00540000000001</v>
      </c>
      <c r="AG89">
        <v>100.4194</v>
      </c>
      <c r="AH89">
        <v>6.51840266666667E-2</v>
      </c>
      <c r="AI89">
        <v>19.001159999999999</v>
      </c>
      <c r="AJ89">
        <v>999.9</v>
      </c>
      <c r="AK89">
        <v>999.9</v>
      </c>
      <c r="AL89">
        <v>0</v>
      </c>
      <c r="AM89">
        <v>0</v>
      </c>
      <c r="AN89">
        <v>4999.0666666666702</v>
      </c>
      <c r="AO89">
        <v>0</v>
      </c>
      <c r="AP89">
        <v>1.86317</v>
      </c>
      <c r="AQ89">
        <v>-0.58013499999999996</v>
      </c>
      <c r="AR89">
        <v>415.82026666666701</v>
      </c>
      <c r="AS89">
        <v>415.84193333333297</v>
      </c>
      <c r="AT89">
        <v>1.34380533333333</v>
      </c>
      <c r="AU89">
        <v>410.00233333333301</v>
      </c>
      <c r="AV89">
        <v>14.0429866666667</v>
      </c>
      <c r="AW89">
        <v>1.54513066666667</v>
      </c>
      <c r="AX89">
        <v>1.410188</v>
      </c>
      <c r="AY89">
        <v>13.422219999999999</v>
      </c>
      <c r="AZ89">
        <v>12.0276266666667</v>
      </c>
      <c r="BA89">
        <v>99.998360000000005</v>
      </c>
      <c r="BB89">
        <v>0.90004273333333296</v>
      </c>
      <c r="BC89">
        <v>0</v>
      </c>
      <c r="BD89">
        <v>9.9957420000000005E-2</v>
      </c>
      <c r="BE89">
        <v>0</v>
      </c>
      <c r="BF89">
        <v>24</v>
      </c>
      <c r="BG89">
        <v>1648.87333333333</v>
      </c>
      <c r="BH89">
        <v>1770999899</v>
      </c>
      <c r="BI89" t="s">
        <v>432</v>
      </c>
      <c r="BJ89">
        <v>1770999896</v>
      </c>
      <c r="BK89">
        <v>1770999899</v>
      </c>
      <c r="BL89">
        <v>3</v>
      </c>
      <c r="BM89">
        <v>6.0999999999999999E-2</v>
      </c>
      <c r="BN89">
        <v>1E-3</v>
      </c>
      <c r="BO89">
        <v>-1.0029999999999999</v>
      </c>
      <c r="BP89">
        <v>8.8999999999999996E-2</v>
      </c>
      <c r="BQ89">
        <v>410</v>
      </c>
      <c r="BR89">
        <v>14</v>
      </c>
      <c r="BS89">
        <v>0.21</v>
      </c>
      <c r="BT89">
        <v>0.02</v>
      </c>
      <c r="BU89">
        <v>-0.58737180952380996</v>
      </c>
      <c r="BV89">
        <v>0.15268511688311701</v>
      </c>
      <c r="BW89">
        <v>1.9307639101609601E-2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1.34140142857143</v>
      </c>
      <c r="CD89">
        <v>5.8338701298701702E-2</v>
      </c>
      <c r="CE89">
        <v>6.2957432979330701E-3</v>
      </c>
      <c r="CF89">
        <v>1</v>
      </c>
      <c r="CG89">
        <v>2</v>
      </c>
      <c r="CH89">
        <v>2</v>
      </c>
      <c r="CI89" t="s">
        <v>304</v>
      </c>
      <c r="CJ89">
        <v>3.53254</v>
      </c>
      <c r="CK89">
        <v>2.7031800000000001</v>
      </c>
      <c r="CL89">
        <v>9.8407599999999998E-2</v>
      </c>
      <c r="CM89">
        <v>9.7109899999999999E-2</v>
      </c>
      <c r="CN89">
        <v>8.75615E-2</v>
      </c>
      <c r="CO89">
        <v>8.0901899999999999E-2</v>
      </c>
      <c r="CP89">
        <v>31650.5</v>
      </c>
      <c r="CQ89">
        <v>27787.200000000001</v>
      </c>
      <c r="CR89">
        <v>32487.4</v>
      </c>
      <c r="CS89">
        <v>30698.9</v>
      </c>
      <c r="CT89">
        <v>40120.400000000001</v>
      </c>
      <c r="CU89">
        <v>39663.699999999997</v>
      </c>
      <c r="CV89">
        <v>47427.6</v>
      </c>
      <c r="CW89">
        <v>46798.2</v>
      </c>
      <c r="CX89">
        <v>2.6368800000000001</v>
      </c>
      <c r="CY89">
        <v>2.1751800000000001</v>
      </c>
      <c r="CZ89">
        <v>0</v>
      </c>
      <c r="DA89">
        <v>0</v>
      </c>
      <c r="DB89">
        <v>999.9</v>
      </c>
      <c r="DC89">
        <v>999.9</v>
      </c>
      <c r="DD89">
        <v>69.753</v>
      </c>
      <c r="DE89">
        <v>24.119</v>
      </c>
      <c r="DF89">
        <v>20.952999999999999</v>
      </c>
      <c r="DG89">
        <v>30.51</v>
      </c>
      <c r="DH89">
        <v>16.057700000000001</v>
      </c>
      <c r="DI89">
        <v>2</v>
      </c>
      <c r="DJ89">
        <v>-0.19194900000000001</v>
      </c>
      <c r="DK89">
        <v>1.5204</v>
      </c>
      <c r="DL89">
        <v>20.238499999999998</v>
      </c>
      <c r="DM89">
        <v>5.2526299999999999</v>
      </c>
      <c r="DN89">
        <v>12.033899999999999</v>
      </c>
      <c r="DO89">
        <v>4.9676799999999997</v>
      </c>
      <c r="DP89">
        <v>3.2909999999999999</v>
      </c>
      <c r="DQ89">
        <v>9999</v>
      </c>
      <c r="DR89">
        <v>9999</v>
      </c>
      <c r="DS89">
        <v>596.70000000000005</v>
      </c>
      <c r="DT89">
        <v>9999</v>
      </c>
      <c r="DU89">
        <v>1.8709899999999999</v>
      </c>
      <c r="DV89">
        <v>1.8760699999999999</v>
      </c>
      <c r="DW89">
        <v>1.87622</v>
      </c>
      <c r="DX89">
        <v>1.8827799999999999</v>
      </c>
      <c r="DY89">
        <v>1.87548</v>
      </c>
      <c r="DZ89">
        <v>1.8745499999999999</v>
      </c>
      <c r="EA89">
        <v>1.87073</v>
      </c>
      <c r="EB89">
        <v>1.8745700000000001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-1.0029999999999999</v>
      </c>
      <c r="EQ89">
        <v>8.9399999999999993E-2</v>
      </c>
      <c r="ER89">
        <v>-1.0028181818181601</v>
      </c>
      <c r="ES89">
        <v>0</v>
      </c>
      <c r="ET89">
        <v>0</v>
      </c>
      <c r="EU89">
        <v>0</v>
      </c>
      <c r="EV89">
        <v>8.9420000000002303E-2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1.3</v>
      </c>
      <c r="FE89">
        <v>1.3</v>
      </c>
      <c r="FF89">
        <v>1.23291</v>
      </c>
      <c r="FG89">
        <v>2.5744600000000002</v>
      </c>
      <c r="FH89">
        <v>2.19604</v>
      </c>
      <c r="FI89">
        <v>2.5793499999999998</v>
      </c>
      <c r="FJ89">
        <v>2.4462899999999999</v>
      </c>
      <c r="FK89">
        <v>2.2595200000000002</v>
      </c>
      <c r="FL89">
        <v>29.559100000000001</v>
      </c>
      <c r="FM89">
        <v>24.157499999999999</v>
      </c>
      <c r="FN89">
        <v>19</v>
      </c>
      <c r="FO89">
        <v>863.49199999999996</v>
      </c>
      <c r="FP89">
        <v>600.86400000000003</v>
      </c>
      <c r="FQ89">
        <v>18.650200000000002</v>
      </c>
      <c r="FR89">
        <v>24.589200000000002</v>
      </c>
      <c r="FS89">
        <v>30.0001</v>
      </c>
      <c r="FT89">
        <v>24.5823</v>
      </c>
      <c r="FU89">
        <v>24.583500000000001</v>
      </c>
      <c r="FV89">
        <v>24.7517</v>
      </c>
      <c r="FW89">
        <v>36.672899999999998</v>
      </c>
      <c r="FX89">
        <v>51.5702</v>
      </c>
      <c r="FY89">
        <v>18.6494</v>
      </c>
      <c r="FZ89">
        <v>410</v>
      </c>
      <c r="GA89">
        <v>14.0222</v>
      </c>
      <c r="GB89">
        <v>99.951700000000002</v>
      </c>
      <c r="GC89">
        <v>99.639099999999999</v>
      </c>
    </row>
    <row r="90" spans="1:185" x14ac:dyDescent="0.2">
      <c r="A90">
        <v>75</v>
      </c>
      <c r="B90">
        <v>1770999991</v>
      </c>
      <c r="C90">
        <v>1367.9000000953699</v>
      </c>
      <c r="D90" t="s">
        <v>445</v>
      </c>
      <c r="E90" t="s">
        <v>446</v>
      </c>
      <c r="F90">
        <v>15</v>
      </c>
      <c r="G90">
        <v>1770999982.9333301</v>
      </c>
      <c r="H90">
        <f t="shared" si="13"/>
        <v>1.1003591146946177E-3</v>
      </c>
      <c r="I90">
        <v>0</v>
      </c>
      <c r="J90">
        <f t="shared" si="25"/>
        <v>4.2982146817783465E-4</v>
      </c>
      <c r="K90">
        <f t="shared" si="14"/>
        <v>7.6857469590642961E-3</v>
      </c>
      <c r="L90">
        <f t="shared" si="15"/>
        <v>70.080291094554326</v>
      </c>
      <c r="M90">
        <f t="shared" si="16"/>
        <v>1.5454907658515129</v>
      </c>
      <c r="N90">
        <f t="shared" si="17"/>
        <v>2.2053144210920768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26340.800638563291</v>
      </c>
      <c r="T90">
        <f t="shared" si="21"/>
        <v>100.0005</v>
      </c>
      <c r="U90">
        <f t="shared" si="22"/>
        <v>84.300308419434629</v>
      </c>
      <c r="V90">
        <f t="shared" si="23"/>
        <v>0.84299886920000022</v>
      </c>
      <c r="W90">
        <f t="shared" si="24"/>
        <v>0.15869712103200004</v>
      </c>
      <c r="X90">
        <v>1</v>
      </c>
      <c r="Y90">
        <v>1770999982.9333301</v>
      </c>
      <c r="Z90">
        <v>409.41693333333302</v>
      </c>
      <c r="AA90">
        <v>409.98966666666701</v>
      </c>
      <c r="AB90">
        <v>15.38036</v>
      </c>
      <c r="AC90">
        <v>14.02608</v>
      </c>
      <c r="AD90">
        <v>410.419733333333</v>
      </c>
      <c r="AE90">
        <v>15.2909466666667</v>
      </c>
      <c r="AF90">
        <v>800.00826666666705</v>
      </c>
      <c r="AG90">
        <v>100.419333333333</v>
      </c>
      <c r="AH90">
        <v>6.53605133333333E-2</v>
      </c>
      <c r="AI90">
        <v>19.000973333333299</v>
      </c>
      <c r="AJ90">
        <v>999.9</v>
      </c>
      <c r="AK90">
        <v>999.9</v>
      </c>
      <c r="AL90">
        <v>0</v>
      </c>
      <c r="AM90">
        <v>0</v>
      </c>
      <c r="AN90">
        <v>5001.4333333333298</v>
      </c>
      <c r="AO90">
        <v>0</v>
      </c>
      <c r="AP90">
        <v>1.86317</v>
      </c>
      <c r="AQ90">
        <v>-0.57278640000000003</v>
      </c>
      <c r="AR90">
        <v>415.81220000000002</v>
      </c>
      <c r="AS90">
        <v>415.822133333333</v>
      </c>
      <c r="AT90">
        <v>1.3542860000000001</v>
      </c>
      <c r="AU90">
        <v>409.98966666666701</v>
      </c>
      <c r="AV90">
        <v>14.02608</v>
      </c>
      <c r="AW90">
        <v>1.5444846666666701</v>
      </c>
      <c r="AX90">
        <v>1.40849</v>
      </c>
      <c r="AY90">
        <v>13.415813333333301</v>
      </c>
      <c r="AZ90">
        <v>12.0093333333333</v>
      </c>
      <c r="BA90">
        <v>100.0005</v>
      </c>
      <c r="BB90">
        <v>0.90003846666666698</v>
      </c>
      <c r="BC90">
        <v>0</v>
      </c>
      <c r="BD90">
        <v>9.9961560000000005E-2</v>
      </c>
      <c r="BE90">
        <v>0</v>
      </c>
      <c r="BF90">
        <v>24</v>
      </c>
      <c r="BG90">
        <v>1648.9066666666699</v>
      </c>
      <c r="BH90">
        <v>1770999899</v>
      </c>
      <c r="BI90" t="s">
        <v>432</v>
      </c>
      <c r="BJ90">
        <v>1770999896</v>
      </c>
      <c r="BK90">
        <v>1770999899</v>
      </c>
      <c r="BL90">
        <v>3</v>
      </c>
      <c r="BM90">
        <v>6.0999999999999999E-2</v>
      </c>
      <c r="BN90">
        <v>1E-3</v>
      </c>
      <c r="BO90">
        <v>-1.0029999999999999</v>
      </c>
      <c r="BP90">
        <v>8.8999999999999996E-2</v>
      </c>
      <c r="BQ90">
        <v>410</v>
      </c>
      <c r="BR90">
        <v>14</v>
      </c>
      <c r="BS90">
        <v>0.21</v>
      </c>
      <c r="BT90">
        <v>0.02</v>
      </c>
      <c r="BU90">
        <v>-0.57114555</v>
      </c>
      <c r="BV90">
        <v>2.8882421052631099E-2</v>
      </c>
      <c r="BW90">
        <v>1.7388062915330699E-2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1.3532299999999999</v>
      </c>
      <c r="CD90">
        <v>2.5854135338344599E-2</v>
      </c>
      <c r="CE90">
        <v>4.3765614356478704E-3</v>
      </c>
      <c r="CF90">
        <v>1</v>
      </c>
      <c r="CG90">
        <v>2</v>
      </c>
      <c r="CH90">
        <v>2</v>
      </c>
      <c r="CI90" t="s">
        <v>304</v>
      </c>
      <c r="CJ90">
        <v>3.5325099999999998</v>
      </c>
      <c r="CK90">
        <v>2.7033499999999999</v>
      </c>
      <c r="CL90">
        <v>9.8401699999999995E-2</v>
      </c>
      <c r="CM90">
        <v>9.7106899999999996E-2</v>
      </c>
      <c r="CN90">
        <v>8.7530800000000006E-2</v>
      </c>
      <c r="CO90">
        <v>8.0808199999999997E-2</v>
      </c>
      <c r="CP90">
        <v>31650.2</v>
      </c>
      <c r="CQ90">
        <v>27787.5</v>
      </c>
      <c r="CR90">
        <v>32487</v>
      </c>
      <c r="CS90">
        <v>30699.1</v>
      </c>
      <c r="CT90">
        <v>40121.4</v>
      </c>
      <c r="CU90">
        <v>39668.1</v>
      </c>
      <c r="CV90">
        <v>47427.1</v>
      </c>
      <c r="CW90">
        <v>46798.400000000001</v>
      </c>
      <c r="CX90">
        <v>2.6369600000000002</v>
      </c>
      <c r="CY90">
        <v>2.17496</v>
      </c>
      <c r="CZ90">
        <v>0</v>
      </c>
      <c r="DA90">
        <v>0</v>
      </c>
      <c r="DB90">
        <v>999.9</v>
      </c>
      <c r="DC90">
        <v>999.9</v>
      </c>
      <c r="DD90">
        <v>69.613</v>
      </c>
      <c r="DE90">
        <v>24.149000000000001</v>
      </c>
      <c r="DF90">
        <v>20.9482</v>
      </c>
      <c r="DG90">
        <v>30.36</v>
      </c>
      <c r="DH90">
        <v>16.037700000000001</v>
      </c>
      <c r="DI90">
        <v>2</v>
      </c>
      <c r="DJ90">
        <v>-0.19182299999999999</v>
      </c>
      <c r="DK90">
        <v>1.5208699999999999</v>
      </c>
      <c r="DL90">
        <v>20.238499999999998</v>
      </c>
      <c r="DM90">
        <v>5.25251</v>
      </c>
      <c r="DN90">
        <v>12.033899999999999</v>
      </c>
      <c r="DO90">
        <v>4.9676400000000003</v>
      </c>
      <c r="DP90">
        <v>3.2909999999999999</v>
      </c>
      <c r="DQ90">
        <v>9999</v>
      </c>
      <c r="DR90">
        <v>9999</v>
      </c>
      <c r="DS90">
        <v>596.70000000000005</v>
      </c>
      <c r="DT90">
        <v>9999</v>
      </c>
      <c r="DU90">
        <v>1.8710199999999999</v>
      </c>
      <c r="DV90">
        <v>1.8760699999999999</v>
      </c>
      <c r="DW90">
        <v>1.87622</v>
      </c>
      <c r="DX90">
        <v>1.8827700000000001</v>
      </c>
      <c r="DY90">
        <v>1.87547</v>
      </c>
      <c r="DZ90">
        <v>1.8745400000000001</v>
      </c>
      <c r="EA90">
        <v>1.87073</v>
      </c>
      <c r="EB90">
        <v>1.87459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-1.0029999999999999</v>
      </c>
      <c r="EQ90">
        <v>8.9499999999999996E-2</v>
      </c>
      <c r="ER90">
        <v>-1.0028181818181601</v>
      </c>
      <c r="ES90">
        <v>0</v>
      </c>
      <c r="ET90">
        <v>0</v>
      </c>
      <c r="EU90">
        <v>0</v>
      </c>
      <c r="EV90">
        <v>8.9420000000002303E-2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1.6</v>
      </c>
      <c r="FE90">
        <v>1.5</v>
      </c>
      <c r="FF90">
        <v>1.23291</v>
      </c>
      <c r="FG90">
        <v>2.5756800000000002</v>
      </c>
      <c r="FH90">
        <v>2.19604</v>
      </c>
      <c r="FI90">
        <v>2.5793499999999998</v>
      </c>
      <c r="FJ90">
        <v>2.4462899999999999</v>
      </c>
      <c r="FK90">
        <v>2.2961399999999998</v>
      </c>
      <c r="FL90">
        <v>29.580400000000001</v>
      </c>
      <c r="FM90">
        <v>24.157499999999999</v>
      </c>
      <c r="FN90">
        <v>19</v>
      </c>
      <c r="FO90">
        <v>863.60799999999995</v>
      </c>
      <c r="FP90">
        <v>600.73299999999995</v>
      </c>
      <c r="FQ90">
        <v>18.647200000000002</v>
      </c>
      <c r="FR90">
        <v>24.5913</v>
      </c>
      <c r="FS90">
        <v>30.0002</v>
      </c>
      <c r="FT90">
        <v>24.584900000000001</v>
      </c>
      <c r="FU90">
        <v>24.5871</v>
      </c>
      <c r="FV90">
        <v>24.753699999999998</v>
      </c>
      <c r="FW90">
        <v>36.672899999999998</v>
      </c>
      <c r="FX90">
        <v>51.198999999999998</v>
      </c>
      <c r="FY90">
        <v>18.646599999999999</v>
      </c>
      <c r="FZ90">
        <v>410</v>
      </c>
      <c r="GA90">
        <v>14.0222</v>
      </c>
      <c r="GB90">
        <v>99.950599999999994</v>
      </c>
      <c r="GC90">
        <v>99.639600000000002</v>
      </c>
    </row>
    <row r="91" spans="1:185" x14ac:dyDescent="0.2">
      <c r="A91">
        <v>76</v>
      </c>
      <c r="B91">
        <v>1771000006</v>
      </c>
      <c r="C91">
        <v>1382.9000000953699</v>
      </c>
      <c r="D91" t="s">
        <v>447</v>
      </c>
      <c r="E91" t="s">
        <v>448</v>
      </c>
      <c r="F91">
        <v>15</v>
      </c>
      <c r="G91">
        <v>1770999997.9333301</v>
      </c>
      <c r="H91">
        <f t="shared" si="13"/>
        <v>1.1133881313541683E-3</v>
      </c>
      <c r="I91">
        <v>0</v>
      </c>
      <c r="J91">
        <f t="shared" si="25"/>
        <v>1.1596597583220386E-3</v>
      </c>
      <c r="K91">
        <f t="shared" si="14"/>
        <v>2.0736170994105012E-2</v>
      </c>
      <c r="L91">
        <f t="shared" si="15"/>
        <v>70.065277276799293</v>
      </c>
      <c r="M91">
        <f t="shared" si="16"/>
        <v>1.5451378085379952</v>
      </c>
      <c r="N91">
        <f t="shared" si="17"/>
        <v>2.2052832281442156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26326.880513846612</v>
      </c>
      <c r="T91">
        <f t="shared" si="21"/>
        <v>99.99982</v>
      </c>
      <c r="U91">
        <f t="shared" si="22"/>
        <v>84.299702320262654</v>
      </c>
      <c r="V91">
        <f t="shared" si="23"/>
        <v>0.84299854059999968</v>
      </c>
      <c r="W91">
        <f t="shared" si="24"/>
        <v>0.15869613063599997</v>
      </c>
      <c r="X91">
        <v>1</v>
      </c>
      <c r="Y91">
        <v>1770999997.9333301</v>
      </c>
      <c r="Z91">
        <v>409.38513333333299</v>
      </c>
      <c r="AA91">
        <v>409.98079999999999</v>
      </c>
      <c r="AB91">
        <v>15.376913333333301</v>
      </c>
      <c r="AC91">
        <v>14.006600000000001</v>
      </c>
      <c r="AD91">
        <v>410.38793333333302</v>
      </c>
      <c r="AE91">
        <v>15.2874866666667</v>
      </c>
      <c r="AF91">
        <v>800.01239999999996</v>
      </c>
      <c r="AG91">
        <v>100.4188</v>
      </c>
      <c r="AH91">
        <v>6.5463326666666696E-2</v>
      </c>
      <c r="AI91">
        <v>19.0007466666667</v>
      </c>
      <c r="AJ91">
        <v>999.9</v>
      </c>
      <c r="AK91">
        <v>999.9</v>
      </c>
      <c r="AL91">
        <v>0</v>
      </c>
      <c r="AM91">
        <v>0</v>
      </c>
      <c r="AN91">
        <v>4999.1666666666697</v>
      </c>
      <c r="AO91">
        <v>0</v>
      </c>
      <c r="AP91">
        <v>1.8579013333333301</v>
      </c>
      <c r="AQ91">
        <v>-0.59561166666666698</v>
      </c>
      <c r="AR91">
        <v>415.77846666666699</v>
      </c>
      <c r="AS91">
        <v>415.8048</v>
      </c>
      <c r="AT91">
        <v>1.3703080000000001</v>
      </c>
      <c r="AU91">
        <v>409.98079999999999</v>
      </c>
      <c r="AV91">
        <v>14.006600000000001</v>
      </c>
      <c r="AW91">
        <v>1.5441320000000001</v>
      </c>
      <c r="AX91">
        <v>1.406528</v>
      </c>
      <c r="AY91">
        <v>13.412293333333301</v>
      </c>
      <c r="AZ91">
        <v>11.9881933333333</v>
      </c>
      <c r="BA91">
        <v>99.99982</v>
      </c>
      <c r="BB91">
        <v>0.900051933333333</v>
      </c>
      <c r="BC91">
        <v>0</v>
      </c>
      <c r="BD91">
        <v>9.9948179999999998E-2</v>
      </c>
      <c r="BE91">
        <v>0</v>
      </c>
      <c r="BF91">
        <v>24</v>
      </c>
      <c r="BG91">
        <v>1648.9006666666701</v>
      </c>
      <c r="BH91">
        <v>1770999899</v>
      </c>
      <c r="BI91" t="s">
        <v>432</v>
      </c>
      <c r="BJ91">
        <v>1770999896</v>
      </c>
      <c r="BK91">
        <v>1770999899</v>
      </c>
      <c r="BL91">
        <v>3</v>
      </c>
      <c r="BM91">
        <v>6.0999999999999999E-2</v>
      </c>
      <c r="BN91">
        <v>1E-3</v>
      </c>
      <c r="BO91">
        <v>-1.0029999999999999</v>
      </c>
      <c r="BP91">
        <v>8.8999999999999996E-2</v>
      </c>
      <c r="BQ91">
        <v>410</v>
      </c>
      <c r="BR91">
        <v>14</v>
      </c>
      <c r="BS91">
        <v>0.21</v>
      </c>
      <c r="BT91">
        <v>0.02</v>
      </c>
      <c r="BU91">
        <v>-0.58586204761904803</v>
      </c>
      <c r="BV91">
        <v>-0.101832935064936</v>
      </c>
      <c r="BW91">
        <v>2.1804558150547101E-2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1.3664347619047601</v>
      </c>
      <c r="CD91">
        <v>6.3368571428572204E-2</v>
      </c>
      <c r="CE91">
        <v>7.7060895024325202E-3</v>
      </c>
      <c r="CF91">
        <v>1</v>
      </c>
      <c r="CG91">
        <v>2</v>
      </c>
      <c r="CH91">
        <v>2</v>
      </c>
      <c r="CI91" t="s">
        <v>304</v>
      </c>
      <c r="CJ91">
        <v>3.5325600000000001</v>
      </c>
      <c r="CK91">
        <v>2.70296</v>
      </c>
      <c r="CL91">
        <v>9.8399899999999998E-2</v>
      </c>
      <c r="CM91">
        <v>9.7105300000000006E-2</v>
      </c>
      <c r="CN91">
        <v>8.7451600000000004E-2</v>
      </c>
      <c r="CO91">
        <v>8.0726099999999995E-2</v>
      </c>
      <c r="CP91">
        <v>31650</v>
      </c>
      <c r="CQ91">
        <v>27787.200000000001</v>
      </c>
      <c r="CR91">
        <v>32486.7</v>
      </c>
      <c r="CS91">
        <v>30698.799999999999</v>
      </c>
      <c r="CT91">
        <v>40124.800000000003</v>
      </c>
      <c r="CU91">
        <v>39671.599999999999</v>
      </c>
      <c r="CV91">
        <v>47426.9</v>
      </c>
      <c r="CW91">
        <v>46798.2</v>
      </c>
      <c r="CX91">
        <v>2.6366399999999999</v>
      </c>
      <c r="CY91">
        <v>2.1749399999999999</v>
      </c>
      <c r="CZ91">
        <v>0</v>
      </c>
      <c r="DA91">
        <v>0</v>
      </c>
      <c r="DB91">
        <v>999.9</v>
      </c>
      <c r="DC91">
        <v>999.9</v>
      </c>
      <c r="DD91">
        <v>69.497</v>
      </c>
      <c r="DE91">
        <v>24.158999999999999</v>
      </c>
      <c r="DF91">
        <v>20.927299999999999</v>
      </c>
      <c r="DG91">
        <v>30.42</v>
      </c>
      <c r="DH91">
        <v>16.0136</v>
      </c>
      <c r="DI91">
        <v>2</v>
      </c>
      <c r="DJ91">
        <v>-0.191687</v>
      </c>
      <c r="DK91">
        <v>1.5242599999999999</v>
      </c>
      <c r="DL91">
        <v>20.238399999999999</v>
      </c>
      <c r="DM91">
        <v>5.2523900000000001</v>
      </c>
      <c r="DN91">
        <v>12.033899999999999</v>
      </c>
      <c r="DO91">
        <v>4.9676799999999997</v>
      </c>
      <c r="DP91">
        <v>3.2909999999999999</v>
      </c>
      <c r="DQ91">
        <v>9999</v>
      </c>
      <c r="DR91">
        <v>9999</v>
      </c>
      <c r="DS91">
        <v>596.70000000000005</v>
      </c>
      <c r="DT91">
        <v>9999</v>
      </c>
      <c r="DU91">
        <v>1.87103</v>
      </c>
      <c r="DV91">
        <v>1.8760699999999999</v>
      </c>
      <c r="DW91">
        <v>1.8762300000000001</v>
      </c>
      <c r="DX91">
        <v>1.8827799999999999</v>
      </c>
      <c r="DY91">
        <v>1.87551</v>
      </c>
      <c r="DZ91">
        <v>1.8745799999999999</v>
      </c>
      <c r="EA91">
        <v>1.87073</v>
      </c>
      <c r="EB91">
        <v>1.8746499999999999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-1.0029999999999999</v>
      </c>
      <c r="EQ91">
        <v>8.9399999999999993E-2</v>
      </c>
      <c r="ER91">
        <v>-1.0028181818181601</v>
      </c>
      <c r="ES91">
        <v>0</v>
      </c>
      <c r="ET91">
        <v>0</v>
      </c>
      <c r="EU91">
        <v>0</v>
      </c>
      <c r="EV91">
        <v>8.9420000000002303E-2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1.8</v>
      </c>
      <c r="FE91">
        <v>1.8</v>
      </c>
      <c r="FF91">
        <v>1.23291</v>
      </c>
      <c r="FG91">
        <v>2.5720200000000002</v>
      </c>
      <c r="FH91">
        <v>2.19604</v>
      </c>
      <c r="FI91">
        <v>2.5793499999999998</v>
      </c>
      <c r="FJ91">
        <v>2.4462899999999999</v>
      </c>
      <c r="FK91">
        <v>2.3071299999999999</v>
      </c>
      <c r="FL91">
        <v>29.601700000000001</v>
      </c>
      <c r="FM91">
        <v>24.1663</v>
      </c>
      <c r="FN91">
        <v>19</v>
      </c>
      <c r="FO91">
        <v>863.37199999999996</v>
      </c>
      <c r="FP91">
        <v>600.75099999999998</v>
      </c>
      <c r="FQ91">
        <v>18.644400000000001</v>
      </c>
      <c r="FR91">
        <v>24.595400000000001</v>
      </c>
      <c r="FS91">
        <v>30.0002</v>
      </c>
      <c r="FT91">
        <v>24.5886</v>
      </c>
      <c r="FU91">
        <v>24.59</v>
      </c>
      <c r="FV91">
        <v>24.756</v>
      </c>
      <c r="FW91">
        <v>36.672899999999998</v>
      </c>
      <c r="FX91">
        <v>50.828699999999998</v>
      </c>
      <c r="FY91">
        <v>18.644100000000002</v>
      </c>
      <c r="FZ91">
        <v>410</v>
      </c>
      <c r="GA91">
        <v>14.0222</v>
      </c>
      <c r="GB91">
        <v>99.9499</v>
      </c>
      <c r="GC91">
        <v>99.638999999999996</v>
      </c>
    </row>
    <row r="92" spans="1:185" x14ac:dyDescent="0.2">
      <c r="A92">
        <v>77</v>
      </c>
      <c r="B92">
        <v>1771000021</v>
      </c>
      <c r="C92">
        <v>1397.9000000953699</v>
      </c>
      <c r="D92" t="s">
        <v>449</v>
      </c>
      <c r="E92" t="s">
        <v>450</v>
      </c>
      <c r="F92">
        <v>15</v>
      </c>
      <c r="G92">
        <v>1771000012.9333301</v>
      </c>
      <c r="H92">
        <f t="shared" si="13"/>
        <v>1.115122106204722E-3</v>
      </c>
      <c r="I92">
        <v>0</v>
      </c>
      <c r="J92">
        <f t="shared" si="25"/>
        <v>1.7252433829607408E-3</v>
      </c>
      <c r="K92">
        <f t="shared" si="14"/>
        <v>3.0849515591785656E-2</v>
      </c>
      <c r="L92">
        <f t="shared" si="15"/>
        <v>69.973891611035938</v>
      </c>
      <c r="M92">
        <f t="shared" si="16"/>
        <v>1.5432008171579139</v>
      </c>
      <c r="N92">
        <f t="shared" si="17"/>
        <v>2.2053951575769264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26320.781526018145</v>
      </c>
      <c r="T92">
        <f t="shared" si="21"/>
        <v>100.00115333333299</v>
      </c>
      <c r="U92">
        <f t="shared" si="22"/>
        <v>84.300872958854455</v>
      </c>
      <c r="V92">
        <f t="shared" si="23"/>
        <v>0.84299900699999997</v>
      </c>
      <c r="W92">
        <f t="shared" si="24"/>
        <v>0.15869732262</v>
      </c>
      <c r="X92">
        <v>1</v>
      </c>
      <c r="Y92">
        <v>1771000012.9333301</v>
      </c>
      <c r="Z92">
        <v>409.38226666666702</v>
      </c>
      <c r="AA92">
        <v>409.99146666666701</v>
      </c>
      <c r="AB92">
        <v>15.3577733333333</v>
      </c>
      <c r="AC92">
        <v>13.985279999999999</v>
      </c>
      <c r="AD92">
        <v>410.3852</v>
      </c>
      <c r="AE92">
        <v>15.268359999999999</v>
      </c>
      <c r="AF92">
        <v>800.00120000000004</v>
      </c>
      <c r="AG92">
        <v>100.41826666666699</v>
      </c>
      <c r="AH92">
        <v>6.5103133333333299E-2</v>
      </c>
      <c r="AI92">
        <v>19.001560000000001</v>
      </c>
      <c r="AJ92">
        <v>999.9</v>
      </c>
      <c r="AK92">
        <v>999.9</v>
      </c>
      <c r="AL92">
        <v>0</v>
      </c>
      <c r="AM92">
        <v>0</v>
      </c>
      <c r="AN92">
        <v>4998.2</v>
      </c>
      <c r="AO92">
        <v>0</v>
      </c>
      <c r="AP92">
        <v>1.83381533333333</v>
      </c>
      <c r="AQ92">
        <v>-0.60917973333333297</v>
      </c>
      <c r="AR92">
        <v>415.76760000000002</v>
      </c>
      <c r="AS92">
        <v>415.8066</v>
      </c>
      <c r="AT92">
        <v>1.3724973333333299</v>
      </c>
      <c r="AU92">
        <v>409.99146666666701</v>
      </c>
      <c r="AV92">
        <v>13.985279999999999</v>
      </c>
      <c r="AW92">
        <v>1.5421993333333299</v>
      </c>
      <c r="AX92">
        <v>1.40437733333333</v>
      </c>
      <c r="AY92">
        <v>13.3931</v>
      </c>
      <c r="AZ92">
        <v>11.964966666666699</v>
      </c>
      <c r="BA92">
        <v>100.00115333333299</v>
      </c>
      <c r="BB92">
        <v>0.90003599999999995</v>
      </c>
      <c r="BC92">
        <v>0</v>
      </c>
      <c r="BD92">
        <v>9.99641E-2</v>
      </c>
      <c r="BE92">
        <v>0</v>
      </c>
      <c r="BF92">
        <v>24</v>
      </c>
      <c r="BG92">
        <v>1648.9159999999999</v>
      </c>
      <c r="BH92">
        <v>1770999899</v>
      </c>
      <c r="BI92" t="s">
        <v>432</v>
      </c>
      <c r="BJ92">
        <v>1770999896</v>
      </c>
      <c r="BK92">
        <v>1770999899</v>
      </c>
      <c r="BL92">
        <v>3</v>
      </c>
      <c r="BM92">
        <v>6.0999999999999999E-2</v>
      </c>
      <c r="BN92">
        <v>1E-3</v>
      </c>
      <c r="BO92">
        <v>-1.0029999999999999</v>
      </c>
      <c r="BP92">
        <v>8.8999999999999996E-2</v>
      </c>
      <c r="BQ92">
        <v>410</v>
      </c>
      <c r="BR92">
        <v>14</v>
      </c>
      <c r="BS92">
        <v>0.21</v>
      </c>
      <c r="BT92">
        <v>0.02</v>
      </c>
      <c r="BU92">
        <v>-0.60350654999999997</v>
      </c>
      <c r="BV92">
        <v>-8.4257909774436396E-2</v>
      </c>
      <c r="BW92">
        <v>1.9762651450336802E-2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1.3727655000000001</v>
      </c>
      <c r="CD92">
        <v>1.7698195488722299E-2</v>
      </c>
      <c r="CE92">
        <v>4.7597546943093398E-3</v>
      </c>
      <c r="CF92">
        <v>1</v>
      </c>
      <c r="CG92">
        <v>2</v>
      </c>
      <c r="CH92">
        <v>2</v>
      </c>
      <c r="CI92" t="s">
        <v>304</v>
      </c>
      <c r="CJ92">
        <v>3.5325299999999999</v>
      </c>
      <c r="CK92">
        <v>2.7030699999999999</v>
      </c>
      <c r="CL92">
        <v>9.8401699999999995E-2</v>
      </c>
      <c r="CM92">
        <v>9.7109100000000004E-2</v>
      </c>
      <c r="CN92">
        <v>8.7365399999999996E-2</v>
      </c>
      <c r="CO92">
        <v>8.0639799999999998E-2</v>
      </c>
      <c r="CP92">
        <v>31650.400000000001</v>
      </c>
      <c r="CQ92">
        <v>27787.4</v>
      </c>
      <c r="CR92">
        <v>32487.1</v>
      </c>
      <c r="CS92">
        <v>30699.1</v>
      </c>
      <c r="CT92">
        <v>40129.300000000003</v>
      </c>
      <c r="CU92">
        <v>39675.699999999997</v>
      </c>
      <c r="CV92">
        <v>47427.5</v>
      </c>
      <c r="CW92">
        <v>46798.6</v>
      </c>
      <c r="CX92">
        <v>2.6368</v>
      </c>
      <c r="CY92">
        <v>2.1746400000000001</v>
      </c>
      <c r="CZ92">
        <v>0</v>
      </c>
      <c r="DA92">
        <v>0</v>
      </c>
      <c r="DB92">
        <v>999.9</v>
      </c>
      <c r="DC92">
        <v>999.9</v>
      </c>
      <c r="DD92">
        <v>69.337999999999994</v>
      </c>
      <c r="DE92">
        <v>24.189</v>
      </c>
      <c r="DF92">
        <v>20.915900000000001</v>
      </c>
      <c r="DG92">
        <v>30.54</v>
      </c>
      <c r="DH92">
        <v>15.9816</v>
      </c>
      <c r="DI92">
        <v>2</v>
      </c>
      <c r="DJ92">
        <v>-0.19139800000000001</v>
      </c>
      <c r="DK92">
        <v>1.53335</v>
      </c>
      <c r="DL92">
        <v>20.238499999999998</v>
      </c>
      <c r="DM92">
        <v>5.2495200000000004</v>
      </c>
      <c r="DN92">
        <v>12.033899999999999</v>
      </c>
      <c r="DO92">
        <v>4.9675200000000004</v>
      </c>
      <c r="DP92">
        <v>3.2909999999999999</v>
      </c>
      <c r="DQ92">
        <v>9999</v>
      </c>
      <c r="DR92">
        <v>9999</v>
      </c>
      <c r="DS92">
        <v>596.70000000000005</v>
      </c>
      <c r="DT92">
        <v>9999</v>
      </c>
      <c r="DU92">
        <v>1.87097</v>
      </c>
      <c r="DV92">
        <v>1.8760699999999999</v>
      </c>
      <c r="DW92">
        <v>1.87622</v>
      </c>
      <c r="DX92">
        <v>1.8827799999999999</v>
      </c>
      <c r="DY92">
        <v>1.8754999999999999</v>
      </c>
      <c r="DZ92">
        <v>1.8745499999999999</v>
      </c>
      <c r="EA92">
        <v>1.87073</v>
      </c>
      <c r="EB92">
        <v>1.87462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-1.0029999999999999</v>
      </c>
      <c r="EQ92">
        <v>8.9499999999999996E-2</v>
      </c>
      <c r="ER92">
        <v>-1.0028181818181601</v>
      </c>
      <c r="ES92">
        <v>0</v>
      </c>
      <c r="ET92">
        <v>0</v>
      </c>
      <c r="EU92">
        <v>0</v>
      </c>
      <c r="EV92">
        <v>8.9420000000002303E-2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2.1</v>
      </c>
      <c r="FE92">
        <v>2</v>
      </c>
      <c r="FF92">
        <v>1.23291</v>
      </c>
      <c r="FG92">
        <v>2.5720200000000002</v>
      </c>
      <c r="FH92">
        <v>2.19604</v>
      </c>
      <c r="FI92">
        <v>2.5793499999999998</v>
      </c>
      <c r="FJ92">
        <v>2.4462899999999999</v>
      </c>
      <c r="FK92">
        <v>2.2888199999999999</v>
      </c>
      <c r="FL92">
        <v>29.623000000000001</v>
      </c>
      <c r="FM92">
        <v>24.1663</v>
      </c>
      <c r="FN92">
        <v>19</v>
      </c>
      <c r="FO92">
        <v>863.56799999999998</v>
      </c>
      <c r="FP92">
        <v>600.55799999999999</v>
      </c>
      <c r="FQ92">
        <v>18.6418</v>
      </c>
      <c r="FR92">
        <v>24.5975</v>
      </c>
      <c r="FS92">
        <v>30.0001</v>
      </c>
      <c r="FT92">
        <v>24.5916</v>
      </c>
      <c r="FU92">
        <v>24.593699999999998</v>
      </c>
      <c r="FV92">
        <v>24.7577</v>
      </c>
      <c r="FW92">
        <v>36.672899999999998</v>
      </c>
      <c r="FX92">
        <v>50.441699999999997</v>
      </c>
      <c r="FY92">
        <v>18.639900000000001</v>
      </c>
      <c r="FZ92">
        <v>410</v>
      </c>
      <c r="GA92">
        <v>14.0222</v>
      </c>
      <c r="GB92">
        <v>99.951300000000003</v>
      </c>
      <c r="GC92">
        <v>99.639899999999997</v>
      </c>
    </row>
    <row r="93" spans="1:185" x14ac:dyDescent="0.2">
      <c r="A93">
        <v>78</v>
      </c>
      <c r="B93">
        <v>1771000036</v>
      </c>
      <c r="C93">
        <v>1412.9000000953699</v>
      </c>
      <c r="D93" t="s">
        <v>451</v>
      </c>
      <c r="E93" t="s">
        <v>452</v>
      </c>
      <c r="F93">
        <v>15</v>
      </c>
      <c r="G93">
        <v>1771000027.9333301</v>
      </c>
      <c r="H93">
        <f t="shared" si="13"/>
        <v>1.1189977126967337E-3</v>
      </c>
      <c r="I93">
        <v>0</v>
      </c>
      <c r="J93">
        <f t="shared" si="25"/>
        <v>2.1409139561462819E-3</v>
      </c>
      <c r="K93">
        <f t="shared" si="14"/>
        <v>3.8282226799480595E-2</v>
      </c>
      <c r="L93">
        <f t="shared" si="15"/>
        <v>69.908089165244917</v>
      </c>
      <c r="M93">
        <f t="shared" si="16"/>
        <v>1.5417464062623674</v>
      </c>
      <c r="N93">
        <f t="shared" si="17"/>
        <v>2.205390570207221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26351.639431941545</v>
      </c>
      <c r="T93">
        <f t="shared" si="21"/>
        <v>99.999600000000001</v>
      </c>
      <c r="U93">
        <f t="shared" si="22"/>
        <v>84.299584280314136</v>
      </c>
      <c r="V93">
        <f t="shared" si="23"/>
        <v>0.84299921480000051</v>
      </c>
      <c r="W93">
        <f t="shared" si="24"/>
        <v>0.1586979590480001</v>
      </c>
      <c r="X93">
        <v>1</v>
      </c>
      <c r="Y93">
        <v>1771000027.9333301</v>
      </c>
      <c r="Z93">
        <v>409.380333333333</v>
      </c>
      <c r="AA93">
        <v>410.00080000000003</v>
      </c>
      <c r="AB93">
        <v>15.3431466666667</v>
      </c>
      <c r="AC93">
        <v>13.965873333333301</v>
      </c>
      <c r="AD93">
        <v>410.38319999999999</v>
      </c>
      <c r="AE93">
        <v>15.25372</v>
      </c>
      <c r="AF93">
        <v>800.00733333333301</v>
      </c>
      <c r="AG93">
        <v>100.41906666666701</v>
      </c>
      <c r="AH93">
        <v>6.5302006666666704E-2</v>
      </c>
      <c r="AI93">
        <v>19.001526666666699</v>
      </c>
      <c r="AJ93">
        <v>999.9</v>
      </c>
      <c r="AK93">
        <v>999.9</v>
      </c>
      <c r="AL93">
        <v>0</v>
      </c>
      <c r="AM93">
        <v>0</v>
      </c>
      <c r="AN93">
        <v>5003.2333333333299</v>
      </c>
      <c r="AO93">
        <v>0</v>
      </c>
      <c r="AP93">
        <v>1.8112280000000001</v>
      </c>
      <c r="AQ93">
        <v>-0.62047106666666696</v>
      </c>
      <c r="AR93">
        <v>415.75946666666698</v>
      </c>
      <c r="AS93">
        <v>415.80793333333298</v>
      </c>
      <c r="AT93">
        <v>1.3772679999999999</v>
      </c>
      <c r="AU93">
        <v>410.00080000000003</v>
      </c>
      <c r="AV93">
        <v>13.965873333333301</v>
      </c>
      <c r="AW93">
        <v>1.54074333333333</v>
      </c>
      <c r="AX93">
        <v>1.40244066666667</v>
      </c>
      <c r="AY93">
        <v>13.3786066666667</v>
      </c>
      <c r="AZ93">
        <v>11.944039999999999</v>
      </c>
      <c r="BA93">
        <v>99.999600000000001</v>
      </c>
      <c r="BB93">
        <v>0.90002733333333396</v>
      </c>
      <c r="BC93">
        <v>0</v>
      </c>
      <c r="BD93">
        <v>9.9972706666666702E-2</v>
      </c>
      <c r="BE93">
        <v>0</v>
      </c>
      <c r="BF93">
        <v>24</v>
      </c>
      <c r="BG93">
        <v>1648.884</v>
      </c>
      <c r="BH93">
        <v>1770999899</v>
      </c>
      <c r="BI93" t="s">
        <v>432</v>
      </c>
      <c r="BJ93">
        <v>1770999896</v>
      </c>
      <c r="BK93">
        <v>1770999899</v>
      </c>
      <c r="BL93">
        <v>3</v>
      </c>
      <c r="BM93">
        <v>6.0999999999999999E-2</v>
      </c>
      <c r="BN93">
        <v>1E-3</v>
      </c>
      <c r="BO93">
        <v>-1.0029999999999999</v>
      </c>
      <c r="BP93">
        <v>8.8999999999999996E-2</v>
      </c>
      <c r="BQ93">
        <v>410</v>
      </c>
      <c r="BR93">
        <v>14</v>
      </c>
      <c r="BS93">
        <v>0.21</v>
      </c>
      <c r="BT93">
        <v>0.02</v>
      </c>
      <c r="BU93">
        <v>-0.61578361904761902</v>
      </c>
      <c r="BV93">
        <v>-0.16891254545454701</v>
      </c>
      <c r="BW93">
        <v>2.7104684352614698E-2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1.37737</v>
      </c>
      <c r="CD93">
        <v>1.5900779220779E-2</v>
      </c>
      <c r="CE93">
        <v>5.0734143664137397E-3</v>
      </c>
      <c r="CF93">
        <v>1</v>
      </c>
      <c r="CG93">
        <v>2</v>
      </c>
      <c r="CH93">
        <v>2</v>
      </c>
      <c r="CI93" t="s">
        <v>304</v>
      </c>
      <c r="CJ93">
        <v>3.5325099999999998</v>
      </c>
      <c r="CK93">
        <v>2.7031800000000001</v>
      </c>
      <c r="CL93">
        <v>9.8398700000000006E-2</v>
      </c>
      <c r="CM93">
        <v>9.7109799999999996E-2</v>
      </c>
      <c r="CN93">
        <v>8.7327000000000002E-2</v>
      </c>
      <c r="CO93">
        <v>8.0579899999999996E-2</v>
      </c>
      <c r="CP93">
        <v>31649.9</v>
      </c>
      <c r="CQ93">
        <v>27788</v>
      </c>
      <c r="CR93">
        <v>32486.6</v>
      </c>
      <c r="CS93">
        <v>30699.8</v>
      </c>
      <c r="CT93">
        <v>40130.6</v>
      </c>
      <c r="CU93">
        <v>39679.4</v>
      </c>
      <c r="CV93">
        <v>47427</v>
      </c>
      <c r="CW93">
        <v>46799.8</v>
      </c>
      <c r="CX93">
        <v>2.6368399999999999</v>
      </c>
      <c r="CY93">
        <v>2.17456</v>
      </c>
      <c r="CZ93">
        <v>0</v>
      </c>
      <c r="DA93">
        <v>0</v>
      </c>
      <c r="DB93">
        <v>999.9</v>
      </c>
      <c r="DC93">
        <v>999.9</v>
      </c>
      <c r="DD93">
        <v>69.197999999999993</v>
      </c>
      <c r="DE93">
        <v>24.189</v>
      </c>
      <c r="DF93">
        <v>20.872399999999999</v>
      </c>
      <c r="DG93">
        <v>30.54</v>
      </c>
      <c r="DH93">
        <v>16.101800000000001</v>
      </c>
      <c r="DI93">
        <v>2</v>
      </c>
      <c r="DJ93">
        <v>-0.191307</v>
      </c>
      <c r="DK93">
        <v>1.5394399999999999</v>
      </c>
      <c r="DL93">
        <v>20.238299999999999</v>
      </c>
      <c r="DM93">
        <v>5.2490399999999999</v>
      </c>
      <c r="DN93">
        <v>12.033899999999999</v>
      </c>
      <c r="DO93">
        <v>4.9677199999999999</v>
      </c>
      <c r="DP93">
        <v>3.2909999999999999</v>
      </c>
      <c r="DQ93">
        <v>9999</v>
      </c>
      <c r="DR93">
        <v>9999</v>
      </c>
      <c r="DS93">
        <v>596.70000000000005</v>
      </c>
      <c r="DT93">
        <v>9999</v>
      </c>
      <c r="DU93">
        <v>1.8710199999999999</v>
      </c>
      <c r="DV93">
        <v>1.8760600000000001</v>
      </c>
      <c r="DW93">
        <v>1.87622</v>
      </c>
      <c r="DX93">
        <v>1.8827799999999999</v>
      </c>
      <c r="DY93">
        <v>1.87554</v>
      </c>
      <c r="DZ93">
        <v>1.87459</v>
      </c>
      <c r="EA93">
        <v>1.87073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-1.0029999999999999</v>
      </c>
      <c r="EQ93">
        <v>8.9399999999999993E-2</v>
      </c>
      <c r="ER93">
        <v>-1.0028181818181601</v>
      </c>
      <c r="ES93">
        <v>0</v>
      </c>
      <c r="ET93">
        <v>0</v>
      </c>
      <c r="EU93">
        <v>0</v>
      </c>
      <c r="EV93">
        <v>8.9420000000002303E-2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2.2999999999999998</v>
      </c>
      <c r="FE93">
        <v>2.2999999999999998</v>
      </c>
      <c r="FF93">
        <v>1.23291</v>
      </c>
      <c r="FG93">
        <v>2.5781200000000002</v>
      </c>
      <c r="FH93">
        <v>2.19604</v>
      </c>
      <c r="FI93">
        <v>2.5793499999999998</v>
      </c>
      <c r="FJ93">
        <v>2.4462899999999999</v>
      </c>
      <c r="FK93">
        <v>2.2522000000000002</v>
      </c>
      <c r="FL93">
        <v>29.623000000000001</v>
      </c>
      <c r="FM93">
        <v>24.157499999999999</v>
      </c>
      <c r="FN93">
        <v>19</v>
      </c>
      <c r="FO93">
        <v>863.65800000000002</v>
      </c>
      <c r="FP93">
        <v>600.52</v>
      </c>
      <c r="FQ93">
        <v>18.636299999999999</v>
      </c>
      <c r="FR93">
        <v>24.599599999999999</v>
      </c>
      <c r="FS93">
        <v>30.0001</v>
      </c>
      <c r="FT93">
        <v>24.594799999999999</v>
      </c>
      <c r="FU93">
        <v>24.595800000000001</v>
      </c>
      <c r="FV93">
        <v>24.757200000000001</v>
      </c>
      <c r="FW93">
        <v>36.672899999999998</v>
      </c>
      <c r="FX93">
        <v>49.684800000000003</v>
      </c>
      <c r="FY93">
        <v>18.635200000000001</v>
      </c>
      <c r="FZ93">
        <v>410</v>
      </c>
      <c r="GA93">
        <v>14.0222</v>
      </c>
      <c r="GB93">
        <v>99.95</v>
      </c>
      <c r="GC93">
        <v>99.642399999999995</v>
      </c>
    </row>
    <row r="94" spans="1:185" x14ac:dyDescent="0.2">
      <c r="A94">
        <v>79</v>
      </c>
      <c r="B94">
        <v>1771000051</v>
      </c>
      <c r="C94">
        <v>1427.9000000953699</v>
      </c>
      <c r="D94" t="s">
        <v>453</v>
      </c>
      <c r="E94" t="s">
        <v>454</v>
      </c>
      <c r="F94">
        <v>15</v>
      </c>
      <c r="G94">
        <v>1771000042.9333301</v>
      </c>
      <c r="H94">
        <f t="shared" si="13"/>
        <v>1.1118981427012766E-3</v>
      </c>
      <c r="I94">
        <v>0</v>
      </c>
      <c r="J94">
        <f t="shared" si="25"/>
        <v>1.9107813190907673E-3</v>
      </c>
      <c r="K94">
        <f t="shared" si="14"/>
        <v>3.4167166602675658E-2</v>
      </c>
      <c r="L94">
        <f t="shared" si="15"/>
        <v>69.861503907676962</v>
      </c>
      <c r="M94">
        <f t="shared" si="16"/>
        <v>1.5406812031216814</v>
      </c>
      <c r="N94">
        <f t="shared" si="17"/>
        <v>2.205336439876409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26305.160548448544</v>
      </c>
      <c r="T94">
        <f t="shared" si="21"/>
        <v>100.00263333333299</v>
      </c>
      <c r="U94">
        <f t="shared" si="22"/>
        <v>84.302187779153911</v>
      </c>
      <c r="V94">
        <f t="shared" si="23"/>
        <v>0.84299967880000026</v>
      </c>
      <c r="W94">
        <f t="shared" si="24"/>
        <v>0.15869950880800004</v>
      </c>
      <c r="X94">
        <v>1</v>
      </c>
      <c r="Y94">
        <v>1771000042.9333301</v>
      </c>
      <c r="Z94">
        <v>409.364466666667</v>
      </c>
      <c r="AA94">
        <v>409.976133333333</v>
      </c>
      <c r="AB94">
        <v>15.3329466666667</v>
      </c>
      <c r="AC94">
        <v>13.964399999999999</v>
      </c>
      <c r="AD94">
        <v>410.36720000000003</v>
      </c>
      <c r="AE94">
        <v>15.2435266666667</v>
      </c>
      <c r="AF94">
        <v>800.00886666666702</v>
      </c>
      <c r="AG94">
        <v>100.4166</v>
      </c>
      <c r="AH94">
        <v>6.5142786666666702E-2</v>
      </c>
      <c r="AI94">
        <v>19.0011333333333</v>
      </c>
      <c r="AJ94">
        <v>999.9</v>
      </c>
      <c r="AK94">
        <v>999.9</v>
      </c>
      <c r="AL94">
        <v>0</v>
      </c>
      <c r="AM94">
        <v>0</v>
      </c>
      <c r="AN94">
        <v>4995.7</v>
      </c>
      <c r="AO94">
        <v>0</v>
      </c>
      <c r="AP94">
        <v>1.80671</v>
      </c>
      <c r="AQ94">
        <v>-0.61176960000000002</v>
      </c>
      <c r="AR94">
        <v>415.73880000000003</v>
      </c>
      <c r="AS94">
        <v>415.782266666667</v>
      </c>
      <c r="AT94">
        <v>1.3685386666666699</v>
      </c>
      <c r="AU94">
        <v>409.976133333333</v>
      </c>
      <c r="AV94">
        <v>13.964399999999999</v>
      </c>
      <c r="AW94">
        <v>1.539682</v>
      </c>
      <c r="AX94">
        <v>1.4022586666666701</v>
      </c>
      <c r="AY94">
        <v>13.36802</v>
      </c>
      <c r="AZ94">
        <v>11.942066666666699</v>
      </c>
      <c r="BA94">
        <v>100.00263333333299</v>
      </c>
      <c r="BB94">
        <v>0.90000606666666705</v>
      </c>
      <c r="BC94">
        <v>0</v>
      </c>
      <c r="BD94">
        <v>9.99937733333333E-2</v>
      </c>
      <c r="BE94">
        <v>0</v>
      </c>
      <c r="BF94">
        <v>24</v>
      </c>
      <c r="BG94">
        <v>1648.92266666667</v>
      </c>
      <c r="BH94">
        <v>1770999899</v>
      </c>
      <c r="BI94" t="s">
        <v>432</v>
      </c>
      <c r="BJ94">
        <v>1770999896</v>
      </c>
      <c r="BK94">
        <v>1770999899</v>
      </c>
      <c r="BL94">
        <v>3</v>
      </c>
      <c r="BM94">
        <v>6.0999999999999999E-2</v>
      </c>
      <c r="BN94">
        <v>1E-3</v>
      </c>
      <c r="BO94">
        <v>-1.0029999999999999</v>
      </c>
      <c r="BP94">
        <v>8.8999999999999996E-2</v>
      </c>
      <c r="BQ94">
        <v>410</v>
      </c>
      <c r="BR94">
        <v>14</v>
      </c>
      <c r="BS94">
        <v>0.21</v>
      </c>
      <c r="BT94">
        <v>0.02</v>
      </c>
      <c r="BU94">
        <v>-0.62028649999999996</v>
      </c>
      <c r="BV94">
        <v>4.0253593984961998E-2</v>
      </c>
      <c r="BW94">
        <v>2.5673574602107899E-2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1.3712899999999999</v>
      </c>
      <c r="CD94">
        <v>-0.10657894736842</v>
      </c>
      <c r="CE94">
        <v>1.28128884331364E-2</v>
      </c>
      <c r="CF94">
        <v>0</v>
      </c>
      <c r="CG94">
        <v>1</v>
      </c>
      <c r="CH94">
        <v>2</v>
      </c>
      <c r="CI94" t="s">
        <v>290</v>
      </c>
      <c r="CJ94">
        <v>3.5324599999999999</v>
      </c>
      <c r="CK94">
        <v>2.7026599999999998</v>
      </c>
      <c r="CL94">
        <v>9.8390199999999997E-2</v>
      </c>
      <c r="CM94">
        <v>9.7103700000000001E-2</v>
      </c>
      <c r="CN94">
        <v>8.7343199999999996E-2</v>
      </c>
      <c r="CO94">
        <v>8.0677299999999993E-2</v>
      </c>
      <c r="CP94">
        <v>31650.400000000001</v>
      </c>
      <c r="CQ94">
        <v>27788.1</v>
      </c>
      <c r="CR94">
        <v>32486.7</v>
      </c>
      <c r="CS94">
        <v>30699.8</v>
      </c>
      <c r="CT94">
        <v>40130.300000000003</v>
      </c>
      <c r="CU94">
        <v>39675.199999999997</v>
      </c>
      <c r="CV94">
        <v>47427.5</v>
      </c>
      <c r="CW94">
        <v>46799.9</v>
      </c>
      <c r="CX94">
        <v>2.6366999999999998</v>
      </c>
      <c r="CY94">
        <v>2.1742400000000002</v>
      </c>
      <c r="CZ94">
        <v>0</v>
      </c>
      <c r="DA94">
        <v>0</v>
      </c>
      <c r="DB94">
        <v>999.9</v>
      </c>
      <c r="DC94">
        <v>999.9</v>
      </c>
      <c r="DD94">
        <v>69.058000000000007</v>
      </c>
      <c r="DE94">
        <v>24.219000000000001</v>
      </c>
      <c r="DF94">
        <v>20.868300000000001</v>
      </c>
      <c r="DG94">
        <v>30.45</v>
      </c>
      <c r="DH94">
        <v>16.097799999999999</v>
      </c>
      <c r="DI94">
        <v>2</v>
      </c>
      <c r="DJ94">
        <v>-0.191167</v>
      </c>
      <c r="DK94">
        <v>1.5412600000000001</v>
      </c>
      <c r="DL94">
        <v>20.238399999999999</v>
      </c>
      <c r="DM94">
        <v>5.2477200000000002</v>
      </c>
      <c r="DN94">
        <v>12.033899999999999</v>
      </c>
      <c r="DO94">
        <v>4.9676400000000003</v>
      </c>
      <c r="DP94">
        <v>3.2910200000000001</v>
      </c>
      <c r="DQ94">
        <v>9999</v>
      </c>
      <c r="DR94">
        <v>9999</v>
      </c>
      <c r="DS94">
        <v>596.70000000000005</v>
      </c>
      <c r="DT94">
        <v>9999</v>
      </c>
      <c r="DU94">
        <v>1.8710199999999999</v>
      </c>
      <c r="DV94">
        <v>1.8760699999999999</v>
      </c>
      <c r="DW94">
        <v>1.8762399999999999</v>
      </c>
      <c r="DX94">
        <v>1.8827799999999999</v>
      </c>
      <c r="DY94">
        <v>1.8755299999999999</v>
      </c>
      <c r="DZ94">
        <v>1.8745700000000001</v>
      </c>
      <c r="EA94">
        <v>1.8707400000000001</v>
      </c>
      <c r="EB94">
        <v>1.87463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-1.002</v>
      </c>
      <c r="EQ94">
        <v>8.9399999999999993E-2</v>
      </c>
      <c r="ER94">
        <v>-1.0028181818181601</v>
      </c>
      <c r="ES94">
        <v>0</v>
      </c>
      <c r="ET94">
        <v>0</v>
      </c>
      <c r="EU94">
        <v>0</v>
      </c>
      <c r="EV94">
        <v>8.9420000000002303E-2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2.6</v>
      </c>
      <c r="FE94">
        <v>2.5</v>
      </c>
      <c r="FF94">
        <v>1.2341299999999999</v>
      </c>
      <c r="FG94">
        <v>2.5769000000000002</v>
      </c>
      <c r="FH94">
        <v>2.19604</v>
      </c>
      <c r="FI94">
        <v>2.5793499999999998</v>
      </c>
      <c r="FJ94">
        <v>2.4462899999999999</v>
      </c>
      <c r="FK94">
        <v>2.2607400000000002</v>
      </c>
      <c r="FL94">
        <v>29.644300000000001</v>
      </c>
      <c r="FM94">
        <v>24.157499999999999</v>
      </c>
      <c r="FN94">
        <v>19</v>
      </c>
      <c r="FO94">
        <v>863.56200000000001</v>
      </c>
      <c r="FP94">
        <v>600.31600000000003</v>
      </c>
      <c r="FQ94">
        <v>18.632400000000001</v>
      </c>
      <c r="FR94">
        <v>24.6021</v>
      </c>
      <c r="FS94">
        <v>30.0001</v>
      </c>
      <c r="FT94">
        <v>24.596900000000002</v>
      </c>
      <c r="FU94">
        <v>24.599900000000002</v>
      </c>
      <c r="FV94">
        <v>24.759899999999998</v>
      </c>
      <c r="FW94">
        <v>36.390099999999997</v>
      </c>
      <c r="FX94">
        <v>49.313400000000001</v>
      </c>
      <c r="FY94">
        <v>18.631599999999999</v>
      </c>
      <c r="FZ94">
        <v>410</v>
      </c>
      <c r="GA94">
        <v>14.022399999999999</v>
      </c>
      <c r="GB94">
        <v>99.950800000000001</v>
      </c>
      <c r="GC94">
        <v>99.642499999999998</v>
      </c>
    </row>
    <row r="95" spans="1:185" x14ac:dyDescent="0.2">
      <c r="A95">
        <v>80</v>
      </c>
      <c r="B95">
        <v>1771000066</v>
      </c>
      <c r="C95">
        <v>1442.9000000953699</v>
      </c>
      <c r="D95" t="s">
        <v>455</v>
      </c>
      <c r="E95" t="s">
        <v>456</v>
      </c>
      <c r="F95">
        <v>15</v>
      </c>
      <c r="G95">
        <v>1771000057.9333301</v>
      </c>
      <c r="H95">
        <f t="shared" si="13"/>
        <v>1.111845156958093E-3</v>
      </c>
      <c r="I95">
        <v>0</v>
      </c>
      <c r="J95">
        <f t="shared" si="25"/>
        <v>2.9714074177543642E-3</v>
      </c>
      <c r="K95">
        <f t="shared" si="14"/>
        <v>5.3132491548090612E-2</v>
      </c>
      <c r="L95">
        <f t="shared" si="15"/>
        <v>69.906694155069033</v>
      </c>
      <c r="M95">
        <f t="shared" si="16"/>
        <v>1.5416438082934751</v>
      </c>
      <c r="N95">
        <f t="shared" si="17"/>
        <v>2.2052878153181674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26366.436051823686</v>
      </c>
      <c r="T95">
        <f t="shared" si="21"/>
        <v>99.998026666666703</v>
      </c>
      <c r="U95">
        <f t="shared" si="22"/>
        <v>84.298298980740086</v>
      </c>
      <c r="V95">
        <f t="shared" si="23"/>
        <v>0.84299962500000047</v>
      </c>
      <c r="W95">
        <f t="shared" si="24"/>
        <v>0.15869912746000009</v>
      </c>
      <c r="X95">
        <v>1</v>
      </c>
      <c r="Y95">
        <v>1771000057.9333301</v>
      </c>
      <c r="Z95">
        <v>409.358133333333</v>
      </c>
      <c r="AA95">
        <v>409.99346666666702</v>
      </c>
      <c r="AB95">
        <v>15.342473333333301</v>
      </c>
      <c r="AC95">
        <v>13.9740133333333</v>
      </c>
      <c r="AD95">
        <v>410.36093333333298</v>
      </c>
      <c r="AE95">
        <v>15.2530466666667</v>
      </c>
      <c r="AF95">
        <v>800.01366666666695</v>
      </c>
      <c r="AG95">
        <v>100.41719999999999</v>
      </c>
      <c r="AH95">
        <v>6.4891433333333304E-2</v>
      </c>
      <c r="AI95">
        <v>19.000779999999999</v>
      </c>
      <c r="AJ95">
        <v>999.9</v>
      </c>
      <c r="AK95">
        <v>999.9</v>
      </c>
      <c r="AL95">
        <v>0</v>
      </c>
      <c r="AM95">
        <v>0</v>
      </c>
      <c r="AN95">
        <v>5005.7333333333299</v>
      </c>
      <c r="AO95">
        <v>0</v>
      </c>
      <c r="AP95">
        <v>1.81423933333333</v>
      </c>
      <c r="AQ95">
        <v>-0.63538813333333299</v>
      </c>
      <c r="AR95">
        <v>415.736533333333</v>
      </c>
      <c r="AS95">
        <v>415.80399999999997</v>
      </c>
      <c r="AT95">
        <v>1.3684466666666699</v>
      </c>
      <c r="AU95">
        <v>409.99346666666702</v>
      </c>
      <c r="AV95">
        <v>13.9740133333333</v>
      </c>
      <c r="AW95">
        <v>1.540648</v>
      </c>
      <c r="AX95">
        <v>1.4032326666666699</v>
      </c>
      <c r="AY95">
        <v>13.37764</v>
      </c>
      <c r="AZ95">
        <v>11.9526066666667</v>
      </c>
      <c r="BA95">
        <v>99.998026666666703</v>
      </c>
      <c r="BB95">
        <v>0.90001153333333395</v>
      </c>
      <c r="BC95">
        <v>0</v>
      </c>
      <c r="BD95">
        <v>9.9988433333333293E-2</v>
      </c>
      <c r="BE95">
        <v>0</v>
      </c>
      <c r="BF95">
        <v>24</v>
      </c>
      <c r="BG95">
        <v>1648.8520000000001</v>
      </c>
      <c r="BH95">
        <v>1770999899</v>
      </c>
      <c r="BI95" t="s">
        <v>432</v>
      </c>
      <c r="BJ95">
        <v>1770999896</v>
      </c>
      <c r="BK95">
        <v>1770999899</v>
      </c>
      <c r="BL95">
        <v>3</v>
      </c>
      <c r="BM95">
        <v>6.0999999999999999E-2</v>
      </c>
      <c r="BN95">
        <v>1E-3</v>
      </c>
      <c r="BO95">
        <v>-1.0029999999999999</v>
      </c>
      <c r="BP95">
        <v>8.8999999999999996E-2</v>
      </c>
      <c r="BQ95">
        <v>410</v>
      </c>
      <c r="BR95">
        <v>14</v>
      </c>
      <c r="BS95">
        <v>0.21</v>
      </c>
      <c r="BT95">
        <v>0.02</v>
      </c>
      <c r="BU95">
        <v>-0.63263080952380901</v>
      </c>
      <c r="BV95">
        <v>-1.2666779220779301E-2</v>
      </c>
      <c r="BW95">
        <v>1.3475516838287E-2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1.3641752380952401</v>
      </c>
      <c r="CD95">
        <v>6.4993246753246206E-2</v>
      </c>
      <c r="CE95">
        <v>8.3817282108437294E-3</v>
      </c>
      <c r="CF95">
        <v>1</v>
      </c>
      <c r="CG95">
        <v>2</v>
      </c>
      <c r="CH95">
        <v>2</v>
      </c>
      <c r="CI95" t="s">
        <v>304</v>
      </c>
      <c r="CJ95">
        <v>3.5325099999999998</v>
      </c>
      <c r="CK95">
        <v>2.7029299999999998</v>
      </c>
      <c r="CL95">
        <v>9.8390400000000003E-2</v>
      </c>
      <c r="CM95">
        <v>9.7103800000000004E-2</v>
      </c>
      <c r="CN95">
        <v>8.7361499999999995E-2</v>
      </c>
      <c r="CO95">
        <v>8.0605700000000002E-2</v>
      </c>
      <c r="CP95">
        <v>31650.2</v>
      </c>
      <c r="CQ95">
        <v>27789</v>
      </c>
      <c r="CR95">
        <v>32486.5</v>
      </c>
      <c r="CS95">
        <v>30700.7</v>
      </c>
      <c r="CT95">
        <v>40129.199999999997</v>
      </c>
      <c r="CU95">
        <v>39679.5</v>
      </c>
      <c r="CV95">
        <v>47427.199999999997</v>
      </c>
      <c r="CW95">
        <v>46801.2</v>
      </c>
      <c r="CX95">
        <v>2.6364800000000002</v>
      </c>
      <c r="CY95">
        <v>2.1741799999999998</v>
      </c>
      <c r="CZ95">
        <v>0</v>
      </c>
      <c r="DA95">
        <v>0</v>
      </c>
      <c r="DB95">
        <v>999.9</v>
      </c>
      <c r="DC95">
        <v>999.9</v>
      </c>
      <c r="DD95">
        <v>68.917000000000002</v>
      </c>
      <c r="DE95">
        <v>24.248999999999999</v>
      </c>
      <c r="DF95">
        <v>20.8645</v>
      </c>
      <c r="DG95">
        <v>30.39</v>
      </c>
      <c r="DH95">
        <v>16.041699999999999</v>
      </c>
      <c r="DI95">
        <v>2</v>
      </c>
      <c r="DJ95">
        <v>-0.190972</v>
      </c>
      <c r="DK95">
        <v>1.53956</v>
      </c>
      <c r="DL95">
        <v>20.238399999999999</v>
      </c>
      <c r="DM95">
        <v>5.2478400000000001</v>
      </c>
      <c r="DN95">
        <v>12.033899999999999</v>
      </c>
      <c r="DO95">
        <v>4.9677199999999999</v>
      </c>
      <c r="DP95">
        <v>3.2909999999999999</v>
      </c>
      <c r="DQ95">
        <v>9999</v>
      </c>
      <c r="DR95">
        <v>9999</v>
      </c>
      <c r="DS95">
        <v>596.70000000000005</v>
      </c>
      <c r="DT95">
        <v>9999</v>
      </c>
      <c r="DU95">
        <v>1.87103</v>
      </c>
      <c r="DV95">
        <v>1.8760699999999999</v>
      </c>
      <c r="DW95">
        <v>1.8762300000000001</v>
      </c>
      <c r="DX95">
        <v>1.8827799999999999</v>
      </c>
      <c r="DY95">
        <v>1.8755500000000001</v>
      </c>
      <c r="DZ95">
        <v>1.8745499999999999</v>
      </c>
      <c r="EA95">
        <v>1.87073</v>
      </c>
      <c r="EB95">
        <v>1.87466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-1.0029999999999999</v>
      </c>
      <c r="EQ95">
        <v>8.9399999999999993E-2</v>
      </c>
      <c r="ER95">
        <v>-1.0028181818181601</v>
      </c>
      <c r="ES95">
        <v>0</v>
      </c>
      <c r="ET95">
        <v>0</v>
      </c>
      <c r="EU95">
        <v>0</v>
      </c>
      <c r="EV95">
        <v>8.9420000000002303E-2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2.8</v>
      </c>
      <c r="FE95">
        <v>2.8</v>
      </c>
      <c r="FF95">
        <v>1.2341299999999999</v>
      </c>
      <c r="FG95">
        <v>2.5756800000000002</v>
      </c>
      <c r="FH95">
        <v>2.19604</v>
      </c>
      <c r="FI95">
        <v>2.5793499999999998</v>
      </c>
      <c r="FJ95">
        <v>2.4462899999999999</v>
      </c>
      <c r="FK95">
        <v>2.2753899999999998</v>
      </c>
      <c r="FL95">
        <v>29.665700000000001</v>
      </c>
      <c r="FM95">
        <v>24.1663</v>
      </c>
      <c r="FN95">
        <v>19</v>
      </c>
      <c r="FO95">
        <v>863.42600000000004</v>
      </c>
      <c r="FP95">
        <v>600.29300000000001</v>
      </c>
      <c r="FQ95">
        <v>18.63</v>
      </c>
      <c r="FR95">
        <v>24.605399999999999</v>
      </c>
      <c r="FS95">
        <v>30</v>
      </c>
      <c r="FT95">
        <v>24.600999999999999</v>
      </c>
      <c r="FU95">
        <v>24.602</v>
      </c>
      <c r="FV95">
        <v>24.759699999999999</v>
      </c>
      <c r="FW95">
        <v>36.390099999999997</v>
      </c>
      <c r="FX95">
        <v>48.9373</v>
      </c>
      <c r="FY95">
        <v>18.6294</v>
      </c>
      <c r="FZ95">
        <v>410</v>
      </c>
      <c r="GA95">
        <v>14.022399999999999</v>
      </c>
      <c r="GB95">
        <v>99.950199999999995</v>
      </c>
      <c r="GC95">
        <v>99.645399999999995</v>
      </c>
    </row>
    <row r="96" spans="1:185" x14ac:dyDescent="0.2">
      <c r="A96">
        <v>81</v>
      </c>
      <c r="B96">
        <v>1771000081</v>
      </c>
      <c r="C96">
        <v>1457.9000000953699</v>
      </c>
      <c r="D96" t="s">
        <v>457</v>
      </c>
      <c r="E96" t="s">
        <v>458</v>
      </c>
      <c r="F96">
        <v>15</v>
      </c>
      <c r="G96">
        <v>1771000072.9333301</v>
      </c>
      <c r="H96">
        <f t="shared" si="13"/>
        <v>1.1217318060771796E-3</v>
      </c>
      <c r="I96">
        <v>0</v>
      </c>
      <c r="J96">
        <f t="shared" si="25"/>
        <v>3.0344816916969965E-3</v>
      </c>
      <c r="K96">
        <f t="shared" si="14"/>
        <v>5.4260338677748647E-2</v>
      </c>
      <c r="L96">
        <f t="shared" si="15"/>
        <v>69.90849579189495</v>
      </c>
      <c r="M96">
        <f t="shared" si="16"/>
        <v>1.5414725429983824</v>
      </c>
      <c r="N96">
        <f t="shared" si="17"/>
        <v>2.2049859971055157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26322.282051702325</v>
      </c>
      <c r="T96">
        <f t="shared" si="21"/>
        <v>99.999539999999996</v>
      </c>
      <c r="U96">
        <f t="shared" si="22"/>
        <v>84.299538860337478</v>
      </c>
      <c r="V96">
        <f t="shared" si="23"/>
        <v>0.84299926640000022</v>
      </c>
      <c r="W96">
        <f t="shared" si="24"/>
        <v>0.15869858174400003</v>
      </c>
      <c r="X96">
        <v>1</v>
      </c>
      <c r="Y96">
        <v>1771000072.9333301</v>
      </c>
      <c r="Z96">
        <v>409.35140000000001</v>
      </c>
      <c r="AA96">
        <v>409.9932</v>
      </c>
      <c r="AB96">
        <v>15.340920000000001</v>
      </c>
      <c r="AC96">
        <v>13.9602733333333</v>
      </c>
      <c r="AD96">
        <v>410.35413333333298</v>
      </c>
      <c r="AE96">
        <v>15.2514933333333</v>
      </c>
      <c r="AF96">
        <v>800.00440000000003</v>
      </c>
      <c r="AG96">
        <v>100.416</v>
      </c>
      <c r="AH96">
        <v>6.5101720000000002E-2</v>
      </c>
      <c r="AI96">
        <v>18.9985866666667</v>
      </c>
      <c r="AJ96">
        <v>999.9</v>
      </c>
      <c r="AK96">
        <v>999.9</v>
      </c>
      <c r="AL96">
        <v>0</v>
      </c>
      <c r="AM96">
        <v>0</v>
      </c>
      <c r="AN96">
        <v>4998.5</v>
      </c>
      <c r="AO96">
        <v>0</v>
      </c>
      <c r="AP96">
        <v>1.8285466666666701</v>
      </c>
      <c r="AQ96">
        <v>-0.64189246666666699</v>
      </c>
      <c r="AR96">
        <v>415.72913333333298</v>
      </c>
      <c r="AS96">
        <v>415.79786666666701</v>
      </c>
      <c r="AT96">
        <v>1.38064266666667</v>
      </c>
      <c r="AU96">
        <v>409.9932</v>
      </c>
      <c r="AV96">
        <v>13.9602733333333</v>
      </c>
      <c r="AW96">
        <v>1.54047333333333</v>
      </c>
      <c r="AX96">
        <v>1.4018346666666699</v>
      </c>
      <c r="AY96">
        <v>13.375920000000001</v>
      </c>
      <c r="AZ96">
        <v>11.9374933333333</v>
      </c>
      <c r="BA96">
        <v>99.999539999999996</v>
      </c>
      <c r="BB96">
        <v>0.90001826666666696</v>
      </c>
      <c r="BC96">
        <v>0</v>
      </c>
      <c r="BD96">
        <v>9.9981520000000004E-2</v>
      </c>
      <c r="BE96">
        <v>0</v>
      </c>
      <c r="BF96">
        <v>24</v>
      </c>
      <c r="BG96">
        <v>1648.8773333333299</v>
      </c>
      <c r="BH96">
        <v>1770999899</v>
      </c>
      <c r="BI96" t="s">
        <v>432</v>
      </c>
      <c r="BJ96">
        <v>1770999896</v>
      </c>
      <c r="BK96">
        <v>1770999899</v>
      </c>
      <c r="BL96">
        <v>3</v>
      </c>
      <c r="BM96">
        <v>6.0999999999999999E-2</v>
      </c>
      <c r="BN96">
        <v>1E-3</v>
      </c>
      <c r="BO96">
        <v>-1.0029999999999999</v>
      </c>
      <c r="BP96">
        <v>8.8999999999999996E-2</v>
      </c>
      <c r="BQ96">
        <v>410</v>
      </c>
      <c r="BR96">
        <v>14</v>
      </c>
      <c r="BS96">
        <v>0.21</v>
      </c>
      <c r="BT96">
        <v>0.02</v>
      </c>
      <c r="BU96">
        <v>-0.63873135000000003</v>
      </c>
      <c r="BV96">
        <v>-6.1876827067668498E-2</v>
      </c>
      <c r="BW96">
        <v>1.3614668068943099E-2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1.3780114999999999</v>
      </c>
      <c r="CD96">
        <v>1.96786466165382E-2</v>
      </c>
      <c r="CE96">
        <v>7.0237000754587798E-3</v>
      </c>
      <c r="CF96">
        <v>1</v>
      </c>
      <c r="CG96">
        <v>2</v>
      </c>
      <c r="CH96">
        <v>2</v>
      </c>
      <c r="CI96" t="s">
        <v>304</v>
      </c>
      <c r="CJ96">
        <v>3.5325500000000001</v>
      </c>
      <c r="CK96">
        <v>2.70323</v>
      </c>
      <c r="CL96">
        <v>9.8386199999999993E-2</v>
      </c>
      <c r="CM96">
        <v>9.7104800000000005E-2</v>
      </c>
      <c r="CN96">
        <v>8.7302400000000002E-2</v>
      </c>
      <c r="CO96">
        <v>8.0536899999999995E-2</v>
      </c>
      <c r="CP96">
        <v>31650.2</v>
      </c>
      <c r="CQ96">
        <v>27789</v>
      </c>
      <c r="CR96">
        <v>32486.5</v>
      </c>
      <c r="CS96">
        <v>30700.799999999999</v>
      </c>
      <c r="CT96">
        <v>40131.9</v>
      </c>
      <c r="CU96">
        <v>39683</v>
      </c>
      <c r="CV96">
        <v>47427.1</v>
      </c>
      <c r="CW96">
        <v>46801.8</v>
      </c>
      <c r="CX96">
        <v>2.63672</v>
      </c>
      <c r="CY96">
        <v>2.17394</v>
      </c>
      <c r="CZ96">
        <v>0</v>
      </c>
      <c r="DA96">
        <v>0</v>
      </c>
      <c r="DB96">
        <v>999.9</v>
      </c>
      <c r="DC96">
        <v>999.9</v>
      </c>
      <c r="DD96">
        <v>68.795000000000002</v>
      </c>
      <c r="DE96">
        <v>24.26</v>
      </c>
      <c r="DF96">
        <v>20.841899999999999</v>
      </c>
      <c r="DG96">
        <v>30.69</v>
      </c>
      <c r="DH96">
        <v>15.977600000000001</v>
      </c>
      <c r="DI96">
        <v>2</v>
      </c>
      <c r="DJ96">
        <v>-0.19071299999999999</v>
      </c>
      <c r="DK96">
        <v>1.5032000000000001</v>
      </c>
      <c r="DL96">
        <v>20.238800000000001</v>
      </c>
      <c r="DM96">
        <v>5.2472399999999997</v>
      </c>
      <c r="DN96">
        <v>12.033899999999999</v>
      </c>
      <c r="DO96">
        <v>4.9676799999999997</v>
      </c>
      <c r="DP96">
        <v>3.2909999999999999</v>
      </c>
      <c r="DQ96">
        <v>9999</v>
      </c>
      <c r="DR96">
        <v>9999</v>
      </c>
      <c r="DS96">
        <v>596.70000000000005</v>
      </c>
      <c r="DT96">
        <v>9999</v>
      </c>
      <c r="DU96">
        <v>1.87103</v>
      </c>
      <c r="DV96">
        <v>1.8760699999999999</v>
      </c>
      <c r="DW96">
        <v>1.87622</v>
      </c>
      <c r="DX96">
        <v>1.8827799999999999</v>
      </c>
      <c r="DY96">
        <v>1.87551</v>
      </c>
      <c r="DZ96">
        <v>1.8745499999999999</v>
      </c>
      <c r="EA96">
        <v>1.87073</v>
      </c>
      <c r="EB96">
        <v>1.87462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-1.002</v>
      </c>
      <c r="EQ96">
        <v>8.9399999999999993E-2</v>
      </c>
      <c r="ER96">
        <v>-1.0028181818181601</v>
      </c>
      <c r="ES96">
        <v>0</v>
      </c>
      <c r="ET96">
        <v>0</v>
      </c>
      <c r="EU96">
        <v>0</v>
      </c>
      <c r="EV96">
        <v>8.9420000000002303E-2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3.1</v>
      </c>
      <c r="FE96">
        <v>3</v>
      </c>
      <c r="FF96">
        <v>1.23291</v>
      </c>
      <c r="FG96">
        <v>2.5720200000000002</v>
      </c>
      <c r="FH96">
        <v>2.19604</v>
      </c>
      <c r="FI96">
        <v>2.5793499999999998</v>
      </c>
      <c r="FJ96">
        <v>2.4462899999999999</v>
      </c>
      <c r="FK96">
        <v>2.3168899999999999</v>
      </c>
      <c r="FL96">
        <v>29.665700000000001</v>
      </c>
      <c r="FM96">
        <v>24.14</v>
      </c>
      <c r="FN96">
        <v>19</v>
      </c>
      <c r="FO96">
        <v>863.68200000000002</v>
      </c>
      <c r="FP96">
        <v>600.14700000000005</v>
      </c>
      <c r="FQ96">
        <v>18.639399999999998</v>
      </c>
      <c r="FR96">
        <v>24.607800000000001</v>
      </c>
      <c r="FS96">
        <v>30.0001</v>
      </c>
      <c r="FT96">
        <v>24.603000000000002</v>
      </c>
      <c r="FU96">
        <v>24.605699999999999</v>
      </c>
      <c r="FV96">
        <v>24.761099999999999</v>
      </c>
      <c r="FW96">
        <v>36.106999999999999</v>
      </c>
      <c r="FX96">
        <v>48.559399999999997</v>
      </c>
      <c r="FY96">
        <v>18.642399999999999</v>
      </c>
      <c r="FZ96">
        <v>410</v>
      </c>
      <c r="GA96">
        <v>14.022399999999999</v>
      </c>
      <c r="GB96">
        <v>99.95</v>
      </c>
      <c r="GC96">
        <v>99.646199999999993</v>
      </c>
    </row>
    <row r="97" spans="1:185" x14ac:dyDescent="0.2">
      <c r="A97">
        <v>82</v>
      </c>
      <c r="B97">
        <v>1771000096</v>
      </c>
      <c r="C97">
        <v>1472.9000000953699</v>
      </c>
      <c r="D97" t="s">
        <v>459</v>
      </c>
      <c r="E97" t="s">
        <v>460</v>
      </c>
      <c r="F97">
        <v>15</v>
      </c>
      <c r="G97">
        <v>1771000087.9333301</v>
      </c>
      <c r="H97">
        <f t="shared" si="13"/>
        <v>1.0853279924935E-3</v>
      </c>
      <c r="I97">
        <v>0</v>
      </c>
      <c r="J97">
        <f t="shared" si="25"/>
        <v>2.0950279152717019E-3</v>
      </c>
      <c r="K97">
        <f t="shared" si="14"/>
        <v>3.7461726835599334E-2</v>
      </c>
      <c r="L97">
        <f t="shared" si="15"/>
        <v>69.889977781275519</v>
      </c>
      <c r="M97">
        <f t="shared" si="16"/>
        <v>1.5412289986651442</v>
      </c>
      <c r="N97">
        <f t="shared" si="17"/>
        <v>2.2052217608202769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26314.716181678297</v>
      </c>
      <c r="T97">
        <f t="shared" si="21"/>
        <v>100.000773333333</v>
      </c>
      <c r="U97">
        <f t="shared" si="22"/>
        <v>84.300621319763081</v>
      </c>
      <c r="V97">
        <f t="shared" si="23"/>
        <v>0.84299969399999997</v>
      </c>
      <c r="W97">
        <f t="shared" si="24"/>
        <v>0.15869923499999999</v>
      </c>
      <c r="X97">
        <v>1</v>
      </c>
      <c r="Y97">
        <v>1771000087.9333301</v>
      </c>
      <c r="Z97">
        <v>409.37133333333298</v>
      </c>
      <c r="AA97">
        <v>409.97353333333302</v>
      </c>
      <c r="AB97">
        <v>15.3385466666667</v>
      </c>
      <c r="AC97">
        <v>14.0027066666667</v>
      </c>
      <c r="AD97">
        <v>410.37419999999997</v>
      </c>
      <c r="AE97">
        <v>15.249133333333299</v>
      </c>
      <c r="AF97">
        <v>800.00646666666603</v>
      </c>
      <c r="AG97">
        <v>100.4156</v>
      </c>
      <c r="AH97">
        <v>6.51712333333333E-2</v>
      </c>
      <c r="AI97">
        <v>19.000299999999999</v>
      </c>
      <c r="AJ97">
        <v>999.9</v>
      </c>
      <c r="AK97">
        <v>999.9</v>
      </c>
      <c r="AL97">
        <v>0</v>
      </c>
      <c r="AM97">
        <v>0</v>
      </c>
      <c r="AN97">
        <v>4997.3</v>
      </c>
      <c r="AO97">
        <v>0</v>
      </c>
      <c r="AP97">
        <v>1.8466113333333301</v>
      </c>
      <c r="AQ97">
        <v>-0.60208533333333303</v>
      </c>
      <c r="AR97">
        <v>415.7484</v>
      </c>
      <c r="AS97">
        <v>415.79566666666699</v>
      </c>
      <c r="AT97">
        <v>1.3358380000000001</v>
      </c>
      <c r="AU97">
        <v>409.97353333333302</v>
      </c>
      <c r="AV97">
        <v>14.0027066666667</v>
      </c>
      <c r="AW97">
        <v>1.54023133333333</v>
      </c>
      <c r="AX97">
        <v>1.4060906666666699</v>
      </c>
      <c r="AY97">
        <v>13.3734933333333</v>
      </c>
      <c r="AZ97">
        <v>11.9834666666667</v>
      </c>
      <c r="BA97">
        <v>100.000773333333</v>
      </c>
      <c r="BB97">
        <v>0.90001019999999998</v>
      </c>
      <c r="BC97">
        <v>0</v>
      </c>
      <c r="BD97">
        <v>9.9989800000000004E-2</v>
      </c>
      <c r="BE97">
        <v>0</v>
      </c>
      <c r="BF97">
        <v>24</v>
      </c>
      <c r="BG97">
        <v>1648.896</v>
      </c>
      <c r="BH97">
        <v>1770999899</v>
      </c>
      <c r="BI97" t="s">
        <v>432</v>
      </c>
      <c r="BJ97">
        <v>1770999896</v>
      </c>
      <c r="BK97">
        <v>1770999899</v>
      </c>
      <c r="BL97">
        <v>3</v>
      </c>
      <c r="BM97">
        <v>6.0999999999999999E-2</v>
      </c>
      <c r="BN97">
        <v>1E-3</v>
      </c>
      <c r="BO97">
        <v>-1.0029999999999999</v>
      </c>
      <c r="BP97">
        <v>8.8999999999999996E-2</v>
      </c>
      <c r="BQ97">
        <v>410</v>
      </c>
      <c r="BR97">
        <v>14</v>
      </c>
      <c r="BS97">
        <v>0.21</v>
      </c>
      <c r="BT97">
        <v>0.02</v>
      </c>
      <c r="BU97">
        <v>-0.61569061904761901</v>
      </c>
      <c r="BV97">
        <v>0.208944233766234</v>
      </c>
      <c r="BW97">
        <v>2.7087613047605E-2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1.3472985714285699</v>
      </c>
      <c r="CD97">
        <v>-0.235143896103893</v>
      </c>
      <c r="CE97">
        <v>2.77662759280312E-2</v>
      </c>
      <c r="CF97">
        <v>0</v>
      </c>
      <c r="CG97">
        <v>1</v>
      </c>
      <c r="CH97">
        <v>2</v>
      </c>
      <c r="CI97" t="s">
        <v>290</v>
      </c>
      <c r="CJ97">
        <v>3.5325000000000002</v>
      </c>
      <c r="CK97">
        <v>2.7029000000000001</v>
      </c>
      <c r="CL97">
        <v>9.8391300000000001E-2</v>
      </c>
      <c r="CM97">
        <v>9.7102400000000005E-2</v>
      </c>
      <c r="CN97">
        <v>8.7378200000000003E-2</v>
      </c>
      <c r="CO97">
        <v>8.0819199999999994E-2</v>
      </c>
      <c r="CP97">
        <v>31650.6</v>
      </c>
      <c r="CQ97">
        <v>27789.3</v>
      </c>
      <c r="CR97">
        <v>32487</v>
      </c>
      <c r="CS97">
        <v>30701.1</v>
      </c>
      <c r="CT97">
        <v>40128.9</v>
      </c>
      <c r="CU97">
        <v>39670.9</v>
      </c>
      <c r="CV97">
        <v>47427.7</v>
      </c>
      <c r="CW97">
        <v>46802.400000000001</v>
      </c>
      <c r="CX97">
        <v>2.63672</v>
      </c>
      <c r="CY97">
        <v>2.1737600000000001</v>
      </c>
      <c r="CZ97">
        <v>0</v>
      </c>
      <c r="DA97">
        <v>0</v>
      </c>
      <c r="DB97">
        <v>999.9</v>
      </c>
      <c r="DC97">
        <v>999.9</v>
      </c>
      <c r="DD97">
        <v>68.655000000000001</v>
      </c>
      <c r="DE97">
        <v>24.27</v>
      </c>
      <c r="DF97">
        <v>20.811399999999999</v>
      </c>
      <c r="DG97">
        <v>30.48</v>
      </c>
      <c r="DH97">
        <v>16.145800000000001</v>
      </c>
      <c r="DI97">
        <v>2</v>
      </c>
      <c r="DJ97">
        <v>-0.19064999999999999</v>
      </c>
      <c r="DK97">
        <v>1.53209</v>
      </c>
      <c r="DL97">
        <v>20.238499999999998</v>
      </c>
      <c r="DM97">
        <v>5.2472399999999997</v>
      </c>
      <c r="DN97">
        <v>12.033899999999999</v>
      </c>
      <c r="DO97">
        <v>4.9675599999999998</v>
      </c>
      <c r="DP97">
        <v>3.2909999999999999</v>
      </c>
      <c r="DQ97">
        <v>9999</v>
      </c>
      <c r="DR97">
        <v>9999</v>
      </c>
      <c r="DS97">
        <v>596.70000000000005</v>
      </c>
      <c r="DT97">
        <v>9999</v>
      </c>
      <c r="DU97">
        <v>1.8710100000000001</v>
      </c>
      <c r="DV97">
        <v>1.8760699999999999</v>
      </c>
      <c r="DW97">
        <v>1.87622</v>
      </c>
      <c r="DX97">
        <v>1.8827799999999999</v>
      </c>
      <c r="DY97">
        <v>1.87548</v>
      </c>
      <c r="DZ97">
        <v>1.8745499999999999</v>
      </c>
      <c r="EA97">
        <v>1.8707400000000001</v>
      </c>
      <c r="EB97">
        <v>1.8746400000000001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-1.0029999999999999</v>
      </c>
      <c r="EQ97">
        <v>8.9399999999999993E-2</v>
      </c>
      <c r="ER97">
        <v>-1.0028181818181601</v>
      </c>
      <c r="ES97">
        <v>0</v>
      </c>
      <c r="ET97">
        <v>0</v>
      </c>
      <c r="EU97">
        <v>0</v>
      </c>
      <c r="EV97">
        <v>8.9420000000002303E-2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3.3</v>
      </c>
      <c r="FE97">
        <v>3.3</v>
      </c>
      <c r="FF97">
        <v>1.2341299999999999</v>
      </c>
      <c r="FG97">
        <v>2.5769000000000002</v>
      </c>
      <c r="FH97">
        <v>2.19604</v>
      </c>
      <c r="FI97">
        <v>2.5805699999999998</v>
      </c>
      <c r="FJ97">
        <v>2.4462899999999999</v>
      </c>
      <c r="FK97">
        <v>2.2522000000000002</v>
      </c>
      <c r="FL97">
        <v>29.665700000000001</v>
      </c>
      <c r="FM97">
        <v>24.157499999999999</v>
      </c>
      <c r="FN97">
        <v>19</v>
      </c>
      <c r="FO97">
        <v>863.72199999999998</v>
      </c>
      <c r="FP97">
        <v>600.03399999999999</v>
      </c>
      <c r="FQ97">
        <v>18.643699999999999</v>
      </c>
      <c r="FR97">
        <v>24.6099</v>
      </c>
      <c r="FS97">
        <v>30.0002</v>
      </c>
      <c r="FT97">
        <v>24.605599999999999</v>
      </c>
      <c r="FU97">
        <v>24.6081</v>
      </c>
      <c r="FV97">
        <v>24.763200000000001</v>
      </c>
      <c r="FW97">
        <v>36.106999999999999</v>
      </c>
      <c r="FX97">
        <v>48.183199999999999</v>
      </c>
      <c r="FY97">
        <v>18.6419</v>
      </c>
      <c r="FZ97">
        <v>410</v>
      </c>
      <c r="GA97">
        <v>14.022399999999999</v>
      </c>
      <c r="GB97">
        <v>99.951300000000003</v>
      </c>
      <c r="GC97">
        <v>99.647199999999998</v>
      </c>
    </row>
    <row r="98" spans="1:185" x14ac:dyDescent="0.2">
      <c r="A98">
        <v>83</v>
      </c>
      <c r="B98">
        <v>1771000111</v>
      </c>
      <c r="C98">
        <v>1487.9000000953699</v>
      </c>
      <c r="D98" t="s">
        <v>461</v>
      </c>
      <c r="E98" t="s">
        <v>462</v>
      </c>
      <c r="F98">
        <v>15</v>
      </c>
      <c r="G98">
        <v>1771000102.9333301</v>
      </c>
      <c r="H98">
        <f t="shared" si="13"/>
        <v>1.0925667401314721E-3</v>
      </c>
      <c r="I98">
        <v>0</v>
      </c>
      <c r="J98">
        <f t="shared" si="25"/>
        <v>2.7910293356368846E-3</v>
      </c>
      <c r="K98">
        <f t="shared" si="14"/>
        <v>4.9907105198745486E-2</v>
      </c>
      <c r="L98">
        <f t="shared" si="15"/>
        <v>69.969640349298643</v>
      </c>
      <c r="M98">
        <f t="shared" si="16"/>
        <v>1.5429754644275477</v>
      </c>
      <c r="N98">
        <f t="shared" si="17"/>
        <v>2.2052070822785272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26348.400934054149</v>
      </c>
      <c r="T98">
        <f t="shared" si="21"/>
        <v>99.997966666666699</v>
      </c>
      <c r="U98">
        <f t="shared" si="22"/>
        <v>84.298219361353034</v>
      </c>
      <c r="V98">
        <f t="shared" si="23"/>
        <v>0.84299933460000032</v>
      </c>
      <c r="W98">
        <f t="shared" si="24"/>
        <v>0.15869850539600006</v>
      </c>
      <c r="X98">
        <v>1</v>
      </c>
      <c r="Y98">
        <v>1771000102.9333301</v>
      </c>
      <c r="Z98">
        <v>409.37753333333302</v>
      </c>
      <c r="AA98">
        <v>409.99900000000002</v>
      </c>
      <c r="AB98">
        <v>15.35618</v>
      </c>
      <c r="AC98">
        <v>14.01146</v>
      </c>
      <c r="AD98">
        <v>410.380333333333</v>
      </c>
      <c r="AE98">
        <v>15.266766666666699</v>
      </c>
      <c r="AF98">
        <v>800.00973333333297</v>
      </c>
      <c r="AG98">
        <v>100.414</v>
      </c>
      <c r="AH98">
        <v>6.5120746666666701E-2</v>
      </c>
      <c r="AI98">
        <v>19.0001933333333</v>
      </c>
      <c r="AJ98">
        <v>999.9</v>
      </c>
      <c r="AK98">
        <v>999.9</v>
      </c>
      <c r="AL98">
        <v>0</v>
      </c>
      <c r="AM98">
        <v>0</v>
      </c>
      <c r="AN98">
        <v>5002.8999999999996</v>
      </c>
      <c r="AO98">
        <v>0</v>
      </c>
      <c r="AP98">
        <v>1.85940666666667</v>
      </c>
      <c r="AQ98">
        <v>-0.62129113333333297</v>
      </c>
      <c r="AR98">
        <v>415.762133333333</v>
      </c>
      <c r="AS98">
        <v>415.82533333333299</v>
      </c>
      <c r="AT98">
        <v>1.34471266666667</v>
      </c>
      <c r="AU98">
        <v>409.99900000000002</v>
      </c>
      <c r="AV98">
        <v>14.01146</v>
      </c>
      <c r="AW98">
        <v>1.541974</v>
      </c>
      <c r="AX98">
        <v>1.4069466666666699</v>
      </c>
      <c r="AY98">
        <v>13.390833333333299</v>
      </c>
      <c r="AZ98">
        <v>11.992706666666701</v>
      </c>
      <c r="BA98">
        <v>99.997966666666699</v>
      </c>
      <c r="BB98">
        <v>0.900019666666667</v>
      </c>
      <c r="BC98">
        <v>0</v>
      </c>
      <c r="BD98">
        <v>9.9980246666666703E-2</v>
      </c>
      <c r="BE98">
        <v>0</v>
      </c>
      <c r="BF98">
        <v>24</v>
      </c>
      <c r="BG98">
        <v>1648.8533333333301</v>
      </c>
      <c r="BH98">
        <v>1770999899</v>
      </c>
      <c r="BI98" t="s">
        <v>432</v>
      </c>
      <c r="BJ98">
        <v>1770999896</v>
      </c>
      <c r="BK98">
        <v>1770999899</v>
      </c>
      <c r="BL98">
        <v>3</v>
      </c>
      <c r="BM98">
        <v>6.0999999999999999E-2</v>
      </c>
      <c r="BN98">
        <v>1E-3</v>
      </c>
      <c r="BO98">
        <v>-1.0029999999999999</v>
      </c>
      <c r="BP98">
        <v>8.8999999999999996E-2</v>
      </c>
      <c r="BQ98">
        <v>410</v>
      </c>
      <c r="BR98">
        <v>14</v>
      </c>
      <c r="BS98">
        <v>0.21</v>
      </c>
      <c r="BT98">
        <v>0.02</v>
      </c>
      <c r="BU98">
        <v>-0.61560055000000002</v>
      </c>
      <c r="BV98">
        <v>-5.9894571428572997E-2</v>
      </c>
      <c r="BW98">
        <v>1.70675594051258E-2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1.3393495</v>
      </c>
      <c r="CD98">
        <v>0.13102060150376399</v>
      </c>
      <c r="CE98">
        <v>1.29135601113713E-2</v>
      </c>
      <c r="CF98">
        <v>0</v>
      </c>
      <c r="CG98">
        <v>1</v>
      </c>
      <c r="CH98">
        <v>2</v>
      </c>
      <c r="CI98" t="s">
        <v>290</v>
      </c>
      <c r="CJ98">
        <v>3.53247</v>
      </c>
      <c r="CK98">
        <v>2.70302</v>
      </c>
      <c r="CL98">
        <v>9.8387299999999997E-2</v>
      </c>
      <c r="CM98">
        <v>9.71027E-2</v>
      </c>
      <c r="CN98">
        <v>8.7415599999999996E-2</v>
      </c>
      <c r="CO98">
        <v>8.0746899999999996E-2</v>
      </c>
      <c r="CP98">
        <v>31650.5</v>
      </c>
      <c r="CQ98">
        <v>27789.9</v>
      </c>
      <c r="CR98">
        <v>32486.799999999999</v>
      </c>
      <c r="CS98">
        <v>30701.8</v>
      </c>
      <c r="CT98">
        <v>40126.800000000003</v>
      </c>
      <c r="CU98">
        <v>39675.1</v>
      </c>
      <c r="CV98">
        <v>47427.3</v>
      </c>
      <c r="CW98">
        <v>46803.5</v>
      </c>
      <c r="CX98">
        <v>2.6367400000000001</v>
      </c>
      <c r="CY98">
        <v>2.1735000000000002</v>
      </c>
      <c r="CZ98">
        <v>0</v>
      </c>
      <c r="DA98">
        <v>0</v>
      </c>
      <c r="DB98">
        <v>999.9</v>
      </c>
      <c r="DC98">
        <v>999.9</v>
      </c>
      <c r="DD98">
        <v>68.513999999999996</v>
      </c>
      <c r="DE98">
        <v>24.29</v>
      </c>
      <c r="DF98">
        <v>20.793900000000001</v>
      </c>
      <c r="DG98">
        <v>30.57</v>
      </c>
      <c r="DH98">
        <v>16.133800000000001</v>
      </c>
      <c r="DI98">
        <v>2</v>
      </c>
      <c r="DJ98">
        <v>-0.19046299999999999</v>
      </c>
      <c r="DK98">
        <v>1.5320800000000001</v>
      </c>
      <c r="DL98">
        <v>20.238399999999999</v>
      </c>
      <c r="DM98">
        <v>5.2476000000000003</v>
      </c>
      <c r="DN98">
        <v>12.033899999999999</v>
      </c>
      <c r="DO98">
        <v>4.9677199999999999</v>
      </c>
      <c r="DP98">
        <v>3.2909999999999999</v>
      </c>
      <c r="DQ98">
        <v>9999</v>
      </c>
      <c r="DR98">
        <v>9999</v>
      </c>
      <c r="DS98">
        <v>596.70000000000005</v>
      </c>
      <c r="DT98">
        <v>9999</v>
      </c>
      <c r="DU98">
        <v>1.8710199999999999</v>
      </c>
      <c r="DV98">
        <v>1.8760699999999999</v>
      </c>
      <c r="DW98">
        <v>1.87622</v>
      </c>
      <c r="DX98">
        <v>1.8827700000000001</v>
      </c>
      <c r="DY98">
        <v>1.8755299999999999</v>
      </c>
      <c r="DZ98">
        <v>1.8745400000000001</v>
      </c>
      <c r="EA98">
        <v>1.8707400000000001</v>
      </c>
      <c r="EB98">
        <v>1.87463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-1.002</v>
      </c>
      <c r="EQ98">
        <v>8.9399999999999993E-2</v>
      </c>
      <c r="ER98">
        <v>-1.0028181818181601</v>
      </c>
      <c r="ES98">
        <v>0</v>
      </c>
      <c r="ET98">
        <v>0</v>
      </c>
      <c r="EU98">
        <v>0</v>
      </c>
      <c r="EV98">
        <v>8.9420000000002303E-2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3.6</v>
      </c>
      <c r="FE98">
        <v>3.5</v>
      </c>
      <c r="FF98">
        <v>1.2341299999999999</v>
      </c>
      <c r="FG98">
        <v>2.5769000000000002</v>
      </c>
      <c r="FH98">
        <v>2.19604</v>
      </c>
      <c r="FI98">
        <v>2.5793499999999998</v>
      </c>
      <c r="FJ98">
        <v>2.4462899999999999</v>
      </c>
      <c r="FK98">
        <v>2.2680699999999998</v>
      </c>
      <c r="FL98">
        <v>29.708300000000001</v>
      </c>
      <c r="FM98">
        <v>24.157499999999999</v>
      </c>
      <c r="FN98">
        <v>19</v>
      </c>
      <c r="FO98">
        <v>863.80100000000004</v>
      </c>
      <c r="FP98">
        <v>599.85400000000004</v>
      </c>
      <c r="FQ98">
        <v>18.642299999999999</v>
      </c>
      <c r="FR98">
        <v>24.611899999999999</v>
      </c>
      <c r="FS98">
        <v>30.0002</v>
      </c>
      <c r="FT98">
        <v>24.609200000000001</v>
      </c>
      <c r="FU98">
        <v>24.610199999999999</v>
      </c>
      <c r="FV98">
        <v>24.7636</v>
      </c>
      <c r="FW98">
        <v>36.106999999999999</v>
      </c>
      <c r="FX98">
        <v>47.798299999999998</v>
      </c>
      <c r="FY98">
        <v>18.642199999999999</v>
      </c>
      <c r="FZ98">
        <v>410</v>
      </c>
      <c r="GA98">
        <v>14.022399999999999</v>
      </c>
      <c r="GB98">
        <v>99.950500000000005</v>
      </c>
      <c r="GC98">
        <v>99.649600000000007</v>
      </c>
    </row>
    <row r="99" spans="1:185" x14ac:dyDescent="0.2">
      <c r="A99">
        <v>84</v>
      </c>
      <c r="B99">
        <v>1771000126</v>
      </c>
      <c r="C99">
        <v>1502.9000000953699</v>
      </c>
      <c r="D99" t="s">
        <v>463</v>
      </c>
      <c r="E99" t="s">
        <v>464</v>
      </c>
      <c r="F99">
        <v>15</v>
      </c>
      <c r="G99">
        <v>1771000117.9333301</v>
      </c>
      <c r="H99">
        <f t="shared" si="13"/>
        <v>1.1085743213522651E-3</v>
      </c>
      <c r="I99">
        <v>0</v>
      </c>
      <c r="J99">
        <f t="shared" si="25"/>
        <v>2.2697672153545534E-3</v>
      </c>
      <c r="K99">
        <f t="shared" si="14"/>
        <v>4.0586284689664326E-2</v>
      </c>
      <c r="L99">
        <f t="shared" si="15"/>
        <v>69.973680415651785</v>
      </c>
      <c r="M99">
        <f t="shared" si="16"/>
        <v>1.5431229740275199</v>
      </c>
      <c r="N99">
        <f t="shared" si="17"/>
        <v>2.2052905676265566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26329.728657052779</v>
      </c>
      <c r="T99">
        <f t="shared" si="21"/>
        <v>100.001526666667</v>
      </c>
      <c r="U99">
        <f t="shared" si="22"/>
        <v>84.301196098612849</v>
      </c>
      <c r="V99">
        <f t="shared" si="23"/>
        <v>0.84299909119999994</v>
      </c>
      <c r="W99">
        <f t="shared" si="24"/>
        <v>0.15869793587199998</v>
      </c>
      <c r="X99">
        <v>1</v>
      </c>
      <c r="Y99">
        <v>1771000117.9333301</v>
      </c>
      <c r="Z99">
        <v>409.37240000000003</v>
      </c>
      <c r="AA99">
        <v>409.99040000000002</v>
      </c>
      <c r="AB99">
        <v>15.3576</v>
      </c>
      <c r="AC99">
        <v>13.993180000000001</v>
      </c>
      <c r="AD99">
        <v>410.375333333333</v>
      </c>
      <c r="AE99">
        <v>15.268193333333301</v>
      </c>
      <c r="AF99">
        <v>800.00973333333297</v>
      </c>
      <c r="AG99">
        <v>100.41419999999999</v>
      </c>
      <c r="AH99">
        <v>6.5235199999999993E-2</v>
      </c>
      <c r="AI99">
        <v>19.000800000000002</v>
      </c>
      <c r="AJ99">
        <v>999.9</v>
      </c>
      <c r="AK99">
        <v>999.9</v>
      </c>
      <c r="AL99">
        <v>0</v>
      </c>
      <c r="AM99">
        <v>0</v>
      </c>
      <c r="AN99">
        <v>4999.8333333333303</v>
      </c>
      <c r="AO99">
        <v>0</v>
      </c>
      <c r="AP99">
        <v>1.8541380000000001</v>
      </c>
      <c r="AQ99">
        <v>-0.61783853333333305</v>
      </c>
      <c r="AR99">
        <v>415.75746666666703</v>
      </c>
      <c r="AS99">
        <v>415.80880000000002</v>
      </c>
      <c r="AT99">
        <v>1.3644033333333301</v>
      </c>
      <c r="AU99">
        <v>409.99040000000002</v>
      </c>
      <c r="AV99">
        <v>13.993180000000001</v>
      </c>
      <c r="AW99">
        <v>1.5421226666666701</v>
      </c>
      <c r="AX99">
        <v>1.4051153333333299</v>
      </c>
      <c r="AY99">
        <v>13.39232</v>
      </c>
      <c r="AZ99">
        <v>11.9729733333333</v>
      </c>
      <c r="BA99">
        <v>100.001526666667</v>
      </c>
      <c r="BB99">
        <v>0.90002720000000003</v>
      </c>
      <c r="BC99">
        <v>0</v>
      </c>
      <c r="BD99">
        <v>9.9972693333333307E-2</v>
      </c>
      <c r="BE99">
        <v>0</v>
      </c>
      <c r="BF99">
        <v>24</v>
      </c>
      <c r="BG99">
        <v>1648.9173333333299</v>
      </c>
      <c r="BH99">
        <v>1770999899</v>
      </c>
      <c r="BI99" t="s">
        <v>432</v>
      </c>
      <c r="BJ99">
        <v>1770999896</v>
      </c>
      <c r="BK99">
        <v>1770999899</v>
      </c>
      <c r="BL99">
        <v>3</v>
      </c>
      <c r="BM99">
        <v>6.0999999999999999E-2</v>
      </c>
      <c r="BN99">
        <v>1E-3</v>
      </c>
      <c r="BO99">
        <v>-1.0029999999999999</v>
      </c>
      <c r="BP99">
        <v>8.8999999999999996E-2</v>
      </c>
      <c r="BQ99">
        <v>410</v>
      </c>
      <c r="BR99">
        <v>14</v>
      </c>
      <c r="BS99">
        <v>0.21</v>
      </c>
      <c r="BT99">
        <v>0.02</v>
      </c>
      <c r="BU99">
        <v>-0.61832538095238099</v>
      </c>
      <c r="BV99">
        <v>6.1776155844155897E-2</v>
      </c>
      <c r="BW99">
        <v>1.69584069121404E-2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1.3619266666666701</v>
      </c>
      <c r="CD99">
        <v>5.6938441558442902E-2</v>
      </c>
      <c r="CE99">
        <v>6.3995143664956301E-3</v>
      </c>
      <c r="CF99">
        <v>1</v>
      </c>
      <c r="CG99">
        <v>2</v>
      </c>
      <c r="CH99">
        <v>2</v>
      </c>
      <c r="CI99" t="s">
        <v>304</v>
      </c>
      <c r="CJ99">
        <v>3.5325199999999999</v>
      </c>
      <c r="CK99">
        <v>2.7030099999999999</v>
      </c>
      <c r="CL99">
        <v>9.8389299999999999E-2</v>
      </c>
      <c r="CM99">
        <v>9.7100900000000004E-2</v>
      </c>
      <c r="CN99">
        <v>8.7381700000000007E-2</v>
      </c>
      <c r="CO99">
        <v>8.0673800000000004E-2</v>
      </c>
      <c r="CP99">
        <v>31650.5</v>
      </c>
      <c r="CQ99">
        <v>27790.5</v>
      </c>
      <c r="CR99">
        <v>32486.9</v>
      </c>
      <c r="CS99">
        <v>30702.3</v>
      </c>
      <c r="CT99">
        <v>40128.6</v>
      </c>
      <c r="CU99">
        <v>39679.300000000003</v>
      </c>
      <c r="CV99">
        <v>47427.6</v>
      </c>
      <c r="CW99">
        <v>46804.6</v>
      </c>
      <c r="CX99">
        <v>2.6365599999999998</v>
      </c>
      <c r="CY99">
        <v>2.1736</v>
      </c>
      <c r="CZ99">
        <v>0</v>
      </c>
      <c r="DA99">
        <v>0</v>
      </c>
      <c r="DB99">
        <v>999.9</v>
      </c>
      <c r="DC99">
        <v>999.9</v>
      </c>
      <c r="DD99">
        <v>68.361999999999995</v>
      </c>
      <c r="DE99">
        <v>24.3</v>
      </c>
      <c r="DF99">
        <v>20.761199999999999</v>
      </c>
      <c r="DG99">
        <v>30.36</v>
      </c>
      <c r="DH99">
        <v>16.0457</v>
      </c>
      <c r="DI99">
        <v>2</v>
      </c>
      <c r="DJ99">
        <v>-0.190329</v>
      </c>
      <c r="DK99">
        <v>1.5383800000000001</v>
      </c>
      <c r="DL99">
        <v>20.238399999999999</v>
      </c>
      <c r="DM99">
        <v>5.2472399999999997</v>
      </c>
      <c r="DN99">
        <v>12.033899999999999</v>
      </c>
      <c r="DO99">
        <v>4.9676</v>
      </c>
      <c r="DP99">
        <v>3.2909999999999999</v>
      </c>
      <c r="DQ99">
        <v>9999</v>
      </c>
      <c r="DR99">
        <v>9999</v>
      </c>
      <c r="DS99">
        <v>596.70000000000005</v>
      </c>
      <c r="DT99">
        <v>9999</v>
      </c>
      <c r="DU99">
        <v>1.8710100000000001</v>
      </c>
      <c r="DV99">
        <v>1.8760699999999999</v>
      </c>
      <c r="DW99">
        <v>1.8762300000000001</v>
      </c>
      <c r="DX99">
        <v>1.8827799999999999</v>
      </c>
      <c r="DY99">
        <v>1.8754999999999999</v>
      </c>
      <c r="DZ99">
        <v>1.8745499999999999</v>
      </c>
      <c r="EA99">
        <v>1.8707400000000001</v>
      </c>
      <c r="EB99">
        <v>1.87462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-1.0029999999999999</v>
      </c>
      <c r="EQ99">
        <v>8.9499999999999996E-2</v>
      </c>
      <c r="ER99">
        <v>-1.0028181818181601</v>
      </c>
      <c r="ES99">
        <v>0</v>
      </c>
      <c r="ET99">
        <v>0</v>
      </c>
      <c r="EU99">
        <v>0</v>
      </c>
      <c r="EV99">
        <v>8.9420000000002303E-2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3.8</v>
      </c>
      <c r="FE99">
        <v>3.8</v>
      </c>
      <c r="FF99">
        <v>1.2341299999999999</v>
      </c>
      <c r="FG99">
        <v>2.5793499999999998</v>
      </c>
      <c r="FH99">
        <v>2.19604</v>
      </c>
      <c r="FI99">
        <v>2.5793499999999998</v>
      </c>
      <c r="FJ99">
        <v>2.4462899999999999</v>
      </c>
      <c r="FK99">
        <v>2.2717299999999998</v>
      </c>
      <c r="FL99">
        <v>29.708300000000001</v>
      </c>
      <c r="FM99">
        <v>24.1663</v>
      </c>
      <c r="FN99">
        <v>19</v>
      </c>
      <c r="FO99">
        <v>863.66800000000001</v>
      </c>
      <c r="FP99">
        <v>599.971</v>
      </c>
      <c r="FQ99">
        <v>18.639500000000002</v>
      </c>
      <c r="FR99">
        <v>24.614000000000001</v>
      </c>
      <c r="FS99">
        <v>30.0001</v>
      </c>
      <c r="FT99">
        <v>24.6113</v>
      </c>
      <c r="FU99">
        <v>24.613499999999998</v>
      </c>
      <c r="FV99">
        <v>24.765699999999999</v>
      </c>
      <c r="FW99">
        <v>36.106999999999999</v>
      </c>
      <c r="FX99">
        <v>47.418300000000002</v>
      </c>
      <c r="FY99">
        <v>18.641200000000001</v>
      </c>
      <c r="FZ99">
        <v>410</v>
      </c>
      <c r="GA99">
        <v>14.022399999999999</v>
      </c>
      <c r="GB99">
        <v>99.950999999999993</v>
      </c>
      <c r="GC99">
        <v>99.651700000000005</v>
      </c>
    </row>
    <row r="100" spans="1:185" x14ac:dyDescent="0.2">
      <c r="A100">
        <v>85</v>
      </c>
      <c r="B100">
        <v>1771000141</v>
      </c>
      <c r="C100">
        <v>1517.9000000953699</v>
      </c>
      <c r="D100" t="s">
        <v>465</v>
      </c>
      <c r="E100" t="s">
        <v>466</v>
      </c>
      <c r="F100">
        <v>15</v>
      </c>
      <c r="G100">
        <v>1771000132.9333301</v>
      </c>
      <c r="H100">
        <f t="shared" si="13"/>
        <v>1.1178010355038421E-3</v>
      </c>
      <c r="I100">
        <v>0</v>
      </c>
      <c r="J100">
        <f t="shared" si="25"/>
        <v>2.3066904950847767E-3</v>
      </c>
      <c r="K100">
        <f t="shared" si="14"/>
        <v>4.1246519242648154E-2</v>
      </c>
      <c r="L100">
        <f t="shared" si="15"/>
        <v>69.949314713132608</v>
      </c>
      <c r="M100">
        <f t="shared" si="16"/>
        <v>1.5426183685650039</v>
      </c>
      <c r="N100">
        <f t="shared" si="17"/>
        <v>2.2053373573299435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26324.897179843352</v>
      </c>
      <c r="T100">
        <f t="shared" si="21"/>
        <v>99.999286666666706</v>
      </c>
      <c r="U100">
        <f t="shared" si="22"/>
        <v>84.299326500514752</v>
      </c>
      <c r="V100">
        <f t="shared" si="23"/>
        <v>0.84299927839999977</v>
      </c>
      <c r="W100">
        <f t="shared" si="24"/>
        <v>0.15869796214399995</v>
      </c>
      <c r="X100">
        <v>1</v>
      </c>
      <c r="Y100">
        <v>1771000132.9333301</v>
      </c>
      <c r="Z100">
        <v>409.36173333333301</v>
      </c>
      <c r="AA100">
        <v>409.98526666666697</v>
      </c>
      <c r="AB100">
        <v>15.35252</v>
      </c>
      <c r="AC100">
        <v>13.9767333333333</v>
      </c>
      <c r="AD100">
        <v>410.36466666666701</v>
      </c>
      <c r="AE100">
        <v>15.263113333333299</v>
      </c>
      <c r="AF100">
        <v>800.00773333333302</v>
      </c>
      <c r="AG100">
        <v>100.414466666667</v>
      </c>
      <c r="AH100">
        <v>6.5348279999999995E-2</v>
      </c>
      <c r="AI100">
        <v>19.001139999999999</v>
      </c>
      <c r="AJ100">
        <v>999.9</v>
      </c>
      <c r="AK100">
        <v>999.9</v>
      </c>
      <c r="AL100">
        <v>0</v>
      </c>
      <c r="AM100">
        <v>0</v>
      </c>
      <c r="AN100">
        <v>4999.0333333333301</v>
      </c>
      <c r="AO100">
        <v>0</v>
      </c>
      <c r="AP100">
        <v>1.85112733333333</v>
      </c>
      <c r="AQ100">
        <v>-0.62335819999999997</v>
      </c>
      <c r="AR100">
        <v>415.74453333333298</v>
      </c>
      <c r="AS100">
        <v>415.79680000000002</v>
      </c>
      <c r="AT100">
        <v>1.3757726666666701</v>
      </c>
      <c r="AU100">
        <v>409.98526666666697</v>
      </c>
      <c r="AV100">
        <v>13.9767333333333</v>
      </c>
      <c r="AW100">
        <v>1.5416160000000001</v>
      </c>
      <c r="AX100">
        <v>1.4034673333333301</v>
      </c>
      <c r="AY100">
        <v>13.3872866666667</v>
      </c>
      <c r="AZ100">
        <v>11.955159999999999</v>
      </c>
      <c r="BA100">
        <v>99.999286666666706</v>
      </c>
      <c r="BB100">
        <v>0.90002753333333296</v>
      </c>
      <c r="BC100">
        <v>0</v>
      </c>
      <c r="BD100">
        <v>9.9972586666666696E-2</v>
      </c>
      <c r="BE100">
        <v>0</v>
      </c>
      <c r="BF100">
        <v>24</v>
      </c>
      <c r="BG100">
        <v>1648.8813333333301</v>
      </c>
      <c r="BH100">
        <v>1770999899</v>
      </c>
      <c r="BI100" t="s">
        <v>432</v>
      </c>
      <c r="BJ100">
        <v>1770999896</v>
      </c>
      <c r="BK100">
        <v>1770999899</v>
      </c>
      <c r="BL100">
        <v>3</v>
      </c>
      <c r="BM100">
        <v>6.0999999999999999E-2</v>
      </c>
      <c r="BN100">
        <v>1E-3</v>
      </c>
      <c r="BO100">
        <v>-1.0029999999999999</v>
      </c>
      <c r="BP100">
        <v>8.8999999999999996E-2</v>
      </c>
      <c r="BQ100">
        <v>410</v>
      </c>
      <c r="BR100">
        <v>14</v>
      </c>
      <c r="BS100">
        <v>0.21</v>
      </c>
      <c r="BT100">
        <v>0.02</v>
      </c>
      <c r="BU100">
        <v>-0.61887669999999995</v>
      </c>
      <c r="BV100">
        <v>-0.19918457142857199</v>
      </c>
      <c r="BW100">
        <v>3.3740307583215702E-2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1.374314</v>
      </c>
      <c r="CD100">
        <v>5.3861052631579399E-2</v>
      </c>
      <c r="CE100">
        <v>6.1344840043804898E-3</v>
      </c>
      <c r="CF100">
        <v>1</v>
      </c>
      <c r="CG100">
        <v>2</v>
      </c>
      <c r="CH100">
        <v>2</v>
      </c>
      <c r="CI100" t="s">
        <v>304</v>
      </c>
      <c r="CJ100">
        <v>3.5325099999999998</v>
      </c>
      <c r="CK100">
        <v>2.7031100000000001</v>
      </c>
      <c r="CL100">
        <v>9.8380200000000001E-2</v>
      </c>
      <c r="CM100">
        <v>9.7096500000000002E-2</v>
      </c>
      <c r="CN100">
        <v>8.7394700000000006E-2</v>
      </c>
      <c r="CO100">
        <v>8.0623E-2</v>
      </c>
      <c r="CP100">
        <v>31650.7</v>
      </c>
      <c r="CQ100">
        <v>27790.5</v>
      </c>
      <c r="CR100">
        <v>32486.799999999999</v>
      </c>
      <c r="CS100">
        <v>30702.2</v>
      </c>
      <c r="CT100">
        <v>40128</v>
      </c>
      <c r="CU100">
        <v>39681.4</v>
      </c>
      <c r="CV100">
        <v>47427.6</v>
      </c>
      <c r="CW100">
        <v>46804.4</v>
      </c>
      <c r="CX100">
        <v>2.63646</v>
      </c>
      <c r="CY100">
        <v>2.1731799999999999</v>
      </c>
      <c r="CZ100">
        <v>0</v>
      </c>
      <c r="DA100">
        <v>0</v>
      </c>
      <c r="DB100">
        <v>999.9</v>
      </c>
      <c r="DC100">
        <v>999.9</v>
      </c>
      <c r="DD100">
        <v>68.221000000000004</v>
      </c>
      <c r="DE100">
        <v>24.34</v>
      </c>
      <c r="DF100">
        <v>20.7666</v>
      </c>
      <c r="DG100">
        <v>30.6</v>
      </c>
      <c r="DH100">
        <v>15.977600000000001</v>
      </c>
      <c r="DI100">
        <v>2</v>
      </c>
      <c r="DJ100">
        <v>-0.19012399999999999</v>
      </c>
      <c r="DK100">
        <v>1.5405500000000001</v>
      </c>
      <c r="DL100">
        <v>20.238399999999999</v>
      </c>
      <c r="DM100">
        <v>5.2473599999999996</v>
      </c>
      <c r="DN100">
        <v>12.033899999999999</v>
      </c>
      <c r="DO100">
        <v>4.9675200000000004</v>
      </c>
      <c r="DP100">
        <v>3.2909999999999999</v>
      </c>
      <c r="DQ100">
        <v>9999</v>
      </c>
      <c r="DR100">
        <v>9999</v>
      </c>
      <c r="DS100">
        <v>596.70000000000005</v>
      </c>
      <c r="DT100">
        <v>9999</v>
      </c>
      <c r="DU100">
        <v>1.8710100000000001</v>
      </c>
      <c r="DV100">
        <v>1.8760699999999999</v>
      </c>
      <c r="DW100">
        <v>1.8762300000000001</v>
      </c>
      <c r="DX100">
        <v>1.8827700000000001</v>
      </c>
      <c r="DY100">
        <v>1.8755299999999999</v>
      </c>
      <c r="DZ100">
        <v>1.8745499999999999</v>
      </c>
      <c r="EA100">
        <v>1.87073</v>
      </c>
      <c r="EB100">
        <v>1.87462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-1.0029999999999999</v>
      </c>
      <c r="EQ100">
        <v>8.9499999999999996E-2</v>
      </c>
      <c r="ER100">
        <v>-1.0028181818181601</v>
      </c>
      <c r="ES100">
        <v>0</v>
      </c>
      <c r="ET100">
        <v>0</v>
      </c>
      <c r="EU100">
        <v>0</v>
      </c>
      <c r="EV100">
        <v>8.9420000000002303E-2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4.0999999999999996</v>
      </c>
      <c r="FE100">
        <v>4</v>
      </c>
      <c r="FF100">
        <v>1.2341299999999999</v>
      </c>
      <c r="FG100">
        <v>2.5769000000000002</v>
      </c>
      <c r="FH100">
        <v>2.19604</v>
      </c>
      <c r="FI100">
        <v>2.5793499999999998</v>
      </c>
      <c r="FJ100">
        <v>2.4462899999999999</v>
      </c>
      <c r="FK100">
        <v>2.2924799999999999</v>
      </c>
      <c r="FL100">
        <v>29.729700000000001</v>
      </c>
      <c r="FM100">
        <v>24.1663</v>
      </c>
      <c r="FN100">
        <v>19</v>
      </c>
      <c r="FO100">
        <v>863.62300000000005</v>
      </c>
      <c r="FP100">
        <v>599.67399999999998</v>
      </c>
      <c r="FQ100">
        <v>18.641300000000001</v>
      </c>
      <c r="FR100">
        <v>24.616099999999999</v>
      </c>
      <c r="FS100">
        <v>30.0001</v>
      </c>
      <c r="FT100">
        <v>24.6143</v>
      </c>
      <c r="FU100">
        <v>24.616399999999999</v>
      </c>
      <c r="FV100">
        <v>24.768999999999998</v>
      </c>
      <c r="FW100">
        <v>36.106999999999999</v>
      </c>
      <c r="FX100">
        <v>46.655999999999999</v>
      </c>
      <c r="FY100">
        <v>18.639500000000002</v>
      </c>
      <c r="FZ100">
        <v>410</v>
      </c>
      <c r="GA100">
        <v>14.022399999999999</v>
      </c>
      <c r="GB100">
        <v>99.950900000000004</v>
      </c>
      <c r="GC100">
        <v>99.651399999999995</v>
      </c>
    </row>
    <row r="101" spans="1:185" x14ac:dyDescent="0.2">
      <c r="A101">
        <v>86</v>
      </c>
      <c r="B101">
        <v>1771000156</v>
      </c>
      <c r="C101">
        <v>1532.9000000953699</v>
      </c>
      <c r="D101" t="s">
        <v>467</v>
      </c>
      <c r="E101" t="s">
        <v>468</v>
      </c>
      <c r="F101">
        <v>15</v>
      </c>
      <c r="G101">
        <v>1771000147.9333301</v>
      </c>
      <c r="H101">
        <f t="shared" si="13"/>
        <v>1.1204229316767703E-3</v>
      </c>
      <c r="I101">
        <v>0</v>
      </c>
      <c r="J101">
        <f t="shared" si="25"/>
        <v>3.642569104029767E-3</v>
      </c>
      <c r="K101">
        <f t="shared" si="14"/>
        <v>6.5133704310216797E-2</v>
      </c>
      <c r="L101">
        <f t="shared" si="15"/>
        <v>69.922798558114266</v>
      </c>
      <c r="M101">
        <f t="shared" si="16"/>
        <v>1.5420021642178121</v>
      </c>
      <c r="N101">
        <f t="shared" si="17"/>
        <v>2.2052924025004845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26316.518125390605</v>
      </c>
      <c r="T101">
        <f t="shared" si="21"/>
        <v>99.999520000000004</v>
      </c>
      <c r="U101">
        <f t="shared" si="22"/>
        <v>84.299518880367103</v>
      </c>
      <c r="V101">
        <f t="shared" si="23"/>
        <v>0.84299923519999997</v>
      </c>
      <c r="W101">
        <f t="shared" si="24"/>
        <v>0.15869829587199999</v>
      </c>
      <c r="X101">
        <v>1</v>
      </c>
      <c r="Y101">
        <v>1771000147.9333301</v>
      </c>
      <c r="Z101">
        <v>409.35773333333299</v>
      </c>
      <c r="AA101">
        <v>410.01246666666702</v>
      </c>
      <c r="AB101">
        <v>15.346453333333301</v>
      </c>
      <c r="AC101">
        <v>13.967420000000001</v>
      </c>
      <c r="AD101">
        <v>410.36046666666698</v>
      </c>
      <c r="AE101">
        <v>15.25704</v>
      </c>
      <c r="AF101">
        <v>800.00126666666699</v>
      </c>
      <c r="AG101">
        <v>100.414133333333</v>
      </c>
      <c r="AH101">
        <v>6.5249799999999997E-2</v>
      </c>
      <c r="AI101">
        <v>19.000813333333301</v>
      </c>
      <c r="AJ101">
        <v>999.9</v>
      </c>
      <c r="AK101">
        <v>999.9</v>
      </c>
      <c r="AL101">
        <v>0</v>
      </c>
      <c r="AM101">
        <v>0</v>
      </c>
      <c r="AN101">
        <v>4997.6666666666697</v>
      </c>
      <c r="AO101">
        <v>0</v>
      </c>
      <c r="AP101">
        <v>1.85940666666667</v>
      </c>
      <c r="AQ101">
        <v>-0.65468326666666699</v>
      </c>
      <c r="AR101">
        <v>415.73779999999999</v>
      </c>
      <c r="AS101">
        <v>415.82046666666702</v>
      </c>
      <c r="AT101">
        <v>1.3790486666666699</v>
      </c>
      <c r="AU101">
        <v>410.01246666666702</v>
      </c>
      <c r="AV101">
        <v>13.967420000000001</v>
      </c>
      <c r="AW101">
        <v>1.5410013333333299</v>
      </c>
      <c r="AX101">
        <v>1.4025253333333301</v>
      </c>
      <c r="AY101">
        <v>13.3811533333333</v>
      </c>
      <c r="AZ101">
        <v>11.944940000000001</v>
      </c>
      <c r="BA101">
        <v>99.999520000000004</v>
      </c>
      <c r="BB101">
        <v>0.9000224</v>
      </c>
      <c r="BC101">
        <v>0</v>
      </c>
      <c r="BD101">
        <v>9.9977493333333306E-2</v>
      </c>
      <c r="BE101">
        <v>0</v>
      </c>
      <c r="BF101">
        <v>24</v>
      </c>
      <c r="BG101">
        <v>1648.8813333333301</v>
      </c>
      <c r="BH101">
        <v>1770999899</v>
      </c>
      <c r="BI101" t="s">
        <v>432</v>
      </c>
      <c r="BJ101">
        <v>1770999896</v>
      </c>
      <c r="BK101">
        <v>1770999899</v>
      </c>
      <c r="BL101">
        <v>3</v>
      </c>
      <c r="BM101">
        <v>6.0999999999999999E-2</v>
      </c>
      <c r="BN101">
        <v>1E-3</v>
      </c>
      <c r="BO101">
        <v>-1.0029999999999999</v>
      </c>
      <c r="BP101">
        <v>8.8999999999999996E-2</v>
      </c>
      <c r="BQ101">
        <v>410</v>
      </c>
      <c r="BR101">
        <v>14</v>
      </c>
      <c r="BS101">
        <v>0.21</v>
      </c>
      <c r="BT101">
        <v>0.02</v>
      </c>
      <c r="BU101">
        <v>-0.656103142857143</v>
      </c>
      <c r="BV101">
        <v>1.6936753246752902E-2</v>
      </c>
      <c r="BW101">
        <v>1.17085202199721E-2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1.37998476190476</v>
      </c>
      <c r="CD101">
        <v>-2.1892207792205898E-2</v>
      </c>
      <c r="CE101">
        <v>3.24903739451083E-3</v>
      </c>
      <c r="CF101">
        <v>1</v>
      </c>
      <c r="CG101">
        <v>2</v>
      </c>
      <c r="CH101">
        <v>2</v>
      </c>
      <c r="CI101" t="s">
        <v>304</v>
      </c>
      <c r="CJ101">
        <v>3.5325000000000002</v>
      </c>
      <c r="CK101">
        <v>2.7028599999999998</v>
      </c>
      <c r="CL101">
        <v>9.83816E-2</v>
      </c>
      <c r="CM101">
        <v>9.7097299999999997E-2</v>
      </c>
      <c r="CN101">
        <v>8.7326500000000001E-2</v>
      </c>
      <c r="CO101">
        <v>8.0597500000000002E-2</v>
      </c>
      <c r="CP101">
        <v>31650.400000000001</v>
      </c>
      <c r="CQ101">
        <v>27791</v>
      </c>
      <c r="CR101">
        <v>32486.6</v>
      </c>
      <c r="CS101">
        <v>30702.799999999999</v>
      </c>
      <c r="CT101">
        <v>40130.9</v>
      </c>
      <c r="CU101">
        <v>39683.199999999997</v>
      </c>
      <c r="CV101">
        <v>47427.199999999997</v>
      </c>
      <c r="CW101">
        <v>46805.2</v>
      </c>
      <c r="CX101">
        <v>2.6364999999999998</v>
      </c>
      <c r="CY101">
        <v>2.1727400000000001</v>
      </c>
      <c r="CZ101">
        <v>0</v>
      </c>
      <c r="DA101">
        <v>0</v>
      </c>
      <c r="DB101">
        <v>999.9</v>
      </c>
      <c r="DC101">
        <v>999.9</v>
      </c>
      <c r="DD101">
        <v>68.087000000000003</v>
      </c>
      <c r="DE101">
        <v>24.34</v>
      </c>
      <c r="DF101">
        <v>20.725999999999999</v>
      </c>
      <c r="DG101">
        <v>30.27</v>
      </c>
      <c r="DH101">
        <v>16.1218</v>
      </c>
      <c r="DI101">
        <v>2</v>
      </c>
      <c r="DJ101">
        <v>-0.189972</v>
      </c>
      <c r="DK101">
        <v>1.5397099999999999</v>
      </c>
      <c r="DL101">
        <v>20.238499999999998</v>
      </c>
      <c r="DM101">
        <v>5.2472399999999997</v>
      </c>
      <c r="DN101">
        <v>12.033899999999999</v>
      </c>
      <c r="DO101">
        <v>4.9675200000000004</v>
      </c>
      <c r="DP101">
        <v>3.2909999999999999</v>
      </c>
      <c r="DQ101">
        <v>9999</v>
      </c>
      <c r="DR101">
        <v>9999</v>
      </c>
      <c r="DS101">
        <v>596.79999999999995</v>
      </c>
      <c r="DT101">
        <v>9999</v>
      </c>
      <c r="DU101">
        <v>1.87097</v>
      </c>
      <c r="DV101">
        <v>1.8760600000000001</v>
      </c>
      <c r="DW101">
        <v>1.87622</v>
      </c>
      <c r="DX101">
        <v>1.8827700000000001</v>
      </c>
      <c r="DY101">
        <v>1.8754999999999999</v>
      </c>
      <c r="DZ101">
        <v>1.8745400000000001</v>
      </c>
      <c r="EA101">
        <v>1.87073</v>
      </c>
      <c r="EB101">
        <v>1.8746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-1.002</v>
      </c>
      <c r="EQ101">
        <v>8.9499999999999996E-2</v>
      </c>
      <c r="ER101">
        <v>-1.0028181818181601</v>
      </c>
      <c r="ES101">
        <v>0</v>
      </c>
      <c r="ET101">
        <v>0</v>
      </c>
      <c r="EU101">
        <v>0</v>
      </c>
      <c r="EV101">
        <v>8.9420000000002303E-2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4.3</v>
      </c>
      <c r="FE101">
        <v>4.3</v>
      </c>
      <c r="FF101">
        <v>1.2341299999999999</v>
      </c>
      <c r="FG101">
        <v>2.5781200000000002</v>
      </c>
      <c r="FH101">
        <v>2.19604</v>
      </c>
      <c r="FI101">
        <v>2.5793499999999998</v>
      </c>
      <c r="FJ101">
        <v>2.4462899999999999</v>
      </c>
      <c r="FK101">
        <v>2.2583000000000002</v>
      </c>
      <c r="FL101">
        <v>29.729700000000001</v>
      </c>
      <c r="FM101">
        <v>24.157499999999999</v>
      </c>
      <c r="FN101">
        <v>19</v>
      </c>
      <c r="FO101">
        <v>863.71400000000006</v>
      </c>
      <c r="FP101">
        <v>599.36099999999999</v>
      </c>
      <c r="FQ101">
        <v>18.639900000000001</v>
      </c>
      <c r="FR101">
        <v>24.619900000000001</v>
      </c>
      <c r="FS101">
        <v>30.0002</v>
      </c>
      <c r="FT101">
        <v>24.6175</v>
      </c>
      <c r="FU101">
        <v>24.619299999999999</v>
      </c>
      <c r="FV101">
        <v>24.765699999999999</v>
      </c>
      <c r="FW101">
        <v>36.106999999999999</v>
      </c>
      <c r="FX101">
        <v>46.276899999999998</v>
      </c>
      <c r="FY101">
        <v>18.639900000000001</v>
      </c>
      <c r="FZ101">
        <v>410</v>
      </c>
      <c r="GA101">
        <v>14.022399999999999</v>
      </c>
      <c r="GB101">
        <v>99.950199999999995</v>
      </c>
      <c r="GC101">
        <v>99.653099999999995</v>
      </c>
    </row>
    <row r="102" spans="1:185" x14ac:dyDescent="0.2">
      <c r="A102">
        <v>87</v>
      </c>
      <c r="B102">
        <v>1771000171</v>
      </c>
      <c r="C102">
        <v>1547.9000000953699</v>
      </c>
      <c r="D102" t="s">
        <v>469</v>
      </c>
      <c r="E102" t="s">
        <v>470</v>
      </c>
      <c r="F102">
        <v>15</v>
      </c>
      <c r="G102">
        <v>1771000162.9333301</v>
      </c>
      <c r="H102">
        <f t="shared" si="13"/>
        <v>1.1193896721288527E-3</v>
      </c>
      <c r="I102">
        <v>0</v>
      </c>
      <c r="J102">
        <f t="shared" si="25"/>
        <v>2.8285443473507312E-3</v>
      </c>
      <c r="K102">
        <f t="shared" si="14"/>
        <v>5.0577920661782488E-2</v>
      </c>
      <c r="L102">
        <f t="shared" si="15"/>
        <v>69.872809894424918</v>
      </c>
      <c r="M102">
        <f t="shared" si="16"/>
        <v>1.5410818325833546</v>
      </c>
      <c r="N102">
        <f t="shared" si="17"/>
        <v>2.205552968188726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26333.328961690208</v>
      </c>
      <c r="T102">
        <f t="shared" si="21"/>
        <v>100.001213333333</v>
      </c>
      <c r="U102">
        <f t="shared" si="22"/>
        <v>84.300956719197501</v>
      </c>
      <c r="V102">
        <f t="shared" si="23"/>
        <v>0.84299933880000044</v>
      </c>
      <c r="W102">
        <f t="shared" si="24"/>
        <v>0.1586985288880001</v>
      </c>
      <c r="X102">
        <v>1</v>
      </c>
      <c r="Y102">
        <v>1771000162.9333301</v>
      </c>
      <c r="Z102">
        <v>409.35526666666698</v>
      </c>
      <c r="AA102">
        <v>409.991266666667</v>
      </c>
      <c r="AB102">
        <v>15.3375733333333</v>
      </c>
      <c r="AC102">
        <v>13.959813333333299</v>
      </c>
      <c r="AD102">
        <v>410.3578</v>
      </c>
      <c r="AE102">
        <v>15.248146666666701</v>
      </c>
      <c r="AF102">
        <v>800.00940000000003</v>
      </c>
      <c r="AG102">
        <v>100.412333333333</v>
      </c>
      <c r="AH102">
        <v>6.5219346666666594E-2</v>
      </c>
      <c r="AI102">
        <v>19.0027066666667</v>
      </c>
      <c r="AJ102">
        <v>999.9</v>
      </c>
      <c r="AK102">
        <v>999.9</v>
      </c>
      <c r="AL102">
        <v>0</v>
      </c>
      <c r="AM102">
        <v>0</v>
      </c>
      <c r="AN102">
        <v>5000.5333333333301</v>
      </c>
      <c r="AO102">
        <v>0</v>
      </c>
      <c r="AP102">
        <v>1.85940666666667</v>
      </c>
      <c r="AQ102">
        <v>-0.63619393333333296</v>
      </c>
      <c r="AR102">
        <v>415.731533333333</v>
      </c>
      <c r="AS102">
        <v>415.79579999999999</v>
      </c>
      <c r="AT102">
        <v>1.3777566666666701</v>
      </c>
      <c r="AU102">
        <v>409.991266666667</v>
      </c>
      <c r="AV102">
        <v>13.959813333333299</v>
      </c>
      <c r="AW102">
        <v>1.540082</v>
      </c>
      <c r="AX102">
        <v>1.40173666666667</v>
      </c>
      <c r="AY102">
        <v>13.3719866666667</v>
      </c>
      <c r="AZ102">
        <v>11.936439999999999</v>
      </c>
      <c r="BA102">
        <v>100.001213333333</v>
      </c>
      <c r="BB102">
        <v>0.90001933333333395</v>
      </c>
      <c r="BC102">
        <v>0</v>
      </c>
      <c r="BD102">
        <v>9.9980573333333295E-2</v>
      </c>
      <c r="BE102">
        <v>0</v>
      </c>
      <c r="BF102">
        <v>24</v>
      </c>
      <c r="BG102">
        <v>1648.90466666667</v>
      </c>
      <c r="BH102">
        <v>1770999899</v>
      </c>
      <c r="BI102" t="s">
        <v>432</v>
      </c>
      <c r="BJ102">
        <v>1770999896</v>
      </c>
      <c r="BK102">
        <v>1770999899</v>
      </c>
      <c r="BL102">
        <v>3</v>
      </c>
      <c r="BM102">
        <v>6.0999999999999999E-2</v>
      </c>
      <c r="BN102">
        <v>1E-3</v>
      </c>
      <c r="BO102">
        <v>-1.0029999999999999</v>
      </c>
      <c r="BP102">
        <v>8.8999999999999996E-2</v>
      </c>
      <c r="BQ102">
        <v>410</v>
      </c>
      <c r="BR102">
        <v>14</v>
      </c>
      <c r="BS102">
        <v>0.21</v>
      </c>
      <c r="BT102">
        <v>0.02</v>
      </c>
      <c r="BU102">
        <v>-0.64007570000000003</v>
      </c>
      <c r="BV102">
        <v>7.9252150375939204E-2</v>
      </c>
      <c r="BW102">
        <v>1.78531937817859E-2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1.3770994999999999</v>
      </c>
      <c r="CD102">
        <v>5.8750375939846302E-3</v>
      </c>
      <c r="CE102">
        <v>6.1007732911492396E-3</v>
      </c>
      <c r="CF102">
        <v>1</v>
      </c>
      <c r="CG102">
        <v>2</v>
      </c>
      <c r="CH102">
        <v>2</v>
      </c>
      <c r="CI102" t="s">
        <v>304</v>
      </c>
      <c r="CJ102">
        <v>3.5325099999999998</v>
      </c>
      <c r="CK102">
        <v>2.7029000000000001</v>
      </c>
      <c r="CL102">
        <v>9.8380499999999996E-2</v>
      </c>
      <c r="CM102">
        <v>9.70858E-2</v>
      </c>
      <c r="CN102">
        <v>8.7307200000000001E-2</v>
      </c>
      <c r="CO102">
        <v>8.0650399999999997E-2</v>
      </c>
      <c r="CP102">
        <v>31650.799999999999</v>
      </c>
      <c r="CQ102">
        <v>27791.4</v>
      </c>
      <c r="CR102">
        <v>32486.9</v>
      </c>
      <c r="CS102">
        <v>30702.9</v>
      </c>
      <c r="CT102">
        <v>40132.400000000001</v>
      </c>
      <c r="CU102">
        <v>39681</v>
      </c>
      <c r="CV102">
        <v>47428</v>
      </c>
      <c r="CW102">
        <v>46805.5</v>
      </c>
      <c r="CX102">
        <v>2.63632</v>
      </c>
      <c r="CY102">
        <v>2.1726000000000001</v>
      </c>
      <c r="CZ102">
        <v>0</v>
      </c>
      <c r="DA102">
        <v>0</v>
      </c>
      <c r="DB102">
        <v>999.9</v>
      </c>
      <c r="DC102">
        <v>999.9</v>
      </c>
      <c r="DD102">
        <v>67.977000000000004</v>
      </c>
      <c r="DE102">
        <v>24.37</v>
      </c>
      <c r="DF102">
        <v>20.732299999999999</v>
      </c>
      <c r="DG102">
        <v>30.66</v>
      </c>
      <c r="DH102">
        <v>16.053699999999999</v>
      </c>
      <c r="DI102">
        <v>2</v>
      </c>
      <c r="DJ102">
        <v>-0.18951000000000001</v>
      </c>
      <c r="DK102">
        <v>1.5615600000000001</v>
      </c>
      <c r="DL102">
        <v>20.238199999999999</v>
      </c>
      <c r="DM102">
        <v>5.2474800000000004</v>
      </c>
      <c r="DN102">
        <v>12.033899999999999</v>
      </c>
      <c r="DO102">
        <v>4.9673999999999996</v>
      </c>
      <c r="DP102">
        <v>3.2909999999999999</v>
      </c>
      <c r="DQ102">
        <v>9999</v>
      </c>
      <c r="DR102">
        <v>9999</v>
      </c>
      <c r="DS102">
        <v>596.79999999999995</v>
      </c>
      <c r="DT102">
        <v>9999</v>
      </c>
      <c r="DU102">
        <v>1.8709800000000001</v>
      </c>
      <c r="DV102">
        <v>1.8760600000000001</v>
      </c>
      <c r="DW102">
        <v>1.87622</v>
      </c>
      <c r="DX102">
        <v>1.8827499999999999</v>
      </c>
      <c r="DY102">
        <v>1.8754999999999999</v>
      </c>
      <c r="DZ102">
        <v>1.8745400000000001</v>
      </c>
      <c r="EA102">
        <v>1.87073</v>
      </c>
      <c r="EB102">
        <v>1.87459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-1.0029999999999999</v>
      </c>
      <c r="EQ102">
        <v>8.9399999999999993E-2</v>
      </c>
      <c r="ER102">
        <v>-1.0028181818181601</v>
      </c>
      <c r="ES102">
        <v>0</v>
      </c>
      <c r="ET102">
        <v>0</v>
      </c>
      <c r="EU102">
        <v>0</v>
      </c>
      <c r="EV102">
        <v>8.9420000000002303E-2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4.5999999999999996</v>
      </c>
      <c r="FE102">
        <v>4.5</v>
      </c>
      <c r="FF102">
        <v>1.2341299999999999</v>
      </c>
      <c r="FG102">
        <v>2.5781200000000002</v>
      </c>
      <c r="FH102">
        <v>2.19604</v>
      </c>
      <c r="FI102">
        <v>2.5793499999999998</v>
      </c>
      <c r="FJ102">
        <v>2.4462899999999999</v>
      </c>
      <c r="FK102">
        <v>2.2961399999999998</v>
      </c>
      <c r="FL102">
        <v>29.751000000000001</v>
      </c>
      <c r="FM102">
        <v>24.157499999999999</v>
      </c>
      <c r="FN102">
        <v>19</v>
      </c>
      <c r="FO102">
        <v>863.58100000000002</v>
      </c>
      <c r="FP102">
        <v>599.28899999999999</v>
      </c>
      <c r="FQ102">
        <v>18.633700000000001</v>
      </c>
      <c r="FR102">
        <v>24.622299999999999</v>
      </c>
      <c r="FS102">
        <v>30.0002</v>
      </c>
      <c r="FT102">
        <v>24.619599999999998</v>
      </c>
      <c r="FU102">
        <v>24.622599999999998</v>
      </c>
      <c r="FV102">
        <v>24.768799999999999</v>
      </c>
      <c r="FW102">
        <v>35.832299999999996</v>
      </c>
      <c r="FX102">
        <v>45.904800000000002</v>
      </c>
      <c r="FY102">
        <v>18.631599999999999</v>
      </c>
      <c r="FZ102">
        <v>410</v>
      </c>
      <c r="GA102">
        <v>14.022399999999999</v>
      </c>
      <c r="GB102">
        <v>99.951599999999999</v>
      </c>
      <c r="GC102">
        <v>99.653499999999994</v>
      </c>
    </row>
    <row r="103" spans="1:185" x14ac:dyDescent="0.2">
      <c r="A103">
        <v>88</v>
      </c>
      <c r="B103">
        <v>1771000186</v>
      </c>
      <c r="C103">
        <v>1562.9000000953699</v>
      </c>
      <c r="D103" t="s">
        <v>471</v>
      </c>
      <c r="E103" t="s">
        <v>472</v>
      </c>
      <c r="F103">
        <v>15</v>
      </c>
      <c r="G103">
        <v>1771000177.9333301</v>
      </c>
      <c r="H103">
        <f t="shared" si="13"/>
        <v>1.1002998694070825E-3</v>
      </c>
      <c r="I103">
        <v>0</v>
      </c>
      <c r="J103">
        <f t="shared" si="25"/>
        <v>3.0984712141741153E-3</v>
      </c>
      <c r="K103">
        <f t="shared" si="14"/>
        <v>5.5404551599163299E-2</v>
      </c>
      <c r="L103">
        <f t="shared" si="15"/>
        <v>69.89953463122653</v>
      </c>
      <c r="M103">
        <f t="shared" si="16"/>
        <v>1.5415628758587305</v>
      </c>
      <c r="N103">
        <f t="shared" si="17"/>
        <v>2.2053979100027674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26322.345435438448</v>
      </c>
      <c r="T103">
        <f t="shared" si="21"/>
        <v>99.999633333333307</v>
      </c>
      <c r="U103">
        <f t="shared" si="22"/>
        <v>84.299612100288968</v>
      </c>
      <c r="V103">
        <f t="shared" si="23"/>
        <v>0.84299921200000061</v>
      </c>
      <c r="W103">
        <f t="shared" si="24"/>
        <v>0.15869815992000011</v>
      </c>
      <c r="X103">
        <v>1</v>
      </c>
      <c r="Y103">
        <v>1771000177.9333301</v>
      </c>
      <c r="Z103">
        <v>409.35553333333303</v>
      </c>
      <c r="AA103">
        <v>409.98779999999999</v>
      </c>
      <c r="AB103">
        <v>15.3422133333333</v>
      </c>
      <c r="AC103">
        <v>13.9879533333333</v>
      </c>
      <c r="AD103">
        <v>410.358133333333</v>
      </c>
      <c r="AE103">
        <v>15.252800000000001</v>
      </c>
      <c r="AF103">
        <v>800.00800000000004</v>
      </c>
      <c r="AG103">
        <v>100.4134</v>
      </c>
      <c r="AH103">
        <v>6.5119126666666693E-2</v>
      </c>
      <c r="AI103">
        <v>19.001580000000001</v>
      </c>
      <c r="AJ103">
        <v>999.9</v>
      </c>
      <c r="AK103">
        <v>999.9</v>
      </c>
      <c r="AL103">
        <v>0</v>
      </c>
      <c r="AM103">
        <v>0</v>
      </c>
      <c r="AN103">
        <v>4998.6666666666697</v>
      </c>
      <c r="AO103">
        <v>0</v>
      </c>
      <c r="AP103">
        <v>1.86317</v>
      </c>
      <c r="AQ103">
        <v>-0.632383266666667</v>
      </c>
      <c r="AR103">
        <v>415.73353333333301</v>
      </c>
      <c r="AS103">
        <v>415.80393333333302</v>
      </c>
      <c r="AT103">
        <v>1.3542513333333299</v>
      </c>
      <c r="AU103">
        <v>409.98779999999999</v>
      </c>
      <c r="AV103">
        <v>13.9879533333333</v>
      </c>
      <c r="AW103">
        <v>1.540564</v>
      </c>
      <c r="AX103">
        <v>1.4045793333333301</v>
      </c>
      <c r="AY103">
        <v>13.376799999999999</v>
      </c>
      <c r="AZ103">
        <v>11.96716</v>
      </c>
      <c r="BA103">
        <v>99.999633333333307</v>
      </c>
      <c r="BB103">
        <v>0.90002433333333398</v>
      </c>
      <c r="BC103">
        <v>0</v>
      </c>
      <c r="BD103">
        <v>9.9975599999999998E-2</v>
      </c>
      <c r="BE103">
        <v>0</v>
      </c>
      <c r="BF103">
        <v>24</v>
      </c>
      <c r="BG103">
        <v>1648.8820000000001</v>
      </c>
      <c r="BH103">
        <v>1770999899</v>
      </c>
      <c r="BI103" t="s">
        <v>432</v>
      </c>
      <c r="BJ103">
        <v>1770999896</v>
      </c>
      <c r="BK103">
        <v>1770999899</v>
      </c>
      <c r="BL103">
        <v>3</v>
      </c>
      <c r="BM103">
        <v>6.0999999999999999E-2</v>
      </c>
      <c r="BN103">
        <v>1E-3</v>
      </c>
      <c r="BO103">
        <v>-1.0029999999999999</v>
      </c>
      <c r="BP103">
        <v>8.8999999999999996E-2</v>
      </c>
      <c r="BQ103">
        <v>410</v>
      </c>
      <c r="BR103">
        <v>14</v>
      </c>
      <c r="BS103">
        <v>0.21</v>
      </c>
      <c r="BT103">
        <v>0.02</v>
      </c>
      <c r="BU103">
        <v>-0.631164619047619</v>
      </c>
      <c r="BV103">
        <v>-2.04125454545462E-2</v>
      </c>
      <c r="BW103">
        <v>2.1406758041676299E-2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1.3602728571428599</v>
      </c>
      <c r="CD103">
        <v>-6.7890389610389595E-2</v>
      </c>
      <c r="CE103">
        <v>1.1753373636396299E-2</v>
      </c>
      <c r="CF103">
        <v>1</v>
      </c>
      <c r="CG103">
        <v>2</v>
      </c>
      <c r="CH103">
        <v>2</v>
      </c>
      <c r="CI103" t="s">
        <v>304</v>
      </c>
      <c r="CJ103">
        <v>3.5324900000000001</v>
      </c>
      <c r="CK103">
        <v>2.7028400000000001</v>
      </c>
      <c r="CL103">
        <v>9.8381399999999994E-2</v>
      </c>
      <c r="CM103">
        <v>9.7093799999999994E-2</v>
      </c>
      <c r="CN103">
        <v>8.7371799999999999E-2</v>
      </c>
      <c r="CO103">
        <v>8.0680000000000002E-2</v>
      </c>
      <c r="CP103">
        <v>31651.1</v>
      </c>
      <c r="CQ103">
        <v>27791.599999999999</v>
      </c>
      <c r="CR103">
        <v>32487.3</v>
      </c>
      <c r="CS103">
        <v>30703.4</v>
      </c>
      <c r="CT103">
        <v>40130</v>
      </c>
      <c r="CU103">
        <v>39680.6</v>
      </c>
      <c r="CV103">
        <v>47428.6</v>
      </c>
      <c r="CW103">
        <v>46806.5</v>
      </c>
      <c r="CX103">
        <v>2.6362999999999999</v>
      </c>
      <c r="CY103">
        <v>2.17232</v>
      </c>
      <c r="CZ103">
        <v>0</v>
      </c>
      <c r="DA103">
        <v>0</v>
      </c>
      <c r="DB103">
        <v>999.9</v>
      </c>
      <c r="DC103">
        <v>999.9</v>
      </c>
      <c r="DD103">
        <v>67.855000000000004</v>
      </c>
      <c r="DE103">
        <v>24.38</v>
      </c>
      <c r="DF103">
        <v>20.705200000000001</v>
      </c>
      <c r="DG103">
        <v>30.45</v>
      </c>
      <c r="DH103">
        <v>16.009599999999999</v>
      </c>
      <c r="DI103">
        <v>2</v>
      </c>
      <c r="DJ103">
        <v>-0.18951599999999999</v>
      </c>
      <c r="DK103">
        <v>1.5624899999999999</v>
      </c>
      <c r="DL103">
        <v>20.238199999999999</v>
      </c>
      <c r="DM103">
        <v>5.2472399999999997</v>
      </c>
      <c r="DN103">
        <v>12.033899999999999</v>
      </c>
      <c r="DO103">
        <v>4.9675200000000004</v>
      </c>
      <c r="DP103">
        <v>3.2909999999999999</v>
      </c>
      <c r="DQ103">
        <v>9999</v>
      </c>
      <c r="DR103">
        <v>9999</v>
      </c>
      <c r="DS103">
        <v>596.79999999999995</v>
      </c>
      <c r="DT103">
        <v>9999</v>
      </c>
      <c r="DU103">
        <v>1.87096</v>
      </c>
      <c r="DV103">
        <v>1.8760300000000001</v>
      </c>
      <c r="DW103">
        <v>1.87622</v>
      </c>
      <c r="DX103">
        <v>1.88276</v>
      </c>
      <c r="DY103">
        <v>1.87547</v>
      </c>
      <c r="DZ103">
        <v>1.8745400000000001</v>
      </c>
      <c r="EA103">
        <v>1.87073</v>
      </c>
      <c r="EB103">
        <v>1.8745499999999999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-1.0029999999999999</v>
      </c>
      <c r="EQ103">
        <v>8.9399999999999993E-2</v>
      </c>
      <c r="ER103">
        <v>-1.0028181818181601</v>
      </c>
      <c r="ES103">
        <v>0</v>
      </c>
      <c r="ET103">
        <v>0</v>
      </c>
      <c r="EU103">
        <v>0</v>
      </c>
      <c r="EV103">
        <v>8.9420000000002303E-2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4.8</v>
      </c>
      <c r="FE103">
        <v>4.8</v>
      </c>
      <c r="FF103">
        <v>1.2341299999999999</v>
      </c>
      <c r="FG103">
        <v>2.5769000000000002</v>
      </c>
      <c r="FH103">
        <v>2.19604</v>
      </c>
      <c r="FI103">
        <v>2.5793499999999998</v>
      </c>
      <c r="FJ103">
        <v>2.4462899999999999</v>
      </c>
      <c r="FK103">
        <v>2.3071299999999999</v>
      </c>
      <c r="FL103">
        <v>29.751000000000001</v>
      </c>
      <c r="FM103">
        <v>24.1663</v>
      </c>
      <c r="FN103">
        <v>19</v>
      </c>
      <c r="FO103">
        <v>863.61599999999999</v>
      </c>
      <c r="FP103">
        <v>599.09400000000005</v>
      </c>
      <c r="FQ103">
        <v>18.626999999999999</v>
      </c>
      <c r="FR103">
        <v>24.624400000000001</v>
      </c>
      <c r="FS103">
        <v>30.0001</v>
      </c>
      <c r="FT103">
        <v>24.622900000000001</v>
      </c>
      <c r="FU103">
        <v>24.624700000000001</v>
      </c>
      <c r="FV103">
        <v>24.768999999999998</v>
      </c>
      <c r="FW103">
        <v>35.832299999999996</v>
      </c>
      <c r="FX103">
        <v>45.529200000000003</v>
      </c>
      <c r="FY103">
        <v>18.6267</v>
      </c>
      <c r="FZ103">
        <v>410</v>
      </c>
      <c r="GA103">
        <v>14.022399999999999</v>
      </c>
      <c r="GB103">
        <v>99.952799999999996</v>
      </c>
      <c r="GC103">
        <v>99.655600000000007</v>
      </c>
    </row>
    <row r="104" spans="1:185" x14ac:dyDescent="0.2">
      <c r="A104">
        <v>89</v>
      </c>
      <c r="B104">
        <v>1771000407</v>
      </c>
      <c r="C104">
        <v>1783.9000000953699</v>
      </c>
      <c r="D104" t="s">
        <v>473</v>
      </c>
      <c r="E104" t="s">
        <v>474</v>
      </c>
      <c r="F104">
        <v>15</v>
      </c>
      <c r="G104">
        <v>1771000398.5</v>
      </c>
      <c r="H104">
        <f t="shared" si="13"/>
        <v>-8.2706290684053923E-4</v>
      </c>
      <c r="I104">
        <v>0</v>
      </c>
      <c r="J104">
        <f t="shared" si="25"/>
        <v>-0.85771255340986419</v>
      </c>
      <c r="K104">
        <f t="shared" si="14"/>
        <v>-15.33697624985472</v>
      </c>
      <c r="L104">
        <f t="shared" si="15"/>
        <v>66.360171129135935</v>
      </c>
      <c r="M104">
        <f t="shared" si="16"/>
        <v>1.4665818840542886</v>
      </c>
      <c r="N104">
        <f t="shared" si="17"/>
        <v>2.2100333062739415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26336.550956931336</v>
      </c>
      <c r="T104">
        <f t="shared" si="21"/>
        <v>4.430425E-3</v>
      </c>
      <c r="U104">
        <f t="shared" si="22"/>
        <v>3.7362907355405154E-3</v>
      </c>
      <c r="V104">
        <f t="shared" si="23"/>
        <v>0.84332558062499996</v>
      </c>
      <c r="W104">
        <f t="shared" si="24"/>
        <v>0.15951395156249998</v>
      </c>
      <c r="X104">
        <v>1</v>
      </c>
      <c r="Y104">
        <v>1771000398.5</v>
      </c>
      <c r="Z104">
        <v>429.60806250000002</v>
      </c>
      <c r="AA104">
        <v>409.9933125</v>
      </c>
      <c r="AB104">
        <v>14.596837499999999</v>
      </c>
      <c r="AC104">
        <v>15.615543750000001</v>
      </c>
      <c r="AD104">
        <v>430.61075</v>
      </c>
      <c r="AE104">
        <v>14.507425</v>
      </c>
      <c r="AF104">
        <v>800.02493749999996</v>
      </c>
      <c r="AG104">
        <v>100.4075625</v>
      </c>
      <c r="AH104">
        <v>6.5014799999999998E-2</v>
      </c>
      <c r="AI104">
        <v>19.035231249999999</v>
      </c>
      <c r="AJ104">
        <v>999.9</v>
      </c>
      <c r="AK104">
        <v>999.9</v>
      </c>
      <c r="AL104">
        <v>0</v>
      </c>
      <c r="AM104">
        <v>0</v>
      </c>
      <c r="AN104">
        <v>5001.75</v>
      </c>
      <c r="AO104">
        <v>0</v>
      </c>
      <c r="AP104">
        <v>1.8525856249999999</v>
      </c>
      <c r="AQ104">
        <v>19.614618750000002</v>
      </c>
      <c r="AR104">
        <v>435.96743750000002</v>
      </c>
      <c r="AS104">
        <v>416.49731250000002</v>
      </c>
      <c r="AT104">
        <v>-1.0187218124999999</v>
      </c>
      <c r="AU104">
        <v>409.9933125</v>
      </c>
      <c r="AV104">
        <v>15.615543750000001</v>
      </c>
      <c r="AW104">
        <v>1.4656312499999999</v>
      </c>
      <c r="AX104">
        <v>1.567919375</v>
      </c>
      <c r="AY104">
        <v>12.60204375</v>
      </c>
      <c r="AZ104">
        <v>13.646100000000001</v>
      </c>
      <c r="BA104">
        <v>4.430425E-3</v>
      </c>
      <c r="BB104">
        <v>0.88914731250000001</v>
      </c>
      <c r="BC104">
        <v>0</v>
      </c>
      <c r="BD104">
        <v>0.11085268750000001</v>
      </c>
      <c r="BE104">
        <v>0</v>
      </c>
      <c r="BF104">
        <v>24</v>
      </c>
      <c r="BG104">
        <v>7.2916624999999999E-2</v>
      </c>
      <c r="BH104">
        <v>1770999899</v>
      </c>
      <c r="BI104" t="s">
        <v>432</v>
      </c>
      <c r="BJ104">
        <v>1770999896</v>
      </c>
      <c r="BK104">
        <v>1770999899</v>
      </c>
      <c r="BL104">
        <v>3</v>
      </c>
      <c r="BM104">
        <v>6.0999999999999999E-2</v>
      </c>
      <c r="BN104">
        <v>1E-3</v>
      </c>
      <c r="BO104">
        <v>-1.0029999999999999</v>
      </c>
      <c r="BP104">
        <v>8.8999999999999996E-2</v>
      </c>
      <c r="BQ104">
        <v>410</v>
      </c>
      <c r="BR104">
        <v>14</v>
      </c>
      <c r="BS104">
        <v>0.21</v>
      </c>
      <c r="BT104">
        <v>0.02</v>
      </c>
      <c r="BU104">
        <v>27.241385714285698</v>
      </c>
      <c r="BV104">
        <v>-124.898392207792</v>
      </c>
      <c r="BW104">
        <v>12.900613244902701</v>
      </c>
      <c r="BX104">
        <v>0</v>
      </c>
      <c r="BY104">
        <v>0</v>
      </c>
      <c r="BZ104">
        <v>0</v>
      </c>
      <c r="CA104">
        <v>0</v>
      </c>
      <c r="CB104">
        <v>-1</v>
      </c>
      <c r="CC104">
        <v>-1.6883126190476201</v>
      </c>
      <c r="CD104">
        <v>10.364970779220799</v>
      </c>
      <c r="CE104">
        <v>1.1230545137972301</v>
      </c>
      <c r="CF104">
        <v>0</v>
      </c>
      <c r="CG104">
        <v>0</v>
      </c>
      <c r="CH104">
        <v>2</v>
      </c>
      <c r="CI104" t="s">
        <v>299</v>
      </c>
      <c r="CJ104">
        <v>3.5324499999999999</v>
      </c>
      <c r="CK104">
        <v>2.7024499999999998</v>
      </c>
      <c r="CL104">
        <v>0.10016700000000001</v>
      </c>
      <c r="CM104">
        <v>9.71051E-2</v>
      </c>
      <c r="CN104">
        <v>8.7990100000000002E-2</v>
      </c>
      <c r="CO104">
        <v>8.82965E-2</v>
      </c>
      <c r="CP104">
        <v>31585.200000000001</v>
      </c>
      <c r="CQ104">
        <v>27792</v>
      </c>
      <c r="CR104">
        <v>32484.2</v>
      </c>
      <c r="CS104">
        <v>30704.3</v>
      </c>
      <c r="CT104">
        <v>40099.5</v>
      </c>
      <c r="CU104">
        <v>39343</v>
      </c>
      <c r="CV104">
        <v>47425.4</v>
      </c>
      <c r="CW104">
        <v>46808.6</v>
      </c>
      <c r="CX104">
        <v>2.6335199999999999</v>
      </c>
      <c r="CY104">
        <v>2.1722999999999999</v>
      </c>
      <c r="CZ104">
        <v>0</v>
      </c>
      <c r="DA104">
        <v>0</v>
      </c>
      <c r="DB104">
        <v>999.9</v>
      </c>
      <c r="DC104">
        <v>999.9</v>
      </c>
      <c r="DD104">
        <v>66.53</v>
      </c>
      <c r="DE104">
        <v>24.652000000000001</v>
      </c>
      <c r="DF104">
        <v>20.635400000000001</v>
      </c>
      <c r="DG104">
        <v>30.44</v>
      </c>
      <c r="DH104">
        <v>16.073699999999999</v>
      </c>
      <c r="DI104">
        <v>2</v>
      </c>
      <c r="DJ104">
        <v>-0.182778</v>
      </c>
      <c r="DK104">
        <v>2.1415600000000001</v>
      </c>
      <c r="DL104">
        <v>20.2334</v>
      </c>
      <c r="DM104">
        <v>5.2450799999999997</v>
      </c>
      <c r="DN104">
        <v>12.033899999999999</v>
      </c>
      <c r="DO104">
        <v>4.9669600000000003</v>
      </c>
      <c r="DP104">
        <v>3.2906399999999998</v>
      </c>
      <c r="DQ104">
        <v>9999</v>
      </c>
      <c r="DR104">
        <v>9999</v>
      </c>
      <c r="DS104">
        <v>596.79999999999995</v>
      </c>
      <c r="DT104">
        <v>9999</v>
      </c>
      <c r="DU104">
        <v>1.871</v>
      </c>
      <c r="DV104">
        <v>1.8760600000000001</v>
      </c>
      <c r="DW104">
        <v>1.87622</v>
      </c>
      <c r="DX104">
        <v>1.8827700000000001</v>
      </c>
      <c r="DY104">
        <v>1.8754999999999999</v>
      </c>
      <c r="DZ104">
        <v>1.8745499999999999</v>
      </c>
      <c r="EA104">
        <v>1.87073</v>
      </c>
      <c r="EB104">
        <v>1.87463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-1.002</v>
      </c>
      <c r="EQ104">
        <v>8.9399999999999993E-2</v>
      </c>
      <c r="ER104">
        <v>-1.0028181818181601</v>
      </c>
      <c r="ES104">
        <v>0</v>
      </c>
      <c r="ET104">
        <v>0</v>
      </c>
      <c r="EU104">
        <v>0</v>
      </c>
      <c r="EV104">
        <v>8.9420000000002303E-2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8.5</v>
      </c>
      <c r="FE104">
        <v>8.5</v>
      </c>
      <c r="FF104">
        <v>1.2353499999999999</v>
      </c>
      <c r="FG104">
        <v>2.5781200000000002</v>
      </c>
      <c r="FH104">
        <v>2.19604</v>
      </c>
      <c r="FI104">
        <v>2.5769000000000002</v>
      </c>
      <c r="FJ104">
        <v>2.4462899999999999</v>
      </c>
      <c r="FK104">
        <v>2.3034699999999999</v>
      </c>
      <c r="FL104">
        <v>29.964700000000001</v>
      </c>
      <c r="FM104">
        <v>24.1663</v>
      </c>
      <c r="FN104">
        <v>19</v>
      </c>
      <c r="FO104">
        <v>862.05499999999995</v>
      </c>
      <c r="FP104">
        <v>599.80899999999997</v>
      </c>
      <c r="FQ104">
        <v>18.150300000000001</v>
      </c>
      <c r="FR104">
        <v>24.689499999999999</v>
      </c>
      <c r="FS104">
        <v>30.0001</v>
      </c>
      <c r="FT104">
        <v>24.684999999999999</v>
      </c>
      <c r="FU104">
        <v>24.686599999999999</v>
      </c>
      <c r="FV104">
        <v>24.802499999999998</v>
      </c>
      <c r="FW104">
        <v>28.997499999999999</v>
      </c>
      <c r="FX104">
        <v>42.528100000000002</v>
      </c>
      <c r="FY104">
        <v>18.153500000000001</v>
      </c>
      <c r="FZ104">
        <v>410</v>
      </c>
      <c r="GA104">
        <v>15.4711</v>
      </c>
      <c r="GB104">
        <v>99.944999999999993</v>
      </c>
      <c r="GC104">
        <v>99.659499999999994</v>
      </c>
    </row>
    <row r="105" spans="1:185" x14ac:dyDescent="0.2">
      <c r="A105">
        <v>90</v>
      </c>
      <c r="B105">
        <v>1771000422</v>
      </c>
      <c r="C105">
        <v>1798.9000000953699</v>
      </c>
      <c r="D105" t="s">
        <v>475</v>
      </c>
      <c r="E105" t="s">
        <v>476</v>
      </c>
      <c r="F105">
        <v>15</v>
      </c>
      <c r="G105">
        <v>1771000413.9333301</v>
      </c>
      <c r="H105">
        <f t="shared" si="13"/>
        <v>1.9519300617174614E-4</v>
      </c>
      <c r="I105">
        <v>0</v>
      </c>
      <c r="J105">
        <f t="shared" si="25"/>
        <v>-0.26113369182986657</v>
      </c>
      <c r="K105">
        <f t="shared" si="14"/>
        <v>-4.6693979395655711</v>
      </c>
      <c r="L105">
        <f t="shared" si="15"/>
        <v>71.982576803975832</v>
      </c>
      <c r="M105">
        <f t="shared" si="16"/>
        <v>1.5837219742207802</v>
      </c>
      <c r="N105">
        <f t="shared" si="17"/>
        <v>2.2001462639127225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26327.005403755713</v>
      </c>
      <c r="T105">
        <f t="shared" si="21"/>
        <v>1.75046733333333E-3</v>
      </c>
      <c r="U105">
        <f t="shared" si="22"/>
        <v>1.4760049650792725E-3</v>
      </c>
      <c r="V105">
        <f t="shared" si="23"/>
        <v>0.84320623240000026</v>
      </c>
      <c r="W105">
        <f t="shared" si="24"/>
        <v>0.15921560698400006</v>
      </c>
      <c r="X105">
        <v>1</v>
      </c>
      <c r="Y105">
        <v>1771000413.9333301</v>
      </c>
      <c r="Z105">
        <v>415.78353333333303</v>
      </c>
      <c r="AA105">
        <v>410.04820000000001</v>
      </c>
      <c r="AB105">
        <v>15.762826666666699</v>
      </c>
      <c r="AC105">
        <v>15.522679999999999</v>
      </c>
      <c r="AD105">
        <v>416.78626666666702</v>
      </c>
      <c r="AE105">
        <v>15.673413333333301</v>
      </c>
      <c r="AF105">
        <v>799.99533333333295</v>
      </c>
      <c r="AG105">
        <v>100.4072</v>
      </c>
      <c r="AH105">
        <v>6.4752633333333295E-2</v>
      </c>
      <c r="AI105">
        <v>18.963380000000001</v>
      </c>
      <c r="AJ105">
        <v>999.9</v>
      </c>
      <c r="AK105">
        <v>999.9</v>
      </c>
      <c r="AL105">
        <v>0</v>
      </c>
      <c r="AM105">
        <v>0</v>
      </c>
      <c r="AN105">
        <v>4999.1333333333296</v>
      </c>
      <c r="AO105">
        <v>0</v>
      </c>
      <c r="AP105">
        <v>1.86000866666667</v>
      </c>
      <c r="AQ105">
        <v>5.73511666666667</v>
      </c>
      <c r="AR105">
        <v>422.44186666666701</v>
      </c>
      <c r="AS105">
        <v>416.51373333333299</v>
      </c>
      <c r="AT105">
        <v>0.24016702000000001</v>
      </c>
      <c r="AU105">
        <v>410.04820000000001</v>
      </c>
      <c r="AV105">
        <v>15.522679999999999</v>
      </c>
      <c r="AW105">
        <v>1.5827026666666699</v>
      </c>
      <c r="AX105">
        <v>1.55859066666667</v>
      </c>
      <c r="AY105">
        <v>13.790893333333299</v>
      </c>
      <c r="AZ105">
        <v>13.554413333333301</v>
      </c>
      <c r="BA105">
        <v>1.75046733333333E-3</v>
      </c>
      <c r="BB105">
        <v>0.89312519999999995</v>
      </c>
      <c r="BC105">
        <v>0</v>
      </c>
      <c r="BD105">
        <v>0.106874786666667</v>
      </c>
      <c r="BE105">
        <v>0</v>
      </c>
      <c r="BF105">
        <v>24</v>
      </c>
      <c r="BG105">
        <v>2.8888893333333301E-2</v>
      </c>
      <c r="BH105">
        <v>1770999899</v>
      </c>
      <c r="BI105" t="s">
        <v>432</v>
      </c>
      <c r="BJ105">
        <v>1770999896</v>
      </c>
      <c r="BK105">
        <v>1770999899</v>
      </c>
      <c r="BL105">
        <v>3</v>
      </c>
      <c r="BM105">
        <v>6.0999999999999999E-2</v>
      </c>
      <c r="BN105">
        <v>1E-3</v>
      </c>
      <c r="BO105">
        <v>-1.0029999999999999</v>
      </c>
      <c r="BP105">
        <v>8.8999999999999996E-2</v>
      </c>
      <c r="BQ105">
        <v>410</v>
      </c>
      <c r="BR105">
        <v>14</v>
      </c>
      <c r="BS105">
        <v>0.21</v>
      </c>
      <c r="BT105">
        <v>0.02</v>
      </c>
      <c r="BU105">
        <v>7.8306455000000001</v>
      </c>
      <c r="BV105">
        <v>-35.577942406014998</v>
      </c>
      <c r="BW105">
        <v>3.4996505286535</v>
      </c>
      <c r="BX105">
        <v>0</v>
      </c>
      <c r="BY105">
        <v>0</v>
      </c>
      <c r="BZ105">
        <v>0</v>
      </c>
      <c r="CA105">
        <v>0</v>
      </c>
      <c r="CB105">
        <v>-1</v>
      </c>
      <c r="CC105">
        <v>-3.4720185000000001E-2</v>
      </c>
      <c r="CD105">
        <v>4.7917756105263196</v>
      </c>
      <c r="CE105">
        <v>0.46218346310139702</v>
      </c>
      <c r="CF105">
        <v>0</v>
      </c>
      <c r="CG105">
        <v>0</v>
      </c>
      <c r="CH105">
        <v>2</v>
      </c>
      <c r="CI105" t="s">
        <v>299</v>
      </c>
      <c r="CJ105">
        <v>3.53247</v>
      </c>
      <c r="CK105">
        <v>2.7027800000000002</v>
      </c>
      <c r="CL105">
        <v>9.9017900000000006E-2</v>
      </c>
      <c r="CM105">
        <v>9.7081799999999996E-2</v>
      </c>
      <c r="CN105">
        <v>8.9836399999999997E-2</v>
      </c>
      <c r="CO105">
        <v>8.5798100000000002E-2</v>
      </c>
      <c r="CP105">
        <v>31625.599999999999</v>
      </c>
      <c r="CQ105">
        <v>27793.5</v>
      </c>
      <c r="CR105">
        <v>32484.3</v>
      </c>
      <c r="CS105">
        <v>30705.3</v>
      </c>
      <c r="CT105">
        <v>40015.4</v>
      </c>
      <c r="CU105">
        <v>39456.199999999997</v>
      </c>
      <c r="CV105">
        <v>47425.4</v>
      </c>
      <c r="CW105">
        <v>46810.7</v>
      </c>
      <c r="CX105">
        <v>2.6344400000000001</v>
      </c>
      <c r="CY105">
        <v>2.1713200000000001</v>
      </c>
      <c r="CZ105">
        <v>0</v>
      </c>
      <c r="DA105">
        <v>0</v>
      </c>
      <c r="DB105">
        <v>999.9</v>
      </c>
      <c r="DC105">
        <v>999.9</v>
      </c>
      <c r="DD105">
        <v>66.433000000000007</v>
      </c>
      <c r="DE105">
        <v>24.661999999999999</v>
      </c>
      <c r="DF105">
        <v>20.618300000000001</v>
      </c>
      <c r="DG105">
        <v>30.47</v>
      </c>
      <c r="DH105">
        <v>16.149799999999999</v>
      </c>
      <c r="DI105">
        <v>2</v>
      </c>
      <c r="DJ105">
        <v>-0.18406500000000001</v>
      </c>
      <c r="DK105">
        <v>1.61941</v>
      </c>
      <c r="DL105">
        <v>20.242000000000001</v>
      </c>
      <c r="DM105">
        <v>5.2472399999999997</v>
      </c>
      <c r="DN105">
        <v>12.033899999999999</v>
      </c>
      <c r="DO105">
        <v>4.9674800000000001</v>
      </c>
      <c r="DP105">
        <v>3.2909999999999999</v>
      </c>
      <c r="DQ105">
        <v>9999</v>
      </c>
      <c r="DR105">
        <v>9999</v>
      </c>
      <c r="DS105">
        <v>596.79999999999995</v>
      </c>
      <c r="DT105">
        <v>9999</v>
      </c>
      <c r="DU105">
        <v>1.8710199999999999</v>
      </c>
      <c r="DV105">
        <v>1.8760699999999999</v>
      </c>
      <c r="DW105">
        <v>1.8762300000000001</v>
      </c>
      <c r="DX105">
        <v>1.8827799999999999</v>
      </c>
      <c r="DY105">
        <v>1.87557</v>
      </c>
      <c r="DZ105">
        <v>1.8745799999999999</v>
      </c>
      <c r="EA105">
        <v>1.8707400000000001</v>
      </c>
      <c r="EB105">
        <v>1.8746400000000001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-1.0029999999999999</v>
      </c>
      <c r="EQ105">
        <v>8.9399999999999993E-2</v>
      </c>
      <c r="ER105">
        <v>-1.0028181818181601</v>
      </c>
      <c r="ES105">
        <v>0</v>
      </c>
      <c r="ET105">
        <v>0</v>
      </c>
      <c r="EU105">
        <v>0</v>
      </c>
      <c r="EV105">
        <v>8.9420000000002303E-2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8.8000000000000007</v>
      </c>
      <c r="FE105">
        <v>8.6999999999999993</v>
      </c>
      <c r="FF105">
        <v>1.2353499999999999</v>
      </c>
      <c r="FG105">
        <v>2.5842299999999998</v>
      </c>
      <c r="FH105">
        <v>2.19604</v>
      </c>
      <c r="FI105">
        <v>2.5781200000000002</v>
      </c>
      <c r="FJ105">
        <v>2.4462899999999999</v>
      </c>
      <c r="FK105">
        <v>2.2863799999999999</v>
      </c>
      <c r="FL105">
        <v>29.9861</v>
      </c>
      <c r="FM105">
        <v>24.1663</v>
      </c>
      <c r="FN105">
        <v>19</v>
      </c>
      <c r="FO105">
        <v>862.98</v>
      </c>
      <c r="FP105">
        <v>599.05999999999995</v>
      </c>
      <c r="FQ105">
        <v>18.302499999999998</v>
      </c>
      <c r="FR105">
        <v>24.694800000000001</v>
      </c>
      <c r="FS105">
        <v>30</v>
      </c>
      <c r="FT105">
        <v>24.689599999999999</v>
      </c>
      <c r="FU105">
        <v>24.688700000000001</v>
      </c>
      <c r="FV105">
        <v>24.799199999999999</v>
      </c>
      <c r="FW105">
        <v>31.0715</v>
      </c>
      <c r="FX105">
        <v>42.148299999999999</v>
      </c>
      <c r="FY105">
        <v>18.3276</v>
      </c>
      <c r="FZ105">
        <v>410</v>
      </c>
      <c r="GA105">
        <v>14.9422</v>
      </c>
      <c r="GB105">
        <v>99.945099999999996</v>
      </c>
      <c r="GC105">
        <v>99.663399999999996</v>
      </c>
    </row>
    <row r="106" spans="1:185" x14ac:dyDescent="0.2">
      <c r="A106">
        <v>91</v>
      </c>
      <c r="B106">
        <v>1771000437</v>
      </c>
      <c r="C106">
        <v>1813.9000000953699</v>
      </c>
      <c r="D106" t="s">
        <v>477</v>
      </c>
      <c r="E106" t="s">
        <v>478</v>
      </c>
      <c r="F106">
        <v>15</v>
      </c>
      <c r="G106">
        <v>1771000428.9333301</v>
      </c>
      <c r="H106">
        <f t="shared" si="13"/>
        <v>7.7151538727297775E-4</v>
      </c>
      <c r="I106">
        <v>0</v>
      </c>
      <c r="J106">
        <f t="shared" si="25"/>
        <v>-9.7843107452092418E-2</v>
      </c>
      <c r="K106">
        <f t="shared" si="14"/>
        <v>-1.7495574819780488</v>
      </c>
      <c r="L106">
        <f t="shared" si="15"/>
        <v>72.958999090670346</v>
      </c>
      <c r="M106">
        <f t="shared" si="16"/>
        <v>1.6015744667128058</v>
      </c>
      <c r="N106">
        <f t="shared" si="17"/>
        <v>2.1951705569897375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26301.641952206981</v>
      </c>
      <c r="T106">
        <f t="shared" si="21"/>
        <v>4.02774E-4</v>
      </c>
      <c r="U106">
        <f t="shared" si="22"/>
        <v>3.3941659751264759E-4</v>
      </c>
      <c r="V106">
        <f t="shared" si="23"/>
        <v>0.8426973874</v>
      </c>
      <c r="W106">
        <f t="shared" si="24"/>
        <v>0.157942909844</v>
      </c>
      <c r="X106">
        <v>1</v>
      </c>
      <c r="Y106">
        <v>1771000428.9333301</v>
      </c>
      <c r="Z106">
        <v>411.80686666666702</v>
      </c>
      <c r="AA106">
        <v>410.01706666666701</v>
      </c>
      <c r="AB106">
        <v>15.940379999999999</v>
      </c>
      <c r="AC106">
        <v>14.99136</v>
      </c>
      <c r="AD106">
        <v>412.80959999999999</v>
      </c>
      <c r="AE106">
        <v>15.850960000000001</v>
      </c>
      <c r="AF106">
        <v>800.00120000000004</v>
      </c>
      <c r="AG106">
        <v>100.40793333333301</v>
      </c>
      <c r="AH106">
        <v>6.4857573333333293E-2</v>
      </c>
      <c r="AI106">
        <v>18.927113333333299</v>
      </c>
      <c r="AJ106">
        <v>999.9</v>
      </c>
      <c r="AK106">
        <v>999.9</v>
      </c>
      <c r="AL106">
        <v>0</v>
      </c>
      <c r="AM106">
        <v>0</v>
      </c>
      <c r="AN106">
        <v>4994.3999999999996</v>
      </c>
      <c r="AO106">
        <v>0</v>
      </c>
      <c r="AP106">
        <v>1.86317</v>
      </c>
      <c r="AQ106">
        <v>1.7895464666666701</v>
      </c>
      <c r="AR106">
        <v>418.47739999999999</v>
      </c>
      <c r="AS106">
        <v>416.25746666666703</v>
      </c>
      <c r="AT106">
        <v>0.94902386666666705</v>
      </c>
      <c r="AU106">
        <v>410.01706666666701</v>
      </c>
      <c r="AV106">
        <v>14.99136</v>
      </c>
      <c r="AW106">
        <v>1.6005406666666699</v>
      </c>
      <c r="AX106">
        <v>1.5052506666666701</v>
      </c>
      <c r="AY106">
        <v>13.9640066666667</v>
      </c>
      <c r="AZ106">
        <v>13.021039999999999</v>
      </c>
      <c r="BA106">
        <v>4.02774E-4</v>
      </c>
      <c r="BB106">
        <v>0.9100954</v>
      </c>
      <c r="BC106">
        <v>0</v>
      </c>
      <c r="BD106">
        <v>8.9904886666666697E-2</v>
      </c>
      <c r="BE106">
        <v>0</v>
      </c>
      <c r="BF106">
        <v>24</v>
      </c>
      <c r="BG106">
        <v>6.6666666666666697E-3</v>
      </c>
      <c r="BH106">
        <v>1770999899</v>
      </c>
      <c r="BI106" t="s">
        <v>432</v>
      </c>
      <c r="BJ106">
        <v>1770999896</v>
      </c>
      <c r="BK106">
        <v>1770999899</v>
      </c>
      <c r="BL106">
        <v>3</v>
      </c>
      <c r="BM106">
        <v>6.0999999999999999E-2</v>
      </c>
      <c r="BN106">
        <v>1E-3</v>
      </c>
      <c r="BO106">
        <v>-1.0029999999999999</v>
      </c>
      <c r="BP106">
        <v>8.8999999999999996E-2</v>
      </c>
      <c r="BQ106">
        <v>410</v>
      </c>
      <c r="BR106">
        <v>14</v>
      </c>
      <c r="BS106">
        <v>0.21</v>
      </c>
      <c r="BT106">
        <v>0.02</v>
      </c>
      <c r="BU106">
        <v>2.55967204761905</v>
      </c>
      <c r="BV106">
        <v>-11.5541376623377</v>
      </c>
      <c r="BW106">
        <v>1.1867692873158799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0.799872238095238</v>
      </c>
      <c r="CD106">
        <v>2.2175582337662298</v>
      </c>
      <c r="CE106">
        <v>0.225967008818271</v>
      </c>
      <c r="CF106">
        <v>0</v>
      </c>
      <c r="CG106">
        <v>0</v>
      </c>
      <c r="CH106">
        <v>2</v>
      </c>
      <c r="CI106" t="s">
        <v>299</v>
      </c>
      <c r="CJ106">
        <v>3.5325000000000002</v>
      </c>
      <c r="CK106">
        <v>2.7025100000000002</v>
      </c>
      <c r="CL106">
        <v>9.8647899999999997E-2</v>
      </c>
      <c r="CM106">
        <v>9.7089599999999998E-2</v>
      </c>
      <c r="CN106">
        <v>8.9776400000000006E-2</v>
      </c>
      <c r="CO106">
        <v>8.3752300000000002E-2</v>
      </c>
      <c r="CP106">
        <v>31638.9</v>
      </c>
      <c r="CQ106">
        <v>27793.5</v>
      </c>
      <c r="CR106">
        <v>32484.6</v>
      </c>
      <c r="CS106">
        <v>30705.599999999999</v>
      </c>
      <c r="CT106">
        <v>40018.699999999997</v>
      </c>
      <c r="CU106">
        <v>39547.599999999999</v>
      </c>
      <c r="CV106">
        <v>47426.1</v>
      </c>
      <c r="CW106">
        <v>46811</v>
      </c>
      <c r="CX106">
        <v>2.6347999999999998</v>
      </c>
      <c r="CY106">
        <v>2.1703600000000001</v>
      </c>
      <c r="CZ106">
        <v>0</v>
      </c>
      <c r="DA106">
        <v>0</v>
      </c>
      <c r="DB106">
        <v>999.9</v>
      </c>
      <c r="DC106">
        <v>999.9</v>
      </c>
      <c r="DD106">
        <v>66.328999999999994</v>
      </c>
      <c r="DE106">
        <v>24.693000000000001</v>
      </c>
      <c r="DF106">
        <v>20.622800000000002</v>
      </c>
      <c r="DG106">
        <v>30.56</v>
      </c>
      <c r="DH106">
        <v>16.161899999999999</v>
      </c>
      <c r="DI106">
        <v>2</v>
      </c>
      <c r="DJ106">
        <v>-0.183811</v>
      </c>
      <c r="DK106">
        <v>1.45122</v>
      </c>
      <c r="DL106">
        <v>20.243200000000002</v>
      </c>
      <c r="DM106">
        <v>5.2450799999999997</v>
      </c>
      <c r="DN106">
        <v>12.033899999999999</v>
      </c>
      <c r="DO106">
        <v>4.9670399999999999</v>
      </c>
      <c r="DP106">
        <v>3.2906399999999998</v>
      </c>
      <c r="DQ106">
        <v>9999</v>
      </c>
      <c r="DR106">
        <v>9999</v>
      </c>
      <c r="DS106">
        <v>596.79999999999995</v>
      </c>
      <c r="DT106">
        <v>9999</v>
      </c>
      <c r="DU106">
        <v>1.8710100000000001</v>
      </c>
      <c r="DV106">
        <v>1.8760699999999999</v>
      </c>
      <c r="DW106">
        <v>1.8762300000000001</v>
      </c>
      <c r="DX106">
        <v>1.8827799999999999</v>
      </c>
      <c r="DY106">
        <v>1.8755599999999999</v>
      </c>
      <c r="DZ106">
        <v>1.8745700000000001</v>
      </c>
      <c r="EA106">
        <v>1.8707400000000001</v>
      </c>
      <c r="EB106">
        <v>1.87462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-1.0029999999999999</v>
      </c>
      <c r="EQ106">
        <v>8.9399999999999993E-2</v>
      </c>
      <c r="ER106">
        <v>-1.0028181818181601</v>
      </c>
      <c r="ES106">
        <v>0</v>
      </c>
      <c r="ET106">
        <v>0</v>
      </c>
      <c r="EU106">
        <v>0</v>
      </c>
      <c r="EV106">
        <v>8.9420000000002303E-2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9</v>
      </c>
      <c r="FE106">
        <v>9</v>
      </c>
      <c r="FF106">
        <v>1.2353499999999999</v>
      </c>
      <c r="FG106">
        <v>2.5842299999999998</v>
      </c>
      <c r="FH106">
        <v>2.19604</v>
      </c>
      <c r="FI106">
        <v>2.5781200000000002</v>
      </c>
      <c r="FJ106">
        <v>2.4462899999999999</v>
      </c>
      <c r="FK106">
        <v>2.2644000000000002</v>
      </c>
      <c r="FL106">
        <v>29.9861</v>
      </c>
      <c r="FM106">
        <v>24.157499999999999</v>
      </c>
      <c r="FN106">
        <v>19</v>
      </c>
      <c r="FO106">
        <v>863.38</v>
      </c>
      <c r="FP106">
        <v>598.35599999999999</v>
      </c>
      <c r="FQ106">
        <v>18.438700000000001</v>
      </c>
      <c r="FR106">
        <v>24.700199999999999</v>
      </c>
      <c r="FS106">
        <v>30.0002</v>
      </c>
      <c r="FT106">
        <v>24.6937</v>
      </c>
      <c r="FU106">
        <v>24.693200000000001</v>
      </c>
      <c r="FV106">
        <v>24.796500000000002</v>
      </c>
      <c r="FW106">
        <v>33.192300000000003</v>
      </c>
      <c r="FX106">
        <v>41.777999999999999</v>
      </c>
      <c r="FY106">
        <v>18.474699999999999</v>
      </c>
      <c r="FZ106">
        <v>410</v>
      </c>
      <c r="GA106">
        <v>14.5001</v>
      </c>
      <c r="GB106">
        <v>99.946299999999994</v>
      </c>
      <c r="GC106">
        <v>99.664199999999994</v>
      </c>
    </row>
    <row r="107" spans="1:185" x14ac:dyDescent="0.2">
      <c r="A107">
        <v>92</v>
      </c>
      <c r="B107">
        <v>1771000452</v>
      </c>
      <c r="C107">
        <v>1828.9000000953699</v>
      </c>
      <c r="D107" t="s">
        <v>479</v>
      </c>
      <c r="E107" t="s">
        <v>480</v>
      </c>
      <c r="F107">
        <v>15</v>
      </c>
      <c r="G107">
        <v>1771000443.9333301</v>
      </c>
      <c r="H107">
        <f t="shared" si="13"/>
        <v>1.0519531321533269E-3</v>
      </c>
      <c r="I107">
        <v>0</v>
      </c>
      <c r="J107">
        <f t="shared" si="25"/>
        <v>-4.7070959383204831E-2</v>
      </c>
      <c r="K107">
        <f t="shared" si="14"/>
        <v>-0.8416877930118285</v>
      </c>
      <c r="L107">
        <f t="shared" si="15"/>
        <v>72.602747099408418</v>
      </c>
      <c r="M107">
        <f t="shared" si="16"/>
        <v>1.5927473601666275</v>
      </c>
      <c r="N107">
        <f t="shared" si="17"/>
        <v>2.1937838770560867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26399.981248254506</v>
      </c>
      <c r="T107">
        <f t="shared" si="21"/>
        <v>0</v>
      </c>
      <c r="U107">
        <f t="shared" si="22"/>
        <v>0</v>
      </c>
      <c r="V107">
        <f t="shared" si="23"/>
        <v>0.84270227099999995</v>
      </c>
      <c r="W107">
        <f t="shared" si="24"/>
        <v>0.15795509285999998</v>
      </c>
      <c r="X107">
        <v>1</v>
      </c>
      <c r="Y107">
        <v>1771000443.9333301</v>
      </c>
      <c r="Z107">
        <v>410.54446666666701</v>
      </c>
      <c r="AA107">
        <v>410.03219999999999</v>
      </c>
      <c r="AB107">
        <v>15.852546666666701</v>
      </c>
      <c r="AC107">
        <v>14.558453333333301</v>
      </c>
      <c r="AD107">
        <v>411.54706666666698</v>
      </c>
      <c r="AE107">
        <v>15.76314</v>
      </c>
      <c r="AF107">
        <v>800.0018</v>
      </c>
      <c r="AG107">
        <v>100.40793333333301</v>
      </c>
      <c r="AH107">
        <v>6.4715866666666705E-2</v>
      </c>
      <c r="AI107">
        <v>18.916993333333298</v>
      </c>
      <c r="AJ107">
        <v>999.9</v>
      </c>
      <c r="AK107">
        <v>999.9</v>
      </c>
      <c r="AL107">
        <v>0</v>
      </c>
      <c r="AM107">
        <v>0</v>
      </c>
      <c r="AN107">
        <v>5010.3999999999996</v>
      </c>
      <c r="AO107">
        <v>0</v>
      </c>
      <c r="AP107">
        <v>1.8565466666666699</v>
      </c>
      <c r="AQ107">
        <v>0.51223746666666703</v>
      </c>
      <c r="AR107">
        <v>417.157266666667</v>
      </c>
      <c r="AS107">
        <v>416.08980000000003</v>
      </c>
      <c r="AT107">
        <v>1.2941033333333301</v>
      </c>
      <c r="AU107">
        <v>410.03219999999999</v>
      </c>
      <c r="AV107">
        <v>14.558453333333301</v>
      </c>
      <c r="AW107">
        <v>1.59172333333333</v>
      </c>
      <c r="AX107">
        <v>1.4617833333333301</v>
      </c>
      <c r="AY107">
        <v>13.8788466666667</v>
      </c>
      <c r="AZ107">
        <v>12.5738866666667</v>
      </c>
      <c r="BA107">
        <v>0</v>
      </c>
      <c r="BB107">
        <v>0.90993299999999999</v>
      </c>
      <c r="BC107">
        <v>0</v>
      </c>
      <c r="BD107">
        <v>9.0067300000000003E-2</v>
      </c>
      <c r="BE107">
        <v>0</v>
      </c>
      <c r="BF107">
        <v>24</v>
      </c>
      <c r="BG107">
        <v>0</v>
      </c>
      <c r="BH107">
        <v>1770999899</v>
      </c>
      <c r="BI107" t="s">
        <v>432</v>
      </c>
      <c r="BJ107">
        <v>1770999896</v>
      </c>
      <c r="BK107">
        <v>1770999899</v>
      </c>
      <c r="BL107">
        <v>3</v>
      </c>
      <c r="BM107">
        <v>6.0999999999999999E-2</v>
      </c>
      <c r="BN107">
        <v>1E-3</v>
      </c>
      <c r="BO107">
        <v>-1.0029999999999999</v>
      </c>
      <c r="BP107">
        <v>8.8999999999999996E-2</v>
      </c>
      <c r="BQ107">
        <v>410</v>
      </c>
      <c r="BR107">
        <v>14</v>
      </c>
      <c r="BS107">
        <v>0.21</v>
      </c>
      <c r="BT107">
        <v>0.02</v>
      </c>
      <c r="BU107">
        <v>0.69620052380952402</v>
      </c>
      <c r="BV107">
        <v>-3.3926303376623399</v>
      </c>
      <c r="BW107">
        <v>0.351188465070987</v>
      </c>
      <c r="BX107">
        <v>0</v>
      </c>
      <c r="BY107">
        <v>0</v>
      </c>
      <c r="BZ107">
        <v>0</v>
      </c>
      <c r="CA107">
        <v>0</v>
      </c>
      <c r="CB107">
        <v>-1</v>
      </c>
      <c r="CC107">
        <v>1.2362738095238099</v>
      </c>
      <c r="CD107">
        <v>1.03309012987013</v>
      </c>
      <c r="CE107">
        <v>0.10792035760452</v>
      </c>
      <c r="CF107">
        <v>0</v>
      </c>
      <c r="CG107">
        <v>0</v>
      </c>
      <c r="CH107">
        <v>2</v>
      </c>
      <c r="CI107" t="s">
        <v>299</v>
      </c>
      <c r="CJ107">
        <v>3.5325600000000001</v>
      </c>
      <c r="CK107">
        <v>2.7025399999999999</v>
      </c>
      <c r="CL107">
        <v>9.8519599999999999E-2</v>
      </c>
      <c r="CM107">
        <v>9.7075800000000004E-2</v>
      </c>
      <c r="CN107">
        <v>8.9184200000000005E-2</v>
      </c>
      <c r="CO107">
        <v>8.2385799999999995E-2</v>
      </c>
      <c r="CP107">
        <v>31643</v>
      </c>
      <c r="CQ107">
        <v>27792.7</v>
      </c>
      <c r="CR107">
        <v>32484.3</v>
      </c>
      <c r="CS107">
        <v>30704.3</v>
      </c>
      <c r="CT107">
        <v>40045.300000000003</v>
      </c>
      <c r="CU107">
        <v>39607.1</v>
      </c>
      <c r="CV107">
        <v>47425.599999999999</v>
      </c>
      <c r="CW107">
        <v>46809.4</v>
      </c>
      <c r="CX107">
        <v>2.6353</v>
      </c>
      <c r="CY107">
        <v>2.1694</v>
      </c>
      <c r="CZ107">
        <v>0</v>
      </c>
      <c r="DA107">
        <v>0</v>
      </c>
      <c r="DB107">
        <v>999.9</v>
      </c>
      <c r="DC107">
        <v>999.9</v>
      </c>
      <c r="DD107">
        <v>66.200999999999993</v>
      </c>
      <c r="DE107">
        <v>24.693000000000001</v>
      </c>
      <c r="DF107">
        <v>20.584399999999999</v>
      </c>
      <c r="DG107">
        <v>29.870100000000001</v>
      </c>
      <c r="DH107">
        <v>16.089700000000001</v>
      </c>
      <c r="DI107">
        <v>2</v>
      </c>
      <c r="DJ107">
        <v>-0.183724</v>
      </c>
      <c r="DK107">
        <v>1.2612399999999999</v>
      </c>
      <c r="DL107">
        <v>20.245699999999999</v>
      </c>
      <c r="DM107">
        <v>5.2472399999999997</v>
      </c>
      <c r="DN107">
        <v>12.033899999999999</v>
      </c>
      <c r="DO107">
        <v>4.9676799999999997</v>
      </c>
      <c r="DP107">
        <v>3.2909999999999999</v>
      </c>
      <c r="DQ107">
        <v>9999</v>
      </c>
      <c r="DR107">
        <v>9999</v>
      </c>
      <c r="DS107">
        <v>596.79999999999995</v>
      </c>
      <c r="DT107">
        <v>9999</v>
      </c>
      <c r="DU107">
        <v>1.8710199999999999</v>
      </c>
      <c r="DV107">
        <v>1.8760699999999999</v>
      </c>
      <c r="DW107">
        <v>1.87625</v>
      </c>
      <c r="DX107">
        <v>1.8827799999999999</v>
      </c>
      <c r="DY107">
        <v>1.8755200000000001</v>
      </c>
      <c r="DZ107">
        <v>1.8745700000000001</v>
      </c>
      <c r="EA107">
        <v>1.8707499999999999</v>
      </c>
      <c r="EB107">
        <v>1.87459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-1.0029999999999999</v>
      </c>
      <c r="EQ107">
        <v>8.9399999999999993E-2</v>
      </c>
      <c r="ER107">
        <v>-1.0028181818181601</v>
      </c>
      <c r="ES107">
        <v>0</v>
      </c>
      <c r="ET107">
        <v>0</v>
      </c>
      <c r="EU107">
        <v>0</v>
      </c>
      <c r="EV107">
        <v>8.9420000000002303E-2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9.3000000000000007</v>
      </c>
      <c r="FE107">
        <v>9.1999999999999993</v>
      </c>
      <c r="FF107">
        <v>1.2353499999999999</v>
      </c>
      <c r="FG107">
        <v>2.5769000000000002</v>
      </c>
      <c r="FH107">
        <v>2.19604</v>
      </c>
      <c r="FI107">
        <v>2.5781200000000002</v>
      </c>
      <c r="FJ107">
        <v>2.4462899999999999</v>
      </c>
      <c r="FK107">
        <v>2.2888199999999999</v>
      </c>
      <c r="FL107">
        <v>30.0076</v>
      </c>
      <c r="FM107">
        <v>24.157499999999999</v>
      </c>
      <c r="FN107">
        <v>19</v>
      </c>
      <c r="FO107">
        <v>863.91800000000001</v>
      </c>
      <c r="FP107">
        <v>597.66800000000001</v>
      </c>
      <c r="FQ107">
        <v>18.614000000000001</v>
      </c>
      <c r="FR107">
        <v>24.706099999999999</v>
      </c>
      <c r="FS107">
        <v>30.0001</v>
      </c>
      <c r="FT107">
        <v>24.6983</v>
      </c>
      <c r="FU107">
        <v>24.699000000000002</v>
      </c>
      <c r="FV107">
        <v>24.793199999999999</v>
      </c>
      <c r="FW107">
        <v>34.366399999999999</v>
      </c>
      <c r="FX107">
        <v>41.398200000000003</v>
      </c>
      <c r="FY107">
        <v>18.6494</v>
      </c>
      <c r="FZ107">
        <v>410</v>
      </c>
      <c r="GA107">
        <v>14.2364</v>
      </c>
      <c r="GB107">
        <v>99.945400000000006</v>
      </c>
      <c r="GC107">
        <v>99.660399999999996</v>
      </c>
    </row>
    <row r="108" spans="1:185" x14ac:dyDescent="0.2">
      <c r="A108">
        <v>93</v>
      </c>
      <c r="B108">
        <v>1771000467</v>
      </c>
      <c r="C108">
        <v>1843.9000000953699</v>
      </c>
      <c r="D108" t="s">
        <v>481</v>
      </c>
      <c r="E108" t="s">
        <v>482</v>
      </c>
      <c r="F108">
        <v>15</v>
      </c>
      <c r="G108">
        <v>1771000458.9333301</v>
      </c>
      <c r="H108">
        <f t="shared" si="13"/>
        <v>1.1614223743692778E-3</v>
      </c>
      <c r="I108">
        <v>0</v>
      </c>
      <c r="J108">
        <f t="shared" si="25"/>
        <v>-2.9349430119384786E-2</v>
      </c>
      <c r="K108">
        <f t="shared" si="14"/>
        <v>-0.5248046223624252</v>
      </c>
      <c r="L108">
        <f t="shared" si="15"/>
        <v>71.913809506306208</v>
      </c>
      <c r="M108">
        <f t="shared" si="16"/>
        <v>1.5786675711412554</v>
      </c>
      <c r="N108">
        <f t="shared" si="17"/>
        <v>2.1952217272022283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26347.971339887281</v>
      </c>
      <c r="T108">
        <f t="shared" si="21"/>
        <v>0</v>
      </c>
      <c r="U108">
        <f t="shared" si="22"/>
        <v>0</v>
      </c>
      <c r="V108">
        <f t="shared" si="23"/>
        <v>0.84270227099999995</v>
      </c>
      <c r="W108">
        <f t="shared" si="24"/>
        <v>0.15795509285999998</v>
      </c>
      <c r="X108">
        <v>1</v>
      </c>
      <c r="Y108">
        <v>1771000458.9333301</v>
      </c>
      <c r="Z108">
        <v>410.07566666666702</v>
      </c>
      <c r="AA108">
        <v>410.01499999999999</v>
      </c>
      <c r="AB108">
        <v>15.7125</v>
      </c>
      <c r="AC108">
        <v>14.28354</v>
      </c>
      <c r="AD108">
        <v>411.078466666667</v>
      </c>
      <c r="AE108">
        <v>15.62308</v>
      </c>
      <c r="AF108">
        <v>800.00386666666702</v>
      </c>
      <c r="AG108">
        <v>100.40746666666701</v>
      </c>
      <c r="AH108">
        <v>6.4614233333333299E-2</v>
      </c>
      <c r="AI108">
        <v>18.927486666666699</v>
      </c>
      <c r="AJ108">
        <v>999.9</v>
      </c>
      <c r="AK108">
        <v>999.9</v>
      </c>
      <c r="AL108">
        <v>0</v>
      </c>
      <c r="AM108">
        <v>0</v>
      </c>
      <c r="AN108">
        <v>5002.0333333333301</v>
      </c>
      <c r="AO108">
        <v>0</v>
      </c>
      <c r="AP108">
        <v>1.86158933333333</v>
      </c>
      <c r="AQ108">
        <v>6.0599708000000002E-2</v>
      </c>
      <c r="AR108">
        <v>416.6216</v>
      </c>
      <c r="AS108">
        <v>415.95633333333302</v>
      </c>
      <c r="AT108">
        <v>1.4289673333333299</v>
      </c>
      <c r="AU108">
        <v>410.01499999999999</v>
      </c>
      <c r="AV108">
        <v>14.28354</v>
      </c>
      <c r="AW108">
        <v>1.5776520000000001</v>
      </c>
      <c r="AX108">
        <v>1.4341726666666701</v>
      </c>
      <c r="AY108">
        <v>13.7422</v>
      </c>
      <c r="AZ108">
        <v>12.2836866666667</v>
      </c>
      <c r="BA108">
        <v>0</v>
      </c>
      <c r="BB108">
        <v>0.90993299999999999</v>
      </c>
      <c r="BC108">
        <v>0</v>
      </c>
      <c r="BD108">
        <v>9.0067300000000003E-2</v>
      </c>
      <c r="BE108">
        <v>0</v>
      </c>
      <c r="BF108">
        <v>24</v>
      </c>
      <c r="BG108">
        <v>0</v>
      </c>
      <c r="BH108">
        <v>1770999899</v>
      </c>
      <c r="BI108" t="s">
        <v>432</v>
      </c>
      <c r="BJ108">
        <v>1770999896</v>
      </c>
      <c r="BK108">
        <v>1770999899</v>
      </c>
      <c r="BL108">
        <v>3</v>
      </c>
      <c r="BM108">
        <v>6.0999999999999999E-2</v>
      </c>
      <c r="BN108">
        <v>1E-3</v>
      </c>
      <c r="BO108">
        <v>-1.0029999999999999</v>
      </c>
      <c r="BP108">
        <v>8.8999999999999996E-2</v>
      </c>
      <c r="BQ108">
        <v>410</v>
      </c>
      <c r="BR108">
        <v>14</v>
      </c>
      <c r="BS108">
        <v>0.21</v>
      </c>
      <c r="BT108">
        <v>0.02</v>
      </c>
      <c r="BU108">
        <v>0.15752442476190501</v>
      </c>
      <c r="BV108">
        <v>-1.4454651506493501</v>
      </c>
      <c r="BW108">
        <v>0.14870035723231201</v>
      </c>
      <c r="BX108">
        <v>0</v>
      </c>
      <c r="BY108">
        <v>0</v>
      </c>
      <c r="BZ108">
        <v>0</v>
      </c>
      <c r="CA108">
        <v>0</v>
      </c>
      <c r="CB108">
        <v>-1</v>
      </c>
      <c r="CC108">
        <v>1.39780333333333</v>
      </c>
      <c r="CD108">
        <v>0.47915376623376599</v>
      </c>
      <c r="CE108">
        <v>4.85485042026782E-2</v>
      </c>
      <c r="CF108">
        <v>0</v>
      </c>
      <c r="CG108">
        <v>0</v>
      </c>
      <c r="CH108">
        <v>2</v>
      </c>
      <c r="CI108" t="s">
        <v>299</v>
      </c>
      <c r="CJ108">
        <v>3.5325099999999998</v>
      </c>
      <c r="CK108">
        <v>2.70235</v>
      </c>
      <c r="CL108">
        <v>9.8466899999999996E-2</v>
      </c>
      <c r="CM108">
        <v>9.7073800000000002E-2</v>
      </c>
      <c r="CN108">
        <v>8.8606599999999994E-2</v>
      </c>
      <c r="CO108">
        <v>8.1424800000000006E-2</v>
      </c>
      <c r="CP108">
        <v>31644.799999999999</v>
      </c>
      <c r="CQ108">
        <v>27792.7</v>
      </c>
      <c r="CR108">
        <v>32484.2</v>
      </c>
      <c r="CS108">
        <v>30704.3</v>
      </c>
      <c r="CT108">
        <v>40071.800000000003</v>
      </c>
      <c r="CU108">
        <v>39650</v>
      </c>
      <c r="CV108">
        <v>47425.9</v>
      </c>
      <c r="CW108">
        <v>46809.599999999999</v>
      </c>
      <c r="CX108">
        <v>2.6353800000000001</v>
      </c>
      <c r="CY108">
        <v>2.1686200000000002</v>
      </c>
      <c r="CZ108">
        <v>0</v>
      </c>
      <c r="DA108">
        <v>0</v>
      </c>
      <c r="DB108">
        <v>999.9</v>
      </c>
      <c r="DC108">
        <v>999.9</v>
      </c>
      <c r="DD108">
        <v>66.054000000000002</v>
      </c>
      <c r="DE108">
        <v>24.722999999999999</v>
      </c>
      <c r="DF108">
        <v>20.575900000000001</v>
      </c>
      <c r="DG108">
        <v>30.200099999999999</v>
      </c>
      <c r="DH108">
        <v>16.1098</v>
      </c>
      <c r="DI108">
        <v>2</v>
      </c>
      <c r="DJ108">
        <v>-0.18330299999999999</v>
      </c>
      <c r="DK108">
        <v>1.1613</v>
      </c>
      <c r="DL108">
        <v>20.246600000000001</v>
      </c>
      <c r="DM108">
        <v>5.2472399999999997</v>
      </c>
      <c r="DN108">
        <v>12.033899999999999</v>
      </c>
      <c r="DO108">
        <v>4.9676400000000003</v>
      </c>
      <c r="DP108">
        <v>3.2909999999999999</v>
      </c>
      <c r="DQ108">
        <v>9999</v>
      </c>
      <c r="DR108">
        <v>9999</v>
      </c>
      <c r="DS108">
        <v>596.79999999999995</v>
      </c>
      <c r="DT108">
        <v>9999</v>
      </c>
      <c r="DU108">
        <v>1.8710199999999999</v>
      </c>
      <c r="DV108">
        <v>1.8760699999999999</v>
      </c>
      <c r="DW108">
        <v>1.8762300000000001</v>
      </c>
      <c r="DX108">
        <v>1.8827700000000001</v>
      </c>
      <c r="DY108">
        <v>1.8755299999999999</v>
      </c>
      <c r="DZ108">
        <v>1.87456</v>
      </c>
      <c r="EA108">
        <v>1.8707499999999999</v>
      </c>
      <c r="EB108">
        <v>1.8746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-1.0029999999999999</v>
      </c>
      <c r="EQ108">
        <v>8.9399999999999993E-2</v>
      </c>
      <c r="ER108">
        <v>-1.0028181818181601</v>
      </c>
      <c r="ES108">
        <v>0</v>
      </c>
      <c r="ET108">
        <v>0</v>
      </c>
      <c r="EU108">
        <v>0</v>
      </c>
      <c r="EV108">
        <v>8.9420000000002303E-2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9.5</v>
      </c>
      <c r="FE108">
        <v>9.5</v>
      </c>
      <c r="FF108">
        <v>1.2353499999999999</v>
      </c>
      <c r="FG108">
        <v>2.5781200000000002</v>
      </c>
      <c r="FH108">
        <v>2.19604</v>
      </c>
      <c r="FI108">
        <v>2.5781200000000002</v>
      </c>
      <c r="FJ108">
        <v>2.4462899999999999</v>
      </c>
      <c r="FK108">
        <v>2.3107899999999999</v>
      </c>
      <c r="FL108">
        <v>30.029</v>
      </c>
      <c r="FM108">
        <v>24.1663</v>
      </c>
      <c r="FN108">
        <v>19</v>
      </c>
      <c r="FO108">
        <v>864.07299999999998</v>
      </c>
      <c r="FP108">
        <v>597.11800000000005</v>
      </c>
      <c r="FQ108">
        <v>18.779499999999999</v>
      </c>
      <c r="FR108">
        <v>24.712299999999999</v>
      </c>
      <c r="FS108">
        <v>30.0002</v>
      </c>
      <c r="FT108">
        <v>24.703299999999999</v>
      </c>
      <c r="FU108">
        <v>24.7044</v>
      </c>
      <c r="FV108">
        <v>24.790900000000001</v>
      </c>
      <c r="FW108">
        <v>34.970700000000001</v>
      </c>
      <c r="FX108">
        <v>41.020099999999999</v>
      </c>
      <c r="FY108">
        <v>18.806000000000001</v>
      </c>
      <c r="FZ108">
        <v>410</v>
      </c>
      <c r="GA108">
        <v>14.066800000000001</v>
      </c>
      <c r="GB108">
        <v>99.945599999999999</v>
      </c>
      <c r="GC108">
        <v>99.660700000000006</v>
      </c>
    </row>
    <row r="109" spans="1:185" x14ac:dyDescent="0.2">
      <c r="A109">
        <v>94</v>
      </c>
      <c r="B109">
        <v>1771000482</v>
      </c>
      <c r="C109">
        <v>1858.9000000953699</v>
      </c>
      <c r="D109" t="s">
        <v>483</v>
      </c>
      <c r="E109" t="s">
        <v>484</v>
      </c>
      <c r="F109">
        <v>15</v>
      </c>
      <c r="G109">
        <v>1771000473.9333301</v>
      </c>
      <c r="H109">
        <f t="shared" si="13"/>
        <v>1.2052482847706842E-3</v>
      </c>
      <c r="I109">
        <v>0</v>
      </c>
      <c r="J109">
        <f t="shared" si="25"/>
        <v>-2.1569905127132395E-2</v>
      </c>
      <c r="K109">
        <f t="shared" si="14"/>
        <v>-0.38569695795085995</v>
      </c>
      <c r="L109">
        <f t="shared" si="15"/>
        <v>71.262506168121959</v>
      </c>
      <c r="M109">
        <f t="shared" si="16"/>
        <v>1.5665495140617265</v>
      </c>
      <c r="N109">
        <f t="shared" si="17"/>
        <v>2.1982801311617286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26259.510381410622</v>
      </c>
      <c r="T109">
        <f t="shared" si="21"/>
        <v>0</v>
      </c>
      <c r="U109">
        <f t="shared" si="22"/>
        <v>0</v>
      </c>
      <c r="V109">
        <f t="shared" si="23"/>
        <v>0.84270227099999995</v>
      </c>
      <c r="W109">
        <f t="shared" si="24"/>
        <v>0.15795509285999998</v>
      </c>
      <c r="X109">
        <v>1</v>
      </c>
      <c r="Y109">
        <v>1771000473.9333301</v>
      </c>
      <c r="Z109">
        <v>409.88833333333298</v>
      </c>
      <c r="AA109">
        <v>410.02373333333298</v>
      </c>
      <c r="AB109">
        <v>15.59196</v>
      </c>
      <c r="AC109">
        <v>14.108893333333301</v>
      </c>
      <c r="AD109">
        <v>410.89106666666697</v>
      </c>
      <c r="AE109">
        <v>15.502546666666699</v>
      </c>
      <c r="AF109">
        <v>800.00186666666696</v>
      </c>
      <c r="AG109">
        <v>100.4068</v>
      </c>
      <c r="AH109">
        <v>6.4822173333333302E-2</v>
      </c>
      <c r="AI109">
        <v>18.9497866666667</v>
      </c>
      <c r="AJ109">
        <v>999.9</v>
      </c>
      <c r="AK109">
        <v>999.9</v>
      </c>
      <c r="AL109">
        <v>0</v>
      </c>
      <c r="AM109">
        <v>0</v>
      </c>
      <c r="AN109">
        <v>4987.8666666666704</v>
      </c>
      <c r="AO109">
        <v>0</v>
      </c>
      <c r="AP109">
        <v>1.86317</v>
      </c>
      <c r="AQ109">
        <v>-0.135504193333333</v>
      </c>
      <c r="AR109">
        <v>416.38040000000001</v>
      </c>
      <c r="AS109">
        <v>415.89159999999998</v>
      </c>
      <c r="AT109">
        <v>1.4830779999999999</v>
      </c>
      <c r="AU109">
        <v>410.02373333333298</v>
      </c>
      <c r="AV109">
        <v>14.108893333333301</v>
      </c>
      <c r="AW109">
        <v>1.5655413333333299</v>
      </c>
      <c r="AX109">
        <v>1.4166300000000001</v>
      </c>
      <c r="AY109">
        <v>13.62372</v>
      </c>
      <c r="AZ109">
        <v>12.0967466666667</v>
      </c>
      <c r="BA109">
        <v>0</v>
      </c>
      <c r="BB109">
        <v>0.90993299999999999</v>
      </c>
      <c r="BC109">
        <v>0</v>
      </c>
      <c r="BD109">
        <v>9.0067300000000003E-2</v>
      </c>
      <c r="BE109">
        <v>0</v>
      </c>
      <c r="BF109">
        <v>24</v>
      </c>
      <c r="BG109">
        <v>0</v>
      </c>
      <c r="BH109">
        <v>1770999899</v>
      </c>
      <c r="BI109" t="s">
        <v>432</v>
      </c>
      <c r="BJ109">
        <v>1770999896</v>
      </c>
      <c r="BK109">
        <v>1770999899</v>
      </c>
      <c r="BL109">
        <v>3</v>
      </c>
      <c r="BM109">
        <v>6.0999999999999999E-2</v>
      </c>
      <c r="BN109">
        <v>1E-3</v>
      </c>
      <c r="BO109">
        <v>-1.0029999999999999</v>
      </c>
      <c r="BP109">
        <v>8.8999999999999996E-2</v>
      </c>
      <c r="BQ109">
        <v>410</v>
      </c>
      <c r="BR109">
        <v>14</v>
      </c>
      <c r="BS109">
        <v>0.21</v>
      </c>
      <c r="BT109">
        <v>0.02</v>
      </c>
      <c r="BU109">
        <v>-0.102466432380952</v>
      </c>
      <c r="BV109">
        <v>-0.71516057298701297</v>
      </c>
      <c r="BW109">
        <v>7.2938923590502996E-2</v>
      </c>
      <c r="BX109">
        <v>0</v>
      </c>
      <c r="BY109">
        <v>0</v>
      </c>
      <c r="BZ109">
        <v>0</v>
      </c>
      <c r="CA109">
        <v>0</v>
      </c>
      <c r="CB109">
        <v>-1</v>
      </c>
      <c r="CC109">
        <v>1.4772976190476199</v>
      </c>
      <c r="CD109">
        <v>0.161604935064939</v>
      </c>
      <c r="CE109">
        <v>2.0039119100675701E-2</v>
      </c>
      <c r="CF109">
        <v>0</v>
      </c>
      <c r="CG109">
        <v>0</v>
      </c>
      <c r="CH109">
        <v>2</v>
      </c>
      <c r="CI109" t="s">
        <v>299</v>
      </c>
      <c r="CJ109">
        <v>3.5324800000000001</v>
      </c>
      <c r="CK109">
        <v>2.7031000000000001</v>
      </c>
      <c r="CL109">
        <v>9.8444500000000004E-2</v>
      </c>
      <c r="CM109">
        <v>9.7077999999999998E-2</v>
      </c>
      <c r="CN109">
        <v>8.8142399999999996E-2</v>
      </c>
      <c r="CO109">
        <v>8.0754000000000006E-2</v>
      </c>
      <c r="CP109">
        <v>31645.9</v>
      </c>
      <c r="CQ109">
        <v>27792.1</v>
      </c>
      <c r="CR109">
        <v>32484.6</v>
      </c>
      <c r="CS109">
        <v>30703.8</v>
      </c>
      <c r="CT109">
        <v>40093.300000000003</v>
      </c>
      <c r="CU109">
        <v>39679</v>
      </c>
      <c r="CV109">
        <v>47426.400000000001</v>
      </c>
      <c r="CW109">
        <v>46808.6</v>
      </c>
      <c r="CX109">
        <v>2.6350600000000002</v>
      </c>
      <c r="CY109">
        <v>2.1679200000000001</v>
      </c>
      <c r="CZ109">
        <v>0</v>
      </c>
      <c r="DA109">
        <v>0</v>
      </c>
      <c r="DB109">
        <v>999.9</v>
      </c>
      <c r="DC109">
        <v>999.9</v>
      </c>
      <c r="DD109">
        <v>65.938000000000002</v>
      </c>
      <c r="DE109">
        <v>24.733000000000001</v>
      </c>
      <c r="DF109">
        <v>20.5489</v>
      </c>
      <c r="DG109">
        <v>30.5901</v>
      </c>
      <c r="DH109">
        <v>16.254000000000001</v>
      </c>
      <c r="DI109">
        <v>2</v>
      </c>
      <c r="DJ109">
        <v>-0.18276200000000001</v>
      </c>
      <c r="DK109">
        <v>1.1387</v>
      </c>
      <c r="DL109">
        <v>20.2468</v>
      </c>
      <c r="DM109">
        <v>5.2472399999999997</v>
      </c>
      <c r="DN109">
        <v>12.033899999999999</v>
      </c>
      <c r="DO109">
        <v>4.9676</v>
      </c>
      <c r="DP109">
        <v>3.2909999999999999</v>
      </c>
      <c r="DQ109">
        <v>9999</v>
      </c>
      <c r="DR109">
        <v>9999</v>
      </c>
      <c r="DS109">
        <v>596.79999999999995</v>
      </c>
      <c r="DT109">
        <v>9999</v>
      </c>
      <c r="DU109">
        <v>1.8710199999999999</v>
      </c>
      <c r="DV109">
        <v>1.8760699999999999</v>
      </c>
      <c r="DW109">
        <v>1.8762300000000001</v>
      </c>
      <c r="DX109">
        <v>1.8827799999999999</v>
      </c>
      <c r="DY109">
        <v>1.87551</v>
      </c>
      <c r="DZ109">
        <v>1.8745499999999999</v>
      </c>
      <c r="EA109">
        <v>1.87073</v>
      </c>
      <c r="EB109">
        <v>1.8745700000000001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-1.0029999999999999</v>
      </c>
      <c r="EQ109">
        <v>8.9399999999999993E-2</v>
      </c>
      <c r="ER109">
        <v>-1.0028181818181601</v>
      </c>
      <c r="ES109">
        <v>0</v>
      </c>
      <c r="ET109">
        <v>0</v>
      </c>
      <c r="EU109">
        <v>0</v>
      </c>
      <c r="EV109">
        <v>8.9420000000002303E-2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9.8000000000000007</v>
      </c>
      <c r="FE109">
        <v>9.6999999999999993</v>
      </c>
      <c r="FF109">
        <v>1.2353499999999999</v>
      </c>
      <c r="FG109">
        <v>2.5830099999999998</v>
      </c>
      <c r="FH109">
        <v>2.19604</v>
      </c>
      <c r="FI109">
        <v>2.5781200000000002</v>
      </c>
      <c r="FJ109">
        <v>2.4462899999999999</v>
      </c>
      <c r="FK109">
        <v>2.2436500000000001</v>
      </c>
      <c r="FL109">
        <v>30.029</v>
      </c>
      <c r="FM109">
        <v>24.157499999999999</v>
      </c>
      <c r="FN109">
        <v>19</v>
      </c>
      <c r="FO109">
        <v>863.86400000000003</v>
      </c>
      <c r="FP109">
        <v>596.64099999999996</v>
      </c>
      <c r="FQ109">
        <v>18.9056</v>
      </c>
      <c r="FR109">
        <v>24.718499999999999</v>
      </c>
      <c r="FS109">
        <v>30.0002</v>
      </c>
      <c r="FT109">
        <v>24.7087</v>
      </c>
      <c r="FU109">
        <v>24.710599999999999</v>
      </c>
      <c r="FV109">
        <v>24.788</v>
      </c>
      <c r="FW109">
        <v>35.538499999999999</v>
      </c>
      <c r="FX109">
        <v>40.646799999999999</v>
      </c>
      <c r="FY109">
        <v>18.918700000000001</v>
      </c>
      <c r="FZ109">
        <v>410</v>
      </c>
      <c r="GA109">
        <v>13.9672</v>
      </c>
      <c r="GB109">
        <v>99.946600000000004</v>
      </c>
      <c r="GC109">
        <v>99.658799999999999</v>
      </c>
    </row>
    <row r="110" spans="1:185" x14ac:dyDescent="0.2">
      <c r="A110">
        <v>95</v>
      </c>
      <c r="B110">
        <v>1771000497</v>
      </c>
      <c r="C110">
        <v>1873.9000000953699</v>
      </c>
      <c r="D110" t="s">
        <v>485</v>
      </c>
      <c r="E110" t="s">
        <v>486</v>
      </c>
      <c r="F110">
        <v>15</v>
      </c>
      <c r="G110">
        <v>1771000488.9333301</v>
      </c>
      <c r="H110">
        <f t="shared" si="13"/>
        <v>1.2157892811605054E-3</v>
      </c>
      <c r="I110">
        <v>0</v>
      </c>
      <c r="J110">
        <f t="shared" si="25"/>
        <v>-2.1445251747320156E-2</v>
      </c>
      <c r="K110">
        <f t="shared" si="14"/>
        <v>-0.38346799917201968</v>
      </c>
      <c r="L110">
        <f t="shared" si="15"/>
        <v>70.666628034742274</v>
      </c>
      <c r="M110">
        <f t="shared" si="16"/>
        <v>1.556419782542809</v>
      </c>
      <c r="N110">
        <f t="shared" si="17"/>
        <v>2.2024820284018882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26330.871551315486</v>
      </c>
      <c r="T110">
        <f t="shared" si="21"/>
        <v>0</v>
      </c>
      <c r="U110">
        <f t="shared" si="22"/>
        <v>0</v>
      </c>
      <c r="V110">
        <f t="shared" si="23"/>
        <v>0.84270227099999995</v>
      </c>
      <c r="W110">
        <f t="shared" si="24"/>
        <v>0.15795509285999998</v>
      </c>
      <c r="X110">
        <v>1</v>
      </c>
      <c r="Y110">
        <v>1771000488.9333301</v>
      </c>
      <c r="Z110">
        <v>409.85373333333303</v>
      </c>
      <c r="AA110">
        <v>409.99726666666697</v>
      </c>
      <c r="AB110">
        <v>15.490933333333301</v>
      </c>
      <c r="AC110">
        <v>13.9947533333333</v>
      </c>
      <c r="AD110">
        <v>410.81673333333299</v>
      </c>
      <c r="AE110">
        <v>15.40152</v>
      </c>
      <c r="AF110">
        <v>800.00773333333302</v>
      </c>
      <c r="AG110">
        <v>100.407666666667</v>
      </c>
      <c r="AH110">
        <v>6.5284126666666706E-2</v>
      </c>
      <c r="AI110">
        <v>18.98038</v>
      </c>
      <c r="AJ110">
        <v>999.9</v>
      </c>
      <c r="AK110">
        <v>999.9</v>
      </c>
      <c r="AL110">
        <v>0</v>
      </c>
      <c r="AM110">
        <v>0</v>
      </c>
      <c r="AN110">
        <v>5000</v>
      </c>
      <c r="AO110">
        <v>0</v>
      </c>
      <c r="AP110">
        <v>1.86317</v>
      </c>
      <c r="AQ110">
        <v>-0.18333740000000001</v>
      </c>
      <c r="AR110">
        <v>416.262333333333</v>
      </c>
      <c r="AS110">
        <v>415.816666666667</v>
      </c>
      <c r="AT110">
        <v>1.4961646666666699</v>
      </c>
      <c r="AU110">
        <v>409.99726666666697</v>
      </c>
      <c r="AV110">
        <v>13.9947533333333</v>
      </c>
      <c r="AW110">
        <v>1.55541066666667</v>
      </c>
      <c r="AX110">
        <v>1.4051833333333299</v>
      </c>
      <c r="AY110">
        <v>13.523986666666699</v>
      </c>
      <c r="AZ110">
        <v>11.973686666666699</v>
      </c>
      <c r="BA110">
        <v>0</v>
      </c>
      <c r="BB110">
        <v>0.90993299999999999</v>
      </c>
      <c r="BC110">
        <v>0</v>
      </c>
      <c r="BD110">
        <v>9.0067300000000003E-2</v>
      </c>
      <c r="BE110">
        <v>0</v>
      </c>
      <c r="BF110">
        <v>24</v>
      </c>
      <c r="BG110">
        <v>0</v>
      </c>
      <c r="BH110">
        <v>1771000521</v>
      </c>
      <c r="BI110" t="s">
        <v>487</v>
      </c>
      <c r="BJ110">
        <v>1771000521</v>
      </c>
      <c r="BK110">
        <v>1770999899</v>
      </c>
      <c r="BL110">
        <v>4</v>
      </c>
      <c r="BM110">
        <v>0.04</v>
      </c>
      <c r="BN110">
        <v>1E-3</v>
      </c>
      <c r="BO110">
        <v>-0.96299999999999997</v>
      </c>
      <c r="BP110">
        <v>8.8999999999999996E-2</v>
      </c>
      <c r="BQ110">
        <v>410</v>
      </c>
      <c r="BR110">
        <v>14</v>
      </c>
      <c r="BS110">
        <v>0.33</v>
      </c>
      <c r="BT110">
        <v>0.02</v>
      </c>
      <c r="BU110">
        <v>-0.18333071428571401</v>
      </c>
      <c r="BV110">
        <v>-5.3569012987012901E-2</v>
      </c>
      <c r="BW110">
        <v>2.4559275666267099E-2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1.4976180952381</v>
      </c>
      <c r="CD110">
        <v>-3.9602337662337499E-2</v>
      </c>
      <c r="CE110">
        <v>1.5740590119949899E-2</v>
      </c>
      <c r="CF110">
        <v>1</v>
      </c>
      <c r="CG110">
        <v>2</v>
      </c>
      <c r="CH110">
        <v>2</v>
      </c>
      <c r="CI110" t="s">
        <v>304</v>
      </c>
      <c r="CJ110">
        <v>3.5325299999999999</v>
      </c>
      <c r="CK110">
        <v>2.7029200000000002</v>
      </c>
      <c r="CL110">
        <v>9.8434800000000003E-2</v>
      </c>
      <c r="CM110">
        <v>9.7069000000000003E-2</v>
      </c>
      <c r="CN110">
        <v>8.7795100000000001E-2</v>
      </c>
      <c r="CO110">
        <v>8.0631800000000003E-2</v>
      </c>
      <c r="CP110">
        <v>31645.599999999999</v>
      </c>
      <c r="CQ110">
        <v>27792.3</v>
      </c>
      <c r="CR110">
        <v>32483.9</v>
      </c>
      <c r="CS110">
        <v>30703.8</v>
      </c>
      <c r="CT110">
        <v>40108.5</v>
      </c>
      <c r="CU110">
        <v>39684.6</v>
      </c>
      <c r="CV110">
        <v>47425.599999999999</v>
      </c>
      <c r="CW110">
        <v>46808.800000000003</v>
      </c>
      <c r="CX110">
        <v>2.6352199999999999</v>
      </c>
      <c r="CY110">
        <v>2.1674600000000002</v>
      </c>
      <c r="CZ110">
        <v>0</v>
      </c>
      <c r="DA110">
        <v>0</v>
      </c>
      <c r="DB110">
        <v>999.9</v>
      </c>
      <c r="DC110">
        <v>999.9</v>
      </c>
      <c r="DD110">
        <v>65.822000000000003</v>
      </c>
      <c r="DE110">
        <v>24.763000000000002</v>
      </c>
      <c r="DF110">
        <v>20.5532</v>
      </c>
      <c r="DG110">
        <v>30.530100000000001</v>
      </c>
      <c r="DH110">
        <v>16.1218</v>
      </c>
      <c r="DI110">
        <v>2</v>
      </c>
      <c r="DJ110">
        <v>-0.18205099999999999</v>
      </c>
      <c r="DK110">
        <v>1.19194</v>
      </c>
      <c r="DL110">
        <v>20.246400000000001</v>
      </c>
      <c r="DM110">
        <v>5.2473599999999996</v>
      </c>
      <c r="DN110">
        <v>12.033899999999999</v>
      </c>
      <c r="DO110">
        <v>4.9676</v>
      </c>
      <c r="DP110">
        <v>3.2909999999999999</v>
      </c>
      <c r="DQ110">
        <v>9999</v>
      </c>
      <c r="DR110">
        <v>9999</v>
      </c>
      <c r="DS110">
        <v>596.79999999999995</v>
      </c>
      <c r="DT110">
        <v>9999</v>
      </c>
      <c r="DU110">
        <v>1.8710100000000001</v>
      </c>
      <c r="DV110">
        <v>1.8760600000000001</v>
      </c>
      <c r="DW110">
        <v>1.87622</v>
      </c>
      <c r="DX110">
        <v>1.88276</v>
      </c>
      <c r="DY110">
        <v>1.8754999999999999</v>
      </c>
      <c r="DZ110">
        <v>1.8745400000000001</v>
      </c>
      <c r="EA110">
        <v>1.87073</v>
      </c>
      <c r="EB110">
        <v>1.8745499999999999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-0.96299999999999997</v>
      </c>
      <c r="EQ110">
        <v>8.9399999999999993E-2</v>
      </c>
      <c r="ER110">
        <v>-1.0028181818181601</v>
      </c>
      <c r="ES110">
        <v>0</v>
      </c>
      <c r="ET110">
        <v>0</v>
      </c>
      <c r="EU110">
        <v>0</v>
      </c>
      <c r="EV110">
        <v>8.9420000000002303E-2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10</v>
      </c>
      <c r="FE110">
        <v>10</v>
      </c>
      <c r="FF110">
        <v>1.2353499999999999</v>
      </c>
      <c r="FG110">
        <v>2.5805699999999998</v>
      </c>
      <c r="FH110">
        <v>2.19604</v>
      </c>
      <c r="FI110">
        <v>2.5781200000000002</v>
      </c>
      <c r="FJ110">
        <v>2.4462899999999999</v>
      </c>
      <c r="FK110">
        <v>2.2680699999999998</v>
      </c>
      <c r="FL110">
        <v>30.029</v>
      </c>
      <c r="FM110">
        <v>24.1663</v>
      </c>
      <c r="FN110">
        <v>19</v>
      </c>
      <c r="FO110">
        <v>864.10699999999997</v>
      </c>
      <c r="FP110">
        <v>596.34199999999998</v>
      </c>
      <c r="FQ110">
        <v>18.9693</v>
      </c>
      <c r="FR110">
        <v>24.7239</v>
      </c>
      <c r="FS110">
        <v>30.000399999999999</v>
      </c>
      <c r="FT110">
        <v>24.714500000000001</v>
      </c>
      <c r="FU110">
        <v>24.716000000000001</v>
      </c>
      <c r="FV110">
        <v>24.7895</v>
      </c>
      <c r="FW110">
        <v>35.538499999999999</v>
      </c>
      <c r="FX110">
        <v>40.2652</v>
      </c>
      <c r="FY110">
        <v>18.968599999999999</v>
      </c>
      <c r="FZ110">
        <v>410</v>
      </c>
      <c r="GA110">
        <v>13.907299999999999</v>
      </c>
      <c r="GB110">
        <v>99.944900000000004</v>
      </c>
      <c r="GC110">
        <v>99.659000000000006</v>
      </c>
    </row>
    <row r="111" spans="1:185" x14ac:dyDescent="0.2">
      <c r="A111">
        <v>96</v>
      </c>
      <c r="B111">
        <v>1771000523</v>
      </c>
      <c r="C111">
        <v>1899.9000000953699</v>
      </c>
      <c r="D111" t="s">
        <v>488</v>
      </c>
      <c r="E111" t="s">
        <v>489</v>
      </c>
      <c r="F111">
        <v>15</v>
      </c>
      <c r="G111">
        <v>1771000522</v>
      </c>
      <c r="H111">
        <f t="shared" si="13"/>
        <v>1.3468388271146612E-5</v>
      </c>
      <c r="I111">
        <v>0</v>
      </c>
      <c r="J111">
        <f t="shared" si="25"/>
        <v>4.9112500752024759E-5</v>
      </c>
      <c r="K111">
        <f t="shared" si="14"/>
        <v>8.7819311331081319E-4</v>
      </c>
      <c r="L111">
        <f t="shared" si="15"/>
        <v>63.772715229427213</v>
      </c>
      <c r="M111">
        <f t="shared" si="16"/>
        <v>1.4064965439719399</v>
      </c>
      <c r="N111">
        <f t="shared" si="17"/>
        <v>2.2054832366976398</v>
      </c>
      <c r="O111">
        <v>498</v>
      </c>
      <c r="P111">
        <v>62</v>
      </c>
      <c r="Q111">
        <f t="shared" si="18"/>
        <v>1</v>
      </c>
      <c r="R111">
        <f t="shared" si="19"/>
        <v>0</v>
      </c>
      <c r="S111">
        <f t="shared" si="20"/>
        <v>26371.602010803235</v>
      </c>
      <c r="T111">
        <f t="shared" si="21"/>
        <v>0</v>
      </c>
      <c r="U111">
        <f t="shared" si="22"/>
        <v>0</v>
      </c>
      <c r="V111">
        <f t="shared" si="23"/>
        <v>0.84270227099999995</v>
      </c>
      <c r="W111">
        <f t="shared" si="24"/>
        <v>0.15795509285999998</v>
      </c>
      <c r="X111">
        <v>1</v>
      </c>
      <c r="Y111">
        <v>1771000522</v>
      </c>
      <c r="Z111">
        <v>409.97800000000001</v>
      </c>
      <c r="AA111">
        <v>409.98599999999999</v>
      </c>
      <c r="AB111">
        <v>13.997299999999999</v>
      </c>
      <c r="AC111">
        <v>13.980700000000001</v>
      </c>
      <c r="AD111">
        <v>410.94099999999997</v>
      </c>
      <c r="AE111">
        <v>13.8893</v>
      </c>
      <c r="AF111">
        <v>799.99199999999996</v>
      </c>
      <c r="AG111">
        <v>100.408</v>
      </c>
      <c r="AH111">
        <v>7.5417799999999993E-2</v>
      </c>
      <c r="AI111">
        <v>19.002199999999998</v>
      </c>
      <c r="AJ111">
        <v>999.9</v>
      </c>
      <c r="AK111">
        <v>999.9</v>
      </c>
      <c r="AL111">
        <v>0</v>
      </c>
      <c r="AM111">
        <v>0</v>
      </c>
      <c r="AN111">
        <v>5007</v>
      </c>
      <c r="AO111">
        <v>0</v>
      </c>
      <c r="AP111">
        <v>1.86317</v>
      </c>
      <c r="AQ111">
        <v>-7.8430199999999992E-3</v>
      </c>
      <c r="AR111">
        <v>415.79</v>
      </c>
      <c r="AS111">
        <v>415.79899999999998</v>
      </c>
      <c r="AT111">
        <v>-1.9874599999999999E-3</v>
      </c>
      <c r="AU111">
        <v>409.98599999999999</v>
      </c>
      <c r="AV111">
        <v>13.980700000000001</v>
      </c>
      <c r="AW111">
        <v>1.40357</v>
      </c>
      <c r="AX111">
        <v>1.40377</v>
      </c>
      <c r="AY111">
        <v>11.956300000000001</v>
      </c>
      <c r="AZ111">
        <v>11.958399999999999</v>
      </c>
      <c r="BA111">
        <v>0</v>
      </c>
      <c r="BB111">
        <v>0.90993299999999999</v>
      </c>
      <c r="BC111">
        <v>0</v>
      </c>
      <c r="BD111">
        <v>9.0067300000000003E-2</v>
      </c>
      <c r="BE111">
        <v>0</v>
      </c>
      <c r="BF111">
        <v>24</v>
      </c>
      <c r="BG111">
        <v>0</v>
      </c>
      <c r="BH111">
        <v>1771000543</v>
      </c>
      <c r="BI111" t="s">
        <v>490</v>
      </c>
      <c r="BJ111">
        <v>1771000521</v>
      </c>
      <c r="BK111">
        <v>1771000543</v>
      </c>
      <c r="BL111">
        <v>5</v>
      </c>
      <c r="BM111">
        <v>0.04</v>
      </c>
      <c r="BN111">
        <v>1.9E-2</v>
      </c>
      <c r="BO111">
        <v>-0.96299999999999997</v>
      </c>
      <c r="BP111">
        <v>0.108</v>
      </c>
      <c r="BQ111">
        <v>410</v>
      </c>
      <c r="BR111">
        <v>15</v>
      </c>
      <c r="BS111">
        <v>0.33</v>
      </c>
      <c r="BT111">
        <v>7.0000000000000007E-2</v>
      </c>
      <c r="BU111">
        <v>-2.1604924639999998E-2</v>
      </c>
      <c r="BV111">
        <v>-0.112384097467669</v>
      </c>
      <c r="BW111">
        <v>2.91758657996747E-2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1.818179965E-2</v>
      </c>
      <c r="CD111">
        <v>-0.31686347490225603</v>
      </c>
      <c r="CE111">
        <v>6.4091243034621395E-2</v>
      </c>
      <c r="CF111">
        <v>0</v>
      </c>
      <c r="CG111">
        <v>1</v>
      </c>
      <c r="CH111">
        <v>2</v>
      </c>
      <c r="CI111" t="s">
        <v>290</v>
      </c>
      <c r="CJ111">
        <v>3.5335000000000001</v>
      </c>
      <c r="CK111">
        <v>2.7125599999999999</v>
      </c>
      <c r="CL111">
        <v>9.8439700000000005E-2</v>
      </c>
      <c r="CM111">
        <v>9.7058900000000004E-2</v>
      </c>
      <c r="CN111">
        <v>8.1414799999999996E-2</v>
      </c>
      <c r="CO111">
        <v>8.0630400000000005E-2</v>
      </c>
      <c r="CP111">
        <v>31644.6</v>
      </c>
      <c r="CQ111">
        <v>27792.2</v>
      </c>
      <c r="CR111">
        <v>32483.3</v>
      </c>
      <c r="CS111">
        <v>30703.4</v>
      </c>
      <c r="CT111">
        <v>40397.699999999997</v>
      </c>
      <c r="CU111">
        <v>39684.400000000001</v>
      </c>
      <c r="CV111">
        <v>47424.7</v>
      </c>
      <c r="CW111">
        <v>46808.5</v>
      </c>
      <c r="CX111">
        <v>1.6673800000000001</v>
      </c>
      <c r="CY111">
        <v>1.6068199999999999</v>
      </c>
      <c r="CZ111">
        <v>0</v>
      </c>
      <c r="DA111">
        <v>0</v>
      </c>
      <c r="DB111">
        <v>999.9</v>
      </c>
      <c r="DC111">
        <v>999.9</v>
      </c>
      <c r="DD111">
        <v>65.644999999999996</v>
      </c>
      <c r="DE111">
        <v>24.803000000000001</v>
      </c>
      <c r="DF111">
        <v>20.545200000000001</v>
      </c>
      <c r="DG111">
        <v>30.520099999999999</v>
      </c>
      <c r="DH111">
        <v>16.6386</v>
      </c>
      <c r="DI111">
        <v>2</v>
      </c>
      <c r="DJ111">
        <v>-0.17990400000000001</v>
      </c>
      <c r="DK111">
        <v>1.7264600000000001</v>
      </c>
      <c r="DL111">
        <v>20.238700000000001</v>
      </c>
      <c r="DM111">
        <v>5.2429300000000003</v>
      </c>
      <c r="DN111">
        <v>12.033899999999999</v>
      </c>
      <c r="DO111">
        <v>4.9663599999999999</v>
      </c>
      <c r="DP111">
        <v>3.2902200000000001</v>
      </c>
      <c r="DQ111">
        <v>9999</v>
      </c>
      <c r="DR111">
        <v>9999</v>
      </c>
      <c r="DS111">
        <v>596.9</v>
      </c>
      <c r="DT111">
        <v>9999</v>
      </c>
      <c r="DU111">
        <v>1.8710199999999999</v>
      </c>
      <c r="DV111">
        <v>1.8760699999999999</v>
      </c>
      <c r="DW111">
        <v>1.8762399999999999</v>
      </c>
      <c r="DX111">
        <v>1.8827799999999999</v>
      </c>
      <c r="DY111">
        <v>1.87554</v>
      </c>
      <c r="DZ111">
        <v>1.8745700000000001</v>
      </c>
      <c r="EA111">
        <v>1.8707499999999999</v>
      </c>
      <c r="EB111">
        <v>1.8745799999999999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-0.96299999999999997</v>
      </c>
      <c r="EQ111">
        <v>0.108</v>
      </c>
      <c r="ER111">
        <v>-0.96330000000000404</v>
      </c>
      <c r="ES111">
        <v>0</v>
      </c>
      <c r="ET111">
        <v>0</v>
      </c>
      <c r="EU111">
        <v>0</v>
      </c>
      <c r="EV111">
        <v>8.9420000000002303E-2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0</v>
      </c>
      <c r="FE111">
        <v>10.4</v>
      </c>
      <c r="FF111">
        <v>1.2353499999999999</v>
      </c>
      <c r="FG111">
        <v>2.5793499999999998</v>
      </c>
      <c r="FH111">
        <v>2.19604</v>
      </c>
      <c r="FI111">
        <v>2.5781200000000002</v>
      </c>
      <c r="FJ111">
        <v>2.4462899999999999</v>
      </c>
      <c r="FK111">
        <v>2.2888199999999999</v>
      </c>
      <c r="FL111">
        <v>30.0504</v>
      </c>
      <c r="FM111">
        <v>24.1313</v>
      </c>
      <c r="FN111">
        <v>19</v>
      </c>
      <c r="FO111">
        <v>277.98599999999999</v>
      </c>
      <c r="FP111">
        <v>272.38900000000001</v>
      </c>
      <c r="FQ111">
        <v>18.555</v>
      </c>
      <c r="FR111">
        <v>24.732700000000001</v>
      </c>
      <c r="FS111">
        <v>29.9999</v>
      </c>
      <c r="FT111">
        <v>24.739000000000001</v>
      </c>
      <c r="FU111">
        <v>24.739599999999999</v>
      </c>
      <c r="FV111">
        <v>24.789899999999999</v>
      </c>
      <c r="FW111">
        <v>32.8247</v>
      </c>
      <c r="FX111">
        <v>40.2652</v>
      </c>
      <c r="FY111">
        <v>18.582699999999999</v>
      </c>
      <c r="FZ111">
        <v>410</v>
      </c>
      <c r="GA111">
        <v>14.8828</v>
      </c>
      <c r="GB111">
        <v>99.942999999999998</v>
      </c>
      <c r="GC111">
        <v>99.658100000000005</v>
      </c>
    </row>
    <row r="112" spans="1:185" x14ac:dyDescent="0.2">
      <c r="A112">
        <v>97</v>
      </c>
      <c r="B112">
        <v>1771000545</v>
      </c>
      <c r="C112">
        <v>1921.9000000953699</v>
      </c>
      <c r="D112" t="s">
        <v>491</v>
      </c>
      <c r="E112" t="s">
        <v>492</v>
      </c>
      <c r="F112">
        <v>15</v>
      </c>
      <c r="G112">
        <v>1771000544</v>
      </c>
      <c r="H112">
        <f t="shared" si="13"/>
        <v>6.494862706137958E-7</v>
      </c>
      <c r="I112">
        <v>0</v>
      </c>
      <c r="J112">
        <f t="shared" si="25"/>
        <v>-5.9652583297142218E-4</v>
      </c>
      <c r="K112">
        <f t="shared" si="14"/>
        <v>-1.0666630092256137E-2</v>
      </c>
      <c r="L112">
        <f t="shared" si="15"/>
        <v>66.407762216373669</v>
      </c>
      <c r="M112">
        <f t="shared" si="16"/>
        <v>1.4629221230862</v>
      </c>
      <c r="N112">
        <f t="shared" si="17"/>
        <v>2.2029384431290144</v>
      </c>
      <c r="O112">
        <v>467</v>
      </c>
      <c r="P112">
        <v>58</v>
      </c>
      <c r="Q112">
        <f t="shared" si="18"/>
        <v>1</v>
      </c>
      <c r="R112">
        <f t="shared" si="19"/>
        <v>0</v>
      </c>
      <c r="S112">
        <f t="shared" si="20"/>
        <v>26245.143317117148</v>
      </c>
      <c r="T112">
        <f t="shared" si="21"/>
        <v>0</v>
      </c>
      <c r="U112">
        <f t="shared" si="22"/>
        <v>0</v>
      </c>
      <c r="V112">
        <f t="shared" si="23"/>
        <v>0.84270227099999995</v>
      </c>
      <c r="W112">
        <f t="shared" si="24"/>
        <v>0.15795509285999998</v>
      </c>
      <c r="X112">
        <v>1</v>
      </c>
      <c r="Y112">
        <v>1771000544</v>
      </c>
      <c r="Z112">
        <v>409.76400000000001</v>
      </c>
      <c r="AA112">
        <v>409.75099999999998</v>
      </c>
      <c r="AB112">
        <v>14.558999999999999</v>
      </c>
      <c r="AC112">
        <v>14.558199999999999</v>
      </c>
      <c r="AD112">
        <v>410.72699999999998</v>
      </c>
      <c r="AE112">
        <v>14.450900000000001</v>
      </c>
      <c r="AF112">
        <v>800.03800000000001</v>
      </c>
      <c r="AG112">
        <v>100.407</v>
      </c>
      <c r="AH112">
        <v>7.5321799999999994E-2</v>
      </c>
      <c r="AI112">
        <v>18.983699999999999</v>
      </c>
      <c r="AJ112">
        <v>999.9</v>
      </c>
      <c r="AK112">
        <v>999.9</v>
      </c>
      <c r="AL112">
        <v>0</v>
      </c>
      <c r="AM112">
        <v>0</v>
      </c>
      <c r="AN112">
        <v>4986</v>
      </c>
      <c r="AO112">
        <v>0</v>
      </c>
      <c r="AP112">
        <v>1.86317</v>
      </c>
      <c r="AQ112">
        <v>1.2268100000000001E-2</v>
      </c>
      <c r="AR112">
        <v>415.81799999999998</v>
      </c>
      <c r="AS112">
        <v>415.80500000000001</v>
      </c>
      <c r="AT112">
        <v>8.0966899999999995E-4</v>
      </c>
      <c r="AU112">
        <v>409.75099999999998</v>
      </c>
      <c r="AV112">
        <v>14.558199999999999</v>
      </c>
      <c r="AW112">
        <v>1.4618199999999999</v>
      </c>
      <c r="AX112">
        <v>1.46174</v>
      </c>
      <c r="AY112">
        <v>12.5745</v>
      </c>
      <c r="AZ112">
        <v>12.573700000000001</v>
      </c>
      <c r="BA112">
        <v>0</v>
      </c>
      <c r="BB112">
        <v>0.90993299999999999</v>
      </c>
      <c r="BC112">
        <v>0</v>
      </c>
      <c r="BD112">
        <v>9.0067300000000003E-2</v>
      </c>
      <c r="BE112">
        <v>0</v>
      </c>
      <c r="BF112">
        <v>24</v>
      </c>
      <c r="BG112">
        <v>0</v>
      </c>
      <c r="BH112">
        <v>1771000543</v>
      </c>
      <c r="BI112" t="s">
        <v>490</v>
      </c>
      <c r="BJ112">
        <v>1771000521</v>
      </c>
      <c r="BK112">
        <v>1771000543</v>
      </c>
      <c r="BL112">
        <v>5</v>
      </c>
      <c r="BM112">
        <v>0.04</v>
      </c>
      <c r="BN112">
        <v>1.9E-2</v>
      </c>
      <c r="BO112">
        <v>-0.96299999999999997</v>
      </c>
      <c r="BP112">
        <v>0.108</v>
      </c>
      <c r="BQ112">
        <v>410</v>
      </c>
      <c r="BR112">
        <v>15</v>
      </c>
      <c r="BS112">
        <v>0.33</v>
      </c>
      <c r="BT112">
        <v>7.0000000000000007E-2</v>
      </c>
      <c r="BU112">
        <v>3.8456714750000003E-2</v>
      </c>
      <c r="BV112">
        <v>-0.233233612556391</v>
      </c>
      <c r="BW112">
        <v>2.9917542504939099E-2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9.4587643449999995E-2</v>
      </c>
      <c r="CD112">
        <v>-1.5432660581503801</v>
      </c>
      <c r="CE112">
        <v>0.19804900514388099</v>
      </c>
      <c r="CF112">
        <v>0</v>
      </c>
      <c r="CG112">
        <v>1</v>
      </c>
      <c r="CH112">
        <v>2</v>
      </c>
      <c r="CI112" t="s">
        <v>290</v>
      </c>
      <c r="CJ112">
        <v>3.53362</v>
      </c>
      <c r="CK112">
        <v>2.7119800000000001</v>
      </c>
      <c r="CL112">
        <v>9.8400699999999994E-2</v>
      </c>
      <c r="CM112">
        <v>9.7020899999999993E-2</v>
      </c>
      <c r="CN112">
        <v>8.40833E-2</v>
      </c>
      <c r="CO112">
        <v>8.3085800000000001E-2</v>
      </c>
      <c r="CP112">
        <v>31646.5</v>
      </c>
      <c r="CQ112">
        <v>27793.8</v>
      </c>
      <c r="CR112">
        <v>32483.8</v>
      </c>
      <c r="CS112">
        <v>30703.8</v>
      </c>
      <c r="CT112">
        <v>40277.300000000003</v>
      </c>
      <c r="CU112">
        <v>39575.699999999997</v>
      </c>
      <c r="CV112">
        <v>47425.599999999999</v>
      </c>
      <c r="CW112">
        <v>46809.1</v>
      </c>
      <c r="CX112">
        <v>1.7203200000000001</v>
      </c>
      <c r="CY112">
        <v>1.6291599999999999</v>
      </c>
      <c r="CZ112">
        <v>0</v>
      </c>
      <c r="DA112">
        <v>0</v>
      </c>
      <c r="DB112">
        <v>999.9</v>
      </c>
      <c r="DC112">
        <v>999.9</v>
      </c>
      <c r="DD112">
        <v>65.534999999999997</v>
      </c>
      <c r="DE112">
        <v>24.824000000000002</v>
      </c>
      <c r="DF112">
        <v>20.535900000000002</v>
      </c>
      <c r="DG112">
        <v>30.65</v>
      </c>
      <c r="DH112">
        <v>16.502400000000002</v>
      </c>
      <c r="DI112">
        <v>2</v>
      </c>
      <c r="DJ112">
        <v>-0.18029500000000001</v>
      </c>
      <c r="DK112">
        <v>1.5568299999999999</v>
      </c>
      <c r="DL112">
        <v>20.240600000000001</v>
      </c>
      <c r="DM112">
        <v>5.2404099999999998</v>
      </c>
      <c r="DN112">
        <v>12.033899999999999</v>
      </c>
      <c r="DO112">
        <v>4.9656399999999996</v>
      </c>
      <c r="DP112">
        <v>3.2897599999999998</v>
      </c>
      <c r="DQ112">
        <v>9999</v>
      </c>
      <c r="DR112">
        <v>9999</v>
      </c>
      <c r="DS112">
        <v>596.9</v>
      </c>
      <c r="DT112">
        <v>9999</v>
      </c>
      <c r="DU112">
        <v>1.8710199999999999</v>
      </c>
      <c r="DV112">
        <v>1.8760699999999999</v>
      </c>
      <c r="DW112">
        <v>1.8762399999999999</v>
      </c>
      <c r="DX112">
        <v>1.8827799999999999</v>
      </c>
      <c r="DY112">
        <v>1.8755500000000001</v>
      </c>
      <c r="DZ112">
        <v>1.87459</v>
      </c>
      <c r="EA112">
        <v>1.87073</v>
      </c>
      <c r="EB112">
        <v>1.87459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-0.96299999999999997</v>
      </c>
      <c r="EQ112">
        <v>0.108</v>
      </c>
      <c r="ER112">
        <v>-0.96330000000000404</v>
      </c>
      <c r="ES112">
        <v>0</v>
      </c>
      <c r="ET112">
        <v>0</v>
      </c>
      <c r="EU112">
        <v>0</v>
      </c>
      <c r="EV112">
        <v>0.10804000000000299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0.4</v>
      </c>
      <c r="FE112">
        <v>0</v>
      </c>
      <c r="FF112">
        <v>1.2353499999999999</v>
      </c>
      <c r="FG112">
        <v>2.5769000000000002</v>
      </c>
      <c r="FH112">
        <v>2.19604</v>
      </c>
      <c r="FI112">
        <v>2.5781200000000002</v>
      </c>
      <c r="FJ112">
        <v>2.4462899999999999</v>
      </c>
      <c r="FK112">
        <v>2.2741699999999998</v>
      </c>
      <c r="FL112">
        <v>30.0932</v>
      </c>
      <c r="FM112">
        <v>24.1663</v>
      </c>
      <c r="FN112">
        <v>19</v>
      </c>
      <c r="FO112">
        <v>307.69499999999999</v>
      </c>
      <c r="FP112">
        <v>285.84199999999998</v>
      </c>
      <c r="FQ112">
        <v>18.608599999999999</v>
      </c>
      <c r="FR112">
        <v>24.741</v>
      </c>
      <c r="FS112">
        <v>30.0002</v>
      </c>
      <c r="FT112">
        <v>24.748999999999999</v>
      </c>
      <c r="FU112">
        <v>24.749099999999999</v>
      </c>
      <c r="FV112">
        <v>24.7941</v>
      </c>
      <c r="FW112">
        <v>34.9679</v>
      </c>
      <c r="FX112">
        <v>40.2652</v>
      </c>
      <c r="FY112">
        <v>18.6206</v>
      </c>
      <c r="FZ112">
        <v>410</v>
      </c>
      <c r="GA112">
        <v>14.210100000000001</v>
      </c>
      <c r="GB112">
        <v>99.944599999999994</v>
      </c>
      <c r="GC112">
        <v>99.659499999999994</v>
      </c>
    </row>
    <row r="113" spans="1:185" x14ac:dyDescent="0.2">
      <c r="A113">
        <v>98</v>
      </c>
      <c r="B113">
        <v>1771000560</v>
      </c>
      <c r="C113">
        <v>1936.9000000953699</v>
      </c>
      <c r="D113" t="s">
        <v>493</v>
      </c>
      <c r="E113" t="s">
        <v>494</v>
      </c>
      <c r="F113">
        <v>15</v>
      </c>
      <c r="G113">
        <v>1771000551.9333301</v>
      </c>
      <c r="H113">
        <f t="shared" si="13"/>
        <v>1.0395105741296329E-3</v>
      </c>
      <c r="I113">
        <v>0</v>
      </c>
      <c r="J113">
        <f t="shared" si="25"/>
        <v>-1.3375037932719814E-2</v>
      </c>
      <c r="K113">
        <f t="shared" si="14"/>
        <v>-0.23916245401739578</v>
      </c>
      <c r="L113">
        <f t="shared" si="15"/>
        <v>70.294613393507106</v>
      </c>
      <c r="M113">
        <f t="shared" si="16"/>
        <v>1.5483743964759442</v>
      </c>
      <c r="N113">
        <f t="shared" si="17"/>
        <v>2.2026928120483307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26347.839266348212</v>
      </c>
      <c r="T113">
        <f t="shared" si="21"/>
        <v>0</v>
      </c>
      <c r="U113">
        <f t="shared" si="22"/>
        <v>0</v>
      </c>
      <c r="V113">
        <f t="shared" si="23"/>
        <v>0.84270227099999995</v>
      </c>
      <c r="W113">
        <f t="shared" si="24"/>
        <v>0.15795509285999998</v>
      </c>
      <c r="X113">
        <v>1</v>
      </c>
      <c r="Y113">
        <v>1771000551.9333301</v>
      </c>
      <c r="Z113">
        <v>409.72493333333301</v>
      </c>
      <c r="AA113">
        <v>409.95826666666699</v>
      </c>
      <c r="AB113">
        <v>15.4104666666667</v>
      </c>
      <c r="AC113">
        <v>14.131679999999999</v>
      </c>
      <c r="AD113">
        <v>410.68819999999999</v>
      </c>
      <c r="AE113">
        <v>15.302433333333299</v>
      </c>
      <c r="AF113">
        <v>800.36120000000005</v>
      </c>
      <c r="AG113">
        <v>100.408666666667</v>
      </c>
      <c r="AH113">
        <v>6.68367666666667E-2</v>
      </c>
      <c r="AI113">
        <v>18.981913333333299</v>
      </c>
      <c r="AJ113">
        <v>999.9</v>
      </c>
      <c r="AK113">
        <v>999.9</v>
      </c>
      <c r="AL113">
        <v>0</v>
      </c>
      <c r="AM113">
        <v>0</v>
      </c>
      <c r="AN113">
        <v>5002.7666666666701</v>
      </c>
      <c r="AO113">
        <v>0</v>
      </c>
      <c r="AP113">
        <v>1.86317</v>
      </c>
      <c r="AQ113">
        <v>-0.23340042666666699</v>
      </c>
      <c r="AR113">
        <v>416.13786666666698</v>
      </c>
      <c r="AS113">
        <v>415.83479999999997</v>
      </c>
      <c r="AT113">
        <v>1.2787826445999999</v>
      </c>
      <c r="AU113">
        <v>409.95826666666699</v>
      </c>
      <c r="AV113">
        <v>14.131679999999999</v>
      </c>
      <c r="AW113">
        <v>1.5473473333333301</v>
      </c>
      <c r="AX113">
        <v>1.4189466666666699</v>
      </c>
      <c r="AY113">
        <v>13.441233333333299</v>
      </c>
      <c r="AZ113">
        <v>12.119260000000001</v>
      </c>
      <c r="BA113">
        <v>0</v>
      </c>
      <c r="BB113">
        <v>0.90993299999999999</v>
      </c>
      <c r="BC113">
        <v>0</v>
      </c>
      <c r="BD113">
        <v>9.0067300000000003E-2</v>
      </c>
      <c r="BE113">
        <v>0</v>
      </c>
      <c r="BF113">
        <v>24</v>
      </c>
      <c r="BG113">
        <v>0</v>
      </c>
      <c r="BH113">
        <v>1771000543</v>
      </c>
      <c r="BI113" t="s">
        <v>490</v>
      </c>
      <c r="BJ113">
        <v>1771000521</v>
      </c>
      <c r="BK113">
        <v>1771000543</v>
      </c>
      <c r="BL113">
        <v>5</v>
      </c>
      <c r="BM113">
        <v>0.04</v>
      </c>
      <c r="BN113">
        <v>1.9E-2</v>
      </c>
      <c r="BO113">
        <v>-0.96299999999999997</v>
      </c>
      <c r="BP113">
        <v>0.108</v>
      </c>
      <c r="BQ113">
        <v>410</v>
      </c>
      <c r="BR113">
        <v>15</v>
      </c>
      <c r="BS113">
        <v>0.33</v>
      </c>
      <c r="BT113">
        <v>7.0000000000000007E-2</v>
      </c>
      <c r="BU113">
        <v>-0.15455471109999999</v>
      </c>
      <c r="BV113">
        <v>-1.1971195455338299</v>
      </c>
      <c r="BW113">
        <v>0.14646414720678</v>
      </c>
      <c r="BX113">
        <v>0</v>
      </c>
      <c r="BY113">
        <v>0</v>
      </c>
      <c r="BZ113">
        <v>0</v>
      </c>
      <c r="CA113">
        <v>0</v>
      </c>
      <c r="CB113">
        <v>-1</v>
      </c>
      <c r="CC113">
        <v>0.87646403345000001</v>
      </c>
      <c r="CD113">
        <v>7.3009636501804502</v>
      </c>
      <c r="CE113">
        <v>0.74842873773500995</v>
      </c>
      <c r="CF113">
        <v>0</v>
      </c>
      <c r="CG113">
        <v>0</v>
      </c>
      <c r="CH113">
        <v>2</v>
      </c>
      <c r="CI113" t="s">
        <v>299</v>
      </c>
      <c r="CJ113">
        <v>3.53254</v>
      </c>
      <c r="CK113">
        <v>2.7027899999999998</v>
      </c>
      <c r="CL113">
        <v>9.8409099999999999E-2</v>
      </c>
      <c r="CM113">
        <v>9.7061599999999998E-2</v>
      </c>
      <c r="CN113">
        <v>8.7882100000000005E-2</v>
      </c>
      <c r="CO113">
        <v>8.0220899999999998E-2</v>
      </c>
      <c r="CP113">
        <v>31644.799999999999</v>
      </c>
      <c r="CQ113">
        <v>27792.3</v>
      </c>
      <c r="CR113">
        <v>32482.3</v>
      </c>
      <c r="CS113">
        <v>30703.599999999999</v>
      </c>
      <c r="CT113">
        <v>40103</v>
      </c>
      <c r="CU113">
        <v>39702.9</v>
      </c>
      <c r="CV113">
        <v>47423.6</v>
      </c>
      <c r="CW113">
        <v>46808.9</v>
      </c>
      <c r="CX113">
        <v>2.6314600000000001</v>
      </c>
      <c r="CY113">
        <v>2.1650399999999999</v>
      </c>
      <c r="CZ113">
        <v>0</v>
      </c>
      <c r="DA113">
        <v>0</v>
      </c>
      <c r="DB113">
        <v>999.9</v>
      </c>
      <c r="DC113">
        <v>999.9</v>
      </c>
      <c r="DD113">
        <v>65.412999999999997</v>
      </c>
      <c r="DE113">
        <v>24.834</v>
      </c>
      <c r="DF113">
        <v>20.510999999999999</v>
      </c>
      <c r="DG113">
        <v>30.44</v>
      </c>
      <c r="DH113">
        <v>16.165900000000001</v>
      </c>
      <c r="DI113">
        <v>2</v>
      </c>
      <c r="DJ113">
        <v>-0.17960999999999999</v>
      </c>
      <c r="DK113">
        <v>1.50986</v>
      </c>
      <c r="DL113">
        <v>20.243300000000001</v>
      </c>
      <c r="DM113">
        <v>5.2473599999999996</v>
      </c>
      <c r="DN113">
        <v>12.033899999999999</v>
      </c>
      <c r="DO113">
        <v>4.9666800000000002</v>
      </c>
      <c r="DP113">
        <v>3.2909999999999999</v>
      </c>
      <c r="DQ113">
        <v>9999</v>
      </c>
      <c r="DR113">
        <v>9999</v>
      </c>
      <c r="DS113">
        <v>596.9</v>
      </c>
      <c r="DT113">
        <v>9999</v>
      </c>
      <c r="DU113">
        <v>1.87103</v>
      </c>
      <c r="DV113">
        <v>1.8760699999999999</v>
      </c>
      <c r="DW113">
        <v>1.8762300000000001</v>
      </c>
      <c r="DX113">
        <v>1.8827799999999999</v>
      </c>
      <c r="DY113">
        <v>1.87557</v>
      </c>
      <c r="DZ113">
        <v>1.8746100000000001</v>
      </c>
      <c r="EA113">
        <v>1.8707400000000001</v>
      </c>
      <c r="EB113">
        <v>1.8746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-0.96399999999999997</v>
      </c>
      <c r="EQ113">
        <v>0.1081</v>
      </c>
      <c r="ER113">
        <v>-0.96330000000000404</v>
      </c>
      <c r="ES113">
        <v>0</v>
      </c>
      <c r="ET113">
        <v>0</v>
      </c>
      <c r="EU113">
        <v>0</v>
      </c>
      <c r="EV113">
        <v>0.10804000000000299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0.7</v>
      </c>
      <c r="FE113">
        <v>0.3</v>
      </c>
      <c r="FF113">
        <v>1.2353499999999999</v>
      </c>
      <c r="FG113">
        <v>2.5805699999999998</v>
      </c>
      <c r="FH113">
        <v>2.19604</v>
      </c>
      <c r="FI113">
        <v>2.5781200000000002</v>
      </c>
      <c r="FJ113">
        <v>2.4462899999999999</v>
      </c>
      <c r="FK113">
        <v>2.2668499999999998</v>
      </c>
      <c r="FL113">
        <v>30.0932</v>
      </c>
      <c r="FM113">
        <v>24.157499999999999</v>
      </c>
      <c r="FN113">
        <v>19</v>
      </c>
      <c r="FO113">
        <v>861.04100000000005</v>
      </c>
      <c r="FP113">
        <v>594.70500000000004</v>
      </c>
      <c r="FQ113">
        <v>18.644500000000001</v>
      </c>
      <c r="FR113">
        <v>24.747199999999999</v>
      </c>
      <c r="FS113">
        <v>30.0002</v>
      </c>
      <c r="FT113">
        <v>24.739799999999999</v>
      </c>
      <c r="FU113">
        <v>24.738399999999999</v>
      </c>
      <c r="FV113">
        <v>24.792100000000001</v>
      </c>
      <c r="FW113">
        <v>35.956800000000001</v>
      </c>
      <c r="FX113">
        <v>39.463000000000001</v>
      </c>
      <c r="FY113">
        <v>18.6586</v>
      </c>
      <c r="FZ113">
        <v>410</v>
      </c>
      <c r="GA113">
        <v>13.902699999999999</v>
      </c>
      <c r="GB113">
        <v>99.940399999999997</v>
      </c>
      <c r="GC113">
        <v>99.658900000000003</v>
      </c>
    </row>
    <row r="114" spans="1:185" x14ac:dyDescent="0.2">
      <c r="A114">
        <v>99</v>
      </c>
      <c r="B114">
        <v>1771000575</v>
      </c>
      <c r="C114">
        <v>1951.9000000953699</v>
      </c>
      <c r="D114" t="s">
        <v>495</v>
      </c>
      <c r="E114" t="s">
        <v>496</v>
      </c>
      <c r="F114">
        <v>15</v>
      </c>
      <c r="G114">
        <v>1771000566.9333301</v>
      </c>
      <c r="H114">
        <f t="shared" si="13"/>
        <v>1.2696127962564668E-3</v>
      </c>
      <c r="I114">
        <v>0</v>
      </c>
      <c r="J114">
        <f t="shared" si="25"/>
        <v>-1.7912440249957192E-2</v>
      </c>
      <c r="K114">
        <f t="shared" si="14"/>
        <v>-0.32029689853362442</v>
      </c>
      <c r="L114">
        <f t="shared" si="15"/>
        <v>70.394392061086378</v>
      </c>
      <c r="M114">
        <f t="shared" si="16"/>
        <v>1.5504825394765596</v>
      </c>
      <c r="N114">
        <f t="shared" si="17"/>
        <v>2.2025654232954981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26358.159870998363</v>
      </c>
      <c r="T114">
        <f t="shared" si="21"/>
        <v>0</v>
      </c>
      <c r="U114">
        <f t="shared" si="22"/>
        <v>0</v>
      </c>
      <c r="V114">
        <f t="shared" si="23"/>
        <v>0.84270227099999995</v>
      </c>
      <c r="W114">
        <f t="shared" si="24"/>
        <v>0.15795509285999998</v>
      </c>
      <c r="X114">
        <v>1</v>
      </c>
      <c r="Y114">
        <v>1771000566.9333301</v>
      </c>
      <c r="Z114">
        <v>409.72473333333301</v>
      </c>
      <c r="AA114">
        <v>409.97460000000001</v>
      </c>
      <c r="AB114">
        <v>15.4319066666667</v>
      </c>
      <c r="AC114">
        <v>13.869393333333299</v>
      </c>
      <c r="AD114">
        <v>410.68786666666699</v>
      </c>
      <c r="AE114">
        <v>15.323873333333299</v>
      </c>
      <c r="AF114">
        <v>800.00613333333297</v>
      </c>
      <c r="AG114">
        <v>100.40746666666701</v>
      </c>
      <c r="AH114">
        <v>6.5052573333333294E-2</v>
      </c>
      <c r="AI114">
        <v>18.980986666666698</v>
      </c>
      <c r="AJ114">
        <v>999.9</v>
      </c>
      <c r="AK114">
        <v>999.9</v>
      </c>
      <c r="AL114">
        <v>0</v>
      </c>
      <c r="AM114">
        <v>0</v>
      </c>
      <c r="AN114">
        <v>5004.5</v>
      </c>
      <c r="AO114">
        <v>0</v>
      </c>
      <c r="AP114">
        <v>1.86317</v>
      </c>
      <c r="AQ114">
        <v>-0.24993480000000001</v>
      </c>
      <c r="AR114">
        <v>416.14666666666699</v>
      </c>
      <c r="AS114">
        <v>415.74059999999997</v>
      </c>
      <c r="AT114">
        <v>1.562508</v>
      </c>
      <c r="AU114">
        <v>409.97460000000001</v>
      </c>
      <c r="AV114">
        <v>13.869393333333299</v>
      </c>
      <c r="AW114">
        <v>1.5494813333333299</v>
      </c>
      <c r="AX114">
        <v>1.39259333333333</v>
      </c>
      <c r="AY114">
        <v>13.4653333333333</v>
      </c>
      <c r="AZ114">
        <v>11.837199999999999</v>
      </c>
      <c r="BA114">
        <v>0</v>
      </c>
      <c r="BB114">
        <v>0.90993299999999999</v>
      </c>
      <c r="BC114">
        <v>0</v>
      </c>
      <c r="BD114">
        <v>9.0067300000000003E-2</v>
      </c>
      <c r="BE114">
        <v>0</v>
      </c>
      <c r="BF114">
        <v>24</v>
      </c>
      <c r="BG114">
        <v>0</v>
      </c>
      <c r="BH114">
        <v>1771000543</v>
      </c>
      <c r="BI114" t="s">
        <v>490</v>
      </c>
      <c r="BJ114">
        <v>1771000521</v>
      </c>
      <c r="BK114">
        <v>1771000543</v>
      </c>
      <c r="BL114">
        <v>5</v>
      </c>
      <c r="BM114">
        <v>0.04</v>
      </c>
      <c r="BN114">
        <v>1.9E-2</v>
      </c>
      <c r="BO114">
        <v>-0.96299999999999997</v>
      </c>
      <c r="BP114">
        <v>0.108</v>
      </c>
      <c r="BQ114">
        <v>410</v>
      </c>
      <c r="BR114">
        <v>15</v>
      </c>
      <c r="BS114">
        <v>0.33</v>
      </c>
      <c r="BT114">
        <v>7.0000000000000007E-2</v>
      </c>
      <c r="BU114">
        <v>-0.2474181</v>
      </c>
      <c r="BV114">
        <v>-0.114541894736842</v>
      </c>
      <c r="BW114">
        <v>2.8835706592521701E-2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1.583475</v>
      </c>
      <c r="CD114">
        <v>-0.498982556390976</v>
      </c>
      <c r="CE114">
        <v>4.8948943553461903E-2</v>
      </c>
      <c r="CF114">
        <v>0</v>
      </c>
      <c r="CG114">
        <v>1</v>
      </c>
      <c r="CH114">
        <v>2</v>
      </c>
      <c r="CI114" t="s">
        <v>290</v>
      </c>
      <c r="CJ114">
        <v>3.5325199999999999</v>
      </c>
      <c r="CK114">
        <v>2.7024900000000001</v>
      </c>
      <c r="CL114">
        <v>9.8409700000000003E-2</v>
      </c>
      <c r="CM114">
        <v>9.7060199999999999E-2</v>
      </c>
      <c r="CN114">
        <v>8.7409200000000006E-2</v>
      </c>
      <c r="CO114">
        <v>8.0215800000000004E-2</v>
      </c>
      <c r="CP114">
        <v>31645</v>
      </c>
      <c r="CQ114">
        <v>27792.5</v>
      </c>
      <c r="CR114">
        <v>32482.5</v>
      </c>
      <c r="CS114">
        <v>30703.8</v>
      </c>
      <c r="CT114">
        <v>40124.9</v>
      </c>
      <c r="CU114">
        <v>39703.5</v>
      </c>
      <c r="CV114">
        <v>47424.2</v>
      </c>
      <c r="CW114">
        <v>46809.4</v>
      </c>
      <c r="CX114">
        <v>2.63348</v>
      </c>
      <c r="CY114">
        <v>2.1656</v>
      </c>
      <c r="CZ114">
        <v>0</v>
      </c>
      <c r="DA114">
        <v>0</v>
      </c>
      <c r="DB114">
        <v>999.9</v>
      </c>
      <c r="DC114">
        <v>999.9</v>
      </c>
      <c r="DD114">
        <v>65.272999999999996</v>
      </c>
      <c r="DE114">
        <v>24.834</v>
      </c>
      <c r="DF114">
        <v>20.4663</v>
      </c>
      <c r="DG114">
        <v>30.26</v>
      </c>
      <c r="DH114">
        <v>16.093800000000002</v>
      </c>
      <c r="DI114">
        <v>2</v>
      </c>
      <c r="DJ114">
        <v>-0.179455</v>
      </c>
      <c r="DK114">
        <v>1.4675199999999999</v>
      </c>
      <c r="DL114">
        <v>20.243400000000001</v>
      </c>
      <c r="DM114">
        <v>5.2454400000000003</v>
      </c>
      <c r="DN114">
        <v>12.033899999999999</v>
      </c>
      <c r="DO114">
        <v>4.9661200000000001</v>
      </c>
      <c r="DP114">
        <v>3.2907000000000002</v>
      </c>
      <c r="DQ114">
        <v>9999</v>
      </c>
      <c r="DR114">
        <v>9999</v>
      </c>
      <c r="DS114">
        <v>596.9</v>
      </c>
      <c r="DT114">
        <v>9999</v>
      </c>
      <c r="DU114">
        <v>1.87103</v>
      </c>
      <c r="DV114">
        <v>1.8760699999999999</v>
      </c>
      <c r="DW114">
        <v>1.8762300000000001</v>
      </c>
      <c r="DX114">
        <v>1.8827799999999999</v>
      </c>
      <c r="DY114">
        <v>1.8755999999999999</v>
      </c>
      <c r="DZ114">
        <v>1.8745799999999999</v>
      </c>
      <c r="EA114">
        <v>1.8707400000000001</v>
      </c>
      <c r="EB114">
        <v>1.87462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-0.96299999999999997</v>
      </c>
      <c r="EQ114">
        <v>0.1081</v>
      </c>
      <c r="ER114">
        <v>-0.96330000000000404</v>
      </c>
      <c r="ES114">
        <v>0</v>
      </c>
      <c r="ET114">
        <v>0</v>
      </c>
      <c r="EU114">
        <v>0</v>
      </c>
      <c r="EV114">
        <v>0.10804000000000299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0.9</v>
      </c>
      <c r="FE114">
        <v>0.5</v>
      </c>
      <c r="FF114">
        <v>1.2353499999999999</v>
      </c>
      <c r="FG114">
        <v>2.5769000000000002</v>
      </c>
      <c r="FH114">
        <v>2.19604</v>
      </c>
      <c r="FI114">
        <v>2.5793499999999998</v>
      </c>
      <c r="FJ114">
        <v>2.4462899999999999</v>
      </c>
      <c r="FK114">
        <v>2.3071299999999999</v>
      </c>
      <c r="FL114">
        <v>30.114699999999999</v>
      </c>
      <c r="FM114">
        <v>24.157499999999999</v>
      </c>
      <c r="FN114">
        <v>19</v>
      </c>
      <c r="FO114">
        <v>862.96199999999999</v>
      </c>
      <c r="FP114">
        <v>595.21600000000001</v>
      </c>
      <c r="FQ114">
        <v>18.686</v>
      </c>
      <c r="FR114">
        <v>24.752600000000001</v>
      </c>
      <c r="FS114">
        <v>30.0002</v>
      </c>
      <c r="FT114">
        <v>24.743200000000002</v>
      </c>
      <c r="FU114">
        <v>24.744599999999998</v>
      </c>
      <c r="FV114">
        <v>24.794</v>
      </c>
      <c r="FW114">
        <v>35.681399999999996</v>
      </c>
      <c r="FX114">
        <v>39.083199999999998</v>
      </c>
      <c r="FY114">
        <v>18.698499999999999</v>
      </c>
      <c r="FZ114">
        <v>410</v>
      </c>
      <c r="GA114">
        <v>13.9421</v>
      </c>
      <c r="GB114">
        <v>99.941299999999998</v>
      </c>
      <c r="GC114">
        <v>99.659800000000004</v>
      </c>
    </row>
    <row r="115" spans="1:185" x14ac:dyDescent="0.2">
      <c r="A115">
        <v>100</v>
      </c>
      <c r="B115">
        <v>1771000590</v>
      </c>
      <c r="C115">
        <v>1966.9000000953699</v>
      </c>
      <c r="D115" t="s">
        <v>497</v>
      </c>
      <c r="E115" t="s">
        <v>498</v>
      </c>
      <c r="F115">
        <v>15</v>
      </c>
      <c r="G115">
        <v>1771000581.9333301</v>
      </c>
      <c r="H115">
        <f t="shared" si="13"/>
        <v>1.201760448550529E-3</v>
      </c>
      <c r="I115">
        <v>0</v>
      </c>
      <c r="J115">
        <f t="shared" si="25"/>
        <v>-1.6895112292600486E-2</v>
      </c>
      <c r="K115">
        <f t="shared" si="14"/>
        <v>-0.3021057986619205</v>
      </c>
      <c r="L115">
        <f t="shared" si="15"/>
        <v>70.060484922222642</v>
      </c>
      <c r="M115">
        <f t="shared" si="16"/>
        <v>1.5435229300315969</v>
      </c>
      <c r="N115">
        <f t="shared" si="17"/>
        <v>2.2031290987282381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26297.973760468281</v>
      </c>
      <c r="T115">
        <f t="shared" si="21"/>
        <v>0</v>
      </c>
      <c r="U115">
        <f t="shared" si="22"/>
        <v>0</v>
      </c>
      <c r="V115">
        <f t="shared" si="23"/>
        <v>0.84270227099999995</v>
      </c>
      <c r="W115">
        <f t="shared" si="24"/>
        <v>0.15795509285999998</v>
      </c>
      <c r="X115">
        <v>1</v>
      </c>
      <c r="Y115">
        <v>1771000581.9333301</v>
      </c>
      <c r="Z115">
        <v>409.73253333333298</v>
      </c>
      <c r="AA115">
        <v>409.97039999999998</v>
      </c>
      <c r="AB115">
        <v>15.36262</v>
      </c>
      <c r="AC115">
        <v>13.883506666666699</v>
      </c>
      <c r="AD115">
        <v>410.69586666666697</v>
      </c>
      <c r="AE115">
        <v>15.254580000000001</v>
      </c>
      <c r="AF115">
        <v>800.00513333333299</v>
      </c>
      <c r="AG115">
        <v>100.407666666667</v>
      </c>
      <c r="AH115">
        <v>6.4969513333333298E-2</v>
      </c>
      <c r="AI115">
        <v>18.9850866666667</v>
      </c>
      <c r="AJ115">
        <v>999.9</v>
      </c>
      <c r="AK115">
        <v>999.9</v>
      </c>
      <c r="AL115">
        <v>0</v>
      </c>
      <c r="AM115">
        <v>0</v>
      </c>
      <c r="AN115">
        <v>4994.6666666666697</v>
      </c>
      <c r="AO115">
        <v>0</v>
      </c>
      <c r="AP115">
        <v>1.86317</v>
      </c>
      <c r="AQ115">
        <v>-0.237935533333333</v>
      </c>
      <c r="AR115">
        <v>416.12540000000001</v>
      </c>
      <c r="AS115">
        <v>415.74233333333302</v>
      </c>
      <c r="AT115">
        <v>1.4791206666666701</v>
      </c>
      <c r="AU115">
        <v>409.97039999999998</v>
      </c>
      <c r="AV115">
        <v>13.883506666666699</v>
      </c>
      <c r="AW115">
        <v>1.5425260000000001</v>
      </c>
      <c r="AX115">
        <v>1.39401</v>
      </c>
      <c r="AY115">
        <v>13.396319999999999</v>
      </c>
      <c r="AZ115">
        <v>11.8526066666667</v>
      </c>
      <c r="BA115">
        <v>0</v>
      </c>
      <c r="BB115">
        <v>0.90993299999999999</v>
      </c>
      <c r="BC115">
        <v>0</v>
      </c>
      <c r="BD115">
        <v>9.0067300000000003E-2</v>
      </c>
      <c r="BE115">
        <v>0</v>
      </c>
      <c r="BF115">
        <v>24</v>
      </c>
      <c r="BG115">
        <v>0</v>
      </c>
      <c r="BH115">
        <v>1771000543</v>
      </c>
      <c r="BI115" t="s">
        <v>490</v>
      </c>
      <c r="BJ115">
        <v>1771000521</v>
      </c>
      <c r="BK115">
        <v>1771000543</v>
      </c>
      <c r="BL115">
        <v>5</v>
      </c>
      <c r="BM115">
        <v>0.04</v>
      </c>
      <c r="BN115">
        <v>1.9E-2</v>
      </c>
      <c r="BO115">
        <v>-0.96299999999999997</v>
      </c>
      <c r="BP115">
        <v>0.108</v>
      </c>
      <c r="BQ115">
        <v>410</v>
      </c>
      <c r="BR115">
        <v>15</v>
      </c>
      <c r="BS115">
        <v>0.33</v>
      </c>
      <c r="BT115">
        <v>7.0000000000000007E-2</v>
      </c>
      <c r="BU115">
        <v>-0.244233714285714</v>
      </c>
      <c r="BV115">
        <v>0.151265766233766</v>
      </c>
      <c r="BW115">
        <v>2.36201639830259E-2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1.49177047619048</v>
      </c>
      <c r="CD115">
        <v>-0.29633844155843803</v>
      </c>
      <c r="CE115">
        <v>3.3718002041609803E-2</v>
      </c>
      <c r="CF115">
        <v>0</v>
      </c>
      <c r="CG115">
        <v>1</v>
      </c>
      <c r="CH115">
        <v>2</v>
      </c>
      <c r="CI115" t="s">
        <v>290</v>
      </c>
      <c r="CJ115">
        <v>3.53254</v>
      </c>
      <c r="CK115">
        <v>2.7030099999999999</v>
      </c>
      <c r="CL115">
        <v>9.8409499999999997E-2</v>
      </c>
      <c r="CM115">
        <v>9.7057900000000003E-2</v>
      </c>
      <c r="CN115">
        <v>8.7271299999999996E-2</v>
      </c>
      <c r="CO115">
        <v>8.0426700000000004E-2</v>
      </c>
      <c r="CP115">
        <v>31644.5</v>
      </c>
      <c r="CQ115">
        <v>27792.400000000001</v>
      </c>
      <c r="CR115">
        <v>32482</v>
      </c>
      <c r="CS115">
        <v>30703.599999999999</v>
      </c>
      <c r="CT115">
        <v>40130.400000000001</v>
      </c>
      <c r="CU115">
        <v>39694.199999999997</v>
      </c>
      <c r="CV115">
        <v>47423.199999999997</v>
      </c>
      <c r="CW115">
        <v>46809.4</v>
      </c>
      <c r="CX115">
        <v>2.63408</v>
      </c>
      <c r="CY115">
        <v>2.1656399999999998</v>
      </c>
      <c r="CZ115">
        <v>0</v>
      </c>
      <c r="DA115">
        <v>0</v>
      </c>
      <c r="DB115">
        <v>999.9</v>
      </c>
      <c r="DC115">
        <v>999.9</v>
      </c>
      <c r="DD115">
        <v>65.144999999999996</v>
      </c>
      <c r="DE115">
        <v>24.864000000000001</v>
      </c>
      <c r="DF115">
        <v>20.462900000000001</v>
      </c>
      <c r="DG115">
        <v>30.44</v>
      </c>
      <c r="DH115">
        <v>16.1538</v>
      </c>
      <c r="DI115">
        <v>2</v>
      </c>
      <c r="DJ115">
        <v>-0.17907899999999999</v>
      </c>
      <c r="DK115">
        <v>1.4498800000000001</v>
      </c>
      <c r="DL115">
        <v>20.2439</v>
      </c>
      <c r="DM115">
        <v>5.2473599999999996</v>
      </c>
      <c r="DN115">
        <v>12.033899999999999</v>
      </c>
      <c r="DO115">
        <v>4.9663199999999996</v>
      </c>
      <c r="DP115">
        <v>3.2909999999999999</v>
      </c>
      <c r="DQ115">
        <v>9999</v>
      </c>
      <c r="DR115">
        <v>9999</v>
      </c>
      <c r="DS115">
        <v>596.9</v>
      </c>
      <c r="DT115">
        <v>9999</v>
      </c>
      <c r="DU115">
        <v>1.87103</v>
      </c>
      <c r="DV115">
        <v>1.8760699999999999</v>
      </c>
      <c r="DW115">
        <v>1.8762300000000001</v>
      </c>
      <c r="DX115">
        <v>1.8827799999999999</v>
      </c>
      <c r="DY115">
        <v>1.8755900000000001</v>
      </c>
      <c r="DZ115">
        <v>1.8745700000000001</v>
      </c>
      <c r="EA115">
        <v>1.87076</v>
      </c>
      <c r="EB115">
        <v>1.87462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-0.96299999999999997</v>
      </c>
      <c r="EQ115">
        <v>0.108</v>
      </c>
      <c r="ER115">
        <v>-0.96330000000000404</v>
      </c>
      <c r="ES115">
        <v>0</v>
      </c>
      <c r="ET115">
        <v>0</v>
      </c>
      <c r="EU115">
        <v>0</v>
      </c>
      <c r="EV115">
        <v>0.10804000000000299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1.1000000000000001</v>
      </c>
      <c r="FE115">
        <v>0.8</v>
      </c>
      <c r="FF115">
        <v>1.2353499999999999</v>
      </c>
      <c r="FG115">
        <v>2.5793499999999998</v>
      </c>
      <c r="FH115">
        <v>2.19604</v>
      </c>
      <c r="FI115">
        <v>2.5793499999999998</v>
      </c>
      <c r="FJ115">
        <v>2.4462899999999999</v>
      </c>
      <c r="FK115">
        <v>2.2997999999999998</v>
      </c>
      <c r="FL115">
        <v>30.136099999999999</v>
      </c>
      <c r="FM115">
        <v>24.1663</v>
      </c>
      <c r="FN115">
        <v>19</v>
      </c>
      <c r="FO115">
        <v>863.59900000000005</v>
      </c>
      <c r="FP115">
        <v>595.30100000000004</v>
      </c>
      <c r="FQ115">
        <v>18.721399999999999</v>
      </c>
      <c r="FR115">
        <v>24.7576</v>
      </c>
      <c r="FS115">
        <v>30.0001</v>
      </c>
      <c r="FT115">
        <v>24.748100000000001</v>
      </c>
      <c r="FU115">
        <v>24.749099999999999</v>
      </c>
      <c r="FV115">
        <v>24.796900000000001</v>
      </c>
      <c r="FW115">
        <v>35.405999999999999</v>
      </c>
      <c r="FX115">
        <v>38.706899999999997</v>
      </c>
      <c r="FY115">
        <v>18.729800000000001</v>
      </c>
      <c r="FZ115">
        <v>410</v>
      </c>
      <c r="GA115">
        <v>13.9421</v>
      </c>
      <c r="GB115">
        <v>99.939499999999995</v>
      </c>
      <c r="GC115">
        <v>99.659599999999998</v>
      </c>
    </row>
    <row r="116" spans="1:185" x14ac:dyDescent="0.2">
      <c r="A116">
        <v>101</v>
      </c>
      <c r="B116">
        <v>1771000605</v>
      </c>
      <c r="C116">
        <v>1981.9000000953699</v>
      </c>
      <c r="D116" t="s">
        <v>499</v>
      </c>
      <c r="E116" t="s">
        <v>500</v>
      </c>
      <c r="F116">
        <v>15</v>
      </c>
      <c r="G116">
        <v>1771000596.9333301</v>
      </c>
      <c r="H116">
        <f t="shared" si="13"/>
        <v>1.1639513982844327E-3</v>
      </c>
      <c r="I116">
        <v>0</v>
      </c>
      <c r="J116">
        <f t="shared" si="25"/>
        <v>-1.5725519466559028E-2</v>
      </c>
      <c r="K116">
        <f t="shared" si="14"/>
        <v>-0.28119201195833882</v>
      </c>
      <c r="L116">
        <f t="shared" si="15"/>
        <v>69.98720975097666</v>
      </c>
      <c r="M116">
        <f t="shared" si="16"/>
        <v>1.5424193206265864</v>
      </c>
      <c r="N116">
        <f t="shared" si="17"/>
        <v>2.2038588566606805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26352.927116968458</v>
      </c>
      <c r="T116">
        <f t="shared" si="21"/>
        <v>0</v>
      </c>
      <c r="U116">
        <f t="shared" si="22"/>
        <v>0</v>
      </c>
      <c r="V116">
        <f t="shared" si="23"/>
        <v>0.84270227099999995</v>
      </c>
      <c r="W116">
        <f t="shared" si="24"/>
        <v>0.15795509285999998</v>
      </c>
      <c r="X116">
        <v>1</v>
      </c>
      <c r="Y116">
        <v>1771000596.9333301</v>
      </c>
      <c r="Z116">
        <v>409.74953333333298</v>
      </c>
      <c r="AA116">
        <v>409.99419999999998</v>
      </c>
      <c r="AB116">
        <v>15.351739999999999</v>
      </c>
      <c r="AC116">
        <v>13.91916</v>
      </c>
      <c r="AD116">
        <v>410.71280000000002</v>
      </c>
      <c r="AE116">
        <v>15.2437</v>
      </c>
      <c r="AF116">
        <v>800.01306666666699</v>
      </c>
      <c r="AG116">
        <v>100.407</v>
      </c>
      <c r="AH116">
        <v>6.4954360000000003E-2</v>
      </c>
      <c r="AI116">
        <v>18.990393333333301</v>
      </c>
      <c r="AJ116">
        <v>999.9</v>
      </c>
      <c r="AK116">
        <v>999.9</v>
      </c>
      <c r="AL116">
        <v>0</v>
      </c>
      <c r="AM116">
        <v>0</v>
      </c>
      <c r="AN116">
        <v>5003.8</v>
      </c>
      <c r="AO116">
        <v>0</v>
      </c>
      <c r="AP116">
        <v>1.86317</v>
      </c>
      <c r="AQ116">
        <v>-0.244655333333333</v>
      </c>
      <c r="AR116">
        <v>416.13806666666699</v>
      </c>
      <c r="AS116">
        <v>415.78166666666698</v>
      </c>
      <c r="AT116">
        <v>1.43257533333333</v>
      </c>
      <c r="AU116">
        <v>409.99419999999998</v>
      </c>
      <c r="AV116">
        <v>13.91916</v>
      </c>
      <c r="AW116">
        <v>1.5414239999999999</v>
      </c>
      <c r="AX116">
        <v>1.3975833333333301</v>
      </c>
      <c r="AY116">
        <v>13.385353333333301</v>
      </c>
      <c r="AZ116">
        <v>11.8914266666667</v>
      </c>
      <c r="BA116">
        <v>0</v>
      </c>
      <c r="BB116">
        <v>0.90993299999999999</v>
      </c>
      <c r="BC116">
        <v>0</v>
      </c>
      <c r="BD116">
        <v>9.0067300000000003E-2</v>
      </c>
      <c r="BE116">
        <v>0</v>
      </c>
      <c r="BF116">
        <v>24</v>
      </c>
      <c r="BG116">
        <v>0</v>
      </c>
      <c r="BH116">
        <v>1771000543</v>
      </c>
      <c r="BI116" t="s">
        <v>490</v>
      </c>
      <c r="BJ116">
        <v>1771000521</v>
      </c>
      <c r="BK116">
        <v>1771000543</v>
      </c>
      <c r="BL116">
        <v>5</v>
      </c>
      <c r="BM116">
        <v>0.04</v>
      </c>
      <c r="BN116">
        <v>1.9E-2</v>
      </c>
      <c r="BO116">
        <v>-0.96299999999999997</v>
      </c>
      <c r="BP116">
        <v>0.108</v>
      </c>
      <c r="BQ116">
        <v>410</v>
      </c>
      <c r="BR116">
        <v>15</v>
      </c>
      <c r="BS116">
        <v>0.33</v>
      </c>
      <c r="BT116">
        <v>7.0000000000000007E-2</v>
      </c>
      <c r="BU116">
        <v>-0.23739170000000001</v>
      </c>
      <c r="BV116">
        <v>-6.2113894736842201E-2</v>
      </c>
      <c r="BW116">
        <v>2.5847645521594399E-2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1.4344300000000001</v>
      </c>
      <c r="CD116">
        <v>-1.46742857142873E-2</v>
      </c>
      <c r="CE116">
        <v>1.11582400045886E-2</v>
      </c>
      <c r="CF116">
        <v>1</v>
      </c>
      <c r="CG116">
        <v>2</v>
      </c>
      <c r="CH116">
        <v>2</v>
      </c>
      <c r="CI116" t="s">
        <v>304</v>
      </c>
      <c r="CJ116">
        <v>3.5325000000000002</v>
      </c>
      <c r="CK116">
        <v>2.7027399999999999</v>
      </c>
      <c r="CL116">
        <v>9.84096E-2</v>
      </c>
      <c r="CM116">
        <v>9.7052600000000003E-2</v>
      </c>
      <c r="CN116">
        <v>8.7254999999999999E-2</v>
      </c>
      <c r="CO116">
        <v>8.0345E-2</v>
      </c>
      <c r="CP116">
        <v>31644.2</v>
      </c>
      <c r="CQ116">
        <v>27792.7</v>
      </c>
      <c r="CR116">
        <v>32481.7</v>
      </c>
      <c r="CS116">
        <v>30703.9</v>
      </c>
      <c r="CT116">
        <v>40130.9</v>
      </c>
      <c r="CU116">
        <v>39698.1</v>
      </c>
      <c r="CV116">
        <v>47422.9</v>
      </c>
      <c r="CW116">
        <v>46809.7</v>
      </c>
      <c r="CX116">
        <v>2.63428</v>
      </c>
      <c r="CY116">
        <v>2.1656599999999999</v>
      </c>
      <c r="CZ116">
        <v>0</v>
      </c>
      <c r="DA116">
        <v>0</v>
      </c>
      <c r="DB116">
        <v>999.9</v>
      </c>
      <c r="DC116">
        <v>999.9</v>
      </c>
      <c r="DD116">
        <v>65.004000000000005</v>
      </c>
      <c r="DE116">
        <v>24.893999999999998</v>
      </c>
      <c r="DF116">
        <v>20.454999999999998</v>
      </c>
      <c r="DG116">
        <v>30.38</v>
      </c>
      <c r="DH116">
        <v>16.2059</v>
      </c>
      <c r="DI116">
        <v>2</v>
      </c>
      <c r="DJ116">
        <v>-0.178622</v>
      </c>
      <c r="DK116">
        <v>1.4439900000000001</v>
      </c>
      <c r="DL116">
        <v>20.244</v>
      </c>
      <c r="DM116">
        <v>5.2474800000000004</v>
      </c>
      <c r="DN116">
        <v>12.033899999999999</v>
      </c>
      <c r="DO116">
        <v>4.9657999999999998</v>
      </c>
      <c r="DP116">
        <v>3.2909999999999999</v>
      </c>
      <c r="DQ116">
        <v>9999</v>
      </c>
      <c r="DR116">
        <v>9999</v>
      </c>
      <c r="DS116">
        <v>596.9</v>
      </c>
      <c r="DT116">
        <v>9999</v>
      </c>
      <c r="DU116">
        <v>1.87103</v>
      </c>
      <c r="DV116">
        <v>1.8760699999999999</v>
      </c>
      <c r="DW116">
        <v>1.8762399999999999</v>
      </c>
      <c r="DX116">
        <v>1.8827799999999999</v>
      </c>
      <c r="DY116">
        <v>1.87557</v>
      </c>
      <c r="DZ116">
        <v>1.8746</v>
      </c>
      <c r="EA116">
        <v>1.87077</v>
      </c>
      <c r="EB116">
        <v>1.8746100000000001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-0.96299999999999997</v>
      </c>
      <c r="EQ116">
        <v>0.1081</v>
      </c>
      <c r="ER116">
        <v>-0.96330000000000404</v>
      </c>
      <c r="ES116">
        <v>0</v>
      </c>
      <c r="ET116">
        <v>0</v>
      </c>
      <c r="EU116">
        <v>0</v>
      </c>
      <c r="EV116">
        <v>0.10804000000000299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1.4</v>
      </c>
      <c r="FE116">
        <v>1</v>
      </c>
      <c r="FF116">
        <v>1.2353499999999999</v>
      </c>
      <c r="FG116">
        <v>2.5891099999999998</v>
      </c>
      <c r="FH116">
        <v>2.19604</v>
      </c>
      <c r="FI116">
        <v>2.5793499999999998</v>
      </c>
      <c r="FJ116">
        <v>2.4462899999999999</v>
      </c>
      <c r="FK116">
        <v>2.2326700000000002</v>
      </c>
      <c r="FL116">
        <v>30.136099999999999</v>
      </c>
      <c r="FM116">
        <v>24.157499999999999</v>
      </c>
      <c r="FN116">
        <v>19</v>
      </c>
      <c r="FO116">
        <v>863.85199999999998</v>
      </c>
      <c r="FP116">
        <v>595.37</v>
      </c>
      <c r="FQ116">
        <v>18.7453</v>
      </c>
      <c r="FR116">
        <v>24.7622</v>
      </c>
      <c r="FS116">
        <v>30.000299999999999</v>
      </c>
      <c r="FT116">
        <v>24.752300000000002</v>
      </c>
      <c r="FU116">
        <v>24.753699999999998</v>
      </c>
      <c r="FV116">
        <v>24.799499999999998</v>
      </c>
      <c r="FW116">
        <v>35.405999999999999</v>
      </c>
      <c r="FX116">
        <v>38.331000000000003</v>
      </c>
      <c r="FY116">
        <v>18.7499</v>
      </c>
      <c r="FZ116">
        <v>410</v>
      </c>
      <c r="GA116">
        <v>13.9421</v>
      </c>
      <c r="GB116">
        <v>99.938699999999997</v>
      </c>
      <c r="GC116">
        <v>99.660300000000007</v>
      </c>
    </row>
    <row r="117" spans="1:185" x14ac:dyDescent="0.2">
      <c r="A117">
        <v>102</v>
      </c>
      <c r="B117">
        <v>1771000620</v>
      </c>
      <c r="C117">
        <v>1996.9000000953699</v>
      </c>
      <c r="D117" t="s">
        <v>501</v>
      </c>
      <c r="E117" t="s">
        <v>502</v>
      </c>
      <c r="F117">
        <v>15</v>
      </c>
      <c r="G117">
        <v>1771000611.9333301</v>
      </c>
      <c r="H117">
        <f t="shared" si="13"/>
        <v>1.170156691420828E-3</v>
      </c>
      <c r="I117">
        <v>0</v>
      </c>
      <c r="J117">
        <f t="shared" si="25"/>
        <v>-1.5945932370867815E-2</v>
      </c>
      <c r="K117">
        <f t="shared" si="14"/>
        <v>-0.28513327114255643</v>
      </c>
      <c r="L117">
        <f t="shared" si="15"/>
        <v>69.911548070837071</v>
      </c>
      <c r="M117">
        <f t="shared" si="16"/>
        <v>1.5415488237754211</v>
      </c>
      <c r="N117">
        <f t="shared" si="17"/>
        <v>2.2049988396959321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26313.699791673622</v>
      </c>
      <c r="T117">
        <f t="shared" si="21"/>
        <v>0</v>
      </c>
      <c r="U117">
        <f t="shared" si="22"/>
        <v>0</v>
      </c>
      <c r="V117">
        <f t="shared" si="23"/>
        <v>0.84270227099999995</v>
      </c>
      <c r="W117">
        <f t="shared" si="24"/>
        <v>0.15795509285999998</v>
      </c>
      <c r="X117">
        <v>1</v>
      </c>
      <c r="Y117">
        <v>1771000611.9333301</v>
      </c>
      <c r="Z117">
        <v>409.75786666666698</v>
      </c>
      <c r="AA117">
        <v>410.00080000000003</v>
      </c>
      <c r="AB117">
        <v>15.3429</v>
      </c>
      <c r="AC117">
        <v>13.9026533333333</v>
      </c>
      <c r="AD117">
        <v>410.72126666666702</v>
      </c>
      <c r="AE117">
        <v>15.2348866666667</v>
      </c>
      <c r="AF117">
        <v>800.00400000000002</v>
      </c>
      <c r="AG117">
        <v>100.408066666667</v>
      </c>
      <c r="AH117">
        <v>6.5039706666666697E-2</v>
      </c>
      <c r="AI117">
        <v>18.99868</v>
      </c>
      <c r="AJ117">
        <v>999.9</v>
      </c>
      <c r="AK117">
        <v>999.9</v>
      </c>
      <c r="AL117">
        <v>0</v>
      </c>
      <c r="AM117">
        <v>0</v>
      </c>
      <c r="AN117">
        <v>4997.4333333333298</v>
      </c>
      <c r="AO117">
        <v>0</v>
      </c>
      <c r="AP117">
        <v>1.86317</v>
      </c>
      <c r="AQ117">
        <v>-0.242808</v>
      </c>
      <c r="AR117">
        <v>416.14280000000002</v>
      </c>
      <c r="AS117">
        <v>415.78126666666702</v>
      </c>
      <c r="AT117">
        <v>1.44026733333333</v>
      </c>
      <c r="AU117">
        <v>410.00080000000003</v>
      </c>
      <c r="AV117">
        <v>13.9026533333333</v>
      </c>
      <c r="AW117">
        <v>1.5405519999999999</v>
      </c>
      <c r="AX117">
        <v>1.3959379999999999</v>
      </c>
      <c r="AY117">
        <v>13.3766933333333</v>
      </c>
      <c r="AZ117">
        <v>11.8735866666667</v>
      </c>
      <c r="BA117">
        <v>0</v>
      </c>
      <c r="BB117">
        <v>0.90993299999999999</v>
      </c>
      <c r="BC117">
        <v>0</v>
      </c>
      <c r="BD117">
        <v>9.0067300000000003E-2</v>
      </c>
      <c r="BE117">
        <v>0</v>
      </c>
      <c r="BF117">
        <v>24</v>
      </c>
      <c r="BG117">
        <v>0</v>
      </c>
      <c r="BH117">
        <v>1771000543</v>
      </c>
      <c r="BI117" t="s">
        <v>490</v>
      </c>
      <c r="BJ117">
        <v>1771000521</v>
      </c>
      <c r="BK117">
        <v>1771000543</v>
      </c>
      <c r="BL117">
        <v>5</v>
      </c>
      <c r="BM117">
        <v>0.04</v>
      </c>
      <c r="BN117">
        <v>1.9E-2</v>
      </c>
      <c r="BO117">
        <v>-0.96299999999999997</v>
      </c>
      <c r="BP117">
        <v>0.108</v>
      </c>
      <c r="BQ117">
        <v>410</v>
      </c>
      <c r="BR117">
        <v>15</v>
      </c>
      <c r="BS117">
        <v>0.33</v>
      </c>
      <c r="BT117">
        <v>7.0000000000000007E-2</v>
      </c>
      <c r="BU117">
        <v>-0.237665047619048</v>
      </c>
      <c r="BV117">
        <v>-0.13794701298701301</v>
      </c>
      <c r="BW117">
        <v>2.3605194641124001E-2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1.4386609523809499</v>
      </c>
      <c r="CD117">
        <v>2.40171428571435E-2</v>
      </c>
      <c r="CE117">
        <v>3.3764265482648598E-3</v>
      </c>
      <c r="CF117">
        <v>1</v>
      </c>
      <c r="CG117">
        <v>2</v>
      </c>
      <c r="CH117">
        <v>2</v>
      </c>
      <c r="CI117" t="s">
        <v>304</v>
      </c>
      <c r="CJ117">
        <v>3.5325299999999999</v>
      </c>
      <c r="CK117">
        <v>2.7029399999999999</v>
      </c>
      <c r="CL117">
        <v>9.8406199999999999E-2</v>
      </c>
      <c r="CM117">
        <v>9.7057500000000005E-2</v>
      </c>
      <c r="CN117">
        <v>8.72227E-2</v>
      </c>
      <c r="CO117">
        <v>8.0276100000000003E-2</v>
      </c>
      <c r="CP117">
        <v>31645.1</v>
      </c>
      <c r="CQ117">
        <v>27792.9</v>
      </c>
      <c r="CR117">
        <v>32482.5</v>
      </c>
      <c r="CS117">
        <v>30704.2</v>
      </c>
      <c r="CT117">
        <v>40133.699999999997</v>
      </c>
      <c r="CU117">
        <v>39701.300000000003</v>
      </c>
      <c r="CV117">
        <v>47424.4</v>
      </c>
      <c r="CW117">
        <v>46810</v>
      </c>
      <c r="CX117">
        <v>2.6342599999999998</v>
      </c>
      <c r="CY117">
        <v>2.16534</v>
      </c>
      <c r="CZ117">
        <v>0</v>
      </c>
      <c r="DA117">
        <v>0</v>
      </c>
      <c r="DB117">
        <v>999.9</v>
      </c>
      <c r="DC117">
        <v>999.9</v>
      </c>
      <c r="DD117">
        <v>64.87</v>
      </c>
      <c r="DE117">
        <v>24.904</v>
      </c>
      <c r="DF117">
        <v>20.4255</v>
      </c>
      <c r="DG117">
        <v>30.56</v>
      </c>
      <c r="DH117">
        <v>16.089700000000001</v>
      </c>
      <c r="DI117">
        <v>2</v>
      </c>
      <c r="DJ117">
        <v>-0.178482</v>
      </c>
      <c r="DK117">
        <v>1.54941</v>
      </c>
      <c r="DL117">
        <v>20.242699999999999</v>
      </c>
      <c r="DM117">
        <v>5.2480799999999999</v>
      </c>
      <c r="DN117">
        <v>12.033899999999999</v>
      </c>
      <c r="DO117">
        <v>4.9660399999999996</v>
      </c>
      <c r="DP117">
        <v>3.2909999999999999</v>
      </c>
      <c r="DQ117">
        <v>9999</v>
      </c>
      <c r="DR117">
        <v>9999</v>
      </c>
      <c r="DS117">
        <v>596.9</v>
      </c>
      <c r="DT117">
        <v>9999</v>
      </c>
      <c r="DU117">
        <v>1.87103</v>
      </c>
      <c r="DV117">
        <v>1.8760699999999999</v>
      </c>
      <c r="DW117">
        <v>1.8762300000000001</v>
      </c>
      <c r="DX117">
        <v>1.8827799999999999</v>
      </c>
      <c r="DY117">
        <v>1.8755599999999999</v>
      </c>
      <c r="DZ117">
        <v>1.8745799999999999</v>
      </c>
      <c r="EA117">
        <v>1.8707499999999999</v>
      </c>
      <c r="EB117">
        <v>1.8746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-0.96399999999999997</v>
      </c>
      <c r="EQ117">
        <v>0.1081</v>
      </c>
      <c r="ER117">
        <v>-0.96330000000000404</v>
      </c>
      <c r="ES117">
        <v>0</v>
      </c>
      <c r="ET117">
        <v>0</v>
      </c>
      <c r="EU117">
        <v>0</v>
      </c>
      <c r="EV117">
        <v>0.10804000000000299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1.6</v>
      </c>
      <c r="FE117">
        <v>1.3</v>
      </c>
      <c r="FF117">
        <v>1.2353499999999999</v>
      </c>
      <c r="FG117">
        <v>2.5805699999999998</v>
      </c>
      <c r="FH117">
        <v>2.19604</v>
      </c>
      <c r="FI117">
        <v>2.5793499999999998</v>
      </c>
      <c r="FJ117">
        <v>2.4462899999999999</v>
      </c>
      <c r="FK117">
        <v>2.2692899999999998</v>
      </c>
      <c r="FL117">
        <v>30.157599999999999</v>
      </c>
      <c r="FM117">
        <v>24.157499999999999</v>
      </c>
      <c r="FN117">
        <v>19</v>
      </c>
      <c r="FO117">
        <v>863.90099999999995</v>
      </c>
      <c r="FP117">
        <v>595.17200000000003</v>
      </c>
      <c r="FQ117">
        <v>18.754799999999999</v>
      </c>
      <c r="FR117">
        <v>24.766300000000001</v>
      </c>
      <c r="FS117">
        <v>30.0001</v>
      </c>
      <c r="FT117">
        <v>24.756499999999999</v>
      </c>
      <c r="FU117">
        <v>24.758299999999998</v>
      </c>
      <c r="FV117">
        <v>24.799099999999999</v>
      </c>
      <c r="FW117">
        <v>35.405999999999999</v>
      </c>
      <c r="FX117">
        <v>37.956000000000003</v>
      </c>
      <c r="FY117">
        <v>18.674299999999999</v>
      </c>
      <c r="FZ117">
        <v>410</v>
      </c>
      <c r="GA117">
        <v>13.9421</v>
      </c>
      <c r="GB117">
        <v>99.941599999999994</v>
      </c>
      <c r="GC117">
        <v>99.661199999999994</v>
      </c>
    </row>
    <row r="118" spans="1:185" x14ac:dyDescent="0.2">
      <c r="A118">
        <v>103</v>
      </c>
      <c r="B118">
        <v>1771000635</v>
      </c>
      <c r="C118">
        <v>2011.9000000953699</v>
      </c>
      <c r="D118" t="s">
        <v>503</v>
      </c>
      <c r="E118" t="s">
        <v>504</v>
      </c>
      <c r="F118">
        <v>15</v>
      </c>
      <c r="G118">
        <v>1771000626.9333301</v>
      </c>
      <c r="H118">
        <f t="shared" si="13"/>
        <v>1.1664992099247342E-3</v>
      </c>
      <c r="I118">
        <v>0</v>
      </c>
      <c r="J118">
        <f t="shared" si="25"/>
        <v>-1.5871390809818732E-2</v>
      </c>
      <c r="K118">
        <f t="shared" si="14"/>
        <v>-0.28380037453647106</v>
      </c>
      <c r="L118">
        <f t="shared" si="15"/>
        <v>69.814780820907174</v>
      </c>
      <c r="M118">
        <f t="shared" si="16"/>
        <v>1.5398186256118567</v>
      </c>
      <c r="N118">
        <f t="shared" si="17"/>
        <v>2.2055768241425646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26314.885736153778</v>
      </c>
      <c r="T118">
        <f t="shared" si="21"/>
        <v>0</v>
      </c>
      <c r="U118">
        <f t="shared" si="22"/>
        <v>0</v>
      </c>
      <c r="V118">
        <f t="shared" si="23"/>
        <v>0.84270227099999995</v>
      </c>
      <c r="W118">
        <f t="shared" si="24"/>
        <v>0.15795509285999998</v>
      </c>
      <c r="X118">
        <v>1</v>
      </c>
      <c r="Y118">
        <v>1771000626.9333301</v>
      </c>
      <c r="Z118">
        <v>409.76319999999998</v>
      </c>
      <c r="AA118">
        <v>410.00593333333302</v>
      </c>
      <c r="AB118">
        <v>15.325813333333301</v>
      </c>
      <c r="AC118">
        <v>13.8900466666667</v>
      </c>
      <c r="AD118">
        <v>410.72640000000001</v>
      </c>
      <c r="AE118">
        <v>15.217753333333301</v>
      </c>
      <c r="AF118">
        <v>800.00580000000002</v>
      </c>
      <c r="AG118">
        <v>100.40706666666701</v>
      </c>
      <c r="AH118">
        <v>6.5162253333333295E-2</v>
      </c>
      <c r="AI118">
        <v>19.002880000000001</v>
      </c>
      <c r="AJ118">
        <v>999.9</v>
      </c>
      <c r="AK118">
        <v>999.9</v>
      </c>
      <c r="AL118">
        <v>0</v>
      </c>
      <c r="AM118">
        <v>0</v>
      </c>
      <c r="AN118">
        <v>4997.7333333333299</v>
      </c>
      <c r="AO118">
        <v>0</v>
      </c>
      <c r="AP118">
        <v>1.86317</v>
      </c>
      <c r="AQ118">
        <v>-0.24279366666666699</v>
      </c>
      <c r="AR118">
        <v>416.14080000000001</v>
      </c>
      <c r="AS118">
        <v>415.781133333333</v>
      </c>
      <c r="AT118">
        <v>1.4357486666666699</v>
      </c>
      <c r="AU118">
        <v>410.00593333333302</v>
      </c>
      <c r="AV118">
        <v>13.8900466666667</v>
      </c>
      <c r="AW118">
        <v>1.5388166666666701</v>
      </c>
      <c r="AX118">
        <v>1.394658</v>
      </c>
      <c r="AY118">
        <v>13.3594133333333</v>
      </c>
      <c r="AZ118">
        <v>11.859680000000001</v>
      </c>
      <c r="BA118">
        <v>0</v>
      </c>
      <c r="BB118">
        <v>0.90993299999999999</v>
      </c>
      <c r="BC118">
        <v>0</v>
      </c>
      <c r="BD118">
        <v>9.0067300000000003E-2</v>
      </c>
      <c r="BE118">
        <v>0</v>
      </c>
      <c r="BF118">
        <v>24</v>
      </c>
      <c r="BG118">
        <v>0</v>
      </c>
      <c r="BH118">
        <v>1771000543</v>
      </c>
      <c r="BI118" t="s">
        <v>490</v>
      </c>
      <c r="BJ118">
        <v>1771000521</v>
      </c>
      <c r="BK118">
        <v>1771000543</v>
      </c>
      <c r="BL118">
        <v>5</v>
      </c>
      <c r="BM118">
        <v>0.04</v>
      </c>
      <c r="BN118">
        <v>1.9E-2</v>
      </c>
      <c r="BO118">
        <v>-0.96299999999999997</v>
      </c>
      <c r="BP118">
        <v>0.108</v>
      </c>
      <c r="BQ118">
        <v>410</v>
      </c>
      <c r="BR118">
        <v>15</v>
      </c>
      <c r="BS118">
        <v>0.33</v>
      </c>
      <c r="BT118">
        <v>7.0000000000000007E-2</v>
      </c>
      <c r="BU118">
        <v>-0.24958944999999999</v>
      </c>
      <c r="BV118">
        <v>0.12228843609022599</v>
      </c>
      <c r="BW118">
        <v>1.7761037214856001E-2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1.4370039999999999</v>
      </c>
      <c r="CD118">
        <v>-5.8399398496240602E-2</v>
      </c>
      <c r="CE118">
        <v>6.9561572725176102E-3</v>
      </c>
      <c r="CF118">
        <v>1</v>
      </c>
      <c r="CG118">
        <v>2</v>
      </c>
      <c r="CH118">
        <v>2</v>
      </c>
      <c r="CI118" t="s">
        <v>304</v>
      </c>
      <c r="CJ118">
        <v>3.5325000000000002</v>
      </c>
      <c r="CK118">
        <v>2.7028799999999999</v>
      </c>
      <c r="CL118">
        <v>9.8408399999999993E-2</v>
      </c>
      <c r="CM118">
        <v>9.7051700000000005E-2</v>
      </c>
      <c r="CN118">
        <v>8.7090100000000004E-2</v>
      </c>
      <c r="CO118">
        <v>8.0225299999999999E-2</v>
      </c>
      <c r="CP118">
        <v>31644.2</v>
      </c>
      <c r="CQ118">
        <v>27793.5</v>
      </c>
      <c r="CR118">
        <v>32481.8</v>
      </c>
      <c r="CS118">
        <v>30704.7</v>
      </c>
      <c r="CT118">
        <v>40138.699999999997</v>
      </c>
      <c r="CU118">
        <v>39704.699999999997</v>
      </c>
      <c r="CV118">
        <v>47423.199999999997</v>
      </c>
      <c r="CW118">
        <v>46811.3</v>
      </c>
      <c r="CX118">
        <v>2.6341000000000001</v>
      </c>
      <c r="CY118">
        <v>2.1649799999999999</v>
      </c>
      <c r="CZ118">
        <v>0</v>
      </c>
      <c r="DA118">
        <v>0</v>
      </c>
      <c r="DB118">
        <v>999.9</v>
      </c>
      <c r="DC118">
        <v>999.9</v>
      </c>
      <c r="DD118">
        <v>64.748000000000005</v>
      </c>
      <c r="DE118">
        <v>24.914000000000001</v>
      </c>
      <c r="DF118">
        <v>20.3996</v>
      </c>
      <c r="DG118">
        <v>30.440100000000001</v>
      </c>
      <c r="DH118">
        <v>16.189900000000002</v>
      </c>
      <c r="DI118">
        <v>2</v>
      </c>
      <c r="DJ118">
        <v>-0.17790600000000001</v>
      </c>
      <c r="DK118">
        <v>1.59819</v>
      </c>
      <c r="DL118">
        <v>20.2422</v>
      </c>
      <c r="DM118">
        <v>5.2481999999999998</v>
      </c>
      <c r="DN118">
        <v>12.033899999999999</v>
      </c>
      <c r="DO118">
        <v>4.9659199999999997</v>
      </c>
      <c r="DP118">
        <v>3.2909999999999999</v>
      </c>
      <c r="DQ118">
        <v>9999</v>
      </c>
      <c r="DR118">
        <v>9999</v>
      </c>
      <c r="DS118">
        <v>596.9</v>
      </c>
      <c r="DT118">
        <v>9999</v>
      </c>
      <c r="DU118">
        <v>1.87103</v>
      </c>
      <c r="DV118">
        <v>1.8760699999999999</v>
      </c>
      <c r="DW118">
        <v>1.87625</v>
      </c>
      <c r="DX118">
        <v>1.8827799999999999</v>
      </c>
      <c r="DY118">
        <v>1.8755500000000001</v>
      </c>
      <c r="DZ118">
        <v>1.87459</v>
      </c>
      <c r="EA118">
        <v>1.8707499999999999</v>
      </c>
      <c r="EB118">
        <v>1.8746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-0.96299999999999997</v>
      </c>
      <c r="EQ118">
        <v>0.1081</v>
      </c>
      <c r="ER118">
        <v>-0.96330000000000404</v>
      </c>
      <c r="ES118">
        <v>0</v>
      </c>
      <c r="ET118">
        <v>0</v>
      </c>
      <c r="EU118">
        <v>0</v>
      </c>
      <c r="EV118">
        <v>0.10804000000000299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1.9</v>
      </c>
      <c r="FE118">
        <v>1.5</v>
      </c>
      <c r="FF118">
        <v>1.2353499999999999</v>
      </c>
      <c r="FG118">
        <v>2.5817899999999998</v>
      </c>
      <c r="FH118">
        <v>2.19604</v>
      </c>
      <c r="FI118">
        <v>2.5793499999999998</v>
      </c>
      <c r="FJ118">
        <v>2.4462899999999999</v>
      </c>
      <c r="FK118">
        <v>2.2949199999999998</v>
      </c>
      <c r="FL118">
        <v>30.157599999999999</v>
      </c>
      <c r="FM118">
        <v>24.1663</v>
      </c>
      <c r="FN118">
        <v>19</v>
      </c>
      <c r="FO118">
        <v>863.82</v>
      </c>
      <c r="FP118">
        <v>594.94399999999996</v>
      </c>
      <c r="FQ118">
        <v>18.66</v>
      </c>
      <c r="FR118">
        <v>24.770099999999999</v>
      </c>
      <c r="FS118">
        <v>30.0001</v>
      </c>
      <c r="FT118">
        <v>24.7606</v>
      </c>
      <c r="FU118">
        <v>24.762799999999999</v>
      </c>
      <c r="FV118">
        <v>24.799399999999999</v>
      </c>
      <c r="FW118">
        <v>35.405999999999999</v>
      </c>
      <c r="FX118">
        <v>37.580800000000004</v>
      </c>
      <c r="FY118">
        <v>18.665500000000002</v>
      </c>
      <c r="FZ118">
        <v>410</v>
      </c>
      <c r="GA118">
        <v>13.946300000000001</v>
      </c>
      <c r="GB118">
        <v>99.9392</v>
      </c>
      <c r="GC118">
        <v>99.663399999999996</v>
      </c>
    </row>
    <row r="119" spans="1:185" x14ac:dyDescent="0.2">
      <c r="A119">
        <v>104</v>
      </c>
      <c r="B119">
        <v>1771000650</v>
      </c>
      <c r="C119">
        <v>2026.9000000953699</v>
      </c>
      <c r="D119" t="s">
        <v>505</v>
      </c>
      <c r="E119" t="s">
        <v>506</v>
      </c>
      <c r="F119">
        <v>15</v>
      </c>
      <c r="G119">
        <v>1771000641.9333301</v>
      </c>
      <c r="H119">
        <f t="shared" si="13"/>
        <v>1.1497634971862605E-3</v>
      </c>
      <c r="I119">
        <v>0</v>
      </c>
      <c r="J119">
        <f t="shared" si="25"/>
        <v>-1.5749821908382089E-2</v>
      </c>
      <c r="K119">
        <f t="shared" si="14"/>
        <v>-0.28162657009972547</v>
      </c>
      <c r="L119">
        <f t="shared" si="15"/>
        <v>69.733714409326865</v>
      </c>
      <c r="M119">
        <f t="shared" si="16"/>
        <v>1.537813113062054</v>
      </c>
      <c r="N119">
        <f t="shared" si="17"/>
        <v>2.2052648795320331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26373.651585591502</v>
      </c>
      <c r="T119">
        <f t="shared" si="21"/>
        <v>0</v>
      </c>
      <c r="U119">
        <f t="shared" si="22"/>
        <v>0</v>
      </c>
      <c r="V119">
        <f t="shared" si="23"/>
        <v>0.84270227099999995</v>
      </c>
      <c r="W119">
        <f t="shared" si="24"/>
        <v>0.15795509285999998</v>
      </c>
      <c r="X119">
        <v>1</v>
      </c>
      <c r="Y119">
        <v>1771000641.9333301</v>
      </c>
      <c r="Z119">
        <v>409.75686666666701</v>
      </c>
      <c r="AA119">
        <v>409.99373333333301</v>
      </c>
      <c r="AB119">
        <v>15.3058266666667</v>
      </c>
      <c r="AC119">
        <v>13.890646666666701</v>
      </c>
      <c r="AD119">
        <v>410.72019999999998</v>
      </c>
      <c r="AE119">
        <v>15.197786666666699</v>
      </c>
      <c r="AF119">
        <v>800.01513333333401</v>
      </c>
      <c r="AG119">
        <v>100.40753333333301</v>
      </c>
      <c r="AH119">
        <v>6.4864959999999999E-2</v>
      </c>
      <c r="AI119">
        <v>19.000613333333298</v>
      </c>
      <c r="AJ119">
        <v>999.9</v>
      </c>
      <c r="AK119">
        <v>999.9</v>
      </c>
      <c r="AL119">
        <v>0</v>
      </c>
      <c r="AM119">
        <v>0</v>
      </c>
      <c r="AN119">
        <v>5007.3333333333303</v>
      </c>
      <c r="AO119">
        <v>0</v>
      </c>
      <c r="AP119">
        <v>1.86317</v>
      </c>
      <c r="AQ119">
        <v>-0.236743066666667</v>
      </c>
      <c r="AR119">
        <v>416.12613333333297</v>
      </c>
      <c r="AS119">
        <v>415.76900000000001</v>
      </c>
      <c r="AT119">
        <v>1.4151739999999999</v>
      </c>
      <c r="AU119">
        <v>409.99373333333301</v>
      </c>
      <c r="AV119">
        <v>13.890646666666701</v>
      </c>
      <c r="AW119">
        <v>1.536818</v>
      </c>
      <c r="AX119">
        <v>1.39472333333333</v>
      </c>
      <c r="AY119">
        <v>13.3394666666667</v>
      </c>
      <c r="AZ119">
        <v>11.8603733333333</v>
      </c>
      <c r="BA119">
        <v>0</v>
      </c>
      <c r="BB119">
        <v>0.90993299999999999</v>
      </c>
      <c r="BC119">
        <v>0</v>
      </c>
      <c r="BD119">
        <v>9.0067300000000003E-2</v>
      </c>
      <c r="BE119">
        <v>0</v>
      </c>
      <c r="BF119">
        <v>24</v>
      </c>
      <c r="BG119">
        <v>0</v>
      </c>
      <c r="BH119">
        <v>1771000543</v>
      </c>
      <c r="BI119" t="s">
        <v>490</v>
      </c>
      <c r="BJ119">
        <v>1771000521</v>
      </c>
      <c r="BK119">
        <v>1771000543</v>
      </c>
      <c r="BL119">
        <v>5</v>
      </c>
      <c r="BM119">
        <v>0.04</v>
      </c>
      <c r="BN119">
        <v>1.9E-2</v>
      </c>
      <c r="BO119">
        <v>-0.96299999999999997</v>
      </c>
      <c r="BP119">
        <v>0.108</v>
      </c>
      <c r="BQ119">
        <v>410</v>
      </c>
      <c r="BR119">
        <v>15</v>
      </c>
      <c r="BS119">
        <v>0.33</v>
      </c>
      <c r="BT119">
        <v>7.0000000000000007E-2</v>
      </c>
      <c r="BU119">
        <v>-0.23654166666666701</v>
      </c>
      <c r="BV119">
        <v>-7.1622857142857798E-3</v>
      </c>
      <c r="BW119">
        <v>1.8411800065468699E-2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1.4187980952381001</v>
      </c>
      <c r="CD119">
        <v>-0.107011168831168</v>
      </c>
      <c r="CE119">
        <v>1.3184146547327399E-2</v>
      </c>
      <c r="CF119">
        <v>0</v>
      </c>
      <c r="CG119">
        <v>1</v>
      </c>
      <c r="CH119">
        <v>2</v>
      </c>
      <c r="CI119" t="s">
        <v>290</v>
      </c>
      <c r="CJ119">
        <v>3.5324900000000001</v>
      </c>
      <c r="CK119">
        <v>2.7025700000000001</v>
      </c>
      <c r="CL119">
        <v>9.8406300000000002E-2</v>
      </c>
      <c r="CM119">
        <v>9.7055299999999997E-2</v>
      </c>
      <c r="CN119">
        <v>8.7070900000000007E-2</v>
      </c>
      <c r="CO119">
        <v>8.0345299999999995E-2</v>
      </c>
      <c r="CP119">
        <v>31644.3</v>
      </c>
      <c r="CQ119">
        <v>27793.3</v>
      </c>
      <c r="CR119">
        <v>32481.8</v>
      </c>
      <c r="CS119">
        <v>30704.6</v>
      </c>
      <c r="CT119">
        <v>40139.599999999999</v>
      </c>
      <c r="CU119">
        <v>39699.1</v>
      </c>
      <c r="CV119">
        <v>47423.199999999997</v>
      </c>
      <c r="CW119">
        <v>46810.9</v>
      </c>
      <c r="CX119">
        <v>2.63402</v>
      </c>
      <c r="CY119">
        <v>2.16506</v>
      </c>
      <c r="CZ119">
        <v>0</v>
      </c>
      <c r="DA119">
        <v>0</v>
      </c>
      <c r="DB119">
        <v>999.9</v>
      </c>
      <c r="DC119">
        <v>999.9</v>
      </c>
      <c r="DD119">
        <v>64.662000000000006</v>
      </c>
      <c r="DE119">
        <v>24.934000000000001</v>
      </c>
      <c r="DF119">
        <v>20.397300000000001</v>
      </c>
      <c r="DG119">
        <v>30.41</v>
      </c>
      <c r="DH119">
        <v>16.234000000000002</v>
      </c>
      <c r="DI119">
        <v>2</v>
      </c>
      <c r="DJ119">
        <v>-0.17774200000000001</v>
      </c>
      <c r="DK119">
        <v>1.55941</v>
      </c>
      <c r="DL119">
        <v>20.242899999999999</v>
      </c>
      <c r="DM119">
        <v>5.24892</v>
      </c>
      <c r="DN119">
        <v>12.033899999999999</v>
      </c>
      <c r="DO119">
        <v>4.9657999999999998</v>
      </c>
      <c r="DP119">
        <v>3.2909999999999999</v>
      </c>
      <c r="DQ119">
        <v>9999</v>
      </c>
      <c r="DR119">
        <v>9999</v>
      </c>
      <c r="DS119">
        <v>596.9</v>
      </c>
      <c r="DT119">
        <v>9999</v>
      </c>
      <c r="DU119">
        <v>1.87103</v>
      </c>
      <c r="DV119">
        <v>1.8760699999999999</v>
      </c>
      <c r="DW119">
        <v>1.87625</v>
      </c>
      <c r="DX119">
        <v>1.8827799999999999</v>
      </c>
      <c r="DY119">
        <v>1.8755599999999999</v>
      </c>
      <c r="DZ119">
        <v>1.8746</v>
      </c>
      <c r="EA119">
        <v>1.8707499999999999</v>
      </c>
      <c r="EB119">
        <v>1.87463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-0.96299999999999997</v>
      </c>
      <c r="EQ119">
        <v>0.1081</v>
      </c>
      <c r="ER119">
        <v>-0.96330000000000404</v>
      </c>
      <c r="ES119">
        <v>0</v>
      </c>
      <c r="ET119">
        <v>0</v>
      </c>
      <c r="EU119">
        <v>0</v>
      </c>
      <c r="EV119">
        <v>0.10804000000000299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2.1</v>
      </c>
      <c r="FE119">
        <v>1.8</v>
      </c>
      <c r="FF119">
        <v>1.2353499999999999</v>
      </c>
      <c r="FG119">
        <v>2.5756800000000002</v>
      </c>
      <c r="FH119">
        <v>2.19604</v>
      </c>
      <c r="FI119">
        <v>2.5781200000000002</v>
      </c>
      <c r="FJ119">
        <v>2.4462899999999999</v>
      </c>
      <c r="FK119">
        <v>2.2741699999999998</v>
      </c>
      <c r="FL119">
        <v>30.178999999999998</v>
      </c>
      <c r="FM119">
        <v>24.157499999999999</v>
      </c>
      <c r="FN119">
        <v>19</v>
      </c>
      <c r="FO119">
        <v>863.81399999999996</v>
      </c>
      <c r="FP119">
        <v>595.05399999999997</v>
      </c>
      <c r="FQ119">
        <v>18.660900000000002</v>
      </c>
      <c r="FR119">
        <v>24.773800000000001</v>
      </c>
      <c r="FS119">
        <v>30.0002</v>
      </c>
      <c r="FT119">
        <v>24.764800000000001</v>
      </c>
      <c r="FU119">
        <v>24.766999999999999</v>
      </c>
      <c r="FV119">
        <v>24.798100000000002</v>
      </c>
      <c r="FW119">
        <v>35.129899999999999</v>
      </c>
      <c r="FX119">
        <v>37.200099999999999</v>
      </c>
      <c r="FY119">
        <v>18.6675</v>
      </c>
      <c r="FZ119">
        <v>410</v>
      </c>
      <c r="GA119">
        <v>13.9552</v>
      </c>
      <c r="GB119">
        <v>99.9392</v>
      </c>
      <c r="GC119">
        <v>99.662800000000004</v>
      </c>
    </row>
    <row r="120" spans="1:185" x14ac:dyDescent="0.2">
      <c r="A120">
        <v>105</v>
      </c>
      <c r="B120">
        <v>1771000665</v>
      </c>
      <c r="C120">
        <v>2041.9000000953699</v>
      </c>
      <c r="D120" t="s">
        <v>507</v>
      </c>
      <c r="E120" t="s">
        <v>508</v>
      </c>
      <c r="F120">
        <v>15</v>
      </c>
      <c r="G120">
        <v>1771000656.9333301</v>
      </c>
      <c r="H120">
        <f t="shared" si="13"/>
        <v>1.1415536794632155E-3</v>
      </c>
      <c r="I120">
        <v>0</v>
      </c>
      <c r="J120">
        <f t="shared" si="25"/>
        <v>-1.5759615269582621E-2</v>
      </c>
      <c r="K120">
        <f t="shared" si="14"/>
        <v>-0.28180168768141606</v>
      </c>
      <c r="L120">
        <f t="shared" si="15"/>
        <v>69.784741301035083</v>
      </c>
      <c r="M120">
        <f t="shared" si="16"/>
        <v>1.5385984650299449</v>
      </c>
      <c r="N120">
        <f t="shared" si="17"/>
        <v>2.2047777728268567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26312.694129986525</v>
      </c>
      <c r="T120">
        <f t="shared" si="21"/>
        <v>0</v>
      </c>
      <c r="U120">
        <f t="shared" si="22"/>
        <v>0</v>
      </c>
      <c r="V120">
        <f t="shared" si="23"/>
        <v>0.84270227099999995</v>
      </c>
      <c r="W120">
        <f t="shared" si="24"/>
        <v>0.15795509285999998</v>
      </c>
      <c r="X120">
        <v>1</v>
      </c>
      <c r="Y120">
        <v>1771000656.9333301</v>
      </c>
      <c r="Z120">
        <v>409.77166666666699</v>
      </c>
      <c r="AA120">
        <v>410.00413333333302</v>
      </c>
      <c r="AB120">
        <v>15.313886666666701</v>
      </c>
      <c r="AC120">
        <v>13.908806666666701</v>
      </c>
      <c r="AD120">
        <v>410.73506666666702</v>
      </c>
      <c r="AE120">
        <v>15.205873333333299</v>
      </c>
      <c r="AF120">
        <v>800.00573333333296</v>
      </c>
      <c r="AG120">
        <v>100.40600000000001</v>
      </c>
      <c r="AH120">
        <v>6.4801339999999999E-2</v>
      </c>
      <c r="AI120">
        <v>18.997073333333301</v>
      </c>
      <c r="AJ120">
        <v>999.9</v>
      </c>
      <c r="AK120">
        <v>999.9</v>
      </c>
      <c r="AL120">
        <v>0</v>
      </c>
      <c r="AM120">
        <v>0</v>
      </c>
      <c r="AN120">
        <v>4997.3333333333303</v>
      </c>
      <c r="AO120">
        <v>0</v>
      </c>
      <c r="AP120">
        <v>1.86317</v>
      </c>
      <c r="AQ120">
        <v>-0.23241580000000001</v>
      </c>
      <c r="AR120">
        <v>416.14446666666697</v>
      </c>
      <c r="AS120">
        <v>415.78719999999998</v>
      </c>
      <c r="AT120">
        <v>1.40509066666667</v>
      </c>
      <c r="AU120">
        <v>410.00413333333302</v>
      </c>
      <c r="AV120">
        <v>13.908806666666701</v>
      </c>
      <c r="AW120">
        <v>1.53760866666667</v>
      </c>
      <c r="AX120">
        <v>1.3965286666666701</v>
      </c>
      <c r="AY120">
        <v>13.34736</v>
      </c>
      <c r="AZ120">
        <v>11.879993333333299</v>
      </c>
      <c r="BA120">
        <v>0</v>
      </c>
      <c r="BB120">
        <v>0.90993299999999999</v>
      </c>
      <c r="BC120">
        <v>0</v>
      </c>
      <c r="BD120">
        <v>9.0067300000000003E-2</v>
      </c>
      <c r="BE120">
        <v>0</v>
      </c>
      <c r="BF120">
        <v>24</v>
      </c>
      <c r="BG120">
        <v>0</v>
      </c>
      <c r="BH120">
        <v>1771000543</v>
      </c>
      <c r="BI120" t="s">
        <v>490</v>
      </c>
      <c r="BJ120">
        <v>1771000521</v>
      </c>
      <c r="BK120">
        <v>1771000543</v>
      </c>
      <c r="BL120">
        <v>5</v>
      </c>
      <c r="BM120">
        <v>0.04</v>
      </c>
      <c r="BN120">
        <v>1.9E-2</v>
      </c>
      <c r="BO120">
        <v>-0.96299999999999997</v>
      </c>
      <c r="BP120">
        <v>0.108</v>
      </c>
      <c r="BQ120">
        <v>410</v>
      </c>
      <c r="BR120">
        <v>15</v>
      </c>
      <c r="BS120">
        <v>0.33</v>
      </c>
      <c r="BT120">
        <v>7.0000000000000007E-2</v>
      </c>
      <c r="BU120">
        <v>-0.23228455000000001</v>
      </c>
      <c r="BV120">
        <v>-2.4296436090225901E-2</v>
      </c>
      <c r="BW120">
        <v>7.31630173294541E-3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1.4032659999999999</v>
      </c>
      <c r="CD120">
        <v>4.06881203007491E-2</v>
      </c>
      <c r="CE120">
        <v>7.3154394263092604E-3</v>
      </c>
      <c r="CF120">
        <v>1</v>
      </c>
      <c r="CG120">
        <v>2</v>
      </c>
      <c r="CH120">
        <v>2</v>
      </c>
      <c r="CI120" t="s">
        <v>304</v>
      </c>
      <c r="CJ120">
        <v>3.5325600000000001</v>
      </c>
      <c r="CK120">
        <v>2.7026400000000002</v>
      </c>
      <c r="CL120">
        <v>9.8400500000000002E-2</v>
      </c>
      <c r="CM120">
        <v>9.7049999999999997E-2</v>
      </c>
      <c r="CN120">
        <v>8.7105299999999997E-2</v>
      </c>
      <c r="CO120">
        <v>8.0293799999999999E-2</v>
      </c>
      <c r="CP120">
        <v>31643.8</v>
      </c>
      <c r="CQ120">
        <v>27793.7</v>
      </c>
      <c r="CR120">
        <v>32481.1</v>
      </c>
      <c r="CS120">
        <v>30704.9</v>
      </c>
      <c r="CT120">
        <v>40137.4</v>
      </c>
      <c r="CU120">
        <v>39701.800000000003</v>
      </c>
      <c r="CV120">
        <v>47422.400000000001</v>
      </c>
      <c r="CW120">
        <v>46811.4</v>
      </c>
      <c r="CX120">
        <v>2.6339999999999999</v>
      </c>
      <c r="CY120">
        <v>2.1646200000000002</v>
      </c>
      <c r="CZ120">
        <v>0</v>
      </c>
      <c r="DA120">
        <v>0</v>
      </c>
      <c r="DB120">
        <v>999.9</v>
      </c>
      <c r="DC120">
        <v>999.9</v>
      </c>
      <c r="DD120">
        <v>64.540000000000006</v>
      </c>
      <c r="DE120">
        <v>24.954999999999998</v>
      </c>
      <c r="DF120">
        <v>20.383600000000001</v>
      </c>
      <c r="DG120">
        <v>30.38</v>
      </c>
      <c r="DH120">
        <v>16.181899999999999</v>
      </c>
      <c r="DI120">
        <v>2</v>
      </c>
      <c r="DJ120">
        <v>-0.17724599999999999</v>
      </c>
      <c r="DK120">
        <v>1.5448500000000001</v>
      </c>
      <c r="DL120">
        <v>20.242799999999999</v>
      </c>
      <c r="DM120">
        <v>5.2490399999999999</v>
      </c>
      <c r="DN120">
        <v>12.033899999999999</v>
      </c>
      <c r="DO120">
        <v>4.96584</v>
      </c>
      <c r="DP120">
        <v>3.2909999999999999</v>
      </c>
      <c r="DQ120">
        <v>9999</v>
      </c>
      <c r="DR120">
        <v>9999</v>
      </c>
      <c r="DS120">
        <v>596.9</v>
      </c>
      <c r="DT120">
        <v>9999</v>
      </c>
      <c r="DU120">
        <v>1.87103</v>
      </c>
      <c r="DV120">
        <v>1.8760699999999999</v>
      </c>
      <c r="DW120">
        <v>1.8762700000000001</v>
      </c>
      <c r="DX120">
        <v>1.8827799999999999</v>
      </c>
      <c r="DY120">
        <v>1.8755599999999999</v>
      </c>
      <c r="DZ120">
        <v>1.8746</v>
      </c>
      <c r="EA120">
        <v>1.8707499999999999</v>
      </c>
      <c r="EB120">
        <v>1.8746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-0.96299999999999997</v>
      </c>
      <c r="EQ120">
        <v>0.1081</v>
      </c>
      <c r="ER120">
        <v>-0.96330000000000404</v>
      </c>
      <c r="ES120">
        <v>0</v>
      </c>
      <c r="ET120">
        <v>0</v>
      </c>
      <c r="EU120">
        <v>0</v>
      </c>
      <c r="EV120">
        <v>0.10804000000000299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2.4</v>
      </c>
      <c r="FE120">
        <v>2</v>
      </c>
      <c r="FF120">
        <v>1.2353499999999999</v>
      </c>
      <c r="FG120">
        <v>2.5854499999999998</v>
      </c>
      <c r="FH120">
        <v>2.19604</v>
      </c>
      <c r="FI120">
        <v>2.5781200000000002</v>
      </c>
      <c r="FJ120">
        <v>2.4462899999999999</v>
      </c>
      <c r="FK120">
        <v>2.2399900000000001</v>
      </c>
      <c r="FL120">
        <v>30.200500000000002</v>
      </c>
      <c r="FM120">
        <v>24.157499999999999</v>
      </c>
      <c r="FN120">
        <v>19</v>
      </c>
      <c r="FO120">
        <v>863.86199999999997</v>
      </c>
      <c r="FP120">
        <v>594.75300000000004</v>
      </c>
      <c r="FQ120">
        <v>18.671600000000002</v>
      </c>
      <c r="FR120">
        <v>24.7776</v>
      </c>
      <c r="FS120">
        <v>30.0001</v>
      </c>
      <c r="FT120">
        <v>24.768899999999999</v>
      </c>
      <c r="FU120">
        <v>24.770700000000001</v>
      </c>
      <c r="FV120">
        <v>24.798999999999999</v>
      </c>
      <c r="FW120">
        <v>35.129899999999999</v>
      </c>
      <c r="FX120">
        <v>36.8247</v>
      </c>
      <c r="FY120">
        <v>18.6736</v>
      </c>
      <c r="FZ120">
        <v>410</v>
      </c>
      <c r="GA120">
        <v>13.9543</v>
      </c>
      <c r="GB120">
        <v>99.937399999999997</v>
      </c>
      <c r="GC120">
        <v>99.663799999999995</v>
      </c>
    </row>
    <row r="121" spans="1:185" x14ac:dyDescent="0.2">
      <c r="A121">
        <v>106</v>
      </c>
      <c r="B121">
        <v>1771000680</v>
      </c>
      <c r="C121">
        <v>2056.9000000953702</v>
      </c>
      <c r="D121" t="s">
        <v>509</v>
      </c>
      <c r="E121" t="s">
        <v>510</v>
      </c>
      <c r="F121">
        <v>15</v>
      </c>
      <c r="G121">
        <v>1771000671.9333301</v>
      </c>
      <c r="H121">
        <f t="shared" si="13"/>
        <v>1.1504465560252736E-3</v>
      </c>
      <c r="I121">
        <v>0</v>
      </c>
      <c r="J121">
        <f t="shared" si="25"/>
        <v>-1.5562426051462776E-2</v>
      </c>
      <c r="K121">
        <f t="shared" si="14"/>
        <v>-0.27827569713480654</v>
      </c>
      <c r="L121">
        <f t="shared" si="15"/>
        <v>69.772303035861739</v>
      </c>
      <c r="M121">
        <f t="shared" si="16"/>
        <v>1.5383197490266192</v>
      </c>
      <c r="N121">
        <f t="shared" si="17"/>
        <v>2.2047713520878762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26320.176193991181</v>
      </c>
      <c r="T121">
        <f t="shared" si="21"/>
        <v>0</v>
      </c>
      <c r="U121">
        <f t="shared" si="22"/>
        <v>0</v>
      </c>
      <c r="V121">
        <f t="shared" si="23"/>
        <v>0.84270227099999995</v>
      </c>
      <c r="W121">
        <f t="shared" si="24"/>
        <v>0.15795509285999998</v>
      </c>
      <c r="X121">
        <v>1</v>
      </c>
      <c r="Y121">
        <v>1771000671.9333301</v>
      </c>
      <c r="Z121">
        <v>409.75093333333302</v>
      </c>
      <c r="AA121">
        <v>409.99233333333302</v>
      </c>
      <c r="AB121">
        <v>15.311346666666701</v>
      </c>
      <c r="AC121">
        <v>13.8953133333333</v>
      </c>
      <c r="AD121">
        <v>410.71426666666702</v>
      </c>
      <c r="AE121">
        <v>15.2033</v>
      </c>
      <c r="AF121">
        <v>800.00353333333305</v>
      </c>
      <c r="AG121">
        <v>100.404333333333</v>
      </c>
      <c r="AH121">
        <v>6.4931879999999997E-2</v>
      </c>
      <c r="AI121">
        <v>18.997026666666699</v>
      </c>
      <c r="AJ121">
        <v>999.9</v>
      </c>
      <c r="AK121">
        <v>999.9</v>
      </c>
      <c r="AL121">
        <v>0</v>
      </c>
      <c r="AM121">
        <v>0</v>
      </c>
      <c r="AN121">
        <v>4998.6333333333296</v>
      </c>
      <c r="AO121">
        <v>0</v>
      </c>
      <c r="AP121">
        <v>1.86317</v>
      </c>
      <c r="AQ121">
        <v>-0.241471133333333</v>
      </c>
      <c r="AR121">
        <v>416.12233333333302</v>
      </c>
      <c r="AS121">
        <v>415.76960000000003</v>
      </c>
      <c r="AT121">
        <v>1.4160313333333301</v>
      </c>
      <c r="AU121">
        <v>409.99233333333302</v>
      </c>
      <c r="AV121">
        <v>13.8953133333333</v>
      </c>
      <c r="AW121">
        <v>1.5373253333333301</v>
      </c>
      <c r="AX121">
        <v>1.3951499999999999</v>
      </c>
      <c r="AY121">
        <v>13.344533333333301</v>
      </c>
      <c r="AZ121">
        <v>11.865019999999999</v>
      </c>
      <c r="BA121">
        <v>0</v>
      </c>
      <c r="BB121">
        <v>0.90993299999999999</v>
      </c>
      <c r="BC121">
        <v>0</v>
      </c>
      <c r="BD121">
        <v>9.0067300000000003E-2</v>
      </c>
      <c r="BE121">
        <v>0</v>
      </c>
      <c r="BF121">
        <v>24</v>
      </c>
      <c r="BG121">
        <v>0</v>
      </c>
      <c r="BH121">
        <v>1771000543</v>
      </c>
      <c r="BI121" t="s">
        <v>490</v>
      </c>
      <c r="BJ121">
        <v>1771000521</v>
      </c>
      <c r="BK121">
        <v>1771000543</v>
      </c>
      <c r="BL121">
        <v>5</v>
      </c>
      <c r="BM121">
        <v>0.04</v>
      </c>
      <c r="BN121">
        <v>1.9E-2</v>
      </c>
      <c r="BO121">
        <v>-0.96299999999999997</v>
      </c>
      <c r="BP121">
        <v>0.108</v>
      </c>
      <c r="BQ121">
        <v>410</v>
      </c>
      <c r="BR121">
        <v>15</v>
      </c>
      <c r="BS121">
        <v>0.33</v>
      </c>
      <c r="BT121">
        <v>7.0000000000000007E-2</v>
      </c>
      <c r="BU121">
        <v>-0.23984766666666699</v>
      </c>
      <c r="BV121">
        <v>-2.5265766233766199E-2</v>
      </c>
      <c r="BW121">
        <v>1.01338761508748E-2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1.4135599999999999</v>
      </c>
      <c r="CD121">
        <v>2.96742857142872E-2</v>
      </c>
      <c r="CE121">
        <v>4.8008511150181999E-3</v>
      </c>
      <c r="CF121">
        <v>1</v>
      </c>
      <c r="CG121">
        <v>2</v>
      </c>
      <c r="CH121">
        <v>2</v>
      </c>
      <c r="CI121" t="s">
        <v>304</v>
      </c>
      <c r="CJ121">
        <v>3.5325500000000001</v>
      </c>
      <c r="CK121">
        <v>2.7027600000000001</v>
      </c>
      <c r="CL121">
        <v>9.8397200000000004E-2</v>
      </c>
      <c r="CM121">
        <v>9.7049200000000002E-2</v>
      </c>
      <c r="CN121">
        <v>8.7056400000000006E-2</v>
      </c>
      <c r="CO121">
        <v>8.0259800000000006E-2</v>
      </c>
      <c r="CP121">
        <v>31644.5</v>
      </c>
      <c r="CQ121">
        <v>27793.8</v>
      </c>
      <c r="CR121">
        <v>32481.7</v>
      </c>
      <c r="CS121">
        <v>30705</v>
      </c>
      <c r="CT121">
        <v>40140.199999999997</v>
      </c>
      <c r="CU121">
        <v>39703.5</v>
      </c>
      <c r="CV121">
        <v>47423.1</v>
      </c>
      <c r="CW121">
        <v>46811.7</v>
      </c>
      <c r="CX121">
        <v>2.63388</v>
      </c>
      <c r="CY121">
        <v>2.1645599999999998</v>
      </c>
      <c r="CZ121">
        <v>0</v>
      </c>
      <c r="DA121">
        <v>0</v>
      </c>
      <c r="DB121">
        <v>999.9</v>
      </c>
      <c r="DC121">
        <v>999.9</v>
      </c>
      <c r="DD121">
        <v>64.418000000000006</v>
      </c>
      <c r="DE121">
        <v>24.975000000000001</v>
      </c>
      <c r="DF121">
        <v>20.369700000000002</v>
      </c>
      <c r="DG121">
        <v>30.47</v>
      </c>
      <c r="DH121">
        <v>16.1538</v>
      </c>
      <c r="DI121">
        <v>2</v>
      </c>
      <c r="DJ121">
        <v>-0.177262</v>
      </c>
      <c r="DK121">
        <v>1.5433600000000001</v>
      </c>
      <c r="DL121">
        <v>20.242699999999999</v>
      </c>
      <c r="DM121">
        <v>5.2490399999999999</v>
      </c>
      <c r="DN121">
        <v>12.033899999999999</v>
      </c>
      <c r="DO121">
        <v>4.9657600000000004</v>
      </c>
      <c r="DP121">
        <v>3.2909999999999999</v>
      </c>
      <c r="DQ121">
        <v>9999</v>
      </c>
      <c r="DR121">
        <v>9999</v>
      </c>
      <c r="DS121">
        <v>596.9</v>
      </c>
      <c r="DT121">
        <v>9999</v>
      </c>
      <c r="DU121">
        <v>1.87103</v>
      </c>
      <c r="DV121">
        <v>1.87608</v>
      </c>
      <c r="DW121">
        <v>1.8762799999999999</v>
      </c>
      <c r="DX121">
        <v>1.8827799999999999</v>
      </c>
      <c r="DY121">
        <v>1.87557</v>
      </c>
      <c r="DZ121">
        <v>1.8746400000000001</v>
      </c>
      <c r="EA121">
        <v>1.8707499999999999</v>
      </c>
      <c r="EB121">
        <v>1.8746400000000001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-0.96399999999999997</v>
      </c>
      <c r="EQ121">
        <v>0.1081</v>
      </c>
      <c r="ER121">
        <v>-0.96330000000000404</v>
      </c>
      <c r="ES121">
        <v>0</v>
      </c>
      <c r="ET121">
        <v>0</v>
      </c>
      <c r="EU121">
        <v>0</v>
      </c>
      <c r="EV121">
        <v>0.10804000000000299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2.6</v>
      </c>
      <c r="FE121">
        <v>2.2999999999999998</v>
      </c>
      <c r="FF121">
        <v>1.2353499999999999</v>
      </c>
      <c r="FG121">
        <v>2.5781200000000002</v>
      </c>
      <c r="FH121">
        <v>2.19604</v>
      </c>
      <c r="FI121">
        <v>2.5781200000000002</v>
      </c>
      <c r="FJ121">
        <v>2.4462899999999999</v>
      </c>
      <c r="FK121">
        <v>2.2778299999999998</v>
      </c>
      <c r="FL121">
        <v>30.222000000000001</v>
      </c>
      <c r="FM121">
        <v>24.157499999999999</v>
      </c>
      <c r="FN121">
        <v>19</v>
      </c>
      <c r="FO121">
        <v>863.81899999999996</v>
      </c>
      <c r="FP121">
        <v>594.75400000000002</v>
      </c>
      <c r="FQ121">
        <v>18.677600000000002</v>
      </c>
      <c r="FR121">
        <v>24.78</v>
      </c>
      <c r="FS121">
        <v>30.0001</v>
      </c>
      <c r="FT121">
        <v>24.773099999999999</v>
      </c>
      <c r="FU121">
        <v>24.774799999999999</v>
      </c>
      <c r="FV121">
        <v>24.799600000000002</v>
      </c>
      <c r="FW121">
        <v>34.856299999999997</v>
      </c>
      <c r="FX121">
        <v>36.445300000000003</v>
      </c>
      <c r="FY121">
        <v>18.6798</v>
      </c>
      <c r="FZ121">
        <v>410</v>
      </c>
      <c r="GA121">
        <v>13.970700000000001</v>
      </c>
      <c r="GB121">
        <v>99.938999999999993</v>
      </c>
      <c r="GC121">
        <v>99.664400000000001</v>
      </c>
    </row>
    <row r="122" spans="1:185" x14ac:dyDescent="0.2">
      <c r="A122">
        <v>107</v>
      </c>
      <c r="B122">
        <v>1771000695</v>
      </c>
      <c r="C122">
        <v>2071.9000000953702</v>
      </c>
      <c r="D122" t="s">
        <v>511</v>
      </c>
      <c r="E122" t="s">
        <v>512</v>
      </c>
      <c r="F122">
        <v>15</v>
      </c>
      <c r="G122">
        <v>1771000686.9333301</v>
      </c>
      <c r="H122">
        <f t="shared" si="13"/>
        <v>1.1116686729801409E-3</v>
      </c>
      <c r="I122">
        <v>0</v>
      </c>
      <c r="J122">
        <f t="shared" si="25"/>
        <v>-1.4730056776689754E-2</v>
      </c>
      <c r="K122">
        <f t="shared" si="14"/>
        <v>-0.26339189049404926</v>
      </c>
      <c r="L122">
        <f t="shared" si="15"/>
        <v>69.776374111223518</v>
      </c>
      <c r="M122">
        <f t="shared" si="16"/>
        <v>1.5384146271124</v>
      </c>
      <c r="N122">
        <f t="shared" si="17"/>
        <v>2.2047786900766262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26337.024817560105</v>
      </c>
      <c r="T122">
        <f t="shared" si="21"/>
        <v>0</v>
      </c>
      <c r="U122">
        <f t="shared" si="22"/>
        <v>0</v>
      </c>
      <c r="V122">
        <f t="shared" si="23"/>
        <v>0.84270227099999995</v>
      </c>
      <c r="W122">
        <f t="shared" si="24"/>
        <v>0.15795509285999998</v>
      </c>
      <c r="X122">
        <v>1</v>
      </c>
      <c r="Y122">
        <v>1771000686.9333301</v>
      </c>
      <c r="Z122">
        <v>409.74493333333299</v>
      </c>
      <c r="AA122">
        <v>409.98506666666702</v>
      </c>
      <c r="AB122">
        <v>15.3124133333333</v>
      </c>
      <c r="AC122">
        <v>13.94412</v>
      </c>
      <c r="AD122">
        <v>410.70826666666699</v>
      </c>
      <c r="AE122">
        <v>15.20438</v>
      </c>
      <c r="AF122">
        <v>800.00853333333305</v>
      </c>
      <c r="AG122">
        <v>100.4036</v>
      </c>
      <c r="AH122">
        <v>6.4862653333333298E-2</v>
      </c>
      <c r="AI122">
        <v>18.99708</v>
      </c>
      <c r="AJ122">
        <v>999.9</v>
      </c>
      <c r="AK122">
        <v>999.9</v>
      </c>
      <c r="AL122">
        <v>0</v>
      </c>
      <c r="AM122">
        <v>0</v>
      </c>
      <c r="AN122">
        <v>5001.4333333333298</v>
      </c>
      <c r="AO122">
        <v>0</v>
      </c>
      <c r="AP122">
        <v>1.86317</v>
      </c>
      <c r="AQ122">
        <v>-0.239992333333333</v>
      </c>
      <c r="AR122">
        <v>416.11680000000001</v>
      </c>
      <c r="AS122">
        <v>415.78266666666701</v>
      </c>
      <c r="AT122">
        <v>1.3683006666666699</v>
      </c>
      <c r="AU122">
        <v>409.98506666666702</v>
      </c>
      <c r="AV122">
        <v>13.94412</v>
      </c>
      <c r="AW122">
        <v>1.53742133333333</v>
      </c>
      <c r="AX122">
        <v>1.40003866666667</v>
      </c>
      <c r="AY122">
        <v>13.345499999999999</v>
      </c>
      <c r="AZ122">
        <v>11.918046666666701</v>
      </c>
      <c r="BA122">
        <v>0</v>
      </c>
      <c r="BB122">
        <v>0.90993299999999999</v>
      </c>
      <c r="BC122">
        <v>0</v>
      </c>
      <c r="BD122">
        <v>9.0067300000000003E-2</v>
      </c>
      <c r="BE122">
        <v>0</v>
      </c>
      <c r="BF122">
        <v>24</v>
      </c>
      <c r="BG122">
        <v>0</v>
      </c>
      <c r="BH122">
        <v>1771000543</v>
      </c>
      <c r="BI122" t="s">
        <v>490</v>
      </c>
      <c r="BJ122">
        <v>1771000521</v>
      </c>
      <c r="BK122">
        <v>1771000543</v>
      </c>
      <c r="BL122">
        <v>5</v>
      </c>
      <c r="BM122">
        <v>0.04</v>
      </c>
      <c r="BN122">
        <v>1.9E-2</v>
      </c>
      <c r="BO122">
        <v>-0.96299999999999997</v>
      </c>
      <c r="BP122">
        <v>0.108</v>
      </c>
      <c r="BQ122">
        <v>410</v>
      </c>
      <c r="BR122">
        <v>15</v>
      </c>
      <c r="BS122">
        <v>0.33</v>
      </c>
      <c r="BT122">
        <v>7.0000000000000007E-2</v>
      </c>
      <c r="BU122">
        <v>-0.2400467</v>
      </c>
      <c r="BV122">
        <v>4.05292330827067E-2</v>
      </c>
      <c r="BW122">
        <v>1.6566234165011701E-2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1.3794824999999999</v>
      </c>
      <c r="CD122">
        <v>-0.21371684210526101</v>
      </c>
      <c r="CE122">
        <v>2.4305514986315401E-2</v>
      </c>
      <c r="CF122">
        <v>0</v>
      </c>
      <c r="CG122">
        <v>1</v>
      </c>
      <c r="CH122">
        <v>2</v>
      </c>
      <c r="CI122" t="s">
        <v>290</v>
      </c>
      <c r="CJ122">
        <v>3.5325299999999999</v>
      </c>
      <c r="CK122">
        <v>2.70295</v>
      </c>
      <c r="CL122">
        <v>9.8392300000000002E-2</v>
      </c>
      <c r="CM122">
        <v>9.7048800000000005E-2</v>
      </c>
      <c r="CN122">
        <v>8.7165000000000006E-2</v>
      </c>
      <c r="CO122">
        <v>8.0504900000000004E-2</v>
      </c>
      <c r="CP122">
        <v>31644.5</v>
      </c>
      <c r="CQ122">
        <v>27793.599999999999</v>
      </c>
      <c r="CR122">
        <v>32481.5</v>
      </c>
      <c r="CS122">
        <v>30704.799999999999</v>
      </c>
      <c r="CT122">
        <v>40135.1</v>
      </c>
      <c r="CU122">
        <v>39692.699999999997</v>
      </c>
      <c r="CV122">
        <v>47423</v>
      </c>
      <c r="CW122">
        <v>46811.8</v>
      </c>
      <c r="CX122">
        <v>2.6340599999999998</v>
      </c>
      <c r="CY122">
        <v>2.16432</v>
      </c>
      <c r="CZ122">
        <v>0</v>
      </c>
      <c r="DA122">
        <v>0</v>
      </c>
      <c r="DB122">
        <v>999.9</v>
      </c>
      <c r="DC122">
        <v>999.9</v>
      </c>
      <c r="DD122">
        <v>64.302000000000007</v>
      </c>
      <c r="DE122">
        <v>24.975000000000001</v>
      </c>
      <c r="DF122">
        <v>20.333400000000001</v>
      </c>
      <c r="DG122">
        <v>30.44</v>
      </c>
      <c r="DH122">
        <v>16.105799999999999</v>
      </c>
      <c r="DI122">
        <v>2</v>
      </c>
      <c r="DJ122">
        <v>-0.177205</v>
      </c>
      <c r="DK122">
        <v>1.53542</v>
      </c>
      <c r="DL122">
        <v>20.243099999999998</v>
      </c>
      <c r="DM122">
        <v>5.2492799999999997</v>
      </c>
      <c r="DN122">
        <v>12.033899999999999</v>
      </c>
      <c r="DO122">
        <v>4.9657200000000001</v>
      </c>
      <c r="DP122">
        <v>3.2909999999999999</v>
      </c>
      <c r="DQ122">
        <v>9999</v>
      </c>
      <c r="DR122">
        <v>9999</v>
      </c>
      <c r="DS122">
        <v>596.9</v>
      </c>
      <c r="DT122">
        <v>9999</v>
      </c>
      <c r="DU122">
        <v>1.87103</v>
      </c>
      <c r="DV122">
        <v>1.8760699999999999</v>
      </c>
      <c r="DW122">
        <v>1.8762799999999999</v>
      </c>
      <c r="DX122">
        <v>1.88279</v>
      </c>
      <c r="DY122">
        <v>1.8755999999999999</v>
      </c>
      <c r="DZ122">
        <v>1.8746100000000001</v>
      </c>
      <c r="EA122">
        <v>1.87077</v>
      </c>
      <c r="EB122">
        <v>1.8746700000000001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-0.96299999999999997</v>
      </c>
      <c r="EQ122">
        <v>0.1081</v>
      </c>
      <c r="ER122">
        <v>-0.96330000000000404</v>
      </c>
      <c r="ES122">
        <v>0</v>
      </c>
      <c r="ET122">
        <v>0</v>
      </c>
      <c r="EU122">
        <v>0</v>
      </c>
      <c r="EV122">
        <v>0.10804000000000299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2.9</v>
      </c>
      <c r="FE122">
        <v>2.5</v>
      </c>
      <c r="FF122">
        <v>1.2353499999999999</v>
      </c>
      <c r="FG122">
        <v>2.5781200000000002</v>
      </c>
      <c r="FH122">
        <v>2.19604</v>
      </c>
      <c r="FI122">
        <v>2.5781200000000002</v>
      </c>
      <c r="FJ122">
        <v>2.4462899999999999</v>
      </c>
      <c r="FK122">
        <v>2.2827099999999998</v>
      </c>
      <c r="FL122">
        <v>30.222000000000001</v>
      </c>
      <c r="FM122">
        <v>24.1663</v>
      </c>
      <c r="FN122">
        <v>19</v>
      </c>
      <c r="FO122">
        <v>864.04</v>
      </c>
      <c r="FP122">
        <v>594.601</v>
      </c>
      <c r="FQ122">
        <v>18.6845</v>
      </c>
      <c r="FR122">
        <v>24.783799999999999</v>
      </c>
      <c r="FS122">
        <v>30.0002</v>
      </c>
      <c r="FT122">
        <v>24.776399999999999</v>
      </c>
      <c r="FU122">
        <v>24.777799999999999</v>
      </c>
      <c r="FV122">
        <v>24.801200000000001</v>
      </c>
      <c r="FW122">
        <v>34.856299999999997</v>
      </c>
      <c r="FX122">
        <v>36.072299999999998</v>
      </c>
      <c r="FY122">
        <v>18.686</v>
      </c>
      <c r="FZ122">
        <v>410</v>
      </c>
      <c r="GA122">
        <v>13.963100000000001</v>
      </c>
      <c r="GB122">
        <v>99.938599999999994</v>
      </c>
      <c r="GC122">
        <v>99.664199999999994</v>
      </c>
    </row>
    <row r="123" spans="1:185" x14ac:dyDescent="0.2">
      <c r="A123">
        <v>108</v>
      </c>
      <c r="B123">
        <v>1771000710</v>
      </c>
      <c r="C123">
        <v>2086.9000000953702</v>
      </c>
      <c r="D123" t="s">
        <v>513</v>
      </c>
      <c r="E123" t="s">
        <v>514</v>
      </c>
      <c r="F123">
        <v>15</v>
      </c>
      <c r="G123">
        <v>1771000701.9333301</v>
      </c>
      <c r="H123">
        <f t="shared" si="13"/>
        <v>1.124904989689158E-3</v>
      </c>
      <c r="I123">
        <v>0</v>
      </c>
      <c r="J123">
        <f t="shared" si="25"/>
        <v>-1.4538087771411759E-2</v>
      </c>
      <c r="K123">
        <f t="shared" si="14"/>
        <v>-0.25995924390055825</v>
      </c>
      <c r="L123">
        <f t="shared" si="15"/>
        <v>69.856294560066104</v>
      </c>
      <c r="M123">
        <f t="shared" si="16"/>
        <v>1.5402849873767348</v>
      </c>
      <c r="N123">
        <f t="shared" si="17"/>
        <v>2.204933710092964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26350.878386052183</v>
      </c>
      <c r="T123">
        <f t="shared" si="21"/>
        <v>0</v>
      </c>
      <c r="U123">
        <f t="shared" si="22"/>
        <v>0</v>
      </c>
      <c r="V123">
        <f t="shared" si="23"/>
        <v>0.84270227099999995</v>
      </c>
      <c r="W123">
        <f t="shared" si="24"/>
        <v>0.15795509285999998</v>
      </c>
      <c r="X123">
        <v>1</v>
      </c>
      <c r="Y123">
        <v>1771000701.9333301</v>
      </c>
      <c r="Z123">
        <v>409.74239999999998</v>
      </c>
      <c r="AA123">
        <v>409.99360000000001</v>
      </c>
      <c r="AB123">
        <v>15.330913333333299</v>
      </c>
      <c r="AC123">
        <v>13.946353333333301</v>
      </c>
      <c r="AD123">
        <v>410.70566666666701</v>
      </c>
      <c r="AE123">
        <v>15.2228933333333</v>
      </c>
      <c r="AF123">
        <v>800.00806666666699</v>
      </c>
      <c r="AG123">
        <v>100.4042</v>
      </c>
      <c r="AH123">
        <v>6.5025406666666702E-2</v>
      </c>
      <c r="AI123">
        <v>18.9982066666667</v>
      </c>
      <c r="AJ123">
        <v>999.9</v>
      </c>
      <c r="AK123">
        <v>999.9</v>
      </c>
      <c r="AL123">
        <v>0</v>
      </c>
      <c r="AM123">
        <v>0</v>
      </c>
      <c r="AN123">
        <v>5003.7</v>
      </c>
      <c r="AO123">
        <v>0</v>
      </c>
      <c r="AP123">
        <v>1.86317</v>
      </c>
      <c r="AQ123">
        <v>-0.25098686666666697</v>
      </c>
      <c r="AR123">
        <v>416.12200000000001</v>
      </c>
      <c r="AS123">
        <v>415.79233333333298</v>
      </c>
      <c r="AT123">
        <v>1.3845700000000001</v>
      </c>
      <c r="AU123">
        <v>409.99360000000001</v>
      </c>
      <c r="AV123">
        <v>13.946353333333301</v>
      </c>
      <c r="AW123">
        <v>1.53929266666667</v>
      </c>
      <c r="AX123">
        <v>1.400274</v>
      </c>
      <c r="AY123">
        <v>13.364126666666699</v>
      </c>
      <c r="AZ123">
        <v>11.9206</v>
      </c>
      <c r="BA123">
        <v>0</v>
      </c>
      <c r="BB123">
        <v>0.90993299999999999</v>
      </c>
      <c r="BC123">
        <v>0</v>
      </c>
      <c r="BD123">
        <v>9.0067300000000003E-2</v>
      </c>
      <c r="BE123">
        <v>0</v>
      </c>
      <c r="BF123">
        <v>24</v>
      </c>
      <c r="BG123">
        <v>0</v>
      </c>
      <c r="BH123">
        <v>1771000543</v>
      </c>
      <c r="BI123" t="s">
        <v>490</v>
      </c>
      <c r="BJ123">
        <v>1771000521</v>
      </c>
      <c r="BK123">
        <v>1771000543</v>
      </c>
      <c r="BL123">
        <v>5</v>
      </c>
      <c r="BM123">
        <v>0.04</v>
      </c>
      <c r="BN123">
        <v>1.9E-2</v>
      </c>
      <c r="BO123">
        <v>-0.96299999999999997</v>
      </c>
      <c r="BP123">
        <v>0.108</v>
      </c>
      <c r="BQ123">
        <v>410</v>
      </c>
      <c r="BR123">
        <v>15</v>
      </c>
      <c r="BS123">
        <v>0.33</v>
      </c>
      <c r="BT123">
        <v>7.0000000000000007E-2</v>
      </c>
      <c r="BU123">
        <v>-0.245375952380952</v>
      </c>
      <c r="BV123">
        <v>4.2347064935064897E-2</v>
      </c>
      <c r="BW123">
        <v>3.2220321757247997E-2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1.37829904761905</v>
      </c>
      <c r="CD123">
        <v>9.6034285714285905E-2</v>
      </c>
      <c r="CE123">
        <v>1.11139264437791E-2</v>
      </c>
      <c r="CF123">
        <v>1</v>
      </c>
      <c r="CG123">
        <v>2</v>
      </c>
      <c r="CH123">
        <v>2</v>
      </c>
      <c r="CI123" t="s">
        <v>304</v>
      </c>
      <c r="CJ123">
        <v>3.5325500000000001</v>
      </c>
      <c r="CK123">
        <v>2.7026599999999998</v>
      </c>
      <c r="CL123">
        <v>9.8397399999999996E-2</v>
      </c>
      <c r="CM123">
        <v>9.7048200000000001E-2</v>
      </c>
      <c r="CN123">
        <v>8.7179999999999994E-2</v>
      </c>
      <c r="CO123">
        <v>8.0439200000000002E-2</v>
      </c>
      <c r="CP123">
        <v>31644.2</v>
      </c>
      <c r="CQ123">
        <v>27793.8</v>
      </c>
      <c r="CR123">
        <v>32481.4</v>
      </c>
      <c r="CS123">
        <v>30705</v>
      </c>
      <c r="CT123">
        <v>40134.5</v>
      </c>
      <c r="CU123">
        <v>39695.699999999997</v>
      </c>
      <c r="CV123">
        <v>47423.1</v>
      </c>
      <c r="CW123">
        <v>46812</v>
      </c>
      <c r="CX123">
        <v>2.6339000000000001</v>
      </c>
      <c r="CY123">
        <v>2.1640600000000001</v>
      </c>
      <c r="CZ123">
        <v>0</v>
      </c>
      <c r="DA123">
        <v>0</v>
      </c>
      <c r="DB123">
        <v>999.9</v>
      </c>
      <c r="DC123">
        <v>999.9</v>
      </c>
      <c r="DD123">
        <v>64.180000000000007</v>
      </c>
      <c r="DE123">
        <v>25.004999999999999</v>
      </c>
      <c r="DF123">
        <v>20.331</v>
      </c>
      <c r="DG123">
        <v>30.29</v>
      </c>
      <c r="DH123">
        <v>16.097799999999999</v>
      </c>
      <c r="DI123">
        <v>2</v>
      </c>
      <c r="DJ123">
        <v>-0.176728</v>
      </c>
      <c r="DK123">
        <v>1.5421</v>
      </c>
      <c r="DL123">
        <v>20.243099999999998</v>
      </c>
      <c r="DM123">
        <v>5.24892</v>
      </c>
      <c r="DN123">
        <v>12.033899999999999</v>
      </c>
      <c r="DO123">
        <v>4.9657600000000004</v>
      </c>
      <c r="DP123">
        <v>3.2909999999999999</v>
      </c>
      <c r="DQ123">
        <v>9999</v>
      </c>
      <c r="DR123">
        <v>9999</v>
      </c>
      <c r="DS123">
        <v>596.9</v>
      </c>
      <c r="DT123">
        <v>9999</v>
      </c>
      <c r="DU123">
        <v>1.87103</v>
      </c>
      <c r="DV123">
        <v>1.87608</v>
      </c>
      <c r="DW123">
        <v>1.8762399999999999</v>
      </c>
      <c r="DX123">
        <v>1.8827799999999999</v>
      </c>
      <c r="DY123">
        <v>1.87557</v>
      </c>
      <c r="DZ123">
        <v>1.87459</v>
      </c>
      <c r="EA123">
        <v>1.8707499999999999</v>
      </c>
      <c r="EB123">
        <v>1.8746499999999999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-0.96299999999999997</v>
      </c>
      <c r="EQ123">
        <v>0.108</v>
      </c>
      <c r="ER123">
        <v>-0.96330000000000404</v>
      </c>
      <c r="ES123">
        <v>0</v>
      </c>
      <c r="ET123">
        <v>0</v>
      </c>
      <c r="EU123">
        <v>0</v>
      </c>
      <c r="EV123">
        <v>0.10804000000000299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3.1</v>
      </c>
      <c r="FE123">
        <v>2.8</v>
      </c>
      <c r="FF123">
        <v>1.2353499999999999</v>
      </c>
      <c r="FG123">
        <v>2.5769000000000002</v>
      </c>
      <c r="FH123">
        <v>2.19604</v>
      </c>
      <c r="FI123">
        <v>2.5781200000000002</v>
      </c>
      <c r="FJ123">
        <v>2.4462899999999999</v>
      </c>
      <c r="FK123">
        <v>2.2973599999999998</v>
      </c>
      <c r="FL123">
        <v>30.243400000000001</v>
      </c>
      <c r="FM123">
        <v>24.1663</v>
      </c>
      <c r="FN123">
        <v>19</v>
      </c>
      <c r="FO123">
        <v>863.94600000000003</v>
      </c>
      <c r="FP123">
        <v>594.44600000000003</v>
      </c>
      <c r="FQ123">
        <v>18.688800000000001</v>
      </c>
      <c r="FR123">
        <v>24.786300000000001</v>
      </c>
      <c r="FS123">
        <v>30.0002</v>
      </c>
      <c r="FT123">
        <v>24.779800000000002</v>
      </c>
      <c r="FU123">
        <v>24.7819</v>
      </c>
      <c r="FV123">
        <v>24.801600000000001</v>
      </c>
      <c r="FW123">
        <v>34.856299999999997</v>
      </c>
      <c r="FX123">
        <v>35.700600000000001</v>
      </c>
      <c r="FY123">
        <v>18.689699999999998</v>
      </c>
      <c r="FZ123">
        <v>410</v>
      </c>
      <c r="GA123">
        <v>13.963100000000001</v>
      </c>
      <c r="GB123">
        <v>99.938500000000005</v>
      </c>
      <c r="GC123">
        <v>99.664599999999993</v>
      </c>
    </row>
    <row r="124" spans="1:185" x14ac:dyDescent="0.2">
      <c r="A124">
        <v>109</v>
      </c>
      <c r="B124">
        <v>1771000725</v>
      </c>
      <c r="C124">
        <v>2101.9000000953702</v>
      </c>
      <c r="D124" t="s">
        <v>515</v>
      </c>
      <c r="E124" t="s">
        <v>516</v>
      </c>
      <c r="F124">
        <v>15</v>
      </c>
      <c r="G124">
        <v>1771000716.9333301</v>
      </c>
      <c r="H124">
        <f t="shared" si="13"/>
        <v>1.1342088956668617E-3</v>
      </c>
      <c r="I124">
        <v>0</v>
      </c>
      <c r="J124">
        <f t="shared" si="25"/>
        <v>-1.4909613958364555E-2</v>
      </c>
      <c r="K124">
        <f t="shared" si="14"/>
        <v>-0.26660259811385639</v>
      </c>
      <c r="L124">
        <f t="shared" si="15"/>
        <v>69.819988163538525</v>
      </c>
      <c r="M124">
        <f t="shared" si="16"/>
        <v>1.53963561123836</v>
      </c>
      <c r="N124">
        <f t="shared" si="17"/>
        <v>2.2051502037383477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26308.10512815513</v>
      </c>
      <c r="T124">
        <f t="shared" si="21"/>
        <v>0</v>
      </c>
      <c r="U124">
        <f t="shared" si="22"/>
        <v>0</v>
      </c>
      <c r="V124">
        <f t="shared" si="23"/>
        <v>0.84270227099999995</v>
      </c>
      <c r="W124">
        <f t="shared" si="24"/>
        <v>0.15795509285999998</v>
      </c>
      <c r="X124">
        <v>1</v>
      </c>
      <c r="Y124">
        <v>1771000716.9333301</v>
      </c>
      <c r="Z124">
        <v>409.74639999999999</v>
      </c>
      <c r="AA124">
        <v>409.99406666666698</v>
      </c>
      <c r="AB124">
        <v>15.324486666666701</v>
      </c>
      <c r="AC124">
        <v>13.928466666666701</v>
      </c>
      <c r="AD124">
        <v>410.70946666666703</v>
      </c>
      <c r="AE124">
        <v>15.21646</v>
      </c>
      <c r="AF124">
        <v>800.00840000000005</v>
      </c>
      <c r="AG124">
        <v>100.40413333333299</v>
      </c>
      <c r="AH124">
        <v>6.48510266666667E-2</v>
      </c>
      <c r="AI124">
        <v>18.999780000000001</v>
      </c>
      <c r="AJ124">
        <v>999.9</v>
      </c>
      <c r="AK124">
        <v>999.9</v>
      </c>
      <c r="AL124">
        <v>0</v>
      </c>
      <c r="AM124">
        <v>0</v>
      </c>
      <c r="AN124">
        <v>4996.7</v>
      </c>
      <c r="AO124">
        <v>0</v>
      </c>
      <c r="AP124">
        <v>1.86317</v>
      </c>
      <c r="AQ124">
        <v>-0.24772133333333299</v>
      </c>
      <c r="AR124">
        <v>416.12326666666701</v>
      </c>
      <c r="AS124">
        <v>415.78533333333303</v>
      </c>
      <c r="AT124">
        <v>1.3960333333333299</v>
      </c>
      <c r="AU124">
        <v>409.99406666666698</v>
      </c>
      <c r="AV124">
        <v>13.928466666666701</v>
      </c>
      <c r="AW124">
        <v>1.53864466666667</v>
      </c>
      <c r="AX124">
        <v>1.3984766666666699</v>
      </c>
      <c r="AY124">
        <v>13.3576866666667</v>
      </c>
      <c r="AZ124">
        <v>11.9011266666667</v>
      </c>
      <c r="BA124">
        <v>0</v>
      </c>
      <c r="BB124">
        <v>0.90993299999999999</v>
      </c>
      <c r="BC124">
        <v>0</v>
      </c>
      <c r="BD124">
        <v>9.0067300000000003E-2</v>
      </c>
      <c r="BE124">
        <v>0</v>
      </c>
      <c r="BF124">
        <v>24</v>
      </c>
      <c r="BG124">
        <v>0</v>
      </c>
      <c r="BH124">
        <v>1771000543</v>
      </c>
      <c r="BI124" t="s">
        <v>490</v>
      </c>
      <c r="BJ124">
        <v>1771000521</v>
      </c>
      <c r="BK124">
        <v>1771000543</v>
      </c>
      <c r="BL124">
        <v>5</v>
      </c>
      <c r="BM124">
        <v>0.04</v>
      </c>
      <c r="BN124">
        <v>1.9E-2</v>
      </c>
      <c r="BO124">
        <v>-0.96299999999999997</v>
      </c>
      <c r="BP124">
        <v>0.108</v>
      </c>
      <c r="BQ124">
        <v>410</v>
      </c>
      <c r="BR124">
        <v>15</v>
      </c>
      <c r="BS124">
        <v>0.33</v>
      </c>
      <c r="BT124">
        <v>7.0000000000000007E-2</v>
      </c>
      <c r="BU124">
        <v>-0.24132845</v>
      </c>
      <c r="BV124">
        <v>-9.8277067669172699E-2</v>
      </c>
      <c r="BW124">
        <v>2.5978879955600501E-2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1.3937885000000001</v>
      </c>
      <c r="CD124">
        <v>2.1906315789475501E-2</v>
      </c>
      <c r="CE124">
        <v>5.2898811659620303E-3</v>
      </c>
      <c r="CF124">
        <v>1</v>
      </c>
      <c r="CG124">
        <v>2</v>
      </c>
      <c r="CH124">
        <v>2</v>
      </c>
      <c r="CI124" t="s">
        <v>304</v>
      </c>
      <c r="CJ124">
        <v>3.5324499999999999</v>
      </c>
      <c r="CK124">
        <v>2.7026699999999999</v>
      </c>
      <c r="CL124">
        <v>9.8394999999999996E-2</v>
      </c>
      <c r="CM124">
        <v>9.7047700000000001E-2</v>
      </c>
      <c r="CN124">
        <v>8.7101300000000006E-2</v>
      </c>
      <c r="CO124">
        <v>8.0365400000000003E-2</v>
      </c>
      <c r="CP124">
        <v>31644.2</v>
      </c>
      <c r="CQ124">
        <v>27793.599999999999</v>
      </c>
      <c r="CR124">
        <v>32481.3</v>
      </c>
      <c r="CS124">
        <v>30704.7</v>
      </c>
      <c r="CT124">
        <v>40138</v>
      </c>
      <c r="CU124">
        <v>39698.400000000001</v>
      </c>
      <c r="CV124">
        <v>47422.9</v>
      </c>
      <c r="CW124">
        <v>46811.3</v>
      </c>
      <c r="CX124">
        <v>2.6339999999999999</v>
      </c>
      <c r="CY124">
        <v>2.16404</v>
      </c>
      <c r="CZ124">
        <v>0</v>
      </c>
      <c r="DA124">
        <v>0</v>
      </c>
      <c r="DB124">
        <v>999.9</v>
      </c>
      <c r="DC124">
        <v>999.9</v>
      </c>
      <c r="DD124">
        <v>64.040000000000006</v>
      </c>
      <c r="DE124">
        <v>25.015000000000001</v>
      </c>
      <c r="DF124">
        <v>20.3004</v>
      </c>
      <c r="DG124">
        <v>30.41</v>
      </c>
      <c r="DH124">
        <v>16.234000000000002</v>
      </c>
      <c r="DI124">
        <v>2</v>
      </c>
      <c r="DJ124">
        <v>-0.17669099999999999</v>
      </c>
      <c r="DK124">
        <v>1.55427</v>
      </c>
      <c r="DL124">
        <v>20.242699999999999</v>
      </c>
      <c r="DM124">
        <v>5.2496400000000003</v>
      </c>
      <c r="DN124">
        <v>12.033899999999999</v>
      </c>
      <c r="DO124">
        <v>4.9657600000000004</v>
      </c>
      <c r="DP124">
        <v>3.2909999999999999</v>
      </c>
      <c r="DQ124">
        <v>9999</v>
      </c>
      <c r="DR124">
        <v>9999</v>
      </c>
      <c r="DS124">
        <v>596.9</v>
      </c>
      <c r="DT124">
        <v>9999</v>
      </c>
      <c r="DU124">
        <v>1.87103</v>
      </c>
      <c r="DV124">
        <v>1.87609</v>
      </c>
      <c r="DW124">
        <v>1.87629</v>
      </c>
      <c r="DX124">
        <v>1.8827799999999999</v>
      </c>
      <c r="DY124">
        <v>1.8755999999999999</v>
      </c>
      <c r="DZ124">
        <v>1.8746100000000001</v>
      </c>
      <c r="EA124">
        <v>1.8707499999999999</v>
      </c>
      <c r="EB124">
        <v>1.8746700000000001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-0.96399999999999997</v>
      </c>
      <c r="EQ124">
        <v>0.1081</v>
      </c>
      <c r="ER124">
        <v>-0.96330000000000404</v>
      </c>
      <c r="ES124">
        <v>0</v>
      </c>
      <c r="ET124">
        <v>0</v>
      </c>
      <c r="EU124">
        <v>0</v>
      </c>
      <c r="EV124">
        <v>0.10804000000000299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3.4</v>
      </c>
      <c r="FE124">
        <v>3</v>
      </c>
      <c r="FF124">
        <v>1.2353499999999999</v>
      </c>
      <c r="FG124">
        <v>2.5793499999999998</v>
      </c>
      <c r="FH124">
        <v>2.19604</v>
      </c>
      <c r="FI124">
        <v>2.5781200000000002</v>
      </c>
      <c r="FJ124">
        <v>2.4462899999999999</v>
      </c>
      <c r="FK124">
        <v>2.2802699999999998</v>
      </c>
      <c r="FL124">
        <v>30.243400000000001</v>
      </c>
      <c r="FM124">
        <v>24.1663</v>
      </c>
      <c r="FN124">
        <v>19</v>
      </c>
      <c r="FO124">
        <v>864.09900000000005</v>
      </c>
      <c r="FP124">
        <v>594.47799999999995</v>
      </c>
      <c r="FQ124">
        <v>18.6906</v>
      </c>
      <c r="FR124">
        <v>24.789300000000001</v>
      </c>
      <c r="FS124">
        <v>30.0001</v>
      </c>
      <c r="FT124">
        <v>24.7835</v>
      </c>
      <c r="FU124">
        <v>24.786100000000001</v>
      </c>
      <c r="FV124">
        <v>24.801600000000001</v>
      </c>
      <c r="FW124">
        <v>34.856299999999997</v>
      </c>
      <c r="FX124">
        <v>35.322299999999998</v>
      </c>
      <c r="FY124">
        <v>18.679099999999998</v>
      </c>
      <c r="FZ124">
        <v>410</v>
      </c>
      <c r="GA124">
        <v>13.963699999999999</v>
      </c>
      <c r="GB124">
        <v>99.938299999999998</v>
      </c>
      <c r="GC124">
        <v>99.663399999999996</v>
      </c>
    </row>
    <row r="125" spans="1:185" x14ac:dyDescent="0.2">
      <c r="A125">
        <v>110</v>
      </c>
      <c r="B125">
        <v>1771000740</v>
      </c>
      <c r="C125">
        <v>2116.9000000953702</v>
      </c>
      <c r="D125" t="s">
        <v>517</v>
      </c>
      <c r="E125" t="s">
        <v>518</v>
      </c>
      <c r="F125">
        <v>15</v>
      </c>
      <c r="G125">
        <v>1771000731.9333301</v>
      </c>
      <c r="H125">
        <f t="shared" si="13"/>
        <v>1.1350122768439411E-3</v>
      </c>
      <c r="I125">
        <v>0</v>
      </c>
      <c r="J125">
        <f t="shared" si="25"/>
        <v>-1.4034963149246477E-2</v>
      </c>
      <c r="K125">
        <f t="shared" si="14"/>
        <v>-0.2509627446069555</v>
      </c>
      <c r="L125">
        <f t="shared" si="15"/>
        <v>69.75727305046729</v>
      </c>
      <c r="M125">
        <f t="shared" si="16"/>
        <v>1.5383128044739243</v>
      </c>
      <c r="N125">
        <f t="shared" si="17"/>
        <v>2.2052364394476847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26318.647160050987</v>
      </c>
      <c r="T125">
        <f t="shared" si="21"/>
        <v>0</v>
      </c>
      <c r="U125">
        <f t="shared" si="22"/>
        <v>0</v>
      </c>
      <c r="V125">
        <f t="shared" si="23"/>
        <v>0.84270227099999995</v>
      </c>
      <c r="W125">
        <f t="shared" si="24"/>
        <v>0.15795509285999998</v>
      </c>
      <c r="X125">
        <v>1</v>
      </c>
      <c r="Y125">
        <v>1771000731.9333301</v>
      </c>
      <c r="Z125">
        <v>409.72693333333302</v>
      </c>
      <c r="AA125">
        <v>409.99453333333298</v>
      </c>
      <c r="AB125">
        <v>15.31142</v>
      </c>
      <c r="AC125">
        <v>13.914393333333299</v>
      </c>
      <c r="AD125">
        <v>410.6902</v>
      </c>
      <c r="AE125">
        <v>15.203386666666701</v>
      </c>
      <c r="AF125">
        <v>800.00879999999995</v>
      </c>
      <c r="AG125">
        <v>100.403533333333</v>
      </c>
      <c r="AH125">
        <v>6.4797133333333298E-2</v>
      </c>
      <c r="AI125">
        <v>19.000406666666699</v>
      </c>
      <c r="AJ125">
        <v>999.9</v>
      </c>
      <c r="AK125">
        <v>999.9</v>
      </c>
      <c r="AL125">
        <v>0</v>
      </c>
      <c r="AM125">
        <v>0</v>
      </c>
      <c r="AN125">
        <v>4998.4666666666699</v>
      </c>
      <c r="AO125">
        <v>0</v>
      </c>
      <c r="AP125">
        <v>1.86317</v>
      </c>
      <c r="AQ125">
        <v>-0.26777339999999999</v>
      </c>
      <c r="AR125">
        <v>416.09806666666702</v>
      </c>
      <c r="AS125">
        <v>415.78013333333303</v>
      </c>
      <c r="AT125">
        <v>1.3970353333333301</v>
      </c>
      <c r="AU125">
        <v>409.99453333333298</v>
      </c>
      <c r="AV125">
        <v>13.914393333333299</v>
      </c>
      <c r="AW125">
        <v>1.5373226666666699</v>
      </c>
      <c r="AX125">
        <v>1.39705533333333</v>
      </c>
      <c r="AY125">
        <v>13.3445066666667</v>
      </c>
      <c r="AZ125">
        <v>11.8857</v>
      </c>
      <c r="BA125">
        <v>0</v>
      </c>
      <c r="BB125">
        <v>0.90993299999999999</v>
      </c>
      <c r="BC125">
        <v>0</v>
      </c>
      <c r="BD125">
        <v>9.0067300000000003E-2</v>
      </c>
      <c r="BE125">
        <v>0</v>
      </c>
      <c r="BF125">
        <v>24</v>
      </c>
      <c r="BG125">
        <v>0</v>
      </c>
      <c r="BH125">
        <v>1771000543</v>
      </c>
      <c r="BI125" t="s">
        <v>490</v>
      </c>
      <c r="BJ125">
        <v>1771000521</v>
      </c>
      <c r="BK125">
        <v>1771000543</v>
      </c>
      <c r="BL125">
        <v>5</v>
      </c>
      <c r="BM125">
        <v>0.04</v>
      </c>
      <c r="BN125">
        <v>1.9E-2</v>
      </c>
      <c r="BO125">
        <v>-0.96299999999999997</v>
      </c>
      <c r="BP125">
        <v>0.108</v>
      </c>
      <c r="BQ125">
        <v>410</v>
      </c>
      <c r="BR125">
        <v>15</v>
      </c>
      <c r="BS125">
        <v>0.33</v>
      </c>
      <c r="BT125">
        <v>7.0000000000000007E-2</v>
      </c>
      <c r="BU125">
        <v>-0.26467457142857098</v>
      </c>
      <c r="BV125">
        <v>-3.6816545454545699E-2</v>
      </c>
      <c r="BW125">
        <v>1.62357463657949E-2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1.3960671428571401</v>
      </c>
      <c r="CD125">
        <v>5.0563636363636999E-3</v>
      </c>
      <c r="CE125">
        <v>3.2741704043519901E-3</v>
      </c>
      <c r="CF125">
        <v>1</v>
      </c>
      <c r="CG125">
        <v>2</v>
      </c>
      <c r="CH125">
        <v>2</v>
      </c>
      <c r="CI125" t="s">
        <v>304</v>
      </c>
      <c r="CJ125">
        <v>3.5324399999999998</v>
      </c>
      <c r="CK125">
        <v>2.7025399999999999</v>
      </c>
      <c r="CL125">
        <v>9.8391699999999999E-2</v>
      </c>
      <c r="CM125">
        <v>9.7041699999999995E-2</v>
      </c>
      <c r="CN125">
        <v>8.7054699999999999E-2</v>
      </c>
      <c r="CO125">
        <v>8.0315899999999996E-2</v>
      </c>
      <c r="CP125">
        <v>31644</v>
      </c>
      <c r="CQ125">
        <v>27794</v>
      </c>
      <c r="CR125">
        <v>32481</v>
      </c>
      <c r="CS125">
        <v>30705</v>
      </c>
      <c r="CT125">
        <v>40139.699999999997</v>
      </c>
      <c r="CU125">
        <v>39700.800000000003</v>
      </c>
      <c r="CV125">
        <v>47422.400000000001</v>
      </c>
      <c r="CW125">
        <v>46811.5</v>
      </c>
      <c r="CX125">
        <v>2.6338200000000001</v>
      </c>
      <c r="CY125">
        <v>2.1636199999999999</v>
      </c>
      <c r="CZ125">
        <v>0</v>
      </c>
      <c r="DA125">
        <v>0</v>
      </c>
      <c r="DB125">
        <v>999.9</v>
      </c>
      <c r="DC125">
        <v>999.9</v>
      </c>
      <c r="DD125">
        <v>63.948</v>
      </c>
      <c r="DE125">
        <v>25.024999999999999</v>
      </c>
      <c r="DF125">
        <v>20.281199999999998</v>
      </c>
      <c r="DG125">
        <v>30.470099999999999</v>
      </c>
      <c r="DH125">
        <v>16.2941</v>
      </c>
      <c r="DI125">
        <v>2</v>
      </c>
      <c r="DJ125">
        <v>-0.17652599999999999</v>
      </c>
      <c r="DK125">
        <v>1.5590599999999999</v>
      </c>
      <c r="DL125">
        <v>20.2425</v>
      </c>
      <c r="DM125">
        <v>5.2498800000000001</v>
      </c>
      <c r="DN125">
        <v>12.033899999999999</v>
      </c>
      <c r="DO125">
        <v>4.9658800000000003</v>
      </c>
      <c r="DP125">
        <v>3.2909999999999999</v>
      </c>
      <c r="DQ125">
        <v>9999</v>
      </c>
      <c r="DR125">
        <v>9999</v>
      </c>
      <c r="DS125">
        <v>596.9</v>
      </c>
      <c r="DT125">
        <v>9999</v>
      </c>
      <c r="DU125">
        <v>1.87103</v>
      </c>
      <c r="DV125">
        <v>1.87609</v>
      </c>
      <c r="DW125">
        <v>1.8762700000000001</v>
      </c>
      <c r="DX125">
        <v>1.8827799999999999</v>
      </c>
      <c r="DY125">
        <v>1.8755900000000001</v>
      </c>
      <c r="DZ125">
        <v>1.87462</v>
      </c>
      <c r="EA125">
        <v>1.8707499999999999</v>
      </c>
      <c r="EB125">
        <v>1.8746499999999999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-0.96399999999999997</v>
      </c>
      <c r="EQ125">
        <v>0.108</v>
      </c>
      <c r="ER125">
        <v>-0.96330000000000404</v>
      </c>
      <c r="ES125">
        <v>0</v>
      </c>
      <c r="ET125">
        <v>0</v>
      </c>
      <c r="EU125">
        <v>0</v>
      </c>
      <c r="EV125">
        <v>0.10804000000000299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3.6</v>
      </c>
      <c r="FE125">
        <v>3.3</v>
      </c>
      <c r="FF125">
        <v>1.2353499999999999</v>
      </c>
      <c r="FG125">
        <v>2.5817899999999998</v>
      </c>
      <c r="FH125">
        <v>2.19604</v>
      </c>
      <c r="FI125">
        <v>2.5781200000000002</v>
      </c>
      <c r="FJ125">
        <v>2.4462899999999999</v>
      </c>
      <c r="FK125">
        <v>2.2888199999999999</v>
      </c>
      <c r="FL125">
        <v>30.243400000000001</v>
      </c>
      <c r="FM125">
        <v>24.157499999999999</v>
      </c>
      <c r="FN125">
        <v>19</v>
      </c>
      <c r="FO125">
        <v>863.99300000000005</v>
      </c>
      <c r="FP125">
        <v>594.18700000000001</v>
      </c>
      <c r="FQ125">
        <v>18.677499999999998</v>
      </c>
      <c r="FR125">
        <v>24.7925</v>
      </c>
      <c r="FS125">
        <v>30.0001</v>
      </c>
      <c r="FT125">
        <v>24.787299999999998</v>
      </c>
      <c r="FU125">
        <v>24.789400000000001</v>
      </c>
      <c r="FV125">
        <v>24.803100000000001</v>
      </c>
      <c r="FW125">
        <v>34.856299999999997</v>
      </c>
      <c r="FX125">
        <v>34.940600000000003</v>
      </c>
      <c r="FY125">
        <v>18.677800000000001</v>
      </c>
      <c r="FZ125">
        <v>410</v>
      </c>
      <c r="GA125">
        <v>13.978999999999999</v>
      </c>
      <c r="GB125">
        <v>99.937200000000004</v>
      </c>
      <c r="GC125">
        <v>99.664000000000001</v>
      </c>
    </row>
    <row r="126" spans="1:185" x14ac:dyDescent="0.2">
      <c r="A126">
        <v>111</v>
      </c>
      <c r="B126">
        <v>1771000755</v>
      </c>
      <c r="C126">
        <v>2131.9000000953702</v>
      </c>
      <c r="D126" t="s">
        <v>519</v>
      </c>
      <c r="E126" t="s">
        <v>520</v>
      </c>
      <c r="F126">
        <v>15</v>
      </c>
      <c r="G126">
        <v>1771000746.9333301</v>
      </c>
      <c r="H126">
        <f t="shared" si="13"/>
        <v>1.1207005136077955E-3</v>
      </c>
      <c r="I126">
        <v>0</v>
      </c>
      <c r="J126">
        <f t="shared" si="25"/>
        <v>-1.3948385199695155E-2</v>
      </c>
      <c r="K126">
        <f t="shared" si="14"/>
        <v>-0.24941462227768463</v>
      </c>
      <c r="L126">
        <f t="shared" si="15"/>
        <v>69.714951553481868</v>
      </c>
      <c r="M126">
        <f t="shared" si="16"/>
        <v>1.5374997599502944</v>
      </c>
      <c r="N126">
        <f t="shared" si="17"/>
        <v>2.2054089197362496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26332.409862055451</v>
      </c>
      <c r="T126">
        <f t="shared" si="21"/>
        <v>0</v>
      </c>
      <c r="U126">
        <f t="shared" si="22"/>
        <v>0</v>
      </c>
      <c r="V126">
        <f t="shared" si="23"/>
        <v>0.84270227099999995</v>
      </c>
      <c r="W126">
        <f t="shared" si="24"/>
        <v>0.15795509285999998</v>
      </c>
      <c r="X126">
        <v>1</v>
      </c>
      <c r="Y126">
        <v>1771000746.9333301</v>
      </c>
      <c r="Z126">
        <v>409.7244</v>
      </c>
      <c r="AA126">
        <v>409.98660000000001</v>
      </c>
      <c r="AB126">
        <v>15.30316</v>
      </c>
      <c r="AC126">
        <v>13.9237466666667</v>
      </c>
      <c r="AD126">
        <v>410.68759999999997</v>
      </c>
      <c r="AE126">
        <v>15.1951133333333</v>
      </c>
      <c r="AF126">
        <v>800.01419999999996</v>
      </c>
      <c r="AG126">
        <v>100.4046</v>
      </c>
      <c r="AH126">
        <v>6.482984E-2</v>
      </c>
      <c r="AI126">
        <v>19.001660000000001</v>
      </c>
      <c r="AJ126">
        <v>999.9</v>
      </c>
      <c r="AK126">
        <v>999.9</v>
      </c>
      <c r="AL126">
        <v>0</v>
      </c>
      <c r="AM126">
        <v>0</v>
      </c>
      <c r="AN126">
        <v>5000.7</v>
      </c>
      <c r="AO126">
        <v>0</v>
      </c>
      <c r="AP126">
        <v>1.86317</v>
      </c>
      <c r="AQ126">
        <v>-0.26223360000000001</v>
      </c>
      <c r="AR126">
        <v>416.09186666666699</v>
      </c>
      <c r="AS126">
        <v>415.775466666667</v>
      </c>
      <c r="AT126">
        <v>1.3794106666666699</v>
      </c>
      <c r="AU126">
        <v>409.98660000000001</v>
      </c>
      <c r="AV126">
        <v>13.9237466666667</v>
      </c>
      <c r="AW126">
        <v>1.5365073333333299</v>
      </c>
      <c r="AX126">
        <v>1.3980079999999999</v>
      </c>
      <c r="AY126">
        <v>13.336360000000001</v>
      </c>
      <c r="AZ126">
        <v>11.8960266666667</v>
      </c>
      <c r="BA126">
        <v>0</v>
      </c>
      <c r="BB126">
        <v>0.90993299999999999</v>
      </c>
      <c r="BC126">
        <v>0</v>
      </c>
      <c r="BD126">
        <v>9.0067300000000003E-2</v>
      </c>
      <c r="BE126">
        <v>0</v>
      </c>
      <c r="BF126">
        <v>24</v>
      </c>
      <c r="BG126">
        <v>0</v>
      </c>
      <c r="BH126">
        <v>1771000543</v>
      </c>
      <c r="BI126" t="s">
        <v>490</v>
      </c>
      <c r="BJ126">
        <v>1771000521</v>
      </c>
      <c r="BK126">
        <v>1771000543</v>
      </c>
      <c r="BL126">
        <v>5</v>
      </c>
      <c r="BM126">
        <v>0.04</v>
      </c>
      <c r="BN126">
        <v>1.9E-2</v>
      </c>
      <c r="BO126">
        <v>-0.96299999999999997</v>
      </c>
      <c r="BP126">
        <v>0.108</v>
      </c>
      <c r="BQ126">
        <v>410</v>
      </c>
      <c r="BR126">
        <v>15</v>
      </c>
      <c r="BS126">
        <v>0.33</v>
      </c>
      <c r="BT126">
        <v>7.0000000000000007E-2</v>
      </c>
      <c r="BU126">
        <v>-0.26455240000000002</v>
      </c>
      <c r="BV126">
        <v>4.7763067669172599E-2</v>
      </c>
      <c r="BW126">
        <v>2.55803400864805E-2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1.3833405000000001</v>
      </c>
      <c r="CD126">
        <v>-0.133358345864661</v>
      </c>
      <c r="CE126">
        <v>1.4726363935133499E-2</v>
      </c>
      <c r="CF126">
        <v>0</v>
      </c>
      <c r="CG126">
        <v>1</v>
      </c>
      <c r="CH126">
        <v>2</v>
      </c>
      <c r="CI126" t="s">
        <v>290</v>
      </c>
      <c r="CJ126">
        <v>3.53254</v>
      </c>
      <c r="CK126">
        <v>2.7026599999999998</v>
      </c>
      <c r="CL126">
        <v>9.8392599999999997E-2</v>
      </c>
      <c r="CM126">
        <v>9.7047800000000004E-2</v>
      </c>
      <c r="CN126">
        <v>8.7082800000000002E-2</v>
      </c>
      <c r="CO126">
        <v>8.0447199999999996E-2</v>
      </c>
      <c r="CP126">
        <v>31643.9</v>
      </c>
      <c r="CQ126">
        <v>27793.8</v>
      </c>
      <c r="CR126">
        <v>32481</v>
      </c>
      <c r="CS126">
        <v>30705</v>
      </c>
      <c r="CT126">
        <v>40138.6</v>
      </c>
      <c r="CU126">
        <v>39695.199999999997</v>
      </c>
      <c r="CV126">
        <v>47422.6</v>
      </c>
      <c r="CW126">
        <v>46811.7</v>
      </c>
      <c r="CX126">
        <v>2.6337199999999998</v>
      </c>
      <c r="CY126">
        <v>2.1635399999999998</v>
      </c>
      <c r="CZ126">
        <v>0</v>
      </c>
      <c r="DA126">
        <v>0</v>
      </c>
      <c r="DB126">
        <v>999.9</v>
      </c>
      <c r="DC126">
        <v>999.9</v>
      </c>
      <c r="DD126">
        <v>63.826000000000001</v>
      </c>
      <c r="DE126">
        <v>25.055</v>
      </c>
      <c r="DF126">
        <v>20.2819</v>
      </c>
      <c r="DG126">
        <v>30.5901</v>
      </c>
      <c r="DH126">
        <v>16.23</v>
      </c>
      <c r="DI126">
        <v>2</v>
      </c>
      <c r="DJ126">
        <v>-0.17607900000000001</v>
      </c>
      <c r="DK126">
        <v>1.56853</v>
      </c>
      <c r="DL126">
        <v>20.2425</v>
      </c>
      <c r="DM126">
        <v>5.2493999999999996</v>
      </c>
      <c r="DN126">
        <v>12.033899999999999</v>
      </c>
      <c r="DO126">
        <v>4.9658800000000003</v>
      </c>
      <c r="DP126">
        <v>3.2909999999999999</v>
      </c>
      <c r="DQ126">
        <v>9999</v>
      </c>
      <c r="DR126">
        <v>9999</v>
      </c>
      <c r="DS126">
        <v>596.9</v>
      </c>
      <c r="DT126">
        <v>9999</v>
      </c>
      <c r="DU126">
        <v>1.87103</v>
      </c>
      <c r="DV126">
        <v>1.8760699999999999</v>
      </c>
      <c r="DW126">
        <v>1.8762399999999999</v>
      </c>
      <c r="DX126">
        <v>1.8827799999999999</v>
      </c>
      <c r="DY126">
        <v>1.87557</v>
      </c>
      <c r="DZ126">
        <v>1.8745799999999999</v>
      </c>
      <c r="EA126">
        <v>1.8707499999999999</v>
      </c>
      <c r="EB126">
        <v>1.87463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-0.96299999999999997</v>
      </c>
      <c r="EQ126">
        <v>0.108</v>
      </c>
      <c r="ER126">
        <v>-0.96330000000000404</v>
      </c>
      <c r="ES126">
        <v>0</v>
      </c>
      <c r="ET126">
        <v>0</v>
      </c>
      <c r="EU126">
        <v>0</v>
      </c>
      <c r="EV126">
        <v>0.10804000000000299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3.9</v>
      </c>
      <c r="FE126">
        <v>3.5</v>
      </c>
      <c r="FF126">
        <v>1.2353499999999999</v>
      </c>
      <c r="FG126">
        <v>2.5854499999999998</v>
      </c>
      <c r="FH126">
        <v>2.19604</v>
      </c>
      <c r="FI126">
        <v>2.5781200000000002</v>
      </c>
      <c r="FJ126">
        <v>2.4462899999999999</v>
      </c>
      <c r="FK126">
        <v>2.2802699999999998</v>
      </c>
      <c r="FL126">
        <v>30.264900000000001</v>
      </c>
      <c r="FM126">
        <v>24.157499999999999</v>
      </c>
      <c r="FN126">
        <v>19</v>
      </c>
      <c r="FO126">
        <v>863.94799999999998</v>
      </c>
      <c r="FP126">
        <v>594.16</v>
      </c>
      <c r="FQ126">
        <v>18.674900000000001</v>
      </c>
      <c r="FR126">
        <v>24.794599999999999</v>
      </c>
      <c r="FS126">
        <v>30.0001</v>
      </c>
      <c r="FT126">
        <v>24.790199999999999</v>
      </c>
      <c r="FU126">
        <v>24.792400000000001</v>
      </c>
      <c r="FV126">
        <v>24.805399999999999</v>
      </c>
      <c r="FW126">
        <v>34.579000000000001</v>
      </c>
      <c r="FX126">
        <v>34.5578</v>
      </c>
      <c r="FY126">
        <v>18.672799999999999</v>
      </c>
      <c r="FZ126">
        <v>410</v>
      </c>
      <c r="GA126">
        <v>13.9788</v>
      </c>
      <c r="GB126">
        <v>99.9375</v>
      </c>
      <c r="GC126">
        <v>99.664299999999997</v>
      </c>
    </row>
    <row r="127" spans="1:185" x14ac:dyDescent="0.2">
      <c r="A127">
        <v>112</v>
      </c>
      <c r="B127">
        <v>1771000770</v>
      </c>
      <c r="C127">
        <v>2146.9000000953702</v>
      </c>
      <c r="D127" t="s">
        <v>521</v>
      </c>
      <c r="E127" t="s">
        <v>522</v>
      </c>
      <c r="F127">
        <v>15</v>
      </c>
      <c r="G127">
        <v>1771000761.9333301</v>
      </c>
      <c r="H127">
        <f t="shared" si="13"/>
        <v>1.1187370021649597E-3</v>
      </c>
      <c r="I127">
        <v>0</v>
      </c>
      <c r="J127">
        <f t="shared" si="25"/>
        <v>-1.4477715601733538E-2</v>
      </c>
      <c r="K127">
        <f t="shared" si="14"/>
        <v>-0.25887971378429026</v>
      </c>
      <c r="L127">
        <f t="shared" si="15"/>
        <v>69.747505809456968</v>
      </c>
      <c r="M127">
        <f t="shared" si="16"/>
        <v>1.5381965972063192</v>
      </c>
      <c r="N127">
        <f t="shared" si="17"/>
        <v>2.2053786430851225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26351.40156072595</v>
      </c>
      <c r="T127">
        <f t="shared" si="21"/>
        <v>0</v>
      </c>
      <c r="U127">
        <f t="shared" si="22"/>
        <v>0</v>
      </c>
      <c r="V127">
        <f t="shared" si="23"/>
        <v>0.84270227099999995</v>
      </c>
      <c r="W127">
        <f t="shared" si="24"/>
        <v>0.15795509285999998</v>
      </c>
      <c r="X127">
        <v>1</v>
      </c>
      <c r="Y127">
        <v>1771000761.9333301</v>
      </c>
      <c r="Z127">
        <v>409.74893333333301</v>
      </c>
      <c r="AA127">
        <v>409.99833333333299</v>
      </c>
      <c r="AB127">
        <v>15.310373333333301</v>
      </c>
      <c r="AC127">
        <v>13.9333733333333</v>
      </c>
      <c r="AD127">
        <v>410.71213333333299</v>
      </c>
      <c r="AE127">
        <v>15.20234</v>
      </c>
      <c r="AF127">
        <v>800.00633333333303</v>
      </c>
      <c r="AG127">
        <v>100.402666666667</v>
      </c>
      <c r="AH127">
        <v>6.4942040000000006E-2</v>
      </c>
      <c r="AI127">
        <v>19.001439999999999</v>
      </c>
      <c r="AJ127">
        <v>999.9</v>
      </c>
      <c r="AK127">
        <v>999.9</v>
      </c>
      <c r="AL127">
        <v>0</v>
      </c>
      <c r="AM127">
        <v>0</v>
      </c>
      <c r="AN127">
        <v>5003.8999999999996</v>
      </c>
      <c r="AO127">
        <v>0</v>
      </c>
      <c r="AP127">
        <v>1.86317</v>
      </c>
      <c r="AQ127">
        <v>-0.24943633333333301</v>
      </c>
      <c r="AR127">
        <v>416.11986666666701</v>
      </c>
      <c r="AS127">
        <v>415.79166666666703</v>
      </c>
      <c r="AT127">
        <v>1.376992</v>
      </c>
      <c r="AU127">
        <v>409.99833333333299</v>
      </c>
      <c r="AV127">
        <v>13.9333733333333</v>
      </c>
      <c r="AW127">
        <v>1.5372046666666701</v>
      </c>
      <c r="AX127">
        <v>1.39895066666667</v>
      </c>
      <c r="AY127">
        <v>13.34332</v>
      </c>
      <c r="AZ127">
        <v>11.9062533333333</v>
      </c>
      <c r="BA127">
        <v>0</v>
      </c>
      <c r="BB127">
        <v>0.90993299999999999</v>
      </c>
      <c r="BC127">
        <v>0</v>
      </c>
      <c r="BD127">
        <v>9.0067300000000003E-2</v>
      </c>
      <c r="BE127">
        <v>0</v>
      </c>
      <c r="BF127">
        <v>24</v>
      </c>
      <c r="BG127">
        <v>0</v>
      </c>
      <c r="BH127">
        <v>1771000543</v>
      </c>
      <c r="BI127" t="s">
        <v>490</v>
      </c>
      <c r="BJ127">
        <v>1771000521</v>
      </c>
      <c r="BK127">
        <v>1771000543</v>
      </c>
      <c r="BL127">
        <v>5</v>
      </c>
      <c r="BM127">
        <v>0.04</v>
      </c>
      <c r="BN127">
        <v>1.9E-2</v>
      </c>
      <c r="BO127">
        <v>-0.96299999999999997</v>
      </c>
      <c r="BP127">
        <v>0.108</v>
      </c>
      <c r="BQ127">
        <v>410</v>
      </c>
      <c r="BR127">
        <v>15</v>
      </c>
      <c r="BS127">
        <v>0.33</v>
      </c>
      <c r="BT127">
        <v>7.0000000000000007E-2</v>
      </c>
      <c r="BU127">
        <v>-0.25274071428571399</v>
      </c>
      <c r="BV127">
        <v>7.8969428571428593E-2</v>
      </c>
      <c r="BW127">
        <v>2.0734428284843499E-2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1.37335571428571</v>
      </c>
      <c r="CD127">
        <v>5.2065974025975403E-2</v>
      </c>
      <c r="CE127">
        <v>6.6671344393714697E-3</v>
      </c>
      <c r="CF127">
        <v>1</v>
      </c>
      <c r="CG127">
        <v>2</v>
      </c>
      <c r="CH127">
        <v>2</v>
      </c>
      <c r="CI127" t="s">
        <v>304</v>
      </c>
      <c r="CJ127">
        <v>3.53247</v>
      </c>
      <c r="CK127">
        <v>2.70302</v>
      </c>
      <c r="CL127">
        <v>9.8387699999999995E-2</v>
      </c>
      <c r="CM127">
        <v>9.7043599999999994E-2</v>
      </c>
      <c r="CN127">
        <v>8.7084700000000001E-2</v>
      </c>
      <c r="CO127">
        <v>8.0403799999999997E-2</v>
      </c>
      <c r="CP127">
        <v>31644</v>
      </c>
      <c r="CQ127">
        <v>27794.1</v>
      </c>
      <c r="CR127">
        <v>32480.9</v>
      </c>
      <c r="CS127">
        <v>30705.200000000001</v>
      </c>
      <c r="CT127">
        <v>40138.699999999997</v>
      </c>
      <c r="CU127">
        <v>39697.4</v>
      </c>
      <c r="CV127">
        <v>47422.8</v>
      </c>
      <c r="CW127">
        <v>46812.1</v>
      </c>
      <c r="CX127">
        <v>2.63368</v>
      </c>
      <c r="CY127">
        <v>2.1632400000000001</v>
      </c>
      <c r="CZ127">
        <v>0</v>
      </c>
      <c r="DA127">
        <v>0</v>
      </c>
      <c r="DB127">
        <v>999.9</v>
      </c>
      <c r="DC127">
        <v>999.9</v>
      </c>
      <c r="DD127">
        <v>63.704000000000001</v>
      </c>
      <c r="DE127">
        <v>25.074999999999999</v>
      </c>
      <c r="DF127">
        <v>20.2653</v>
      </c>
      <c r="DG127">
        <v>30.5901</v>
      </c>
      <c r="DH127">
        <v>16.25</v>
      </c>
      <c r="DI127">
        <v>2</v>
      </c>
      <c r="DJ127">
        <v>-0.17610200000000001</v>
      </c>
      <c r="DK127">
        <v>1.5643800000000001</v>
      </c>
      <c r="DL127">
        <v>20.2425</v>
      </c>
      <c r="DM127">
        <v>5.2496400000000003</v>
      </c>
      <c r="DN127">
        <v>12.033899999999999</v>
      </c>
      <c r="DO127">
        <v>4.9659199999999997</v>
      </c>
      <c r="DP127">
        <v>3.2909999999999999</v>
      </c>
      <c r="DQ127">
        <v>9999</v>
      </c>
      <c r="DR127">
        <v>9999</v>
      </c>
      <c r="DS127">
        <v>596.9</v>
      </c>
      <c r="DT127">
        <v>9999</v>
      </c>
      <c r="DU127">
        <v>1.87103</v>
      </c>
      <c r="DV127">
        <v>1.8760699999999999</v>
      </c>
      <c r="DW127">
        <v>1.8762300000000001</v>
      </c>
      <c r="DX127">
        <v>1.8827700000000001</v>
      </c>
      <c r="DY127">
        <v>1.87554</v>
      </c>
      <c r="DZ127">
        <v>1.87459</v>
      </c>
      <c r="EA127">
        <v>1.8707400000000001</v>
      </c>
      <c r="EB127">
        <v>1.8745799999999999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-0.96299999999999997</v>
      </c>
      <c r="EQ127">
        <v>0.1081</v>
      </c>
      <c r="ER127">
        <v>-0.96330000000000404</v>
      </c>
      <c r="ES127">
        <v>0</v>
      </c>
      <c r="ET127">
        <v>0</v>
      </c>
      <c r="EU127">
        <v>0</v>
      </c>
      <c r="EV127">
        <v>0.10804000000000299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4.2</v>
      </c>
      <c r="FE127">
        <v>3.8</v>
      </c>
      <c r="FF127">
        <v>1.2365699999999999</v>
      </c>
      <c r="FG127">
        <v>2.5854499999999998</v>
      </c>
      <c r="FH127">
        <v>2.19604</v>
      </c>
      <c r="FI127">
        <v>2.5781200000000002</v>
      </c>
      <c r="FJ127">
        <v>2.4462899999999999</v>
      </c>
      <c r="FK127">
        <v>2.2680699999999998</v>
      </c>
      <c r="FL127">
        <v>30.2864</v>
      </c>
      <c r="FM127">
        <v>24.157499999999999</v>
      </c>
      <c r="FN127">
        <v>19</v>
      </c>
      <c r="FO127">
        <v>863.97199999999998</v>
      </c>
      <c r="FP127">
        <v>593.97299999999996</v>
      </c>
      <c r="FQ127">
        <v>18.6755</v>
      </c>
      <c r="FR127">
        <v>24.797599999999999</v>
      </c>
      <c r="FS127">
        <v>30.0001</v>
      </c>
      <c r="FT127">
        <v>24.793900000000001</v>
      </c>
      <c r="FU127">
        <v>24.796500000000002</v>
      </c>
      <c r="FV127">
        <v>24.804099999999998</v>
      </c>
      <c r="FW127">
        <v>34.579000000000001</v>
      </c>
      <c r="FX127">
        <v>34.179099999999998</v>
      </c>
      <c r="FY127">
        <v>18.6737</v>
      </c>
      <c r="FZ127">
        <v>410</v>
      </c>
      <c r="GA127">
        <v>13.9862</v>
      </c>
      <c r="GB127">
        <v>99.937600000000003</v>
      </c>
      <c r="GC127">
        <v>99.665000000000006</v>
      </c>
    </row>
    <row r="128" spans="1:185" x14ac:dyDescent="0.2">
      <c r="A128">
        <v>113</v>
      </c>
      <c r="B128">
        <v>1771000785</v>
      </c>
      <c r="C128">
        <v>2161.9000000953702</v>
      </c>
      <c r="D128" t="s">
        <v>523</v>
      </c>
      <c r="E128" t="s">
        <v>524</v>
      </c>
      <c r="F128">
        <v>15</v>
      </c>
      <c r="G128">
        <v>1771000776.9333301</v>
      </c>
      <c r="H128">
        <f t="shared" si="13"/>
        <v>1.1261366964629004E-3</v>
      </c>
      <c r="I128">
        <v>0</v>
      </c>
      <c r="J128">
        <f t="shared" si="25"/>
        <v>-1.4829248142608683E-2</v>
      </c>
      <c r="K128">
        <f t="shared" si="14"/>
        <v>-0.26516555652848156</v>
      </c>
      <c r="L128">
        <f t="shared" si="15"/>
        <v>69.75539787474203</v>
      </c>
      <c r="M128">
        <f t="shared" si="16"/>
        <v>1.5382765720054048</v>
      </c>
      <c r="N128">
        <f t="shared" si="17"/>
        <v>2.2052437787935042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26313.21281576579</v>
      </c>
      <c r="T128">
        <f t="shared" si="21"/>
        <v>0</v>
      </c>
      <c r="U128">
        <f t="shared" si="22"/>
        <v>0</v>
      </c>
      <c r="V128">
        <f t="shared" si="23"/>
        <v>0.84270227099999995</v>
      </c>
      <c r="W128">
        <f t="shared" si="24"/>
        <v>0.15795509285999998</v>
      </c>
      <c r="X128">
        <v>1</v>
      </c>
      <c r="Y128">
        <v>1771000776.9333301</v>
      </c>
      <c r="Z128">
        <v>409.74933333333303</v>
      </c>
      <c r="AA128">
        <v>409.994666666667</v>
      </c>
      <c r="AB128">
        <v>15.311353333333299</v>
      </c>
      <c r="AC128">
        <v>13.9252466666667</v>
      </c>
      <c r="AD128">
        <v>410.712533333333</v>
      </c>
      <c r="AE128">
        <v>15.2033</v>
      </c>
      <c r="AF128">
        <v>800.00626666666699</v>
      </c>
      <c r="AG128">
        <v>100.4014</v>
      </c>
      <c r="AH128">
        <v>6.5001533333333306E-2</v>
      </c>
      <c r="AI128">
        <v>19.00046</v>
      </c>
      <c r="AJ128">
        <v>999.9</v>
      </c>
      <c r="AK128">
        <v>999.9</v>
      </c>
      <c r="AL128">
        <v>0</v>
      </c>
      <c r="AM128">
        <v>0</v>
      </c>
      <c r="AN128">
        <v>4997.6666666666697</v>
      </c>
      <c r="AO128">
        <v>0</v>
      </c>
      <c r="AP128">
        <v>1.86317</v>
      </c>
      <c r="AQ128">
        <v>-0.2453022</v>
      </c>
      <c r="AR128">
        <v>416.12066666666698</v>
      </c>
      <c r="AS128">
        <v>415.78440000000001</v>
      </c>
      <c r="AT128">
        <v>1.3860966666666701</v>
      </c>
      <c r="AU128">
        <v>409.994666666667</v>
      </c>
      <c r="AV128">
        <v>13.9252466666667</v>
      </c>
      <c r="AW128">
        <v>1.5372813333333299</v>
      </c>
      <c r="AX128">
        <v>1.3981146666666699</v>
      </c>
      <c r="AY128">
        <v>13.3440933333333</v>
      </c>
      <c r="AZ128">
        <v>11.8972</v>
      </c>
      <c r="BA128">
        <v>0</v>
      </c>
      <c r="BB128">
        <v>0.90993299999999999</v>
      </c>
      <c r="BC128">
        <v>0</v>
      </c>
      <c r="BD128">
        <v>9.0067300000000003E-2</v>
      </c>
      <c r="BE128">
        <v>0</v>
      </c>
      <c r="BF128">
        <v>24</v>
      </c>
      <c r="BG128">
        <v>0</v>
      </c>
      <c r="BH128">
        <v>1771000543</v>
      </c>
      <c r="BI128" t="s">
        <v>490</v>
      </c>
      <c r="BJ128">
        <v>1771000521</v>
      </c>
      <c r="BK128">
        <v>1771000543</v>
      </c>
      <c r="BL128">
        <v>5</v>
      </c>
      <c r="BM128">
        <v>0.04</v>
      </c>
      <c r="BN128">
        <v>1.9E-2</v>
      </c>
      <c r="BO128">
        <v>-0.96299999999999997</v>
      </c>
      <c r="BP128">
        <v>0.108</v>
      </c>
      <c r="BQ128">
        <v>410</v>
      </c>
      <c r="BR128">
        <v>15</v>
      </c>
      <c r="BS128">
        <v>0.33</v>
      </c>
      <c r="BT128">
        <v>7.0000000000000007E-2</v>
      </c>
      <c r="BU128">
        <v>-0.2424163</v>
      </c>
      <c r="BV128">
        <v>2.2810375939849699E-2</v>
      </c>
      <c r="BW128">
        <v>1.8765362541395301E-2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1.3838705</v>
      </c>
      <c r="CD128">
        <v>3.1657894736845903E-2</v>
      </c>
      <c r="CE128">
        <v>5.2945976948206401E-3</v>
      </c>
      <c r="CF128">
        <v>1</v>
      </c>
      <c r="CG128">
        <v>2</v>
      </c>
      <c r="CH128">
        <v>2</v>
      </c>
      <c r="CI128" t="s">
        <v>304</v>
      </c>
      <c r="CJ128">
        <v>3.5324800000000001</v>
      </c>
      <c r="CK128">
        <v>2.7027000000000001</v>
      </c>
      <c r="CL128">
        <v>9.8391999999999993E-2</v>
      </c>
      <c r="CM128">
        <v>9.7036999999999998E-2</v>
      </c>
      <c r="CN128">
        <v>8.7067099999999994E-2</v>
      </c>
      <c r="CO128">
        <v>8.0451700000000001E-2</v>
      </c>
      <c r="CP128">
        <v>31643.9</v>
      </c>
      <c r="CQ128">
        <v>27794.799999999999</v>
      </c>
      <c r="CR128">
        <v>32480.9</v>
      </c>
      <c r="CS128">
        <v>30705.8</v>
      </c>
      <c r="CT128">
        <v>40139.5</v>
      </c>
      <c r="CU128">
        <v>39696</v>
      </c>
      <c r="CV128">
        <v>47422.8</v>
      </c>
      <c r="CW128">
        <v>46813</v>
      </c>
      <c r="CX128">
        <v>2.6337799999999998</v>
      </c>
      <c r="CY128">
        <v>2.1630799999999999</v>
      </c>
      <c r="CZ128">
        <v>0</v>
      </c>
      <c r="DA128">
        <v>0</v>
      </c>
      <c r="DB128">
        <v>999.9</v>
      </c>
      <c r="DC128">
        <v>999.9</v>
      </c>
      <c r="DD128">
        <v>63.613</v>
      </c>
      <c r="DE128">
        <v>25.074999999999999</v>
      </c>
      <c r="DF128">
        <v>20.2346</v>
      </c>
      <c r="DG128">
        <v>30.350100000000001</v>
      </c>
      <c r="DH128">
        <v>16.2941</v>
      </c>
      <c r="DI128">
        <v>2</v>
      </c>
      <c r="DJ128">
        <v>-0.17593700000000001</v>
      </c>
      <c r="DK128">
        <v>1.5629900000000001</v>
      </c>
      <c r="DL128">
        <v>20.2424</v>
      </c>
      <c r="DM128">
        <v>5.2501199999999999</v>
      </c>
      <c r="DN128">
        <v>12.033899999999999</v>
      </c>
      <c r="DO128">
        <v>4.9660799999999998</v>
      </c>
      <c r="DP128">
        <v>3.2909999999999999</v>
      </c>
      <c r="DQ128">
        <v>9999</v>
      </c>
      <c r="DR128">
        <v>9999</v>
      </c>
      <c r="DS128">
        <v>596.9</v>
      </c>
      <c r="DT128">
        <v>9999</v>
      </c>
      <c r="DU128">
        <v>1.87103</v>
      </c>
      <c r="DV128">
        <v>1.8760699999999999</v>
      </c>
      <c r="DW128">
        <v>1.8762300000000001</v>
      </c>
      <c r="DX128">
        <v>1.8827799999999999</v>
      </c>
      <c r="DY128">
        <v>1.87554</v>
      </c>
      <c r="DZ128">
        <v>1.8746100000000001</v>
      </c>
      <c r="EA128">
        <v>1.8707499999999999</v>
      </c>
      <c r="EB128">
        <v>1.87462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-0.96399999999999997</v>
      </c>
      <c r="EQ128">
        <v>0.108</v>
      </c>
      <c r="ER128">
        <v>-0.96330000000000404</v>
      </c>
      <c r="ES128">
        <v>0</v>
      </c>
      <c r="ET128">
        <v>0</v>
      </c>
      <c r="EU128">
        <v>0</v>
      </c>
      <c r="EV128">
        <v>0.10804000000000299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4.4000000000000004</v>
      </c>
      <c r="FE128">
        <v>4</v>
      </c>
      <c r="FF128">
        <v>1.2353499999999999</v>
      </c>
      <c r="FG128">
        <v>2.5817899999999998</v>
      </c>
      <c r="FH128">
        <v>2.19604</v>
      </c>
      <c r="FI128">
        <v>2.5781200000000002</v>
      </c>
      <c r="FJ128">
        <v>2.4462899999999999</v>
      </c>
      <c r="FK128">
        <v>2.2509800000000002</v>
      </c>
      <c r="FL128">
        <v>30.2864</v>
      </c>
      <c r="FM128">
        <v>24.157499999999999</v>
      </c>
      <c r="FN128">
        <v>19</v>
      </c>
      <c r="FO128">
        <v>864.125</v>
      </c>
      <c r="FP128">
        <v>593.88099999999997</v>
      </c>
      <c r="FQ128">
        <v>18.673400000000001</v>
      </c>
      <c r="FR128">
        <v>24.800899999999999</v>
      </c>
      <c r="FS128">
        <v>30.0002</v>
      </c>
      <c r="FT128">
        <v>24.797699999999999</v>
      </c>
      <c r="FU128">
        <v>24.799399999999999</v>
      </c>
      <c r="FV128">
        <v>24.806000000000001</v>
      </c>
      <c r="FW128">
        <v>34.304900000000004</v>
      </c>
      <c r="FX128">
        <v>33.803100000000001</v>
      </c>
      <c r="FY128">
        <v>18.674199999999999</v>
      </c>
      <c r="FZ128">
        <v>410</v>
      </c>
      <c r="GA128">
        <v>13.992699999999999</v>
      </c>
      <c r="GB128">
        <v>99.937700000000007</v>
      </c>
      <c r="GC128">
        <v>99.667000000000002</v>
      </c>
    </row>
    <row r="129" spans="1:185" x14ac:dyDescent="0.2">
      <c r="A129">
        <v>114</v>
      </c>
      <c r="B129">
        <v>1771000800</v>
      </c>
      <c r="C129">
        <v>2176.9000000953702</v>
      </c>
      <c r="D129" t="s">
        <v>525</v>
      </c>
      <c r="E129" t="s">
        <v>526</v>
      </c>
      <c r="F129">
        <v>15</v>
      </c>
      <c r="G129">
        <v>1771000791.9333301</v>
      </c>
      <c r="H129">
        <f t="shared" si="13"/>
        <v>1.0906322511906269E-3</v>
      </c>
      <c r="I129">
        <v>0</v>
      </c>
      <c r="J129">
        <f t="shared" si="25"/>
        <v>-1.4979737203063484E-2</v>
      </c>
      <c r="K129">
        <f t="shared" si="14"/>
        <v>-0.26785648968188186</v>
      </c>
      <c r="L129">
        <f t="shared" si="15"/>
        <v>69.766603090600853</v>
      </c>
      <c r="M129">
        <f t="shared" si="16"/>
        <v>1.5385415958916397</v>
      </c>
      <c r="N129">
        <f t="shared" si="17"/>
        <v>2.2052694666725379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26324.95890085425</v>
      </c>
      <c r="T129">
        <f t="shared" si="21"/>
        <v>0</v>
      </c>
      <c r="U129">
        <f t="shared" si="22"/>
        <v>0</v>
      </c>
      <c r="V129">
        <f t="shared" si="23"/>
        <v>0.84270227099999995</v>
      </c>
      <c r="W129">
        <f t="shared" si="24"/>
        <v>0.15795509285999998</v>
      </c>
      <c r="X129">
        <v>1</v>
      </c>
      <c r="Y129">
        <v>1771000791.9333301</v>
      </c>
      <c r="Z129">
        <v>409.76146666666699</v>
      </c>
      <c r="AA129">
        <v>409.98526666666697</v>
      </c>
      <c r="AB129">
        <v>15.3141466666667</v>
      </c>
      <c r="AC129">
        <v>13.9717533333333</v>
      </c>
      <c r="AD129">
        <v>410.72446666666701</v>
      </c>
      <c r="AE129">
        <v>15.206113333333301</v>
      </c>
      <c r="AF129">
        <v>800.01153333333298</v>
      </c>
      <c r="AG129">
        <v>100.4006</v>
      </c>
      <c r="AH129">
        <v>6.4782066666666693E-2</v>
      </c>
      <c r="AI129">
        <v>19.0006466666667</v>
      </c>
      <c r="AJ129">
        <v>999.9</v>
      </c>
      <c r="AK129">
        <v>999.9</v>
      </c>
      <c r="AL129">
        <v>0</v>
      </c>
      <c r="AM129">
        <v>0</v>
      </c>
      <c r="AN129">
        <v>4999.6333333333296</v>
      </c>
      <c r="AO129">
        <v>0</v>
      </c>
      <c r="AP129">
        <v>1.86317</v>
      </c>
      <c r="AQ129">
        <v>-0.22386893333333299</v>
      </c>
      <c r="AR129">
        <v>416.13413333333301</v>
      </c>
      <c r="AS129">
        <v>415.79453333333299</v>
      </c>
      <c r="AT129">
        <v>1.34240466666667</v>
      </c>
      <c r="AU129">
        <v>409.98526666666697</v>
      </c>
      <c r="AV129">
        <v>13.9717533333333</v>
      </c>
      <c r="AW129">
        <v>1.5375526666666699</v>
      </c>
      <c r="AX129">
        <v>1.4027746666666701</v>
      </c>
      <c r="AY129">
        <v>13.3467933333333</v>
      </c>
      <c r="AZ129">
        <v>11.9476333333333</v>
      </c>
      <c r="BA129">
        <v>0</v>
      </c>
      <c r="BB129">
        <v>0.90993299999999999</v>
      </c>
      <c r="BC129">
        <v>0</v>
      </c>
      <c r="BD129">
        <v>9.0067300000000003E-2</v>
      </c>
      <c r="BE129">
        <v>0</v>
      </c>
      <c r="BF129">
        <v>24</v>
      </c>
      <c r="BG129">
        <v>0</v>
      </c>
      <c r="BH129">
        <v>1771000543</v>
      </c>
      <c r="BI129" t="s">
        <v>490</v>
      </c>
      <c r="BJ129">
        <v>1771000521</v>
      </c>
      <c r="BK129">
        <v>1771000543</v>
      </c>
      <c r="BL129">
        <v>5</v>
      </c>
      <c r="BM129">
        <v>0.04</v>
      </c>
      <c r="BN129">
        <v>1.9E-2</v>
      </c>
      <c r="BO129">
        <v>-0.96299999999999997</v>
      </c>
      <c r="BP129">
        <v>0.108</v>
      </c>
      <c r="BQ129">
        <v>410</v>
      </c>
      <c r="BR129">
        <v>15</v>
      </c>
      <c r="BS129">
        <v>0.33</v>
      </c>
      <c r="BT129">
        <v>7.0000000000000007E-2</v>
      </c>
      <c r="BU129">
        <v>-0.224557095238095</v>
      </c>
      <c r="BV129">
        <v>4.2035064935063704E-3</v>
      </c>
      <c r="BW129">
        <v>2.0619007975547499E-2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1.3540542857142901</v>
      </c>
      <c r="CD129">
        <v>-0.168335064935064</v>
      </c>
      <c r="CE129">
        <v>2.1033704148439501E-2</v>
      </c>
      <c r="CF129">
        <v>0</v>
      </c>
      <c r="CG129">
        <v>1</v>
      </c>
      <c r="CH129">
        <v>2</v>
      </c>
      <c r="CI129" t="s">
        <v>290</v>
      </c>
      <c r="CJ129">
        <v>3.5324300000000002</v>
      </c>
      <c r="CK129">
        <v>2.7025700000000001</v>
      </c>
      <c r="CL129">
        <v>9.8386199999999993E-2</v>
      </c>
      <c r="CM129">
        <v>9.7039399999999998E-2</v>
      </c>
      <c r="CN129">
        <v>8.71363E-2</v>
      </c>
      <c r="CO129">
        <v>8.0606700000000003E-2</v>
      </c>
      <c r="CP129">
        <v>31645.1</v>
      </c>
      <c r="CQ129">
        <v>27794.400000000001</v>
      </c>
      <c r="CR129">
        <v>32482</v>
      </c>
      <c r="CS129">
        <v>30705.4</v>
      </c>
      <c r="CT129">
        <v>40137.800000000003</v>
      </c>
      <c r="CU129">
        <v>39688.699999999997</v>
      </c>
      <c r="CV129">
        <v>47424.6</v>
      </c>
      <c r="CW129">
        <v>46812.5</v>
      </c>
      <c r="CX129">
        <v>2.6335799999999998</v>
      </c>
      <c r="CY129">
        <v>2.1630199999999999</v>
      </c>
      <c r="CZ129">
        <v>0</v>
      </c>
      <c r="DA129">
        <v>0</v>
      </c>
      <c r="DB129">
        <v>999.9</v>
      </c>
      <c r="DC129">
        <v>999.9</v>
      </c>
      <c r="DD129">
        <v>63.497</v>
      </c>
      <c r="DE129">
        <v>25.096</v>
      </c>
      <c r="DF129">
        <v>20.225000000000001</v>
      </c>
      <c r="DG129">
        <v>30.5001</v>
      </c>
      <c r="DH129">
        <v>16.298100000000002</v>
      </c>
      <c r="DI129">
        <v>2</v>
      </c>
      <c r="DJ129">
        <v>-0.17560400000000001</v>
      </c>
      <c r="DK129">
        <v>1.5712699999999999</v>
      </c>
      <c r="DL129">
        <v>20.2423</v>
      </c>
      <c r="DM129">
        <v>5.2488000000000001</v>
      </c>
      <c r="DN129">
        <v>12.033899999999999</v>
      </c>
      <c r="DO129">
        <v>4.96584</v>
      </c>
      <c r="DP129">
        <v>3.2908400000000002</v>
      </c>
      <c r="DQ129">
        <v>9999</v>
      </c>
      <c r="DR129">
        <v>9999</v>
      </c>
      <c r="DS129">
        <v>596.9</v>
      </c>
      <c r="DT129">
        <v>9999</v>
      </c>
      <c r="DU129">
        <v>1.8710199999999999</v>
      </c>
      <c r="DV129">
        <v>1.8760699999999999</v>
      </c>
      <c r="DW129">
        <v>1.87622</v>
      </c>
      <c r="DX129">
        <v>1.8827799999999999</v>
      </c>
      <c r="DY129">
        <v>1.8755299999999999</v>
      </c>
      <c r="DZ129">
        <v>1.87459</v>
      </c>
      <c r="EA129">
        <v>1.8707400000000001</v>
      </c>
      <c r="EB129">
        <v>1.8746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-0.96299999999999997</v>
      </c>
      <c r="EQ129">
        <v>0.1081</v>
      </c>
      <c r="ER129">
        <v>-0.96330000000000404</v>
      </c>
      <c r="ES129">
        <v>0</v>
      </c>
      <c r="ET129">
        <v>0</v>
      </c>
      <c r="EU129">
        <v>0</v>
      </c>
      <c r="EV129">
        <v>0.10804000000000299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4.7</v>
      </c>
      <c r="FE129">
        <v>4.3</v>
      </c>
      <c r="FF129">
        <v>1.2353499999999999</v>
      </c>
      <c r="FG129">
        <v>2.5817899999999998</v>
      </c>
      <c r="FH129">
        <v>2.19604</v>
      </c>
      <c r="FI129">
        <v>2.5781200000000002</v>
      </c>
      <c r="FJ129">
        <v>2.4462899999999999</v>
      </c>
      <c r="FK129">
        <v>2.2766099999999998</v>
      </c>
      <c r="FL129">
        <v>30.2864</v>
      </c>
      <c r="FM129">
        <v>24.157499999999999</v>
      </c>
      <c r="FN129">
        <v>19</v>
      </c>
      <c r="FO129">
        <v>863.98099999999999</v>
      </c>
      <c r="FP129">
        <v>593.87300000000005</v>
      </c>
      <c r="FQ129">
        <v>18.673500000000001</v>
      </c>
      <c r="FR129">
        <v>24.8034</v>
      </c>
      <c r="FS129">
        <v>30.0002</v>
      </c>
      <c r="FT129">
        <v>24.8002</v>
      </c>
      <c r="FU129">
        <v>24.802800000000001</v>
      </c>
      <c r="FV129">
        <v>24.807300000000001</v>
      </c>
      <c r="FW129">
        <v>34.304900000000004</v>
      </c>
      <c r="FX129">
        <v>33.4315</v>
      </c>
      <c r="FY129">
        <v>18.672599999999999</v>
      </c>
      <c r="FZ129">
        <v>410</v>
      </c>
      <c r="GA129">
        <v>13.989699999999999</v>
      </c>
      <c r="GB129">
        <v>99.941199999999995</v>
      </c>
      <c r="GC129">
        <v>99.665800000000004</v>
      </c>
    </row>
    <row r="130" spans="1:185" x14ac:dyDescent="0.2">
      <c r="A130">
        <v>115</v>
      </c>
      <c r="B130">
        <v>1771000815</v>
      </c>
      <c r="C130">
        <v>2191.9000000953702</v>
      </c>
      <c r="D130" t="s">
        <v>527</v>
      </c>
      <c r="E130" t="s">
        <v>528</v>
      </c>
      <c r="F130">
        <v>15</v>
      </c>
      <c r="G130">
        <v>1771000806.9333301</v>
      </c>
      <c r="H130">
        <f t="shared" si="13"/>
        <v>1.1065063676564762E-3</v>
      </c>
      <c r="I130">
        <v>0</v>
      </c>
      <c r="J130">
        <f t="shared" si="25"/>
        <v>-1.4985472418875101E-2</v>
      </c>
      <c r="K130">
        <f t="shared" si="14"/>
        <v>-0.26795904253404762</v>
      </c>
      <c r="L130">
        <f t="shared" si="15"/>
        <v>69.818020836812863</v>
      </c>
      <c r="M130">
        <f t="shared" si="16"/>
        <v>1.5396799794700993</v>
      </c>
      <c r="N130">
        <f t="shared" si="17"/>
        <v>2.2052758886832753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26312.355859270145</v>
      </c>
      <c r="T130">
        <f t="shared" si="21"/>
        <v>0</v>
      </c>
      <c r="U130">
        <f t="shared" si="22"/>
        <v>0</v>
      </c>
      <c r="V130">
        <f t="shared" si="23"/>
        <v>0.84270227099999995</v>
      </c>
      <c r="W130">
        <f t="shared" si="24"/>
        <v>0.15795509285999998</v>
      </c>
      <c r="X130">
        <v>1</v>
      </c>
      <c r="Y130">
        <v>1771000806.9333301</v>
      </c>
      <c r="Z130">
        <v>409.75839999999999</v>
      </c>
      <c r="AA130">
        <v>409.99020000000002</v>
      </c>
      <c r="AB130">
        <v>15.325506666666699</v>
      </c>
      <c r="AC130">
        <v>13.96358</v>
      </c>
      <c r="AD130">
        <v>410.72166666666698</v>
      </c>
      <c r="AE130">
        <v>15.2174666666667</v>
      </c>
      <c r="AF130">
        <v>800.00533333333306</v>
      </c>
      <c r="AG130">
        <v>100.400533333333</v>
      </c>
      <c r="AH130">
        <v>6.4659300000000003E-2</v>
      </c>
      <c r="AI130">
        <v>19.000693333333299</v>
      </c>
      <c r="AJ130">
        <v>999.9</v>
      </c>
      <c r="AK130">
        <v>999.9</v>
      </c>
      <c r="AL130">
        <v>0</v>
      </c>
      <c r="AM130">
        <v>0</v>
      </c>
      <c r="AN130">
        <v>4997.5666666666702</v>
      </c>
      <c r="AO130">
        <v>0</v>
      </c>
      <c r="AP130">
        <v>1.86317</v>
      </c>
      <c r="AQ130">
        <v>-0.23193973333333301</v>
      </c>
      <c r="AR130">
        <v>416.13586666666703</v>
      </c>
      <c r="AS130">
        <v>415.7962</v>
      </c>
      <c r="AT130">
        <v>1.3619319999999999</v>
      </c>
      <c r="AU130">
        <v>409.99020000000002</v>
      </c>
      <c r="AV130">
        <v>13.96358</v>
      </c>
      <c r="AW130">
        <v>1.5386899999999999</v>
      </c>
      <c r="AX130">
        <v>1.40195266666667</v>
      </c>
      <c r="AY130">
        <v>13.35816</v>
      </c>
      <c r="AZ130">
        <v>11.9387666666667</v>
      </c>
      <c r="BA130">
        <v>0</v>
      </c>
      <c r="BB130">
        <v>0.90993299999999999</v>
      </c>
      <c r="BC130">
        <v>0</v>
      </c>
      <c r="BD130">
        <v>9.0067300000000003E-2</v>
      </c>
      <c r="BE130">
        <v>0</v>
      </c>
      <c r="BF130">
        <v>24</v>
      </c>
      <c r="BG130">
        <v>0</v>
      </c>
      <c r="BH130">
        <v>1771000543</v>
      </c>
      <c r="BI130" t="s">
        <v>490</v>
      </c>
      <c r="BJ130">
        <v>1771000521</v>
      </c>
      <c r="BK130">
        <v>1771000543</v>
      </c>
      <c r="BL130">
        <v>5</v>
      </c>
      <c r="BM130">
        <v>0.04</v>
      </c>
      <c r="BN130">
        <v>1.9E-2</v>
      </c>
      <c r="BO130">
        <v>-0.96299999999999997</v>
      </c>
      <c r="BP130">
        <v>0.108</v>
      </c>
      <c r="BQ130">
        <v>410</v>
      </c>
      <c r="BR130">
        <v>15</v>
      </c>
      <c r="BS130">
        <v>0.33</v>
      </c>
      <c r="BT130">
        <v>7.0000000000000007E-2</v>
      </c>
      <c r="BU130">
        <v>-0.23213965</v>
      </c>
      <c r="BV130">
        <v>8.6410601503758899E-2</v>
      </c>
      <c r="BW130">
        <v>1.9084563543018199E-2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1.3571035</v>
      </c>
      <c r="CD130">
        <v>0.10056857142857099</v>
      </c>
      <c r="CE130">
        <v>1.0441552219378101E-2</v>
      </c>
      <c r="CF130">
        <v>0</v>
      </c>
      <c r="CG130">
        <v>1</v>
      </c>
      <c r="CH130">
        <v>2</v>
      </c>
      <c r="CI130" t="s">
        <v>290</v>
      </c>
      <c r="CJ130">
        <v>3.5325500000000001</v>
      </c>
      <c r="CK130">
        <v>2.70269</v>
      </c>
      <c r="CL130">
        <v>9.8392099999999996E-2</v>
      </c>
      <c r="CM130">
        <v>9.7041000000000002E-2</v>
      </c>
      <c r="CN130">
        <v>8.7152300000000002E-2</v>
      </c>
      <c r="CO130">
        <v>8.0524200000000004E-2</v>
      </c>
      <c r="CP130">
        <v>31645</v>
      </c>
      <c r="CQ130">
        <v>27794.799999999999</v>
      </c>
      <c r="CR130">
        <v>32482.1</v>
      </c>
      <c r="CS130">
        <v>30706</v>
      </c>
      <c r="CT130">
        <v>40137.5</v>
      </c>
      <c r="CU130">
        <v>39693.4</v>
      </c>
      <c r="CV130">
        <v>47425</v>
      </c>
      <c r="CW130">
        <v>46813.599999999999</v>
      </c>
      <c r="CX130">
        <v>2.6335199999999999</v>
      </c>
      <c r="CY130">
        <v>2.1626400000000001</v>
      </c>
      <c r="CZ130">
        <v>0</v>
      </c>
      <c r="DA130">
        <v>0</v>
      </c>
      <c r="DB130">
        <v>999.9</v>
      </c>
      <c r="DC130">
        <v>999.9</v>
      </c>
      <c r="DD130">
        <v>63.338000000000001</v>
      </c>
      <c r="DE130">
        <v>25.116</v>
      </c>
      <c r="DF130">
        <v>20.198499999999999</v>
      </c>
      <c r="DG130">
        <v>30.44</v>
      </c>
      <c r="DH130">
        <v>16.27</v>
      </c>
      <c r="DI130">
        <v>2</v>
      </c>
      <c r="DJ130">
        <v>-0.175514</v>
      </c>
      <c r="DK130">
        <v>1.57365</v>
      </c>
      <c r="DL130">
        <v>20.2422</v>
      </c>
      <c r="DM130">
        <v>5.24892</v>
      </c>
      <c r="DN130">
        <v>12.033899999999999</v>
      </c>
      <c r="DO130">
        <v>4.9660000000000002</v>
      </c>
      <c r="DP130">
        <v>3.2907999999999999</v>
      </c>
      <c r="DQ130">
        <v>9999</v>
      </c>
      <c r="DR130">
        <v>9999</v>
      </c>
      <c r="DS130">
        <v>596.9</v>
      </c>
      <c r="DT130">
        <v>9999</v>
      </c>
      <c r="DU130">
        <v>1.87103</v>
      </c>
      <c r="DV130">
        <v>1.8760699999999999</v>
      </c>
      <c r="DW130">
        <v>1.8762399999999999</v>
      </c>
      <c r="DX130">
        <v>1.8827799999999999</v>
      </c>
      <c r="DY130">
        <v>1.87558</v>
      </c>
      <c r="DZ130">
        <v>1.87462</v>
      </c>
      <c r="EA130">
        <v>1.87076</v>
      </c>
      <c r="EB130">
        <v>1.87462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-0.96299999999999997</v>
      </c>
      <c r="EQ130">
        <v>0.1081</v>
      </c>
      <c r="ER130">
        <v>-0.96330000000000404</v>
      </c>
      <c r="ES130">
        <v>0</v>
      </c>
      <c r="ET130">
        <v>0</v>
      </c>
      <c r="EU130">
        <v>0</v>
      </c>
      <c r="EV130">
        <v>0.10804000000000299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4.9000000000000004</v>
      </c>
      <c r="FE130">
        <v>4.5</v>
      </c>
      <c r="FF130">
        <v>1.2365699999999999</v>
      </c>
      <c r="FG130">
        <v>2.5842299999999998</v>
      </c>
      <c r="FH130">
        <v>2.19604</v>
      </c>
      <c r="FI130">
        <v>2.5781200000000002</v>
      </c>
      <c r="FJ130">
        <v>2.4462899999999999</v>
      </c>
      <c r="FK130">
        <v>2.2558600000000002</v>
      </c>
      <c r="FL130">
        <v>30.3079</v>
      </c>
      <c r="FM130">
        <v>24.157499999999999</v>
      </c>
      <c r="FN130">
        <v>19</v>
      </c>
      <c r="FO130">
        <v>863.99300000000005</v>
      </c>
      <c r="FP130">
        <v>593.62300000000005</v>
      </c>
      <c r="FQ130">
        <v>18.671500000000002</v>
      </c>
      <c r="FR130">
        <v>24.807099999999998</v>
      </c>
      <c r="FS130">
        <v>30</v>
      </c>
      <c r="FT130">
        <v>24.804300000000001</v>
      </c>
      <c r="FU130">
        <v>24.806899999999999</v>
      </c>
      <c r="FV130">
        <v>24.807600000000001</v>
      </c>
      <c r="FW130">
        <v>34.304900000000004</v>
      </c>
      <c r="FX130">
        <v>33.059800000000003</v>
      </c>
      <c r="FY130">
        <v>18.670500000000001</v>
      </c>
      <c r="FZ130">
        <v>410</v>
      </c>
      <c r="GA130">
        <v>13.989699999999999</v>
      </c>
      <c r="GB130">
        <v>99.941900000000004</v>
      </c>
      <c r="GC130">
        <v>99.668000000000006</v>
      </c>
    </row>
    <row r="131" spans="1:185" x14ac:dyDescent="0.2">
      <c r="A131">
        <v>116</v>
      </c>
      <c r="B131">
        <v>1771000830</v>
      </c>
      <c r="C131">
        <v>2206.9000000953702</v>
      </c>
      <c r="D131" t="s">
        <v>529</v>
      </c>
      <c r="E131" t="s">
        <v>530</v>
      </c>
      <c r="F131">
        <v>15</v>
      </c>
      <c r="G131">
        <v>1771000821.9333301</v>
      </c>
      <c r="H131">
        <f t="shared" si="13"/>
        <v>1.124516521335976E-3</v>
      </c>
      <c r="I131">
        <v>0</v>
      </c>
      <c r="J131">
        <f t="shared" si="25"/>
        <v>-1.5983909183728946E-2</v>
      </c>
      <c r="K131">
        <f t="shared" si="14"/>
        <v>-0.28581234418932577</v>
      </c>
      <c r="L131">
        <f t="shared" si="15"/>
        <v>69.819416122036856</v>
      </c>
      <c r="M131">
        <f t="shared" si="16"/>
        <v>1.5397088277242892</v>
      </c>
      <c r="N131">
        <f t="shared" si="17"/>
        <v>2.2052731363909475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26324.498220062189</v>
      </c>
      <c r="T131">
        <f t="shared" si="21"/>
        <v>0</v>
      </c>
      <c r="U131">
        <f t="shared" si="22"/>
        <v>0</v>
      </c>
      <c r="V131">
        <f t="shared" si="23"/>
        <v>0.84270227099999995</v>
      </c>
      <c r="W131">
        <f t="shared" si="24"/>
        <v>0.15795509285999998</v>
      </c>
      <c r="X131">
        <v>1</v>
      </c>
      <c r="Y131">
        <v>1771000821.9333301</v>
      </c>
      <c r="Z131">
        <v>409.777066666667</v>
      </c>
      <c r="AA131">
        <v>409.99579999999997</v>
      </c>
      <c r="AB131">
        <v>15.3257733333333</v>
      </c>
      <c r="AC131">
        <v>13.941686666666699</v>
      </c>
      <c r="AD131">
        <v>410.74033333333301</v>
      </c>
      <c r="AE131">
        <v>15.21772</v>
      </c>
      <c r="AF131">
        <v>800.00946666666698</v>
      </c>
      <c r="AG131">
        <v>100.4004</v>
      </c>
      <c r="AH131">
        <v>6.4926886666666697E-2</v>
      </c>
      <c r="AI131">
        <v>19.0006733333333</v>
      </c>
      <c r="AJ131">
        <v>999.9</v>
      </c>
      <c r="AK131">
        <v>999.9</v>
      </c>
      <c r="AL131">
        <v>0</v>
      </c>
      <c r="AM131">
        <v>0</v>
      </c>
      <c r="AN131">
        <v>4999.5666666666702</v>
      </c>
      <c r="AO131">
        <v>0</v>
      </c>
      <c r="AP131">
        <v>1.86317</v>
      </c>
      <c r="AQ131">
        <v>-0.218778533333333</v>
      </c>
      <c r="AR131">
        <v>416.15486666666698</v>
      </c>
      <c r="AS131">
        <v>415.79273333333299</v>
      </c>
      <c r="AT131">
        <v>1.3840813333333299</v>
      </c>
      <c r="AU131">
        <v>409.99579999999997</v>
      </c>
      <c r="AV131">
        <v>13.941686666666699</v>
      </c>
      <c r="AW131">
        <v>1.5387139999999999</v>
      </c>
      <c r="AX131">
        <v>1.39975133333333</v>
      </c>
      <c r="AY131">
        <v>13.35838</v>
      </c>
      <c r="AZ131">
        <v>11.91494</v>
      </c>
      <c r="BA131">
        <v>0</v>
      </c>
      <c r="BB131">
        <v>0.90993299999999999</v>
      </c>
      <c r="BC131">
        <v>0</v>
      </c>
      <c r="BD131">
        <v>9.0067300000000003E-2</v>
      </c>
      <c r="BE131">
        <v>0</v>
      </c>
      <c r="BF131">
        <v>24</v>
      </c>
      <c r="BG131">
        <v>0</v>
      </c>
      <c r="BH131">
        <v>1771000543</v>
      </c>
      <c r="BI131" t="s">
        <v>490</v>
      </c>
      <c r="BJ131">
        <v>1771000521</v>
      </c>
      <c r="BK131">
        <v>1771000543</v>
      </c>
      <c r="BL131">
        <v>5</v>
      </c>
      <c r="BM131">
        <v>0.04</v>
      </c>
      <c r="BN131">
        <v>1.9E-2</v>
      </c>
      <c r="BO131">
        <v>-0.96299999999999997</v>
      </c>
      <c r="BP131">
        <v>0.108</v>
      </c>
      <c r="BQ131">
        <v>410</v>
      </c>
      <c r="BR131">
        <v>15</v>
      </c>
      <c r="BS131">
        <v>0.33</v>
      </c>
      <c r="BT131">
        <v>7.0000000000000007E-2</v>
      </c>
      <c r="BU131">
        <v>-0.21918599999999999</v>
      </c>
      <c r="BV131">
        <v>2.0296051948051699E-2</v>
      </c>
      <c r="BW131">
        <v>9.9531557570355297E-3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1.37906285714286</v>
      </c>
      <c r="CD131">
        <v>9.2024415584417305E-2</v>
      </c>
      <c r="CE131">
        <v>1.01694796153126E-2</v>
      </c>
      <c r="CF131">
        <v>1</v>
      </c>
      <c r="CG131">
        <v>2</v>
      </c>
      <c r="CH131">
        <v>2</v>
      </c>
      <c r="CI131" t="s">
        <v>304</v>
      </c>
      <c r="CJ131">
        <v>3.5324900000000001</v>
      </c>
      <c r="CK131">
        <v>2.70262</v>
      </c>
      <c r="CL131">
        <v>9.8393599999999998E-2</v>
      </c>
      <c r="CM131">
        <v>9.7036800000000006E-2</v>
      </c>
      <c r="CN131">
        <v>8.7114399999999995E-2</v>
      </c>
      <c r="CO131">
        <v>8.0419599999999994E-2</v>
      </c>
      <c r="CP131">
        <v>31644.1</v>
      </c>
      <c r="CQ131">
        <v>27795.200000000001</v>
      </c>
      <c r="CR131">
        <v>32481.3</v>
      </c>
      <c r="CS131">
        <v>30706.3</v>
      </c>
      <c r="CT131">
        <v>40137.9</v>
      </c>
      <c r="CU131">
        <v>39698.5</v>
      </c>
      <c r="CV131">
        <v>47423.4</v>
      </c>
      <c r="CW131">
        <v>46814.2</v>
      </c>
      <c r="CX131">
        <v>2.6335999999999999</v>
      </c>
      <c r="CY131">
        <v>2.1625000000000001</v>
      </c>
      <c r="CZ131">
        <v>0</v>
      </c>
      <c r="DA131">
        <v>0</v>
      </c>
      <c r="DB131">
        <v>999.9</v>
      </c>
      <c r="DC131">
        <v>999.9</v>
      </c>
      <c r="DD131">
        <v>63.234000000000002</v>
      </c>
      <c r="DE131">
        <v>25.146000000000001</v>
      </c>
      <c r="DF131">
        <v>20.201599999999999</v>
      </c>
      <c r="DG131">
        <v>30.440100000000001</v>
      </c>
      <c r="DH131">
        <v>16.277999999999999</v>
      </c>
      <c r="DI131">
        <v>2</v>
      </c>
      <c r="DJ131">
        <v>-0.175287</v>
      </c>
      <c r="DK131">
        <v>1.5760799999999999</v>
      </c>
      <c r="DL131">
        <v>20.2424</v>
      </c>
      <c r="DM131">
        <v>5.2495200000000004</v>
      </c>
      <c r="DN131">
        <v>12.033899999999999</v>
      </c>
      <c r="DO131">
        <v>4.9664000000000001</v>
      </c>
      <c r="DP131">
        <v>3.2909999999999999</v>
      </c>
      <c r="DQ131">
        <v>9999</v>
      </c>
      <c r="DR131">
        <v>9999</v>
      </c>
      <c r="DS131">
        <v>596.9</v>
      </c>
      <c r="DT131">
        <v>9999</v>
      </c>
      <c r="DU131">
        <v>1.8710100000000001</v>
      </c>
      <c r="DV131">
        <v>1.8760699999999999</v>
      </c>
      <c r="DW131">
        <v>1.87622</v>
      </c>
      <c r="DX131">
        <v>1.88276</v>
      </c>
      <c r="DY131">
        <v>1.87548</v>
      </c>
      <c r="DZ131">
        <v>1.8745700000000001</v>
      </c>
      <c r="EA131">
        <v>1.87073</v>
      </c>
      <c r="EB131">
        <v>1.87456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-0.96299999999999997</v>
      </c>
      <c r="EQ131">
        <v>0.1081</v>
      </c>
      <c r="ER131">
        <v>-0.96330000000000404</v>
      </c>
      <c r="ES131">
        <v>0</v>
      </c>
      <c r="ET131">
        <v>0</v>
      </c>
      <c r="EU131">
        <v>0</v>
      </c>
      <c r="EV131">
        <v>0.10804000000000299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5.2</v>
      </c>
      <c r="FE131">
        <v>4.8</v>
      </c>
      <c r="FF131">
        <v>1.2365699999999999</v>
      </c>
      <c r="FG131">
        <v>2.5854499999999998</v>
      </c>
      <c r="FH131">
        <v>2.19604</v>
      </c>
      <c r="FI131">
        <v>2.5781200000000002</v>
      </c>
      <c r="FJ131">
        <v>2.4462899999999999</v>
      </c>
      <c r="FK131">
        <v>2.2729499999999998</v>
      </c>
      <c r="FL131">
        <v>30.3294</v>
      </c>
      <c r="FM131">
        <v>24.157499999999999</v>
      </c>
      <c r="FN131">
        <v>19</v>
      </c>
      <c r="FO131">
        <v>864.10799999999995</v>
      </c>
      <c r="FP131">
        <v>593.53899999999999</v>
      </c>
      <c r="FQ131">
        <v>18.668600000000001</v>
      </c>
      <c r="FR131">
        <v>24.809200000000001</v>
      </c>
      <c r="FS131">
        <v>30.0002</v>
      </c>
      <c r="FT131">
        <v>24.806899999999999</v>
      </c>
      <c r="FU131">
        <v>24.809000000000001</v>
      </c>
      <c r="FV131">
        <v>24.808299999999999</v>
      </c>
      <c r="FW131">
        <v>34.304900000000004</v>
      </c>
      <c r="FX131">
        <v>32.681399999999996</v>
      </c>
      <c r="FY131">
        <v>18.668399999999998</v>
      </c>
      <c r="FZ131">
        <v>410</v>
      </c>
      <c r="GA131">
        <v>13.989699999999999</v>
      </c>
      <c r="GB131">
        <v>99.938900000000004</v>
      </c>
      <c r="GC131">
        <v>99.669200000000004</v>
      </c>
    </row>
    <row r="132" spans="1:185" x14ac:dyDescent="0.2">
      <c r="A132">
        <v>117</v>
      </c>
      <c r="B132">
        <v>1771000845</v>
      </c>
      <c r="C132">
        <v>2221.9000000953702</v>
      </c>
      <c r="D132" t="s">
        <v>531</v>
      </c>
      <c r="E132" t="s">
        <v>532</v>
      </c>
      <c r="F132">
        <v>15</v>
      </c>
      <c r="G132">
        <v>1771000836.9333301</v>
      </c>
      <c r="H132">
        <f t="shared" si="13"/>
        <v>1.1296527208333003E-3</v>
      </c>
      <c r="I132">
        <v>0</v>
      </c>
      <c r="J132">
        <f t="shared" si="25"/>
        <v>-1.6172237028141086E-2</v>
      </c>
      <c r="K132">
        <f t="shared" si="14"/>
        <v>-0.28917988225957147</v>
      </c>
      <c r="L132">
        <f t="shared" si="15"/>
        <v>69.772390209084548</v>
      </c>
      <c r="M132">
        <f t="shared" si="16"/>
        <v>1.538671777898809</v>
      </c>
      <c r="N132">
        <f t="shared" si="17"/>
        <v>2.2052731363909475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26337.113742406444</v>
      </c>
      <c r="T132">
        <f t="shared" si="21"/>
        <v>0</v>
      </c>
      <c r="U132">
        <f t="shared" si="22"/>
        <v>0</v>
      </c>
      <c r="V132">
        <f t="shared" si="23"/>
        <v>0.84270227099999995</v>
      </c>
      <c r="W132">
        <f t="shared" si="24"/>
        <v>0.15795509285999998</v>
      </c>
      <c r="X132">
        <v>1</v>
      </c>
      <c r="Y132">
        <v>1771000836.9333301</v>
      </c>
      <c r="Z132">
        <v>409.76146666666699</v>
      </c>
      <c r="AA132">
        <v>409.97859999999997</v>
      </c>
      <c r="AB132">
        <v>15.3154133333333</v>
      </c>
      <c r="AC132">
        <v>13.924986666666699</v>
      </c>
      <c r="AD132">
        <v>410.72466666666702</v>
      </c>
      <c r="AE132">
        <v>15.20736</v>
      </c>
      <c r="AF132">
        <v>800.00739999999996</v>
      </c>
      <c r="AG132">
        <v>100.400533333333</v>
      </c>
      <c r="AH132">
        <v>6.5039773333333301E-2</v>
      </c>
      <c r="AI132">
        <v>19.0006733333333</v>
      </c>
      <c r="AJ132">
        <v>999.9</v>
      </c>
      <c r="AK132">
        <v>999.9</v>
      </c>
      <c r="AL132">
        <v>0</v>
      </c>
      <c r="AM132">
        <v>0</v>
      </c>
      <c r="AN132">
        <v>5001.6333333333296</v>
      </c>
      <c r="AO132">
        <v>0</v>
      </c>
      <c r="AP132">
        <v>1.86317</v>
      </c>
      <c r="AQ132">
        <v>-0.21730759999999999</v>
      </c>
      <c r="AR132">
        <v>416.13473333333297</v>
      </c>
      <c r="AS132">
        <v>415.76826666666699</v>
      </c>
      <c r="AT132">
        <v>1.39041666666667</v>
      </c>
      <c r="AU132">
        <v>409.97859999999997</v>
      </c>
      <c r="AV132">
        <v>13.924986666666699</v>
      </c>
      <c r="AW132">
        <v>1.537676</v>
      </c>
      <c r="AX132">
        <v>1.3980760000000001</v>
      </c>
      <c r="AY132">
        <v>13.3480133333333</v>
      </c>
      <c r="AZ132">
        <v>11.896793333333299</v>
      </c>
      <c r="BA132">
        <v>0</v>
      </c>
      <c r="BB132">
        <v>0.90993299999999999</v>
      </c>
      <c r="BC132">
        <v>0</v>
      </c>
      <c r="BD132">
        <v>9.0067300000000003E-2</v>
      </c>
      <c r="BE132">
        <v>0</v>
      </c>
      <c r="BF132">
        <v>24</v>
      </c>
      <c r="BG132">
        <v>0</v>
      </c>
      <c r="BH132">
        <v>1771000543</v>
      </c>
      <c r="BI132" t="s">
        <v>490</v>
      </c>
      <c r="BJ132">
        <v>1771000521</v>
      </c>
      <c r="BK132">
        <v>1771000543</v>
      </c>
      <c r="BL132">
        <v>5</v>
      </c>
      <c r="BM132">
        <v>0.04</v>
      </c>
      <c r="BN132">
        <v>1.9E-2</v>
      </c>
      <c r="BO132">
        <v>-0.96299999999999997</v>
      </c>
      <c r="BP132">
        <v>0.108</v>
      </c>
      <c r="BQ132">
        <v>410</v>
      </c>
      <c r="BR132">
        <v>15</v>
      </c>
      <c r="BS132">
        <v>0.33</v>
      </c>
      <c r="BT132">
        <v>7.0000000000000007E-2</v>
      </c>
      <c r="BU132">
        <v>-0.21659555</v>
      </c>
      <c r="BV132">
        <v>-0.13718233082706799</v>
      </c>
      <c r="BW132">
        <v>2.3663511792367201E-2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1.3898539999999999</v>
      </c>
      <c r="CD132">
        <v>6.8138345864687698E-3</v>
      </c>
      <c r="CE132">
        <v>6.9389468941619603E-3</v>
      </c>
      <c r="CF132">
        <v>1</v>
      </c>
      <c r="CG132">
        <v>2</v>
      </c>
      <c r="CH132">
        <v>2</v>
      </c>
      <c r="CI132" t="s">
        <v>304</v>
      </c>
      <c r="CJ132">
        <v>3.5325199999999999</v>
      </c>
      <c r="CK132">
        <v>2.70289</v>
      </c>
      <c r="CL132">
        <v>9.8385E-2</v>
      </c>
      <c r="CM132">
        <v>9.7035800000000005E-2</v>
      </c>
      <c r="CN132">
        <v>8.7093000000000004E-2</v>
      </c>
      <c r="CO132">
        <v>8.0454100000000001E-2</v>
      </c>
      <c r="CP132">
        <v>31644.3</v>
      </c>
      <c r="CQ132">
        <v>27795.5</v>
      </c>
      <c r="CR132">
        <v>32481.1</v>
      </c>
      <c r="CS132">
        <v>30706.6</v>
      </c>
      <c r="CT132">
        <v>40138.6</v>
      </c>
      <c r="CU132">
        <v>39697.5</v>
      </c>
      <c r="CV132">
        <v>47423.1</v>
      </c>
      <c r="CW132">
        <v>46814.8</v>
      </c>
      <c r="CX132">
        <v>2.6334399999999998</v>
      </c>
      <c r="CY132">
        <v>2.16228</v>
      </c>
      <c r="CZ132">
        <v>0</v>
      </c>
      <c r="DA132">
        <v>0</v>
      </c>
      <c r="DB132">
        <v>999.9</v>
      </c>
      <c r="DC132">
        <v>999.9</v>
      </c>
      <c r="DD132">
        <v>63.088000000000001</v>
      </c>
      <c r="DE132">
        <v>25.155999999999999</v>
      </c>
      <c r="DF132">
        <v>20.166699999999999</v>
      </c>
      <c r="DG132">
        <v>30.59</v>
      </c>
      <c r="DH132">
        <v>16.225999999999999</v>
      </c>
      <c r="DI132">
        <v>2</v>
      </c>
      <c r="DJ132">
        <v>-0.17507300000000001</v>
      </c>
      <c r="DK132">
        <v>1.57803</v>
      </c>
      <c r="DL132">
        <v>20.2425</v>
      </c>
      <c r="DM132">
        <v>5.2503500000000001</v>
      </c>
      <c r="DN132">
        <v>12.033899999999999</v>
      </c>
      <c r="DO132">
        <v>4.9664799999999998</v>
      </c>
      <c r="DP132">
        <v>3.2909999999999999</v>
      </c>
      <c r="DQ132">
        <v>9999</v>
      </c>
      <c r="DR132">
        <v>9999</v>
      </c>
      <c r="DS132">
        <v>596.9</v>
      </c>
      <c r="DT132">
        <v>9999</v>
      </c>
      <c r="DU132">
        <v>1.87103</v>
      </c>
      <c r="DV132">
        <v>1.8760699999999999</v>
      </c>
      <c r="DW132">
        <v>1.8762399999999999</v>
      </c>
      <c r="DX132">
        <v>1.8827700000000001</v>
      </c>
      <c r="DY132">
        <v>1.87554</v>
      </c>
      <c r="DZ132">
        <v>1.8746</v>
      </c>
      <c r="EA132">
        <v>1.87073</v>
      </c>
      <c r="EB132">
        <v>1.87459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-0.96399999999999997</v>
      </c>
      <c r="EQ132">
        <v>0.1081</v>
      </c>
      <c r="ER132">
        <v>-0.96330000000000404</v>
      </c>
      <c r="ES132">
        <v>0</v>
      </c>
      <c r="ET132">
        <v>0</v>
      </c>
      <c r="EU132">
        <v>0</v>
      </c>
      <c r="EV132">
        <v>0.10804000000000299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5.4</v>
      </c>
      <c r="FE132">
        <v>5</v>
      </c>
      <c r="FF132">
        <v>1.2365699999999999</v>
      </c>
      <c r="FG132">
        <v>2.5878899999999998</v>
      </c>
      <c r="FH132">
        <v>2.19604</v>
      </c>
      <c r="FI132">
        <v>2.5781200000000002</v>
      </c>
      <c r="FJ132">
        <v>2.4462899999999999</v>
      </c>
      <c r="FK132">
        <v>2.2522000000000002</v>
      </c>
      <c r="FL132">
        <v>30.3294</v>
      </c>
      <c r="FM132">
        <v>24.157499999999999</v>
      </c>
      <c r="FN132">
        <v>19</v>
      </c>
      <c r="FO132">
        <v>864.02</v>
      </c>
      <c r="FP132">
        <v>593.40899999999999</v>
      </c>
      <c r="FQ132">
        <v>18.666799999999999</v>
      </c>
      <c r="FR132">
        <v>24.812200000000001</v>
      </c>
      <c r="FS132">
        <v>30.0001</v>
      </c>
      <c r="FT132">
        <v>24.810600000000001</v>
      </c>
      <c r="FU132">
        <v>24.8127</v>
      </c>
      <c r="FV132">
        <v>24.8109</v>
      </c>
      <c r="FW132">
        <v>34.024799999999999</v>
      </c>
      <c r="FX132">
        <v>32.681399999999996</v>
      </c>
      <c r="FY132">
        <v>18.666399999999999</v>
      </c>
      <c r="FZ132">
        <v>410</v>
      </c>
      <c r="GA132">
        <v>13.991899999999999</v>
      </c>
      <c r="GB132">
        <v>99.938299999999998</v>
      </c>
      <c r="GC132">
        <v>99.670400000000001</v>
      </c>
    </row>
    <row r="133" spans="1:185" x14ac:dyDescent="0.2">
      <c r="A133">
        <v>118</v>
      </c>
      <c r="B133">
        <v>1771000860</v>
      </c>
      <c r="C133">
        <v>2236.9000000953702</v>
      </c>
      <c r="D133" t="s">
        <v>533</v>
      </c>
      <c r="E133" t="s">
        <v>534</v>
      </c>
      <c r="F133">
        <v>15</v>
      </c>
      <c r="G133">
        <v>1771000851.9333301</v>
      </c>
      <c r="H133">
        <f t="shared" si="13"/>
        <v>1.1226549281480066E-3</v>
      </c>
      <c r="I133">
        <v>0</v>
      </c>
      <c r="J133">
        <f t="shared" si="25"/>
        <v>-1.4615817506717697E-2</v>
      </c>
      <c r="K133">
        <f t="shared" si="14"/>
        <v>-0.26134914906115697</v>
      </c>
      <c r="L133">
        <f t="shared" si="15"/>
        <v>69.795694480718524</v>
      </c>
      <c r="M133">
        <f t="shared" si="16"/>
        <v>1.5391171871067733</v>
      </c>
      <c r="N133">
        <f t="shared" si="17"/>
        <v>2.2051749732671024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26323.750850532208</v>
      </c>
      <c r="T133">
        <f t="shared" si="21"/>
        <v>0</v>
      </c>
      <c r="U133">
        <f t="shared" si="22"/>
        <v>0</v>
      </c>
      <c r="V133">
        <f t="shared" si="23"/>
        <v>0.84270227099999995</v>
      </c>
      <c r="W133">
        <f t="shared" si="24"/>
        <v>0.15795509285999998</v>
      </c>
      <c r="X133">
        <v>1</v>
      </c>
      <c r="Y133">
        <v>1771000851.9333301</v>
      </c>
      <c r="Z133">
        <v>409.75880000000001</v>
      </c>
      <c r="AA133">
        <v>410.007133333333</v>
      </c>
      <c r="AB133">
        <v>15.319853333333301</v>
      </c>
      <c r="AC133">
        <v>13.9380466666667</v>
      </c>
      <c r="AD133">
        <v>410.72213333333298</v>
      </c>
      <c r="AE133">
        <v>15.2118133333333</v>
      </c>
      <c r="AF133">
        <v>800.00773333333302</v>
      </c>
      <c r="AG133">
        <v>100.4004</v>
      </c>
      <c r="AH133">
        <v>6.5130160000000006E-2</v>
      </c>
      <c r="AI133">
        <v>18.999960000000002</v>
      </c>
      <c r="AJ133">
        <v>999.9</v>
      </c>
      <c r="AK133">
        <v>999.9</v>
      </c>
      <c r="AL133">
        <v>0</v>
      </c>
      <c r="AM133">
        <v>0</v>
      </c>
      <c r="AN133">
        <v>4999.4333333333298</v>
      </c>
      <c r="AO133">
        <v>0</v>
      </c>
      <c r="AP133">
        <v>1.86317</v>
      </c>
      <c r="AQ133">
        <v>-0.24840100000000001</v>
      </c>
      <c r="AR133">
        <v>416.133733333333</v>
      </c>
      <c r="AS133">
        <v>415.80259999999998</v>
      </c>
      <c r="AT133">
        <v>1.3818060000000001</v>
      </c>
      <c r="AU133">
        <v>410.007133333333</v>
      </c>
      <c r="AV133">
        <v>13.9380466666667</v>
      </c>
      <c r="AW133">
        <v>1.538122</v>
      </c>
      <c r="AX133">
        <v>1.399386</v>
      </c>
      <c r="AY133">
        <v>13.352460000000001</v>
      </c>
      <c r="AZ133">
        <v>11.9109866666667</v>
      </c>
      <c r="BA133">
        <v>0</v>
      </c>
      <c r="BB133">
        <v>0.90993299999999999</v>
      </c>
      <c r="BC133">
        <v>0</v>
      </c>
      <c r="BD133">
        <v>9.0067300000000003E-2</v>
      </c>
      <c r="BE133">
        <v>0</v>
      </c>
      <c r="BF133">
        <v>24</v>
      </c>
      <c r="BG133">
        <v>0</v>
      </c>
      <c r="BH133">
        <v>1771000543</v>
      </c>
      <c r="BI133" t="s">
        <v>490</v>
      </c>
      <c r="BJ133">
        <v>1771000521</v>
      </c>
      <c r="BK133">
        <v>1771000543</v>
      </c>
      <c r="BL133">
        <v>5</v>
      </c>
      <c r="BM133">
        <v>0.04</v>
      </c>
      <c r="BN133">
        <v>1.9E-2</v>
      </c>
      <c r="BO133">
        <v>-0.96299999999999997</v>
      </c>
      <c r="BP133">
        <v>0.108</v>
      </c>
      <c r="BQ133">
        <v>410</v>
      </c>
      <c r="BR133">
        <v>15</v>
      </c>
      <c r="BS133">
        <v>0.33</v>
      </c>
      <c r="BT133">
        <v>7.0000000000000007E-2</v>
      </c>
      <c r="BU133">
        <v>-0.247583380952381</v>
      </c>
      <c r="BV133">
        <v>-1.52100779220781E-2</v>
      </c>
      <c r="BW133">
        <v>9.3017678784411296E-3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1.3837071428571399</v>
      </c>
      <c r="CD133">
        <v>4.2818181818162198E-3</v>
      </c>
      <c r="CE133">
        <v>9.1651509445690397E-3</v>
      </c>
      <c r="CF133">
        <v>1</v>
      </c>
      <c r="CG133">
        <v>2</v>
      </c>
      <c r="CH133">
        <v>2</v>
      </c>
      <c r="CI133" t="s">
        <v>304</v>
      </c>
      <c r="CJ133">
        <v>3.5325199999999999</v>
      </c>
      <c r="CK133">
        <v>2.7028699999999999</v>
      </c>
      <c r="CL133">
        <v>9.8388500000000004E-2</v>
      </c>
      <c r="CM133">
        <v>9.7037300000000007E-2</v>
      </c>
      <c r="CN133">
        <v>8.7106799999999998E-2</v>
      </c>
      <c r="CO133">
        <v>8.0397200000000002E-2</v>
      </c>
      <c r="CP133">
        <v>31644.3</v>
      </c>
      <c r="CQ133">
        <v>27795.9</v>
      </c>
      <c r="CR133">
        <v>32481.3</v>
      </c>
      <c r="CS133">
        <v>30707.1</v>
      </c>
      <c r="CT133">
        <v>40138.300000000003</v>
      </c>
      <c r="CU133">
        <v>39700.6</v>
      </c>
      <c r="CV133">
        <v>47423.5</v>
      </c>
      <c r="CW133">
        <v>46815.5</v>
      </c>
      <c r="CX133">
        <v>2.6335999999999999</v>
      </c>
      <c r="CY133">
        <v>2.16222</v>
      </c>
      <c r="CZ133">
        <v>0</v>
      </c>
      <c r="DA133">
        <v>0</v>
      </c>
      <c r="DB133">
        <v>999.9</v>
      </c>
      <c r="DC133">
        <v>999.9</v>
      </c>
      <c r="DD133">
        <v>62.972000000000001</v>
      </c>
      <c r="DE133">
        <v>25.166</v>
      </c>
      <c r="DF133">
        <v>20.1433</v>
      </c>
      <c r="DG133">
        <v>30.59</v>
      </c>
      <c r="DH133">
        <v>16.225999999999999</v>
      </c>
      <c r="DI133">
        <v>2</v>
      </c>
      <c r="DJ133">
        <v>-0.174984</v>
      </c>
      <c r="DK133">
        <v>1.5712200000000001</v>
      </c>
      <c r="DL133">
        <v>20.242599999999999</v>
      </c>
      <c r="DM133">
        <v>5.25047</v>
      </c>
      <c r="DN133">
        <v>12.033899999999999</v>
      </c>
      <c r="DO133">
        <v>4.9667599999999998</v>
      </c>
      <c r="DP133">
        <v>3.2909999999999999</v>
      </c>
      <c r="DQ133">
        <v>9999</v>
      </c>
      <c r="DR133">
        <v>9999</v>
      </c>
      <c r="DS133">
        <v>596.9</v>
      </c>
      <c r="DT133">
        <v>9999</v>
      </c>
      <c r="DU133">
        <v>1.8710199999999999</v>
      </c>
      <c r="DV133">
        <v>1.8760699999999999</v>
      </c>
      <c r="DW133">
        <v>1.87625</v>
      </c>
      <c r="DX133">
        <v>1.8827799999999999</v>
      </c>
      <c r="DY133">
        <v>1.87557</v>
      </c>
      <c r="DZ133">
        <v>1.87462</v>
      </c>
      <c r="EA133">
        <v>1.8707400000000001</v>
      </c>
      <c r="EB133">
        <v>1.87462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-0.96299999999999997</v>
      </c>
      <c r="EQ133">
        <v>0.108</v>
      </c>
      <c r="ER133">
        <v>-0.96330000000000404</v>
      </c>
      <c r="ES133">
        <v>0</v>
      </c>
      <c r="ET133">
        <v>0</v>
      </c>
      <c r="EU133">
        <v>0</v>
      </c>
      <c r="EV133">
        <v>0.10804000000000299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5.7</v>
      </c>
      <c r="FE133">
        <v>5.3</v>
      </c>
      <c r="FF133">
        <v>1.2365699999999999</v>
      </c>
      <c r="FG133">
        <v>2.5854499999999998</v>
      </c>
      <c r="FH133">
        <v>2.19604</v>
      </c>
      <c r="FI133">
        <v>2.5781200000000002</v>
      </c>
      <c r="FJ133">
        <v>2.4462899999999999</v>
      </c>
      <c r="FK133">
        <v>2.2717299999999998</v>
      </c>
      <c r="FL133">
        <v>30.350899999999999</v>
      </c>
      <c r="FM133">
        <v>24.157499999999999</v>
      </c>
      <c r="FN133">
        <v>19</v>
      </c>
      <c r="FO133">
        <v>864.202</v>
      </c>
      <c r="FP133">
        <v>593.39200000000005</v>
      </c>
      <c r="FQ133">
        <v>18.665299999999998</v>
      </c>
      <c r="FR133">
        <v>24.815100000000001</v>
      </c>
      <c r="FS133">
        <v>30</v>
      </c>
      <c r="FT133">
        <v>24.8127</v>
      </c>
      <c r="FU133">
        <v>24.815200000000001</v>
      </c>
      <c r="FV133">
        <v>24.810400000000001</v>
      </c>
      <c r="FW133">
        <v>34.024799999999999</v>
      </c>
      <c r="FX133">
        <v>32.302500000000002</v>
      </c>
      <c r="FY133">
        <v>18.669699999999999</v>
      </c>
      <c r="FZ133">
        <v>410</v>
      </c>
      <c r="GA133">
        <v>13.992100000000001</v>
      </c>
      <c r="GB133">
        <v>99.938900000000004</v>
      </c>
      <c r="GC133">
        <v>99.671899999999994</v>
      </c>
    </row>
    <row r="134" spans="1:185" x14ac:dyDescent="0.2">
      <c r="A134">
        <v>119</v>
      </c>
      <c r="B134">
        <v>1771000875</v>
      </c>
      <c r="C134">
        <v>2251.9000000953702</v>
      </c>
      <c r="D134" t="s">
        <v>535</v>
      </c>
      <c r="E134" t="s">
        <v>536</v>
      </c>
      <c r="F134">
        <v>15</v>
      </c>
      <c r="G134">
        <v>1771000866.9333301</v>
      </c>
      <c r="H134">
        <f t="shared" si="13"/>
        <v>1.1172589846051872E-3</v>
      </c>
      <c r="I134">
        <v>0</v>
      </c>
      <c r="J134">
        <f t="shared" si="25"/>
        <v>-1.506398227296772E-2</v>
      </c>
      <c r="K134">
        <f t="shared" si="14"/>
        <v>-0.26936289719702428</v>
      </c>
      <c r="L134">
        <f t="shared" si="15"/>
        <v>69.78430433343587</v>
      </c>
      <c r="M134">
        <f t="shared" si="16"/>
        <v>1.5388058369102058</v>
      </c>
      <c r="N134">
        <f t="shared" si="17"/>
        <v>2.2050887396650811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26320.641173875705</v>
      </c>
      <c r="T134">
        <f t="shared" si="21"/>
        <v>0</v>
      </c>
      <c r="U134">
        <f t="shared" si="22"/>
        <v>0</v>
      </c>
      <c r="V134">
        <f t="shared" si="23"/>
        <v>0.84270227099999995</v>
      </c>
      <c r="W134">
        <f t="shared" si="24"/>
        <v>0.15795509285999998</v>
      </c>
      <c r="X134">
        <v>1</v>
      </c>
      <c r="Y134">
        <v>1771000866.9333301</v>
      </c>
      <c r="Z134">
        <v>409.74459999999999</v>
      </c>
      <c r="AA134">
        <v>409.98013333333301</v>
      </c>
      <c r="AB134">
        <v>15.316853333333301</v>
      </c>
      <c r="AC134">
        <v>13.94168</v>
      </c>
      <c r="AD134">
        <v>410.70786666666697</v>
      </c>
      <c r="AE134">
        <v>15.2088066666667</v>
      </c>
      <c r="AF134">
        <v>800.00540000000001</v>
      </c>
      <c r="AG134">
        <v>100.399933333333</v>
      </c>
      <c r="AH134">
        <v>6.4946980000000001E-2</v>
      </c>
      <c r="AI134">
        <v>18.999333333333301</v>
      </c>
      <c r="AJ134">
        <v>999.9</v>
      </c>
      <c r="AK134">
        <v>999.9</v>
      </c>
      <c r="AL134">
        <v>0</v>
      </c>
      <c r="AM134">
        <v>0</v>
      </c>
      <c r="AN134">
        <v>4998.9333333333298</v>
      </c>
      <c r="AO134">
        <v>0</v>
      </c>
      <c r="AP134">
        <v>1.86317</v>
      </c>
      <c r="AQ134">
        <v>-0.23551433333333299</v>
      </c>
      <c r="AR134">
        <v>416.1182</v>
      </c>
      <c r="AS134">
        <v>415.77666666666698</v>
      </c>
      <c r="AT134">
        <v>1.375162</v>
      </c>
      <c r="AU134">
        <v>409.98013333333301</v>
      </c>
      <c r="AV134">
        <v>13.94168</v>
      </c>
      <c r="AW134">
        <v>1.5378099999999999</v>
      </c>
      <c r="AX134">
        <v>1.3997426666666699</v>
      </c>
      <c r="AY134">
        <v>13.3493666666667</v>
      </c>
      <c r="AZ134">
        <v>11.9148333333333</v>
      </c>
      <c r="BA134">
        <v>0</v>
      </c>
      <c r="BB134">
        <v>0.90993299999999999</v>
      </c>
      <c r="BC134">
        <v>0</v>
      </c>
      <c r="BD134">
        <v>9.0067300000000003E-2</v>
      </c>
      <c r="BE134">
        <v>0</v>
      </c>
      <c r="BF134">
        <v>24</v>
      </c>
      <c r="BG134">
        <v>0</v>
      </c>
      <c r="BH134">
        <v>1771000543</v>
      </c>
      <c r="BI134" t="s">
        <v>490</v>
      </c>
      <c r="BJ134">
        <v>1771000521</v>
      </c>
      <c r="BK134">
        <v>1771000543</v>
      </c>
      <c r="BL134">
        <v>5</v>
      </c>
      <c r="BM134">
        <v>0.04</v>
      </c>
      <c r="BN134">
        <v>1.9E-2</v>
      </c>
      <c r="BO134">
        <v>-0.96299999999999997</v>
      </c>
      <c r="BP134">
        <v>0.108</v>
      </c>
      <c r="BQ134">
        <v>410</v>
      </c>
      <c r="BR134">
        <v>15</v>
      </c>
      <c r="BS134">
        <v>0.33</v>
      </c>
      <c r="BT134">
        <v>7.0000000000000007E-2</v>
      </c>
      <c r="BU134">
        <v>-0.23733370000000001</v>
      </c>
      <c r="BV134">
        <v>7.6734857142857299E-2</v>
      </c>
      <c r="BW134">
        <v>1.1825295759937701E-2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1.378493</v>
      </c>
      <c r="CD134">
        <v>-0.134724812030077</v>
      </c>
      <c r="CE134">
        <v>1.75229795126286E-2</v>
      </c>
      <c r="CF134">
        <v>0</v>
      </c>
      <c r="CG134">
        <v>1</v>
      </c>
      <c r="CH134">
        <v>2</v>
      </c>
      <c r="CI134" t="s">
        <v>290</v>
      </c>
      <c r="CJ134">
        <v>3.5324900000000001</v>
      </c>
      <c r="CK134">
        <v>2.70282</v>
      </c>
      <c r="CL134">
        <v>9.8384299999999994E-2</v>
      </c>
      <c r="CM134">
        <v>9.7029699999999997E-2</v>
      </c>
      <c r="CN134">
        <v>8.7116899999999997E-2</v>
      </c>
      <c r="CO134">
        <v>8.0628500000000006E-2</v>
      </c>
      <c r="CP134">
        <v>31644.3</v>
      </c>
      <c r="CQ134">
        <v>27796.6</v>
      </c>
      <c r="CR134">
        <v>32481.200000000001</v>
      </c>
      <c r="CS134">
        <v>30707.599999999999</v>
      </c>
      <c r="CT134">
        <v>40137.800000000003</v>
      </c>
      <c r="CU134">
        <v>39691.1</v>
      </c>
      <c r="CV134">
        <v>47423.5</v>
      </c>
      <c r="CW134">
        <v>46816.4</v>
      </c>
      <c r="CX134">
        <v>2.6334</v>
      </c>
      <c r="CY134">
        <v>2.16208</v>
      </c>
      <c r="CZ134">
        <v>0</v>
      </c>
      <c r="DA134">
        <v>0</v>
      </c>
      <c r="DB134">
        <v>999.9</v>
      </c>
      <c r="DC134">
        <v>999.9</v>
      </c>
      <c r="DD134">
        <v>62.831000000000003</v>
      </c>
      <c r="DE134">
        <v>25.186</v>
      </c>
      <c r="DF134">
        <v>20.119700000000002</v>
      </c>
      <c r="DG134">
        <v>30.35</v>
      </c>
      <c r="DH134">
        <v>16.225999999999999</v>
      </c>
      <c r="DI134">
        <v>2</v>
      </c>
      <c r="DJ134">
        <v>-0.174766</v>
      </c>
      <c r="DK134">
        <v>1.56884</v>
      </c>
      <c r="DL134">
        <v>20.242599999999999</v>
      </c>
      <c r="DM134">
        <v>5.2507099999999998</v>
      </c>
      <c r="DN134">
        <v>12.033899999999999</v>
      </c>
      <c r="DO134">
        <v>4.9665600000000003</v>
      </c>
      <c r="DP134">
        <v>3.2909999999999999</v>
      </c>
      <c r="DQ134">
        <v>9999</v>
      </c>
      <c r="DR134">
        <v>9999</v>
      </c>
      <c r="DS134">
        <v>596.9</v>
      </c>
      <c r="DT134">
        <v>9999</v>
      </c>
      <c r="DU134">
        <v>1.8710100000000001</v>
      </c>
      <c r="DV134">
        <v>1.8760699999999999</v>
      </c>
      <c r="DW134">
        <v>1.8762300000000001</v>
      </c>
      <c r="DX134">
        <v>1.8827700000000001</v>
      </c>
      <c r="DY134">
        <v>1.87551</v>
      </c>
      <c r="DZ134">
        <v>1.8745799999999999</v>
      </c>
      <c r="EA134">
        <v>1.87073</v>
      </c>
      <c r="EB134">
        <v>1.8745799999999999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-0.96399999999999997</v>
      </c>
      <c r="EQ134">
        <v>0.108</v>
      </c>
      <c r="ER134">
        <v>-0.96330000000000404</v>
      </c>
      <c r="ES134">
        <v>0</v>
      </c>
      <c r="ET134">
        <v>0</v>
      </c>
      <c r="EU134">
        <v>0</v>
      </c>
      <c r="EV134">
        <v>0.10804000000000299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5.9</v>
      </c>
      <c r="FE134">
        <v>5.5</v>
      </c>
      <c r="FF134">
        <v>1.2365699999999999</v>
      </c>
      <c r="FG134">
        <v>2.5854499999999998</v>
      </c>
      <c r="FH134">
        <v>2.19604</v>
      </c>
      <c r="FI134">
        <v>2.5781200000000002</v>
      </c>
      <c r="FJ134">
        <v>2.4462899999999999</v>
      </c>
      <c r="FK134">
        <v>2.2497600000000002</v>
      </c>
      <c r="FL134">
        <v>30.372399999999999</v>
      </c>
      <c r="FM134">
        <v>24.157499999999999</v>
      </c>
      <c r="FN134">
        <v>19</v>
      </c>
      <c r="FO134">
        <v>864.07799999999997</v>
      </c>
      <c r="FP134">
        <v>593.33100000000002</v>
      </c>
      <c r="FQ134">
        <v>18.671099999999999</v>
      </c>
      <c r="FR134">
        <v>24.817599999999999</v>
      </c>
      <c r="FS134">
        <v>30.0002</v>
      </c>
      <c r="FT134">
        <v>24.816500000000001</v>
      </c>
      <c r="FU134">
        <v>24.819400000000002</v>
      </c>
      <c r="FV134">
        <v>24.814499999999999</v>
      </c>
      <c r="FW134">
        <v>33.735199999999999</v>
      </c>
      <c r="FX134">
        <v>31.930900000000001</v>
      </c>
      <c r="FY134">
        <v>18.671199999999999</v>
      </c>
      <c r="FZ134">
        <v>410</v>
      </c>
      <c r="GA134">
        <v>13.993</v>
      </c>
      <c r="GB134">
        <v>99.938800000000001</v>
      </c>
      <c r="GC134">
        <v>99.673699999999997</v>
      </c>
    </row>
    <row r="135" spans="1:185" x14ac:dyDescent="0.2">
      <c r="A135">
        <v>120</v>
      </c>
      <c r="B135">
        <v>1771000890</v>
      </c>
      <c r="C135">
        <v>2266.9000000953702</v>
      </c>
      <c r="D135" t="s">
        <v>537</v>
      </c>
      <c r="E135" t="s">
        <v>538</v>
      </c>
      <c r="F135">
        <v>15</v>
      </c>
      <c r="G135">
        <v>1771000881.9333301</v>
      </c>
      <c r="H135">
        <f t="shared" si="13"/>
        <v>1.0985403025478122E-3</v>
      </c>
      <c r="I135">
        <v>0</v>
      </c>
      <c r="J135">
        <f t="shared" si="25"/>
        <v>-1.4492291040427187E-2</v>
      </c>
      <c r="K135">
        <f t="shared" si="14"/>
        <v>-0.2591403409095282</v>
      </c>
      <c r="L135">
        <f t="shared" si="15"/>
        <v>69.845942914906246</v>
      </c>
      <c r="M135">
        <f t="shared" si="16"/>
        <v>1.5401938559043911</v>
      </c>
      <c r="N135">
        <f t="shared" si="17"/>
        <v>2.205130021339706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26324.375380949936</v>
      </c>
      <c r="T135">
        <f t="shared" si="21"/>
        <v>0</v>
      </c>
      <c r="U135">
        <f t="shared" si="22"/>
        <v>0</v>
      </c>
      <c r="V135">
        <f t="shared" si="23"/>
        <v>0.84270227099999995</v>
      </c>
      <c r="W135">
        <f t="shared" si="24"/>
        <v>0.15795509285999998</v>
      </c>
      <c r="X135">
        <v>1</v>
      </c>
      <c r="Y135">
        <v>1771000881.9333301</v>
      </c>
      <c r="Z135">
        <v>409.75226666666703</v>
      </c>
      <c r="AA135">
        <v>409.99099999999999</v>
      </c>
      <c r="AB135">
        <v>15.330833333333301</v>
      </c>
      <c r="AC135">
        <v>13.9787266666667</v>
      </c>
      <c r="AD135">
        <v>410.715666666667</v>
      </c>
      <c r="AE135">
        <v>15.222799999999999</v>
      </c>
      <c r="AF135">
        <v>800.00993333333304</v>
      </c>
      <c r="AG135">
        <v>100.39879999999999</v>
      </c>
      <c r="AH135">
        <v>6.5005353333333293E-2</v>
      </c>
      <c r="AI135">
        <v>18.9996333333333</v>
      </c>
      <c r="AJ135">
        <v>999.9</v>
      </c>
      <c r="AK135">
        <v>999.9</v>
      </c>
      <c r="AL135">
        <v>0</v>
      </c>
      <c r="AM135">
        <v>0</v>
      </c>
      <c r="AN135">
        <v>4999.6000000000004</v>
      </c>
      <c r="AO135">
        <v>0</v>
      </c>
      <c r="AP135">
        <v>1.86317</v>
      </c>
      <c r="AQ135">
        <v>-0.23875526666666699</v>
      </c>
      <c r="AR135">
        <v>416.13220000000001</v>
      </c>
      <c r="AS135">
        <v>415.80360000000002</v>
      </c>
      <c r="AT135">
        <v>1.3521033333333301</v>
      </c>
      <c r="AU135">
        <v>409.99099999999999</v>
      </c>
      <c r="AV135">
        <v>13.9787266666667</v>
      </c>
      <c r="AW135">
        <v>1.5391980000000001</v>
      </c>
      <c r="AX135">
        <v>1.4034486666666699</v>
      </c>
      <c r="AY135">
        <v>13.3632066666667</v>
      </c>
      <c r="AZ135">
        <v>11.954940000000001</v>
      </c>
      <c r="BA135">
        <v>0</v>
      </c>
      <c r="BB135">
        <v>0.90993299999999999</v>
      </c>
      <c r="BC135">
        <v>0</v>
      </c>
      <c r="BD135">
        <v>9.0067300000000003E-2</v>
      </c>
      <c r="BE135">
        <v>0</v>
      </c>
      <c r="BF135">
        <v>24</v>
      </c>
      <c r="BG135">
        <v>0</v>
      </c>
      <c r="BH135">
        <v>1771000543</v>
      </c>
      <c r="BI135" t="s">
        <v>490</v>
      </c>
      <c r="BJ135">
        <v>1771000521</v>
      </c>
      <c r="BK135">
        <v>1771000543</v>
      </c>
      <c r="BL135">
        <v>5</v>
      </c>
      <c r="BM135">
        <v>0.04</v>
      </c>
      <c r="BN135">
        <v>1.9E-2</v>
      </c>
      <c r="BO135">
        <v>-0.96299999999999997</v>
      </c>
      <c r="BP135">
        <v>0.108</v>
      </c>
      <c r="BQ135">
        <v>410</v>
      </c>
      <c r="BR135">
        <v>15</v>
      </c>
      <c r="BS135">
        <v>0.33</v>
      </c>
      <c r="BT135">
        <v>7.0000000000000007E-2</v>
      </c>
      <c r="BU135">
        <v>-0.236094142857143</v>
      </c>
      <c r="BV135">
        <v>-1.7867454545454201E-2</v>
      </c>
      <c r="BW135">
        <v>1.5786536546134801E-2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1.3531671428571399</v>
      </c>
      <c r="CD135">
        <v>3.6250909090908501E-2</v>
      </c>
      <c r="CE135">
        <v>1.42777706485949E-2</v>
      </c>
      <c r="CF135">
        <v>1</v>
      </c>
      <c r="CG135">
        <v>2</v>
      </c>
      <c r="CH135">
        <v>2</v>
      </c>
      <c r="CI135" t="s">
        <v>304</v>
      </c>
      <c r="CJ135">
        <v>3.5324800000000001</v>
      </c>
      <c r="CK135">
        <v>2.7024300000000001</v>
      </c>
      <c r="CL135">
        <v>9.8386399999999999E-2</v>
      </c>
      <c r="CM135">
        <v>9.7032499999999994E-2</v>
      </c>
      <c r="CN135">
        <v>8.7179199999999998E-2</v>
      </c>
      <c r="CO135">
        <v>8.0563099999999999E-2</v>
      </c>
      <c r="CP135">
        <v>31644.3</v>
      </c>
      <c r="CQ135">
        <v>27796.3</v>
      </c>
      <c r="CR135">
        <v>32481.3</v>
      </c>
      <c r="CS135">
        <v>30707.4</v>
      </c>
      <c r="CT135">
        <v>40135.1</v>
      </c>
      <c r="CU135">
        <v>39693.9</v>
      </c>
      <c r="CV135">
        <v>47423.6</v>
      </c>
      <c r="CW135">
        <v>46816.4</v>
      </c>
      <c r="CX135">
        <v>2.6333000000000002</v>
      </c>
      <c r="CY135">
        <v>2.1619999999999999</v>
      </c>
      <c r="CZ135">
        <v>0</v>
      </c>
      <c r="DA135">
        <v>0</v>
      </c>
      <c r="DB135">
        <v>999.9</v>
      </c>
      <c r="DC135">
        <v>999.9</v>
      </c>
      <c r="DD135">
        <v>62.671999999999997</v>
      </c>
      <c r="DE135">
        <v>25.196000000000002</v>
      </c>
      <c r="DF135">
        <v>20.0807</v>
      </c>
      <c r="DG135">
        <v>30.5001</v>
      </c>
      <c r="DH135">
        <v>16.27</v>
      </c>
      <c r="DI135">
        <v>2</v>
      </c>
      <c r="DJ135">
        <v>-0.174453</v>
      </c>
      <c r="DK135">
        <v>1.5693600000000001</v>
      </c>
      <c r="DL135">
        <v>20.2425</v>
      </c>
      <c r="DM135">
        <v>5.25047</v>
      </c>
      <c r="DN135">
        <v>12.033899999999999</v>
      </c>
      <c r="DO135">
        <v>4.9665999999999997</v>
      </c>
      <c r="DP135">
        <v>3.2909999999999999</v>
      </c>
      <c r="DQ135">
        <v>9999</v>
      </c>
      <c r="DR135">
        <v>9999</v>
      </c>
      <c r="DS135">
        <v>597</v>
      </c>
      <c r="DT135">
        <v>9999</v>
      </c>
      <c r="DU135">
        <v>1.87103</v>
      </c>
      <c r="DV135">
        <v>1.8760699999999999</v>
      </c>
      <c r="DW135">
        <v>1.87629</v>
      </c>
      <c r="DX135">
        <v>1.8827799999999999</v>
      </c>
      <c r="DY135">
        <v>1.8755900000000001</v>
      </c>
      <c r="DZ135">
        <v>1.8746499999999999</v>
      </c>
      <c r="EA135">
        <v>1.87076</v>
      </c>
      <c r="EB135">
        <v>1.8746499999999999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-0.96299999999999997</v>
      </c>
      <c r="EQ135">
        <v>0.108</v>
      </c>
      <c r="ER135">
        <v>-0.96330000000000404</v>
      </c>
      <c r="ES135">
        <v>0</v>
      </c>
      <c r="ET135">
        <v>0</v>
      </c>
      <c r="EU135">
        <v>0</v>
      </c>
      <c r="EV135">
        <v>0.10804000000000299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6.2</v>
      </c>
      <c r="FE135">
        <v>5.8</v>
      </c>
      <c r="FF135">
        <v>1.2365699999999999</v>
      </c>
      <c r="FG135">
        <v>2.5830099999999998</v>
      </c>
      <c r="FH135">
        <v>2.19604</v>
      </c>
      <c r="FI135">
        <v>2.5781200000000002</v>
      </c>
      <c r="FJ135">
        <v>2.4462899999999999</v>
      </c>
      <c r="FK135">
        <v>2.2863799999999999</v>
      </c>
      <c r="FL135">
        <v>30.350899999999999</v>
      </c>
      <c r="FM135">
        <v>24.157499999999999</v>
      </c>
      <c r="FN135">
        <v>19</v>
      </c>
      <c r="FO135">
        <v>864.03200000000004</v>
      </c>
      <c r="FP135">
        <v>593.29600000000005</v>
      </c>
      <c r="FQ135">
        <v>18.6721</v>
      </c>
      <c r="FR135">
        <v>24.819600000000001</v>
      </c>
      <c r="FS135">
        <v>30.0002</v>
      </c>
      <c r="FT135">
        <v>24.819299999999998</v>
      </c>
      <c r="FU135">
        <v>24.8218</v>
      </c>
      <c r="FV135">
        <v>24.8141</v>
      </c>
      <c r="FW135">
        <v>33.735199999999999</v>
      </c>
      <c r="FX135">
        <v>31.559699999999999</v>
      </c>
      <c r="FY135">
        <v>18.6708</v>
      </c>
      <c r="FZ135">
        <v>410</v>
      </c>
      <c r="GA135">
        <v>13.993</v>
      </c>
      <c r="GB135">
        <v>99.939099999999996</v>
      </c>
      <c r="GC135">
        <v>99.673299999999998</v>
      </c>
    </row>
    <row r="136" spans="1:185" x14ac:dyDescent="0.2">
      <c r="A136">
        <v>121</v>
      </c>
      <c r="B136">
        <v>1771000905</v>
      </c>
      <c r="C136">
        <v>2281.9000000953702</v>
      </c>
      <c r="D136" t="s">
        <v>539</v>
      </c>
      <c r="E136" t="s">
        <v>540</v>
      </c>
      <c r="F136">
        <v>15</v>
      </c>
      <c r="G136">
        <v>1771000896.9333301</v>
      </c>
      <c r="H136">
        <f t="shared" si="13"/>
        <v>1.1123297562070649E-3</v>
      </c>
      <c r="I136">
        <v>0</v>
      </c>
      <c r="J136">
        <f t="shared" si="25"/>
        <v>-1.5202891638144438E-2</v>
      </c>
      <c r="K136">
        <f t="shared" si="14"/>
        <v>-0.27184677087489928</v>
      </c>
      <c r="L136">
        <f t="shared" si="15"/>
        <v>69.848422027790164</v>
      </c>
      <c r="M136">
        <f t="shared" si="16"/>
        <v>1.5404625551559219</v>
      </c>
      <c r="N136">
        <f t="shared" si="17"/>
        <v>2.2054364442807706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26344.37754968887</v>
      </c>
      <c r="T136">
        <f t="shared" si="21"/>
        <v>0</v>
      </c>
      <c r="U136">
        <f t="shared" si="22"/>
        <v>0</v>
      </c>
      <c r="V136">
        <f t="shared" si="23"/>
        <v>0.84270227099999995</v>
      </c>
      <c r="W136">
        <f t="shared" si="24"/>
        <v>0.15795509285999998</v>
      </c>
      <c r="X136">
        <v>1</v>
      </c>
      <c r="Y136">
        <v>1771000896.9333301</v>
      </c>
      <c r="Z136">
        <v>409.76533333333299</v>
      </c>
      <c r="AA136">
        <v>409.99526666666702</v>
      </c>
      <c r="AB136">
        <v>15.33362</v>
      </c>
      <c r="AC136">
        <v>13.9645333333333</v>
      </c>
      <c r="AD136">
        <v>410.72840000000002</v>
      </c>
      <c r="AE136">
        <v>15.2255866666667</v>
      </c>
      <c r="AF136">
        <v>800.00319999999999</v>
      </c>
      <c r="AG136">
        <v>100.39846666666701</v>
      </c>
      <c r="AH136">
        <v>6.460436E-2</v>
      </c>
      <c r="AI136">
        <v>19.001860000000001</v>
      </c>
      <c r="AJ136">
        <v>999.9</v>
      </c>
      <c r="AK136">
        <v>999.9</v>
      </c>
      <c r="AL136">
        <v>0</v>
      </c>
      <c r="AM136">
        <v>0</v>
      </c>
      <c r="AN136">
        <v>5002.9333333333298</v>
      </c>
      <c r="AO136">
        <v>0</v>
      </c>
      <c r="AP136">
        <v>1.86317</v>
      </c>
      <c r="AQ136">
        <v>-0.2300354</v>
      </c>
      <c r="AR136">
        <v>416.14633333333302</v>
      </c>
      <c r="AS136">
        <v>415.801733333333</v>
      </c>
      <c r="AT136">
        <v>1.3690753333333301</v>
      </c>
      <c r="AU136">
        <v>409.99526666666702</v>
      </c>
      <c r="AV136">
        <v>13.9645333333333</v>
      </c>
      <c r="AW136">
        <v>1.5394713333333301</v>
      </c>
      <c r="AX136">
        <v>1.402018</v>
      </c>
      <c r="AY136">
        <v>13.365933333333301</v>
      </c>
      <c r="AZ136">
        <v>11.939486666666699</v>
      </c>
      <c r="BA136">
        <v>0</v>
      </c>
      <c r="BB136">
        <v>0.90993299999999999</v>
      </c>
      <c r="BC136">
        <v>0</v>
      </c>
      <c r="BD136">
        <v>9.0067300000000003E-2</v>
      </c>
      <c r="BE136">
        <v>0</v>
      </c>
      <c r="BF136">
        <v>24</v>
      </c>
      <c r="BG136">
        <v>0</v>
      </c>
      <c r="BH136">
        <v>1771000543</v>
      </c>
      <c r="BI136" t="s">
        <v>490</v>
      </c>
      <c r="BJ136">
        <v>1771000521</v>
      </c>
      <c r="BK136">
        <v>1771000543</v>
      </c>
      <c r="BL136">
        <v>5</v>
      </c>
      <c r="BM136">
        <v>0.04</v>
      </c>
      <c r="BN136">
        <v>1.9E-2</v>
      </c>
      <c r="BO136">
        <v>-0.96299999999999997</v>
      </c>
      <c r="BP136">
        <v>0.108</v>
      </c>
      <c r="BQ136">
        <v>410</v>
      </c>
      <c r="BR136">
        <v>15</v>
      </c>
      <c r="BS136">
        <v>0.33</v>
      </c>
      <c r="BT136">
        <v>7.0000000000000007E-2</v>
      </c>
      <c r="BU136">
        <v>-0.23233794999999999</v>
      </c>
      <c r="BV136">
        <v>-5.5056406015037099E-2</v>
      </c>
      <c r="BW136">
        <v>1.70338777865611E-2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1.3683965</v>
      </c>
      <c r="CD136">
        <v>3.4699398496239403E-2</v>
      </c>
      <c r="CE136">
        <v>4.8628327906684397E-3</v>
      </c>
      <c r="CF136">
        <v>1</v>
      </c>
      <c r="CG136">
        <v>2</v>
      </c>
      <c r="CH136">
        <v>2</v>
      </c>
      <c r="CI136" t="s">
        <v>304</v>
      </c>
      <c r="CJ136">
        <v>3.5325099999999998</v>
      </c>
      <c r="CK136">
        <v>2.7023700000000002</v>
      </c>
      <c r="CL136">
        <v>9.8385100000000003E-2</v>
      </c>
      <c r="CM136">
        <v>9.70361E-2</v>
      </c>
      <c r="CN136">
        <v>8.7141499999999997E-2</v>
      </c>
      <c r="CO136">
        <v>8.0490900000000004E-2</v>
      </c>
      <c r="CP136">
        <v>31644.9</v>
      </c>
      <c r="CQ136">
        <v>27796.2</v>
      </c>
      <c r="CR136">
        <v>32481.8</v>
      </c>
      <c r="CS136">
        <v>30707.4</v>
      </c>
      <c r="CT136">
        <v>40137.699999999997</v>
      </c>
      <c r="CU136">
        <v>39697.199999999997</v>
      </c>
      <c r="CV136">
        <v>47424.6</v>
      </c>
      <c r="CW136">
        <v>46816.4</v>
      </c>
      <c r="CX136">
        <v>2.6333600000000001</v>
      </c>
      <c r="CY136">
        <v>2.1615199999999999</v>
      </c>
      <c r="CZ136">
        <v>0</v>
      </c>
      <c r="DA136">
        <v>0</v>
      </c>
      <c r="DB136">
        <v>999.9</v>
      </c>
      <c r="DC136">
        <v>999.9</v>
      </c>
      <c r="DD136">
        <v>62.575000000000003</v>
      </c>
      <c r="DE136">
        <v>25.216000000000001</v>
      </c>
      <c r="DF136">
        <v>20.075500000000002</v>
      </c>
      <c r="DG136">
        <v>30.620100000000001</v>
      </c>
      <c r="DH136">
        <v>16.2941</v>
      </c>
      <c r="DI136">
        <v>2</v>
      </c>
      <c r="DJ136">
        <v>-0.17427799999999999</v>
      </c>
      <c r="DK136">
        <v>1.58361</v>
      </c>
      <c r="DL136">
        <v>20.2425</v>
      </c>
      <c r="DM136">
        <v>5.24892</v>
      </c>
      <c r="DN136">
        <v>12.033899999999999</v>
      </c>
      <c r="DO136">
        <v>4.9665600000000003</v>
      </c>
      <c r="DP136">
        <v>3.2910200000000001</v>
      </c>
      <c r="DQ136">
        <v>9999</v>
      </c>
      <c r="DR136">
        <v>9999</v>
      </c>
      <c r="DS136">
        <v>597</v>
      </c>
      <c r="DT136">
        <v>9999</v>
      </c>
      <c r="DU136">
        <v>1.87103</v>
      </c>
      <c r="DV136">
        <v>1.8760699999999999</v>
      </c>
      <c r="DW136">
        <v>1.87629</v>
      </c>
      <c r="DX136">
        <v>1.8827799999999999</v>
      </c>
      <c r="DY136">
        <v>1.8755900000000001</v>
      </c>
      <c r="DZ136">
        <v>1.8746100000000001</v>
      </c>
      <c r="EA136">
        <v>1.87076</v>
      </c>
      <c r="EB136">
        <v>1.87462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-0.96299999999999997</v>
      </c>
      <c r="EQ136">
        <v>0.108</v>
      </c>
      <c r="ER136">
        <v>-0.96330000000000404</v>
      </c>
      <c r="ES136">
        <v>0</v>
      </c>
      <c r="ET136">
        <v>0</v>
      </c>
      <c r="EU136">
        <v>0</v>
      </c>
      <c r="EV136">
        <v>0.10804000000000299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6.4</v>
      </c>
      <c r="FE136">
        <v>6</v>
      </c>
      <c r="FF136">
        <v>1.2365699999999999</v>
      </c>
      <c r="FG136">
        <v>2.5830099999999998</v>
      </c>
      <c r="FH136">
        <v>2.19604</v>
      </c>
      <c r="FI136">
        <v>2.5781200000000002</v>
      </c>
      <c r="FJ136">
        <v>2.4462899999999999</v>
      </c>
      <c r="FK136">
        <v>2.2778299999999998</v>
      </c>
      <c r="FL136">
        <v>30.372399999999999</v>
      </c>
      <c r="FM136">
        <v>24.157499999999999</v>
      </c>
      <c r="FN136">
        <v>19</v>
      </c>
      <c r="FO136">
        <v>864.149</v>
      </c>
      <c r="FP136">
        <v>592.96400000000006</v>
      </c>
      <c r="FQ136">
        <v>18.668099999999999</v>
      </c>
      <c r="FR136">
        <v>24.822600000000001</v>
      </c>
      <c r="FS136">
        <v>30.0001</v>
      </c>
      <c r="FT136">
        <v>24.823</v>
      </c>
      <c r="FU136">
        <v>24.825600000000001</v>
      </c>
      <c r="FV136">
        <v>24.812799999999999</v>
      </c>
      <c r="FW136">
        <v>33.735199999999999</v>
      </c>
      <c r="FX136">
        <v>31.179099999999998</v>
      </c>
      <c r="FY136">
        <v>18.665299999999998</v>
      </c>
      <c r="FZ136">
        <v>410</v>
      </c>
      <c r="GA136">
        <v>13.993</v>
      </c>
      <c r="GB136">
        <v>99.940899999999999</v>
      </c>
      <c r="GC136">
        <v>99.673400000000001</v>
      </c>
    </row>
    <row r="137" spans="1:185" x14ac:dyDescent="0.2">
      <c r="A137">
        <v>122</v>
      </c>
      <c r="B137">
        <v>1771000920</v>
      </c>
      <c r="C137">
        <v>2296.9000000953702</v>
      </c>
      <c r="D137" t="s">
        <v>541</v>
      </c>
      <c r="E137" t="s">
        <v>542</v>
      </c>
      <c r="F137">
        <v>15</v>
      </c>
      <c r="G137">
        <v>1771000911.9333301</v>
      </c>
      <c r="H137">
        <f t="shared" si="13"/>
        <v>1.1176155082857746E-3</v>
      </c>
      <c r="I137">
        <v>0</v>
      </c>
      <c r="J137">
        <f t="shared" si="25"/>
        <v>-1.643811029977062E-2</v>
      </c>
      <c r="K137">
        <f t="shared" si="14"/>
        <v>-0.29393402983062233</v>
      </c>
      <c r="L137">
        <f t="shared" si="15"/>
        <v>69.811011285005335</v>
      </c>
      <c r="M137">
        <f t="shared" si="16"/>
        <v>1.5395907284707668</v>
      </c>
      <c r="N137">
        <f t="shared" si="17"/>
        <v>2.2053694684142968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26301.641278233921</v>
      </c>
      <c r="T137">
        <f t="shared" si="21"/>
        <v>0</v>
      </c>
      <c r="U137">
        <f t="shared" si="22"/>
        <v>0</v>
      </c>
      <c r="V137">
        <f t="shared" si="23"/>
        <v>0.84270227099999995</v>
      </c>
      <c r="W137">
        <f t="shared" si="24"/>
        <v>0.15795509285999998</v>
      </c>
      <c r="X137">
        <v>1</v>
      </c>
      <c r="Y137">
        <v>1771000911.9333301</v>
      </c>
      <c r="Z137">
        <v>409.79153333333301</v>
      </c>
      <c r="AA137">
        <v>409.9966</v>
      </c>
      <c r="AB137">
        <v>15.324913333333299</v>
      </c>
      <c r="AC137">
        <v>13.94932</v>
      </c>
      <c r="AD137">
        <v>410.75479999999999</v>
      </c>
      <c r="AE137">
        <v>15.216893333333299</v>
      </c>
      <c r="AF137">
        <v>800.00980000000004</v>
      </c>
      <c r="AG137">
        <v>100.3986</v>
      </c>
      <c r="AH137">
        <v>6.4658419999999994E-2</v>
      </c>
      <c r="AI137">
        <v>19.001373333333301</v>
      </c>
      <c r="AJ137">
        <v>999.9</v>
      </c>
      <c r="AK137">
        <v>999.9</v>
      </c>
      <c r="AL137">
        <v>0</v>
      </c>
      <c r="AM137">
        <v>0</v>
      </c>
      <c r="AN137">
        <v>4995.8999999999996</v>
      </c>
      <c r="AO137">
        <v>0</v>
      </c>
      <c r="AP137">
        <v>1.86317</v>
      </c>
      <c r="AQ137">
        <v>-0.20502526666666701</v>
      </c>
      <c r="AR137">
        <v>416.16933333333299</v>
      </c>
      <c r="AS137">
        <v>415.79673333333301</v>
      </c>
      <c r="AT137">
        <v>1.3756093333333299</v>
      </c>
      <c r="AU137">
        <v>409.9966</v>
      </c>
      <c r="AV137">
        <v>13.94932</v>
      </c>
      <c r="AW137">
        <v>1.5386013333333299</v>
      </c>
      <c r="AX137">
        <v>1.4004926666666699</v>
      </c>
      <c r="AY137">
        <v>13.357253333333301</v>
      </c>
      <c r="AZ137">
        <v>11.922966666666699</v>
      </c>
      <c r="BA137">
        <v>0</v>
      </c>
      <c r="BB137">
        <v>0.90993299999999999</v>
      </c>
      <c r="BC137">
        <v>0</v>
      </c>
      <c r="BD137">
        <v>9.0067300000000003E-2</v>
      </c>
      <c r="BE137">
        <v>0</v>
      </c>
      <c r="BF137">
        <v>24</v>
      </c>
      <c r="BG137">
        <v>0</v>
      </c>
      <c r="BH137">
        <v>1771000543</v>
      </c>
      <c r="BI137" t="s">
        <v>490</v>
      </c>
      <c r="BJ137">
        <v>1771000521</v>
      </c>
      <c r="BK137">
        <v>1771000543</v>
      </c>
      <c r="BL137">
        <v>5</v>
      </c>
      <c r="BM137">
        <v>0.04</v>
      </c>
      <c r="BN137">
        <v>1.9E-2</v>
      </c>
      <c r="BO137">
        <v>-0.96299999999999997</v>
      </c>
      <c r="BP137">
        <v>0.108</v>
      </c>
      <c r="BQ137">
        <v>410</v>
      </c>
      <c r="BR137">
        <v>15</v>
      </c>
      <c r="BS137">
        <v>0.33</v>
      </c>
      <c r="BT137">
        <v>7.0000000000000007E-2</v>
      </c>
      <c r="BU137">
        <v>-0.21706138095238101</v>
      </c>
      <c r="BV137">
        <v>0.24132335064935001</v>
      </c>
      <c r="BW137">
        <v>2.7969220634520599E-2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1.37542952380952</v>
      </c>
      <c r="CD137">
        <v>2.6453766233765701E-2</v>
      </c>
      <c r="CE137">
        <v>5.08708774034854E-3</v>
      </c>
      <c r="CF137">
        <v>1</v>
      </c>
      <c r="CG137">
        <v>2</v>
      </c>
      <c r="CH137">
        <v>2</v>
      </c>
      <c r="CI137" t="s">
        <v>304</v>
      </c>
      <c r="CJ137">
        <v>3.5324599999999999</v>
      </c>
      <c r="CK137">
        <v>2.70242</v>
      </c>
      <c r="CL137">
        <v>9.8391300000000001E-2</v>
      </c>
      <c r="CM137">
        <v>9.7033599999999998E-2</v>
      </c>
      <c r="CN137">
        <v>8.7116399999999997E-2</v>
      </c>
      <c r="CO137">
        <v>8.0419699999999997E-2</v>
      </c>
      <c r="CP137">
        <v>31645.1</v>
      </c>
      <c r="CQ137">
        <v>27796.6</v>
      </c>
      <c r="CR137">
        <v>32482.3</v>
      </c>
      <c r="CS137">
        <v>30707.8</v>
      </c>
      <c r="CT137">
        <v>40139.5</v>
      </c>
      <c r="CU137">
        <v>39700.9</v>
      </c>
      <c r="CV137">
        <v>47425.3</v>
      </c>
      <c r="CW137">
        <v>46817.1</v>
      </c>
      <c r="CX137">
        <v>2.6335199999999999</v>
      </c>
      <c r="CY137">
        <v>2.1615600000000001</v>
      </c>
      <c r="CZ137">
        <v>0</v>
      </c>
      <c r="DA137">
        <v>0</v>
      </c>
      <c r="DB137">
        <v>999.9</v>
      </c>
      <c r="DC137">
        <v>999.9</v>
      </c>
      <c r="DD137">
        <v>62.44</v>
      </c>
      <c r="DE137">
        <v>25.236999999999998</v>
      </c>
      <c r="DF137">
        <v>20.0549</v>
      </c>
      <c r="DG137">
        <v>30.44</v>
      </c>
      <c r="DH137">
        <v>16.3141</v>
      </c>
      <c r="DI137">
        <v>2</v>
      </c>
      <c r="DJ137">
        <v>-0.17399600000000001</v>
      </c>
      <c r="DK137">
        <v>1.5856600000000001</v>
      </c>
      <c r="DL137">
        <v>20.2424</v>
      </c>
      <c r="DM137">
        <v>5.2480799999999999</v>
      </c>
      <c r="DN137">
        <v>12.033899999999999</v>
      </c>
      <c r="DO137">
        <v>4.9667599999999998</v>
      </c>
      <c r="DP137">
        <v>3.2909999999999999</v>
      </c>
      <c r="DQ137">
        <v>9999</v>
      </c>
      <c r="DR137">
        <v>9999</v>
      </c>
      <c r="DS137">
        <v>597</v>
      </c>
      <c r="DT137">
        <v>9999</v>
      </c>
      <c r="DU137">
        <v>1.87103</v>
      </c>
      <c r="DV137">
        <v>1.8760699999999999</v>
      </c>
      <c r="DW137">
        <v>1.87626</v>
      </c>
      <c r="DX137">
        <v>1.8827700000000001</v>
      </c>
      <c r="DY137">
        <v>1.87558</v>
      </c>
      <c r="DZ137">
        <v>1.87459</v>
      </c>
      <c r="EA137">
        <v>1.8707499999999999</v>
      </c>
      <c r="EB137">
        <v>1.8746100000000001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-0.96299999999999997</v>
      </c>
      <c r="EQ137">
        <v>0.108</v>
      </c>
      <c r="ER137">
        <v>-0.96330000000000404</v>
      </c>
      <c r="ES137">
        <v>0</v>
      </c>
      <c r="ET137">
        <v>0</v>
      </c>
      <c r="EU137">
        <v>0</v>
      </c>
      <c r="EV137">
        <v>0.10804000000000299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6.7</v>
      </c>
      <c r="FE137">
        <v>6.3</v>
      </c>
      <c r="FF137">
        <v>1.2365699999999999</v>
      </c>
      <c r="FG137">
        <v>2.5805699999999998</v>
      </c>
      <c r="FH137">
        <v>2.19604</v>
      </c>
      <c r="FI137">
        <v>2.5781200000000002</v>
      </c>
      <c r="FJ137">
        <v>2.4462899999999999</v>
      </c>
      <c r="FK137">
        <v>2.2888199999999999</v>
      </c>
      <c r="FL137">
        <v>30.393899999999999</v>
      </c>
      <c r="FM137">
        <v>24.157499999999999</v>
      </c>
      <c r="FN137">
        <v>19</v>
      </c>
      <c r="FO137">
        <v>864.34500000000003</v>
      </c>
      <c r="FP137">
        <v>593.029</v>
      </c>
      <c r="FQ137">
        <v>18.662600000000001</v>
      </c>
      <c r="FR137">
        <v>24.825900000000001</v>
      </c>
      <c r="FS137">
        <v>30.000299999999999</v>
      </c>
      <c r="FT137">
        <v>24.826000000000001</v>
      </c>
      <c r="FU137">
        <v>24.828499999999998</v>
      </c>
      <c r="FV137">
        <v>24.814800000000002</v>
      </c>
      <c r="FW137">
        <v>33.735199999999999</v>
      </c>
      <c r="FX137">
        <v>30.803000000000001</v>
      </c>
      <c r="FY137">
        <v>18.661200000000001</v>
      </c>
      <c r="FZ137">
        <v>410</v>
      </c>
      <c r="GA137">
        <v>13.993</v>
      </c>
      <c r="GB137">
        <v>99.942499999999995</v>
      </c>
      <c r="GC137">
        <v>99.674800000000005</v>
      </c>
    </row>
    <row r="138" spans="1:185" x14ac:dyDescent="0.2">
      <c r="A138">
        <v>123</v>
      </c>
      <c r="B138">
        <v>1771000935</v>
      </c>
      <c r="C138">
        <v>2311.9000000953702</v>
      </c>
      <c r="D138" t="s">
        <v>543</v>
      </c>
      <c r="E138" t="s">
        <v>544</v>
      </c>
      <c r="F138">
        <v>15</v>
      </c>
      <c r="G138">
        <v>1771000926.9333301</v>
      </c>
      <c r="H138">
        <f t="shared" si="13"/>
        <v>1.1264563729020129E-3</v>
      </c>
      <c r="I138">
        <v>0</v>
      </c>
      <c r="J138">
        <f t="shared" si="25"/>
        <v>-1.587259414067364E-2</v>
      </c>
      <c r="K138">
        <f t="shared" si="14"/>
        <v>-0.283821891601447</v>
      </c>
      <c r="L138">
        <f t="shared" si="15"/>
        <v>69.789862840618184</v>
      </c>
      <c r="M138">
        <f t="shared" si="16"/>
        <v>1.5390999959855012</v>
      </c>
      <c r="N138">
        <f t="shared" si="17"/>
        <v>2.2053346049703575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26336.160499689759</v>
      </c>
      <c r="T138">
        <f t="shared" si="21"/>
        <v>0</v>
      </c>
      <c r="U138">
        <f t="shared" si="22"/>
        <v>0</v>
      </c>
      <c r="V138">
        <f t="shared" si="23"/>
        <v>0.84270227099999995</v>
      </c>
      <c r="W138">
        <f t="shared" si="24"/>
        <v>0.15795509285999998</v>
      </c>
      <c r="X138">
        <v>1</v>
      </c>
      <c r="Y138">
        <v>1771000926.9333301</v>
      </c>
      <c r="Z138">
        <v>409.76593333333301</v>
      </c>
      <c r="AA138">
        <v>409.988133333333</v>
      </c>
      <c r="AB138">
        <v>15.32002</v>
      </c>
      <c r="AC138">
        <v>13.933533333333299</v>
      </c>
      <c r="AD138">
        <v>410.72933333333299</v>
      </c>
      <c r="AE138">
        <v>15.2119533333333</v>
      </c>
      <c r="AF138">
        <v>800.00699999999995</v>
      </c>
      <c r="AG138">
        <v>100.3986</v>
      </c>
      <c r="AH138">
        <v>6.4715060000000005E-2</v>
      </c>
      <c r="AI138">
        <v>19.00112</v>
      </c>
      <c r="AJ138">
        <v>999.9</v>
      </c>
      <c r="AK138">
        <v>999.9</v>
      </c>
      <c r="AL138">
        <v>0</v>
      </c>
      <c r="AM138">
        <v>0</v>
      </c>
      <c r="AN138">
        <v>5001.5666666666702</v>
      </c>
      <c r="AO138">
        <v>0</v>
      </c>
      <c r="AP138">
        <v>1.86317</v>
      </c>
      <c r="AQ138">
        <v>-0.22197059999999999</v>
      </c>
      <c r="AR138">
        <v>416.14146666666699</v>
      </c>
      <c r="AS138">
        <v>415.781133333333</v>
      </c>
      <c r="AT138">
        <v>1.3864799999999999</v>
      </c>
      <c r="AU138">
        <v>409.988133333333</v>
      </c>
      <c r="AV138">
        <v>13.933533333333299</v>
      </c>
      <c r="AW138">
        <v>1.538108</v>
      </c>
      <c r="AX138">
        <v>1.3989066666666701</v>
      </c>
      <c r="AY138">
        <v>13.3523266666667</v>
      </c>
      <c r="AZ138">
        <v>11.9057866666667</v>
      </c>
      <c r="BA138">
        <v>0</v>
      </c>
      <c r="BB138">
        <v>0.90993299999999999</v>
      </c>
      <c r="BC138">
        <v>0</v>
      </c>
      <c r="BD138">
        <v>9.0067300000000003E-2</v>
      </c>
      <c r="BE138">
        <v>0</v>
      </c>
      <c r="BF138">
        <v>24</v>
      </c>
      <c r="BG138">
        <v>0</v>
      </c>
      <c r="BH138">
        <v>1771000543</v>
      </c>
      <c r="BI138" t="s">
        <v>490</v>
      </c>
      <c r="BJ138">
        <v>1771000521</v>
      </c>
      <c r="BK138">
        <v>1771000543</v>
      </c>
      <c r="BL138">
        <v>5</v>
      </c>
      <c r="BM138">
        <v>0.04</v>
      </c>
      <c r="BN138">
        <v>1.9E-2</v>
      </c>
      <c r="BO138">
        <v>-0.96299999999999997</v>
      </c>
      <c r="BP138">
        <v>0.108</v>
      </c>
      <c r="BQ138">
        <v>410</v>
      </c>
      <c r="BR138">
        <v>15</v>
      </c>
      <c r="BS138">
        <v>0.33</v>
      </c>
      <c r="BT138">
        <v>7.0000000000000007E-2</v>
      </c>
      <c r="BU138">
        <v>-0.21453700000000001</v>
      </c>
      <c r="BV138">
        <v>-8.17659248120301E-2</v>
      </c>
      <c r="BW138">
        <v>1.9879192604328799E-2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1.3855895</v>
      </c>
      <c r="CD138">
        <v>2.6792932330826601E-2</v>
      </c>
      <c r="CE138">
        <v>3.4241721262226301E-3</v>
      </c>
      <c r="CF138">
        <v>1</v>
      </c>
      <c r="CG138">
        <v>2</v>
      </c>
      <c r="CH138">
        <v>2</v>
      </c>
      <c r="CI138" t="s">
        <v>304</v>
      </c>
      <c r="CJ138">
        <v>3.5325500000000001</v>
      </c>
      <c r="CK138">
        <v>2.70262</v>
      </c>
      <c r="CL138">
        <v>9.8378300000000002E-2</v>
      </c>
      <c r="CM138">
        <v>9.7025100000000003E-2</v>
      </c>
      <c r="CN138">
        <v>8.7084099999999998E-2</v>
      </c>
      <c r="CO138">
        <v>8.0334299999999997E-2</v>
      </c>
      <c r="CP138">
        <v>31645.1</v>
      </c>
      <c r="CQ138">
        <v>27796.5</v>
      </c>
      <c r="CR138">
        <v>32481.8</v>
      </c>
      <c r="CS138">
        <v>30707.4</v>
      </c>
      <c r="CT138">
        <v>40140.400000000001</v>
      </c>
      <c r="CU138">
        <v>39704.199999999997</v>
      </c>
      <c r="CV138">
        <v>47424.7</v>
      </c>
      <c r="CW138">
        <v>46816.4</v>
      </c>
      <c r="CX138">
        <v>2.6333000000000002</v>
      </c>
      <c r="CY138">
        <v>2.1613600000000002</v>
      </c>
      <c r="CZ138">
        <v>0</v>
      </c>
      <c r="DA138">
        <v>0</v>
      </c>
      <c r="DB138">
        <v>999.9</v>
      </c>
      <c r="DC138">
        <v>999.9</v>
      </c>
      <c r="DD138">
        <v>62.317999999999998</v>
      </c>
      <c r="DE138">
        <v>25.236999999999998</v>
      </c>
      <c r="DF138">
        <v>20.016200000000001</v>
      </c>
      <c r="DG138">
        <v>30.620100000000001</v>
      </c>
      <c r="DH138">
        <v>16.2941</v>
      </c>
      <c r="DI138">
        <v>2</v>
      </c>
      <c r="DJ138">
        <v>-0.17374999999999999</v>
      </c>
      <c r="DK138">
        <v>1.58785</v>
      </c>
      <c r="DL138">
        <v>20.2424</v>
      </c>
      <c r="DM138">
        <v>5.2483199999999997</v>
      </c>
      <c r="DN138">
        <v>12.033899999999999</v>
      </c>
      <c r="DO138">
        <v>4.9665600000000003</v>
      </c>
      <c r="DP138">
        <v>3.2909999999999999</v>
      </c>
      <c r="DQ138">
        <v>9999</v>
      </c>
      <c r="DR138">
        <v>9999</v>
      </c>
      <c r="DS138">
        <v>597</v>
      </c>
      <c r="DT138">
        <v>9999</v>
      </c>
      <c r="DU138">
        <v>1.87103</v>
      </c>
      <c r="DV138">
        <v>1.8760699999999999</v>
      </c>
      <c r="DW138">
        <v>1.87626</v>
      </c>
      <c r="DX138">
        <v>1.8827799999999999</v>
      </c>
      <c r="DY138">
        <v>1.8755900000000001</v>
      </c>
      <c r="DZ138">
        <v>1.8746100000000001</v>
      </c>
      <c r="EA138">
        <v>1.8707499999999999</v>
      </c>
      <c r="EB138">
        <v>1.87463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-0.96299999999999997</v>
      </c>
      <c r="EQ138">
        <v>0.108</v>
      </c>
      <c r="ER138">
        <v>-0.96330000000000404</v>
      </c>
      <c r="ES138">
        <v>0</v>
      </c>
      <c r="ET138">
        <v>0</v>
      </c>
      <c r="EU138">
        <v>0</v>
      </c>
      <c r="EV138">
        <v>0.10804000000000299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6.9</v>
      </c>
      <c r="FE138">
        <v>6.5</v>
      </c>
      <c r="FF138">
        <v>1.2365699999999999</v>
      </c>
      <c r="FG138">
        <v>2.5866699999999998</v>
      </c>
      <c r="FH138">
        <v>2.19604</v>
      </c>
      <c r="FI138">
        <v>2.5781200000000002</v>
      </c>
      <c r="FJ138">
        <v>2.4462899999999999</v>
      </c>
      <c r="FK138">
        <v>2.2949199999999998</v>
      </c>
      <c r="FL138">
        <v>30.393899999999999</v>
      </c>
      <c r="FM138">
        <v>24.157499999999999</v>
      </c>
      <c r="FN138">
        <v>19</v>
      </c>
      <c r="FO138">
        <v>864.19500000000005</v>
      </c>
      <c r="FP138">
        <v>592.91300000000001</v>
      </c>
      <c r="FQ138">
        <v>18.6584</v>
      </c>
      <c r="FR138">
        <v>24.827999999999999</v>
      </c>
      <c r="FS138">
        <v>30.0002</v>
      </c>
      <c r="FT138">
        <v>24.8293</v>
      </c>
      <c r="FU138">
        <v>24.831900000000001</v>
      </c>
      <c r="FV138">
        <v>24.817499999999999</v>
      </c>
      <c r="FW138">
        <v>33.453099999999999</v>
      </c>
      <c r="FX138">
        <v>30.4315</v>
      </c>
      <c r="FY138">
        <v>18.657900000000001</v>
      </c>
      <c r="FZ138">
        <v>410</v>
      </c>
      <c r="GA138">
        <v>13.9939</v>
      </c>
      <c r="GB138">
        <v>99.941100000000006</v>
      </c>
      <c r="GC138">
        <v>99.673400000000001</v>
      </c>
    </row>
    <row r="139" spans="1:185" x14ac:dyDescent="0.2">
      <c r="A139">
        <v>124</v>
      </c>
      <c r="B139">
        <v>1771000950</v>
      </c>
      <c r="C139">
        <v>2326.9000000953702</v>
      </c>
      <c r="D139" t="s">
        <v>545</v>
      </c>
      <c r="E139" t="s">
        <v>546</v>
      </c>
      <c r="F139">
        <v>15</v>
      </c>
      <c r="G139">
        <v>1771000941.9333301</v>
      </c>
      <c r="H139">
        <f t="shared" si="13"/>
        <v>1.1144201320352431E-3</v>
      </c>
      <c r="I139">
        <v>0</v>
      </c>
      <c r="J139">
        <f t="shared" si="25"/>
        <v>-1.5104175900731077E-2</v>
      </c>
      <c r="K139">
        <f t="shared" si="14"/>
        <v>-0.27008160967470857</v>
      </c>
      <c r="L139">
        <f t="shared" si="15"/>
        <v>69.750469791290342</v>
      </c>
      <c r="M139">
        <f t="shared" si="16"/>
        <v>1.5381966916885739</v>
      </c>
      <c r="N139">
        <f t="shared" si="17"/>
        <v>2.2052850630127896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26331.732726594833</v>
      </c>
      <c r="T139">
        <f t="shared" si="21"/>
        <v>0</v>
      </c>
      <c r="U139">
        <f t="shared" si="22"/>
        <v>0</v>
      </c>
      <c r="V139">
        <f t="shared" si="23"/>
        <v>0.84270227099999995</v>
      </c>
      <c r="W139">
        <f t="shared" si="24"/>
        <v>0.15795509285999998</v>
      </c>
      <c r="X139">
        <v>1</v>
      </c>
      <c r="Y139">
        <v>1771000941.9333301</v>
      </c>
      <c r="Z139">
        <v>409.75993333333298</v>
      </c>
      <c r="AA139">
        <v>409.99313333333299</v>
      </c>
      <c r="AB139">
        <v>15.311260000000001</v>
      </c>
      <c r="AC139">
        <v>13.939586666666701</v>
      </c>
      <c r="AD139">
        <v>410.72333333333302</v>
      </c>
      <c r="AE139">
        <v>15.203193333333299</v>
      </c>
      <c r="AF139">
        <v>800.01333333333298</v>
      </c>
      <c r="AG139">
        <v>100.397066666667</v>
      </c>
      <c r="AH139">
        <v>6.4730186666666703E-2</v>
      </c>
      <c r="AI139">
        <v>19.00076</v>
      </c>
      <c r="AJ139">
        <v>999.9</v>
      </c>
      <c r="AK139">
        <v>999.9</v>
      </c>
      <c r="AL139">
        <v>0</v>
      </c>
      <c r="AM139">
        <v>0</v>
      </c>
      <c r="AN139">
        <v>5000.8999999999996</v>
      </c>
      <c r="AO139">
        <v>0</v>
      </c>
      <c r="AP139">
        <v>1.86317</v>
      </c>
      <c r="AQ139">
        <v>-0.23321739999999999</v>
      </c>
      <c r="AR139">
        <v>416.13153333333298</v>
      </c>
      <c r="AS139">
        <v>415.789066666667</v>
      </c>
      <c r="AT139">
        <v>1.3716680000000001</v>
      </c>
      <c r="AU139">
        <v>409.99313333333299</v>
      </c>
      <c r="AV139">
        <v>13.939586666666701</v>
      </c>
      <c r="AW139">
        <v>1.537202</v>
      </c>
      <c r="AX139">
        <v>1.3994913333333301</v>
      </c>
      <c r="AY139">
        <v>13.343299999999999</v>
      </c>
      <c r="AZ139">
        <v>11.9121066666667</v>
      </c>
      <c r="BA139">
        <v>0</v>
      </c>
      <c r="BB139">
        <v>0.90993299999999999</v>
      </c>
      <c r="BC139">
        <v>0</v>
      </c>
      <c r="BD139">
        <v>9.0067300000000003E-2</v>
      </c>
      <c r="BE139">
        <v>0</v>
      </c>
      <c r="BF139">
        <v>24</v>
      </c>
      <c r="BG139">
        <v>0</v>
      </c>
      <c r="BH139">
        <v>1771000543</v>
      </c>
      <c r="BI139" t="s">
        <v>490</v>
      </c>
      <c r="BJ139">
        <v>1771000521</v>
      </c>
      <c r="BK139">
        <v>1771000543</v>
      </c>
      <c r="BL139">
        <v>5</v>
      </c>
      <c r="BM139">
        <v>0.04</v>
      </c>
      <c r="BN139">
        <v>1.9E-2</v>
      </c>
      <c r="BO139">
        <v>-0.96299999999999997</v>
      </c>
      <c r="BP139">
        <v>0.108</v>
      </c>
      <c r="BQ139">
        <v>410</v>
      </c>
      <c r="BR139">
        <v>15</v>
      </c>
      <c r="BS139">
        <v>0.33</v>
      </c>
      <c r="BT139">
        <v>7.0000000000000007E-2</v>
      </c>
      <c r="BU139">
        <v>-0.22841976190476199</v>
      </c>
      <c r="BV139">
        <v>-4.6461038961038703E-2</v>
      </c>
      <c r="BW139">
        <v>2.04330185167345E-2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1.3765838095238101</v>
      </c>
      <c r="CD139">
        <v>-0.119544935064931</v>
      </c>
      <c r="CE139">
        <v>1.4668815798015201E-2</v>
      </c>
      <c r="CF139">
        <v>0</v>
      </c>
      <c r="CG139">
        <v>1</v>
      </c>
      <c r="CH139">
        <v>2</v>
      </c>
      <c r="CI139" t="s">
        <v>290</v>
      </c>
      <c r="CJ139">
        <v>3.5324499999999999</v>
      </c>
      <c r="CK139">
        <v>2.70242</v>
      </c>
      <c r="CL139">
        <v>9.8375599999999994E-2</v>
      </c>
      <c r="CM139">
        <v>9.7031000000000006E-2</v>
      </c>
      <c r="CN139">
        <v>8.7057800000000005E-2</v>
      </c>
      <c r="CO139">
        <v>8.0422199999999999E-2</v>
      </c>
      <c r="CP139">
        <v>31645.1</v>
      </c>
      <c r="CQ139">
        <v>27796.1</v>
      </c>
      <c r="CR139">
        <v>32481.8</v>
      </c>
      <c r="CS139">
        <v>30707.1</v>
      </c>
      <c r="CT139">
        <v>40141.5</v>
      </c>
      <c r="CU139">
        <v>39700.199999999997</v>
      </c>
      <c r="CV139">
        <v>47424.6</v>
      </c>
      <c r="CW139">
        <v>46816.4</v>
      </c>
      <c r="CX139">
        <v>2.6332399999999998</v>
      </c>
      <c r="CY139">
        <v>2.1611199999999999</v>
      </c>
      <c r="CZ139">
        <v>0</v>
      </c>
      <c r="DA139">
        <v>0</v>
      </c>
      <c r="DB139">
        <v>999.9</v>
      </c>
      <c r="DC139">
        <v>999.9</v>
      </c>
      <c r="DD139">
        <v>62.183999999999997</v>
      </c>
      <c r="DE139">
        <v>25.266999999999999</v>
      </c>
      <c r="DF139">
        <v>20.0108</v>
      </c>
      <c r="DG139">
        <v>30.26</v>
      </c>
      <c r="DH139">
        <v>16.334099999999999</v>
      </c>
      <c r="DI139">
        <v>2</v>
      </c>
      <c r="DJ139">
        <v>-0.17357700000000001</v>
      </c>
      <c r="DK139">
        <v>1.5849899999999999</v>
      </c>
      <c r="DL139">
        <v>20.2423</v>
      </c>
      <c r="DM139">
        <v>5.2517899999999997</v>
      </c>
      <c r="DN139">
        <v>12.033899999999999</v>
      </c>
      <c r="DO139">
        <v>4.9672799999999997</v>
      </c>
      <c r="DP139">
        <v>3.2909999999999999</v>
      </c>
      <c r="DQ139">
        <v>9999</v>
      </c>
      <c r="DR139">
        <v>9999</v>
      </c>
      <c r="DS139">
        <v>597</v>
      </c>
      <c r="DT139">
        <v>9999</v>
      </c>
      <c r="DU139">
        <v>1.87103</v>
      </c>
      <c r="DV139">
        <v>1.8760699999999999</v>
      </c>
      <c r="DW139">
        <v>1.87632</v>
      </c>
      <c r="DX139">
        <v>1.8827799999999999</v>
      </c>
      <c r="DY139">
        <v>1.8755900000000001</v>
      </c>
      <c r="DZ139">
        <v>1.87466</v>
      </c>
      <c r="EA139">
        <v>1.8707499999999999</v>
      </c>
      <c r="EB139">
        <v>1.87466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-0.96399999999999997</v>
      </c>
      <c r="EQ139">
        <v>0.108</v>
      </c>
      <c r="ER139">
        <v>-0.96330000000000404</v>
      </c>
      <c r="ES139">
        <v>0</v>
      </c>
      <c r="ET139">
        <v>0</v>
      </c>
      <c r="EU139">
        <v>0</v>
      </c>
      <c r="EV139">
        <v>0.10804000000000299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7.2</v>
      </c>
      <c r="FE139">
        <v>6.8</v>
      </c>
      <c r="FF139">
        <v>1.2365699999999999</v>
      </c>
      <c r="FG139">
        <v>2.5854499999999998</v>
      </c>
      <c r="FH139">
        <v>2.19604</v>
      </c>
      <c r="FI139">
        <v>2.5781200000000002</v>
      </c>
      <c r="FJ139">
        <v>2.4462899999999999</v>
      </c>
      <c r="FK139">
        <v>2.3132299999999999</v>
      </c>
      <c r="FL139">
        <v>30.415400000000002</v>
      </c>
      <c r="FM139">
        <v>24.1663</v>
      </c>
      <c r="FN139">
        <v>19</v>
      </c>
      <c r="FO139">
        <v>864.18700000000001</v>
      </c>
      <c r="FP139">
        <v>592.76199999999994</v>
      </c>
      <c r="FQ139">
        <v>18.6571</v>
      </c>
      <c r="FR139">
        <v>24.831800000000001</v>
      </c>
      <c r="FS139">
        <v>30.0002</v>
      </c>
      <c r="FT139">
        <v>24.8323</v>
      </c>
      <c r="FU139">
        <v>24.835100000000001</v>
      </c>
      <c r="FV139">
        <v>24.817</v>
      </c>
      <c r="FW139">
        <v>33.453099999999999</v>
      </c>
      <c r="FX139">
        <v>30.047799999999999</v>
      </c>
      <c r="FY139">
        <v>18.6556</v>
      </c>
      <c r="FZ139">
        <v>410</v>
      </c>
      <c r="GA139">
        <v>14.006399999999999</v>
      </c>
      <c r="GB139">
        <v>99.940899999999999</v>
      </c>
      <c r="GC139">
        <v>99.673000000000002</v>
      </c>
    </row>
    <row r="140" spans="1:185" x14ac:dyDescent="0.2">
      <c r="A140">
        <v>125</v>
      </c>
      <c r="B140">
        <v>1771000965</v>
      </c>
      <c r="C140">
        <v>2341.9000000953702</v>
      </c>
      <c r="D140" t="s">
        <v>547</v>
      </c>
      <c r="E140" t="s">
        <v>548</v>
      </c>
      <c r="F140">
        <v>15</v>
      </c>
      <c r="G140">
        <v>1771000956.9333301</v>
      </c>
      <c r="H140">
        <f t="shared" si="13"/>
        <v>1.1043397732880241E-3</v>
      </c>
      <c r="I140">
        <v>0</v>
      </c>
      <c r="J140">
        <f t="shared" si="25"/>
        <v>-1.5013125694368745E-2</v>
      </c>
      <c r="K140">
        <f t="shared" si="14"/>
        <v>-0.26845351778428223</v>
      </c>
      <c r="L140">
        <f t="shared" si="15"/>
        <v>69.743648669657006</v>
      </c>
      <c r="M140">
        <f t="shared" si="16"/>
        <v>1.5379298172437756</v>
      </c>
      <c r="N140">
        <f t="shared" si="17"/>
        <v>2.2051180954530052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26323.372417326831</v>
      </c>
      <c r="T140">
        <f t="shared" si="21"/>
        <v>0</v>
      </c>
      <c r="U140">
        <f t="shared" si="22"/>
        <v>0</v>
      </c>
      <c r="V140">
        <f t="shared" si="23"/>
        <v>0.84270227099999995</v>
      </c>
      <c r="W140">
        <f t="shared" si="24"/>
        <v>0.15795509285999998</v>
      </c>
      <c r="X140">
        <v>1</v>
      </c>
      <c r="Y140">
        <v>1771000956.9333301</v>
      </c>
      <c r="Z140">
        <v>409.75479999999999</v>
      </c>
      <c r="AA140">
        <v>409.98486666666702</v>
      </c>
      <c r="AB140">
        <v>15.3086</v>
      </c>
      <c r="AC140">
        <v>13.94932</v>
      </c>
      <c r="AD140">
        <v>410.71826666666698</v>
      </c>
      <c r="AE140">
        <v>15.2005866666667</v>
      </c>
      <c r="AF140">
        <v>800.00726666666696</v>
      </c>
      <c r="AG140">
        <v>100.39726666666699</v>
      </c>
      <c r="AH140">
        <v>6.4553306666666699E-2</v>
      </c>
      <c r="AI140">
        <v>18.999546666666699</v>
      </c>
      <c r="AJ140">
        <v>999.9</v>
      </c>
      <c r="AK140">
        <v>999.9</v>
      </c>
      <c r="AL140">
        <v>0</v>
      </c>
      <c r="AM140">
        <v>0</v>
      </c>
      <c r="AN140">
        <v>4999.5</v>
      </c>
      <c r="AO140">
        <v>0</v>
      </c>
      <c r="AP140">
        <v>1.86317</v>
      </c>
      <c r="AQ140">
        <v>-0.229953933333333</v>
      </c>
      <c r="AR140">
        <v>416.125333333333</v>
      </c>
      <c r="AS140">
        <v>415.78480000000002</v>
      </c>
      <c r="AT140">
        <v>1.35928266666667</v>
      </c>
      <c r="AU140">
        <v>409.98486666666702</v>
      </c>
      <c r="AV140">
        <v>13.94932</v>
      </c>
      <c r="AW140">
        <v>1.5369426666666699</v>
      </c>
      <c r="AX140">
        <v>1.4004746666666701</v>
      </c>
      <c r="AY140">
        <v>13.3407133333333</v>
      </c>
      <c r="AZ140">
        <v>11.922753333333301</v>
      </c>
      <c r="BA140">
        <v>0</v>
      </c>
      <c r="BB140">
        <v>0.90993299999999999</v>
      </c>
      <c r="BC140">
        <v>0</v>
      </c>
      <c r="BD140">
        <v>9.0067300000000003E-2</v>
      </c>
      <c r="BE140">
        <v>0</v>
      </c>
      <c r="BF140">
        <v>24</v>
      </c>
      <c r="BG140">
        <v>0</v>
      </c>
      <c r="BH140">
        <v>1771000543</v>
      </c>
      <c r="BI140" t="s">
        <v>490</v>
      </c>
      <c r="BJ140">
        <v>1771000521</v>
      </c>
      <c r="BK140">
        <v>1771000543</v>
      </c>
      <c r="BL140">
        <v>5</v>
      </c>
      <c r="BM140">
        <v>0.04</v>
      </c>
      <c r="BN140">
        <v>1.9E-2</v>
      </c>
      <c r="BO140">
        <v>-0.96299999999999997</v>
      </c>
      <c r="BP140">
        <v>0.108</v>
      </c>
      <c r="BQ140">
        <v>410</v>
      </c>
      <c r="BR140">
        <v>15</v>
      </c>
      <c r="BS140">
        <v>0.33</v>
      </c>
      <c r="BT140">
        <v>7.0000000000000007E-2</v>
      </c>
      <c r="BU140">
        <v>-0.22783500000000001</v>
      </c>
      <c r="BV140">
        <v>6.6193714285714106E-2</v>
      </c>
      <c r="BW140">
        <v>2.4332339495001298E-2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1.359842</v>
      </c>
      <c r="CD140">
        <v>-0.118453533834586</v>
      </c>
      <c r="CE140">
        <v>1.9922659862578601E-2</v>
      </c>
      <c r="CF140">
        <v>0</v>
      </c>
      <c r="CG140">
        <v>1</v>
      </c>
      <c r="CH140">
        <v>2</v>
      </c>
      <c r="CI140" t="s">
        <v>290</v>
      </c>
      <c r="CJ140">
        <v>3.5324300000000002</v>
      </c>
      <c r="CK140">
        <v>2.7025199999999998</v>
      </c>
      <c r="CL140">
        <v>9.8374699999999995E-2</v>
      </c>
      <c r="CM140">
        <v>9.7023899999999996E-2</v>
      </c>
      <c r="CN140">
        <v>8.7090600000000004E-2</v>
      </c>
      <c r="CO140">
        <v>8.0648800000000007E-2</v>
      </c>
      <c r="CP140">
        <v>31644.9</v>
      </c>
      <c r="CQ140">
        <v>27796.6</v>
      </c>
      <c r="CR140">
        <v>32481.5</v>
      </c>
      <c r="CS140">
        <v>30707.5</v>
      </c>
      <c r="CT140">
        <v>40139.9</v>
      </c>
      <c r="CU140">
        <v>39690.5</v>
      </c>
      <c r="CV140">
        <v>47424.4</v>
      </c>
      <c r="CW140">
        <v>46816.800000000003</v>
      </c>
      <c r="CX140">
        <v>2.6331600000000002</v>
      </c>
      <c r="CY140">
        <v>2.1609400000000001</v>
      </c>
      <c r="CZ140">
        <v>0</v>
      </c>
      <c r="DA140">
        <v>0</v>
      </c>
      <c r="DB140">
        <v>999.9</v>
      </c>
      <c r="DC140">
        <v>999.9</v>
      </c>
      <c r="DD140">
        <v>62.055999999999997</v>
      </c>
      <c r="DE140">
        <v>25.297000000000001</v>
      </c>
      <c r="DF140">
        <v>20.003599999999999</v>
      </c>
      <c r="DG140">
        <v>30.65</v>
      </c>
      <c r="DH140">
        <v>16.3141</v>
      </c>
      <c r="DI140">
        <v>2</v>
      </c>
      <c r="DJ140">
        <v>-0.17336399999999999</v>
      </c>
      <c r="DK140">
        <v>1.55972</v>
      </c>
      <c r="DL140">
        <v>20.2425</v>
      </c>
      <c r="DM140">
        <v>5.2516699999999998</v>
      </c>
      <c r="DN140">
        <v>12.033899999999999</v>
      </c>
      <c r="DO140">
        <v>4.96732</v>
      </c>
      <c r="DP140">
        <v>3.2910200000000001</v>
      </c>
      <c r="DQ140">
        <v>9999</v>
      </c>
      <c r="DR140">
        <v>9999</v>
      </c>
      <c r="DS140">
        <v>597</v>
      </c>
      <c r="DT140">
        <v>9999</v>
      </c>
      <c r="DU140">
        <v>1.8710199999999999</v>
      </c>
      <c r="DV140">
        <v>1.8760699999999999</v>
      </c>
      <c r="DW140">
        <v>1.8762399999999999</v>
      </c>
      <c r="DX140">
        <v>1.8827799999999999</v>
      </c>
      <c r="DY140">
        <v>1.8755299999999999</v>
      </c>
      <c r="DZ140">
        <v>1.8745799999999999</v>
      </c>
      <c r="EA140">
        <v>1.8707400000000001</v>
      </c>
      <c r="EB140">
        <v>1.87459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-0.96299999999999997</v>
      </c>
      <c r="EQ140">
        <v>0.1081</v>
      </c>
      <c r="ER140">
        <v>-0.96330000000000404</v>
      </c>
      <c r="ES140">
        <v>0</v>
      </c>
      <c r="ET140">
        <v>0</v>
      </c>
      <c r="EU140">
        <v>0</v>
      </c>
      <c r="EV140">
        <v>0.10804000000000299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7.4</v>
      </c>
      <c r="FE140">
        <v>7</v>
      </c>
      <c r="FF140">
        <v>1.2365699999999999</v>
      </c>
      <c r="FG140">
        <v>2.5817899999999998</v>
      </c>
      <c r="FH140">
        <v>2.19604</v>
      </c>
      <c r="FI140">
        <v>2.5781200000000002</v>
      </c>
      <c r="FJ140">
        <v>2.4462899999999999</v>
      </c>
      <c r="FK140">
        <v>2.2961399999999998</v>
      </c>
      <c r="FL140">
        <v>30.436900000000001</v>
      </c>
      <c r="FM140">
        <v>24.1663</v>
      </c>
      <c r="FN140">
        <v>19</v>
      </c>
      <c r="FO140">
        <v>864.16800000000001</v>
      </c>
      <c r="FP140">
        <v>592.65599999999995</v>
      </c>
      <c r="FQ140">
        <v>18.660499999999999</v>
      </c>
      <c r="FR140">
        <v>24.834299999999999</v>
      </c>
      <c r="FS140">
        <v>30.0002</v>
      </c>
      <c r="FT140">
        <v>24.835599999999999</v>
      </c>
      <c r="FU140">
        <v>24.838100000000001</v>
      </c>
      <c r="FV140">
        <v>24.819500000000001</v>
      </c>
      <c r="FW140">
        <v>33.181699999999999</v>
      </c>
      <c r="FX140">
        <v>29.676500000000001</v>
      </c>
      <c r="FY140">
        <v>18.663799999999998</v>
      </c>
      <c r="FZ140">
        <v>410</v>
      </c>
      <c r="GA140">
        <v>14.004200000000001</v>
      </c>
      <c r="GB140">
        <v>99.940399999999997</v>
      </c>
      <c r="GC140">
        <v>99.674099999999996</v>
      </c>
    </row>
    <row r="141" spans="1:185" x14ac:dyDescent="0.2">
      <c r="A141">
        <v>126</v>
      </c>
      <c r="B141">
        <v>1771000980</v>
      </c>
      <c r="C141">
        <v>2356.9000000953702</v>
      </c>
      <c r="D141" t="s">
        <v>549</v>
      </c>
      <c r="E141" t="s">
        <v>550</v>
      </c>
      <c r="F141">
        <v>15</v>
      </c>
      <c r="G141">
        <v>1771000971.9333301</v>
      </c>
      <c r="H141">
        <f t="shared" si="13"/>
        <v>1.0906903064588998E-3</v>
      </c>
      <c r="I141">
        <v>0</v>
      </c>
      <c r="J141">
        <f t="shared" si="25"/>
        <v>-1.427328262836886E-2</v>
      </c>
      <c r="K141">
        <f t="shared" si="14"/>
        <v>-0.25522419580834782</v>
      </c>
      <c r="L141">
        <f t="shared" si="15"/>
        <v>69.824813312407329</v>
      </c>
      <c r="M141">
        <f t="shared" si="16"/>
        <v>1.5397189529137953</v>
      </c>
      <c r="N141">
        <f t="shared" si="17"/>
        <v>2.2051171780794423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26350.526522891094</v>
      </c>
      <c r="T141">
        <f t="shared" si="21"/>
        <v>0</v>
      </c>
      <c r="U141">
        <f t="shared" si="22"/>
        <v>0</v>
      </c>
      <c r="V141">
        <f t="shared" si="23"/>
        <v>0.84270227099999995</v>
      </c>
      <c r="W141">
        <f t="shared" si="24"/>
        <v>0.15795509285999998</v>
      </c>
      <c r="X141">
        <v>1</v>
      </c>
      <c r="Y141">
        <v>1771000971.9333301</v>
      </c>
      <c r="Z141">
        <v>409.74619999999999</v>
      </c>
      <c r="AA141">
        <v>409.98579999999998</v>
      </c>
      <c r="AB141">
        <v>15.326406666666699</v>
      </c>
      <c r="AC141">
        <v>13.9839533333333</v>
      </c>
      <c r="AD141">
        <v>410.70946666666703</v>
      </c>
      <c r="AE141">
        <v>15.218360000000001</v>
      </c>
      <c r="AF141">
        <v>800.00840000000005</v>
      </c>
      <c r="AG141">
        <v>100.397133333333</v>
      </c>
      <c r="AH141">
        <v>6.4702659999999995E-2</v>
      </c>
      <c r="AI141">
        <v>18.99954</v>
      </c>
      <c r="AJ141">
        <v>999.9</v>
      </c>
      <c r="AK141">
        <v>999.9</v>
      </c>
      <c r="AL141">
        <v>0</v>
      </c>
      <c r="AM141">
        <v>0</v>
      </c>
      <c r="AN141">
        <v>5003.9666666666699</v>
      </c>
      <c r="AO141">
        <v>0</v>
      </c>
      <c r="AP141">
        <v>1.86317</v>
      </c>
      <c r="AQ141">
        <v>-0.23955273333333299</v>
      </c>
      <c r="AR141">
        <v>416.12406666666698</v>
      </c>
      <c r="AS141">
        <v>415.80033333333301</v>
      </c>
      <c r="AT141">
        <v>1.3424560000000001</v>
      </c>
      <c r="AU141">
        <v>409.98579999999998</v>
      </c>
      <c r="AV141">
        <v>13.9839533333333</v>
      </c>
      <c r="AW141">
        <v>1.53872733333333</v>
      </c>
      <c r="AX141">
        <v>1.4039486666666701</v>
      </c>
      <c r="AY141">
        <v>13.35852</v>
      </c>
      <c r="AZ141">
        <v>11.9603533333333</v>
      </c>
      <c r="BA141">
        <v>0</v>
      </c>
      <c r="BB141">
        <v>0.90993299999999999</v>
      </c>
      <c r="BC141">
        <v>0</v>
      </c>
      <c r="BD141">
        <v>9.0067300000000003E-2</v>
      </c>
      <c r="BE141">
        <v>0</v>
      </c>
      <c r="BF141">
        <v>24</v>
      </c>
      <c r="BG141">
        <v>0</v>
      </c>
      <c r="BH141">
        <v>1771000543</v>
      </c>
      <c r="BI141" t="s">
        <v>490</v>
      </c>
      <c r="BJ141">
        <v>1771000521</v>
      </c>
      <c r="BK141">
        <v>1771000543</v>
      </c>
      <c r="BL141">
        <v>5</v>
      </c>
      <c r="BM141">
        <v>0.04</v>
      </c>
      <c r="BN141">
        <v>1.9E-2</v>
      </c>
      <c r="BO141">
        <v>-0.96299999999999997</v>
      </c>
      <c r="BP141">
        <v>0.108</v>
      </c>
      <c r="BQ141">
        <v>410</v>
      </c>
      <c r="BR141">
        <v>15</v>
      </c>
      <c r="BS141">
        <v>0.33</v>
      </c>
      <c r="BT141">
        <v>7.0000000000000007E-2</v>
      </c>
      <c r="BU141">
        <v>-0.23032480952380999</v>
      </c>
      <c r="BV141">
        <v>-0.10403212987013</v>
      </c>
      <c r="BW141">
        <v>2.0220161399240599E-2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1.3404100000000001</v>
      </c>
      <c r="CD141">
        <v>4.90722077922097E-2</v>
      </c>
      <c r="CE141">
        <v>1.0858174449738399E-2</v>
      </c>
      <c r="CF141">
        <v>1</v>
      </c>
      <c r="CG141">
        <v>2</v>
      </c>
      <c r="CH141">
        <v>2</v>
      </c>
      <c r="CI141" t="s">
        <v>304</v>
      </c>
      <c r="CJ141">
        <v>3.5324800000000001</v>
      </c>
      <c r="CK141">
        <v>2.7023799999999998</v>
      </c>
      <c r="CL141">
        <v>9.8379300000000003E-2</v>
      </c>
      <c r="CM141">
        <v>9.7023700000000004E-2</v>
      </c>
      <c r="CN141">
        <v>8.7152400000000005E-2</v>
      </c>
      <c r="CO141">
        <v>8.0617099999999997E-2</v>
      </c>
      <c r="CP141">
        <v>31644.400000000001</v>
      </c>
      <c r="CQ141">
        <v>27796.3</v>
      </c>
      <c r="CR141">
        <v>32481.200000000001</v>
      </c>
      <c r="CS141">
        <v>30707.1</v>
      </c>
      <c r="CT141">
        <v>40136.800000000003</v>
      </c>
      <c r="CU141">
        <v>39691.4</v>
      </c>
      <c r="CV141">
        <v>47424.1</v>
      </c>
      <c r="CW141">
        <v>46816.3</v>
      </c>
      <c r="CX141">
        <v>2.6331799999999999</v>
      </c>
      <c r="CY141">
        <v>2.1607599999999998</v>
      </c>
      <c r="CZ141">
        <v>0</v>
      </c>
      <c r="DA141">
        <v>0</v>
      </c>
      <c r="DB141">
        <v>999.9</v>
      </c>
      <c r="DC141">
        <v>999.9</v>
      </c>
      <c r="DD141">
        <v>61.945999999999998</v>
      </c>
      <c r="DE141">
        <v>25.277000000000001</v>
      </c>
      <c r="DF141">
        <v>19.946400000000001</v>
      </c>
      <c r="DG141">
        <v>30.5</v>
      </c>
      <c r="DH141">
        <v>16.298100000000002</v>
      </c>
      <c r="DI141">
        <v>2</v>
      </c>
      <c r="DJ141">
        <v>-0.17311399999999999</v>
      </c>
      <c r="DK141">
        <v>1.57812</v>
      </c>
      <c r="DL141">
        <v>20.2423</v>
      </c>
      <c r="DM141">
        <v>5.2516699999999998</v>
      </c>
      <c r="DN141">
        <v>12.033899999999999</v>
      </c>
      <c r="DO141">
        <v>4.9673999999999996</v>
      </c>
      <c r="DP141">
        <v>3.2909999999999999</v>
      </c>
      <c r="DQ141">
        <v>9999</v>
      </c>
      <c r="DR141">
        <v>9999</v>
      </c>
      <c r="DS141">
        <v>597</v>
      </c>
      <c r="DT141">
        <v>9999</v>
      </c>
      <c r="DU141">
        <v>1.8710100000000001</v>
      </c>
      <c r="DV141">
        <v>1.8760699999999999</v>
      </c>
      <c r="DW141">
        <v>1.8762300000000001</v>
      </c>
      <c r="DX141">
        <v>1.8827799999999999</v>
      </c>
      <c r="DY141">
        <v>1.8755299999999999</v>
      </c>
      <c r="DZ141">
        <v>1.87459</v>
      </c>
      <c r="EA141">
        <v>1.87073</v>
      </c>
      <c r="EB141">
        <v>1.87459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-0.96299999999999997</v>
      </c>
      <c r="EQ141">
        <v>0.1081</v>
      </c>
      <c r="ER141">
        <v>-0.96330000000000404</v>
      </c>
      <c r="ES141">
        <v>0</v>
      </c>
      <c r="ET141">
        <v>0</v>
      </c>
      <c r="EU141">
        <v>0</v>
      </c>
      <c r="EV141">
        <v>0.10804000000000299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7.7</v>
      </c>
      <c r="FE141">
        <v>7.3</v>
      </c>
      <c r="FF141">
        <v>1.2365699999999999</v>
      </c>
      <c r="FG141">
        <v>2.5817899999999998</v>
      </c>
      <c r="FH141">
        <v>2.19604</v>
      </c>
      <c r="FI141">
        <v>2.5781200000000002</v>
      </c>
      <c r="FJ141">
        <v>2.4462899999999999</v>
      </c>
      <c r="FK141">
        <v>2.2863799999999999</v>
      </c>
      <c r="FL141">
        <v>30.436900000000001</v>
      </c>
      <c r="FM141">
        <v>24.1663</v>
      </c>
      <c r="FN141">
        <v>19</v>
      </c>
      <c r="FO141">
        <v>864.22699999999998</v>
      </c>
      <c r="FP141">
        <v>592.548</v>
      </c>
      <c r="FQ141">
        <v>18.6647</v>
      </c>
      <c r="FR141">
        <v>24.836300000000001</v>
      </c>
      <c r="FS141">
        <v>30.0002</v>
      </c>
      <c r="FT141">
        <v>24.838100000000001</v>
      </c>
      <c r="FU141">
        <v>24.841000000000001</v>
      </c>
      <c r="FV141">
        <v>24.820900000000002</v>
      </c>
      <c r="FW141">
        <v>33.181699999999999</v>
      </c>
      <c r="FX141">
        <v>29.303599999999999</v>
      </c>
      <c r="FY141">
        <v>18.6647</v>
      </c>
      <c r="FZ141">
        <v>410</v>
      </c>
      <c r="GA141">
        <v>14.004200000000001</v>
      </c>
      <c r="GB141">
        <v>99.939499999999995</v>
      </c>
      <c r="GC141">
        <v>99.672899999999998</v>
      </c>
    </row>
    <row r="142" spans="1:185" x14ac:dyDescent="0.2">
      <c r="A142">
        <v>127</v>
      </c>
      <c r="B142">
        <v>1771000995</v>
      </c>
      <c r="C142">
        <v>2371.9000000953702</v>
      </c>
      <c r="D142" t="s">
        <v>551</v>
      </c>
      <c r="E142" t="s">
        <v>552</v>
      </c>
      <c r="F142">
        <v>15</v>
      </c>
      <c r="G142">
        <v>1771000986.9333301</v>
      </c>
      <c r="H142">
        <f t="shared" si="13"/>
        <v>1.1063242684323175E-3</v>
      </c>
      <c r="I142">
        <v>0</v>
      </c>
      <c r="J142">
        <f t="shared" si="25"/>
        <v>-1.4166441678438928E-2</v>
      </c>
      <c r="K142">
        <f t="shared" si="14"/>
        <v>-0.25331374561722853</v>
      </c>
      <c r="L142">
        <f t="shared" si="15"/>
        <v>69.857559323026422</v>
      </c>
      <c r="M142">
        <f t="shared" si="16"/>
        <v>1.5404211744369096</v>
      </c>
      <c r="N142">
        <f t="shared" si="17"/>
        <v>2.2050887396650811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26347.953075910587</v>
      </c>
      <c r="T142">
        <f t="shared" si="21"/>
        <v>0</v>
      </c>
      <c r="U142">
        <f t="shared" si="22"/>
        <v>0</v>
      </c>
      <c r="V142">
        <f t="shared" si="23"/>
        <v>0.84270227099999995</v>
      </c>
      <c r="W142">
        <f t="shared" si="24"/>
        <v>0.15795509285999998</v>
      </c>
      <c r="X142">
        <v>1</v>
      </c>
      <c r="Y142">
        <v>1771000986.9333301</v>
      </c>
      <c r="Z142">
        <v>409.74946666666699</v>
      </c>
      <c r="AA142">
        <v>409.99946666666699</v>
      </c>
      <c r="AB142">
        <v>15.3335333333333</v>
      </c>
      <c r="AC142">
        <v>13.9718466666667</v>
      </c>
      <c r="AD142">
        <v>410.71286666666703</v>
      </c>
      <c r="AE142">
        <v>15.2255</v>
      </c>
      <c r="AF142">
        <v>800.00813333333303</v>
      </c>
      <c r="AG142">
        <v>100.396533333333</v>
      </c>
      <c r="AH142">
        <v>6.4406813333333299E-2</v>
      </c>
      <c r="AI142">
        <v>18.999333333333301</v>
      </c>
      <c r="AJ142">
        <v>999.9</v>
      </c>
      <c r="AK142">
        <v>999.9</v>
      </c>
      <c r="AL142">
        <v>0</v>
      </c>
      <c r="AM142">
        <v>0</v>
      </c>
      <c r="AN142">
        <v>5003.5666666666702</v>
      </c>
      <c r="AO142">
        <v>0</v>
      </c>
      <c r="AP142">
        <v>1.86317</v>
      </c>
      <c r="AQ142">
        <v>-0.24985553333333299</v>
      </c>
      <c r="AR142">
        <v>416.13026666666701</v>
      </c>
      <c r="AS142">
        <v>415.80919999999998</v>
      </c>
      <c r="AT142">
        <v>1.3616919999999999</v>
      </c>
      <c r="AU142">
        <v>409.99946666666699</v>
      </c>
      <c r="AV142">
        <v>13.9718466666667</v>
      </c>
      <c r="AW142">
        <v>1.539434</v>
      </c>
      <c r="AX142">
        <v>1.4027240000000001</v>
      </c>
      <c r="AY142">
        <v>13.365553333333301</v>
      </c>
      <c r="AZ142">
        <v>11.9471133333333</v>
      </c>
      <c r="BA142">
        <v>0</v>
      </c>
      <c r="BB142">
        <v>0.90993299999999999</v>
      </c>
      <c r="BC142">
        <v>0</v>
      </c>
      <c r="BD142">
        <v>9.0067300000000003E-2</v>
      </c>
      <c r="BE142">
        <v>0</v>
      </c>
      <c r="BF142">
        <v>24</v>
      </c>
      <c r="BG142">
        <v>0</v>
      </c>
      <c r="BH142">
        <v>1771000543</v>
      </c>
      <c r="BI142" t="s">
        <v>490</v>
      </c>
      <c r="BJ142">
        <v>1771000521</v>
      </c>
      <c r="BK142">
        <v>1771000543</v>
      </c>
      <c r="BL142">
        <v>5</v>
      </c>
      <c r="BM142">
        <v>0.04</v>
      </c>
      <c r="BN142">
        <v>1.9E-2</v>
      </c>
      <c r="BO142">
        <v>-0.96299999999999997</v>
      </c>
      <c r="BP142">
        <v>0.108</v>
      </c>
      <c r="BQ142">
        <v>410</v>
      </c>
      <c r="BR142">
        <v>15</v>
      </c>
      <c r="BS142">
        <v>0.33</v>
      </c>
      <c r="BT142">
        <v>7.0000000000000007E-2</v>
      </c>
      <c r="BU142">
        <v>-0.24453274999999999</v>
      </c>
      <c r="BV142">
        <v>-0.19160160902255599</v>
      </c>
      <c r="BW142">
        <v>2.32851034631049E-2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1.3583924999999999</v>
      </c>
      <c r="CD142">
        <v>7.9249172932330497E-2</v>
      </c>
      <c r="CE142">
        <v>8.3231868145560699E-3</v>
      </c>
      <c r="CF142">
        <v>1</v>
      </c>
      <c r="CG142">
        <v>2</v>
      </c>
      <c r="CH142">
        <v>2</v>
      </c>
      <c r="CI142" t="s">
        <v>304</v>
      </c>
      <c r="CJ142">
        <v>3.5325299999999999</v>
      </c>
      <c r="CK142">
        <v>2.7023600000000001</v>
      </c>
      <c r="CL142">
        <v>9.8373000000000002E-2</v>
      </c>
      <c r="CM142">
        <v>9.7027299999999997E-2</v>
      </c>
      <c r="CN142">
        <v>8.7168499999999996E-2</v>
      </c>
      <c r="CO142">
        <v>8.0550700000000003E-2</v>
      </c>
      <c r="CP142">
        <v>31644.6</v>
      </c>
      <c r="CQ142">
        <v>27796.5</v>
      </c>
      <c r="CR142">
        <v>32481.1</v>
      </c>
      <c r="CS142">
        <v>30707.4</v>
      </c>
      <c r="CT142">
        <v>40136</v>
      </c>
      <c r="CU142">
        <v>39695.199999999997</v>
      </c>
      <c r="CV142">
        <v>47423.9</v>
      </c>
      <c r="CW142">
        <v>46817.2</v>
      </c>
      <c r="CX142">
        <v>2.6329400000000001</v>
      </c>
      <c r="CY142">
        <v>2.1604000000000001</v>
      </c>
      <c r="CZ142">
        <v>0</v>
      </c>
      <c r="DA142">
        <v>0</v>
      </c>
      <c r="DB142">
        <v>999.9</v>
      </c>
      <c r="DC142">
        <v>999.9</v>
      </c>
      <c r="DD142">
        <v>61.83</v>
      </c>
      <c r="DE142">
        <v>25.306999999999999</v>
      </c>
      <c r="DF142">
        <v>19.943100000000001</v>
      </c>
      <c r="DG142">
        <v>30.5</v>
      </c>
      <c r="DH142">
        <v>16.277999999999999</v>
      </c>
      <c r="DI142">
        <v>2</v>
      </c>
      <c r="DJ142">
        <v>-0.172931</v>
      </c>
      <c r="DK142">
        <v>1.579</v>
      </c>
      <c r="DL142">
        <v>20.2424</v>
      </c>
      <c r="DM142">
        <v>5.2519099999999996</v>
      </c>
      <c r="DN142">
        <v>12.033899999999999</v>
      </c>
      <c r="DO142">
        <v>4.9673999999999996</v>
      </c>
      <c r="DP142">
        <v>3.2909999999999999</v>
      </c>
      <c r="DQ142">
        <v>9999</v>
      </c>
      <c r="DR142">
        <v>9999</v>
      </c>
      <c r="DS142">
        <v>597</v>
      </c>
      <c r="DT142">
        <v>9999</v>
      </c>
      <c r="DU142">
        <v>1.8710199999999999</v>
      </c>
      <c r="DV142">
        <v>1.8760600000000001</v>
      </c>
      <c r="DW142">
        <v>1.8762300000000001</v>
      </c>
      <c r="DX142">
        <v>1.8827700000000001</v>
      </c>
      <c r="DY142">
        <v>1.87551</v>
      </c>
      <c r="DZ142">
        <v>1.8745499999999999</v>
      </c>
      <c r="EA142">
        <v>1.87073</v>
      </c>
      <c r="EB142">
        <v>1.8745799999999999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-0.96299999999999997</v>
      </c>
      <c r="EQ142">
        <v>0.108</v>
      </c>
      <c r="ER142">
        <v>-0.96330000000000404</v>
      </c>
      <c r="ES142">
        <v>0</v>
      </c>
      <c r="ET142">
        <v>0</v>
      </c>
      <c r="EU142">
        <v>0</v>
      </c>
      <c r="EV142">
        <v>0.10804000000000299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7.9</v>
      </c>
      <c r="FE142">
        <v>7.5</v>
      </c>
      <c r="FF142">
        <v>1.2365699999999999</v>
      </c>
      <c r="FG142">
        <v>2.5817899999999998</v>
      </c>
      <c r="FH142">
        <v>2.19604</v>
      </c>
      <c r="FI142">
        <v>2.5781200000000002</v>
      </c>
      <c r="FJ142">
        <v>2.4462899999999999</v>
      </c>
      <c r="FK142">
        <v>2.3095699999999999</v>
      </c>
      <c r="FL142">
        <v>30.458400000000001</v>
      </c>
      <c r="FM142">
        <v>24.1663</v>
      </c>
      <c r="FN142">
        <v>19</v>
      </c>
      <c r="FO142">
        <v>864.06500000000005</v>
      </c>
      <c r="FP142">
        <v>592.30600000000004</v>
      </c>
      <c r="FQ142">
        <v>18.664100000000001</v>
      </c>
      <c r="FR142">
        <v>24.838899999999999</v>
      </c>
      <c r="FS142">
        <v>30.0002</v>
      </c>
      <c r="FT142">
        <v>24.841899999999999</v>
      </c>
      <c r="FU142">
        <v>24.8443</v>
      </c>
      <c r="FV142">
        <v>24.821200000000001</v>
      </c>
      <c r="FW142">
        <v>33.181699999999999</v>
      </c>
      <c r="FX142">
        <v>29.303599999999999</v>
      </c>
      <c r="FY142">
        <v>18.665199999999999</v>
      </c>
      <c r="FZ142">
        <v>410</v>
      </c>
      <c r="GA142">
        <v>14.004200000000001</v>
      </c>
      <c r="GB142">
        <v>99.939300000000003</v>
      </c>
      <c r="GC142">
        <v>99.674499999999995</v>
      </c>
    </row>
    <row r="143" spans="1:185" x14ac:dyDescent="0.2">
      <c r="A143">
        <v>128</v>
      </c>
      <c r="B143">
        <v>1771001010</v>
      </c>
      <c r="C143">
        <v>2386.9000000953702</v>
      </c>
      <c r="D143" t="s">
        <v>553</v>
      </c>
      <c r="E143" t="s">
        <v>554</v>
      </c>
      <c r="F143">
        <v>15</v>
      </c>
      <c r="G143">
        <v>1771001001.9333301</v>
      </c>
      <c r="H143">
        <f t="shared" si="13"/>
        <v>1.1141584774494518E-3</v>
      </c>
      <c r="I143">
        <v>0</v>
      </c>
      <c r="J143">
        <f t="shared" si="25"/>
        <v>-1.4782115057731252E-2</v>
      </c>
      <c r="K143">
        <f t="shared" si="14"/>
        <v>-0.2643227578537114</v>
      </c>
      <c r="L143">
        <f t="shared" si="15"/>
        <v>69.847371223003194</v>
      </c>
      <c r="M143">
        <f t="shared" si="16"/>
        <v>1.5402311188447293</v>
      </c>
      <c r="N143">
        <f t="shared" si="17"/>
        <v>2.2051382777559381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26297.801265899521</v>
      </c>
      <c r="T143">
        <f t="shared" si="21"/>
        <v>0</v>
      </c>
      <c r="U143">
        <f t="shared" si="22"/>
        <v>0</v>
      </c>
      <c r="V143">
        <f t="shared" si="23"/>
        <v>0.84270227099999995</v>
      </c>
      <c r="W143">
        <f t="shared" si="24"/>
        <v>0.15795509285999998</v>
      </c>
      <c r="X143">
        <v>1</v>
      </c>
      <c r="Y143">
        <v>1771001001.9333301</v>
      </c>
      <c r="Z143">
        <v>409.76106666666698</v>
      </c>
      <c r="AA143">
        <v>410.00133333333298</v>
      </c>
      <c r="AB143">
        <v>15.33164</v>
      </c>
      <c r="AC143">
        <v>13.9603133333333</v>
      </c>
      <c r="AD143">
        <v>410.724533333333</v>
      </c>
      <c r="AE143">
        <v>15.2235933333333</v>
      </c>
      <c r="AF143">
        <v>800.01113333333296</v>
      </c>
      <c r="AG143">
        <v>100.396533333333</v>
      </c>
      <c r="AH143">
        <v>6.4416626666666699E-2</v>
      </c>
      <c r="AI143">
        <v>18.999693333333301</v>
      </c>
      <c r="AJ143">
        <v>999.9</v>
      </c>
      <c r="AK143">
        <v>999.9</v>
      </c>
      <c r="AL143">
        <v>0</v>
      </c>
      <c r="AM143">
        <v>0</v>
      </c>
      <c r="AN143">
        <v>4995.3333333333303</v>
      </c>
      <c r="AO143">
        <v>0</v>
      </c>
      <c r="AP143">
        <v>1.86317</v>
      </c>
      <c r="AQ143">
        <v>-0.2400756</v>
      </c>
      <c r="AR143">
        <v>416.14120000000003</v>
      </c>
      <c r="AS143">
        <v>415.80599999999998</v>
      </c>
      <c r="AT143">
        <v>1.37133333333333</v>
      </c>
      <c r="AU143">
        <v>410.00133333333298</v>
      </c>
      <c r="AV143">
        <v>13.9603133333333</v>
      </c>
      <c r="AW143">
        <v>1.5392426666666701</v>
      </c>
      <c r="AX143">
        <v>1.4015673333333301</v>
      </c>
      <c r="AY143">
        <v>13.36364</v>
      </c>
      <c r="AZ143">
        <v>11.9345933333333</v>
      </c>
      <c r="BA143">
        <v>0</v>
      </c>
      <c r="BB143">
        <v>0.90993299999999999</v>
      </c>
      <c r="BC143">
        <v>0</v>
      </c>
      <c r="BD143">
        <v>9.0067300000000003E-2</v>
      </c>
      <c r="BE143">
        <v>0</v>
      </c>
      <c r="BF143">
        <v>24</v>
      </c>
      <c r="BG143">
        <v>0</v>
      </c>
      <c r="BH143">
        <v>1771000543</v>
      </c>
      <c r="BI143" t="s">
        <v>490</v>
      </c>
      <c r="BJ143">
        <v>1771000521</v>
      </c>
      <c r="BK143">
        <v>1771000543</v>
      </c>
      <c r="BL143">
        <v>5</v>
      </c>
      <c r="BM143">
        <v>0.04</v>
      </c>
      <c r="BN143">
        <v>1.9E-2</v>
      </c>
      <c r="BO143">
        <v>-0.96299999999999997</v>
      </c>
      <c r="BP143">
        <v>0.108</v>
      </c>
      <c r="BQ143">
        <v>410</v>
      </c>
      <c r="BR143">
        <v>15</v>
      </c>
      <c r="BS143">
        <v>0.33</v>
      </c>
      <c r="BT143">
        <v>7.0000000000000007E-2</v>
      </c>
      <c r="BU143">
        <v>-0.247036857142857</v>
      </c>
      <c r="BV143">
        <v>0.10072238961039</v>
      </c>
      <c r="BW143">
        <v>2.1772194692807102E-2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1.3700519047619</v>
      </c>
      <c r="CD143">
        <v>3.3253246753246798E-2</v>
      </c>
      <c r="CE143">
        <v>4.08758703888414E-3</v>
      </c>
      <c r="CF143">
        <v>1</v>
      </c>
      <c r="CG143">
        <v>2</v>
      </c>
      <c r="CH143">
        <v>2</v>
      </c>
      <c r="CI143" t="s">
        <v>304</v>
      </c>
      <c r="CJ143">
        <v>3.5324599999999999</v>
      </c>
      <c r="CK143">
        <v>2.7023299999999999</v>
      </c>
      <c r="CL143">
        <v>9.8371299999999995E-2</v>
      </c>
      <c r="CM143">
        <v>9.7025299999999995E-2</v>
      </c>
      <c r="CN143">
        <v>8.7133799999999997E-2</v>
      </c>
      <c r="CO143">
        <v>8.0494099999999999E-2</v>
      </c>
      <c r="CP143">
        <v>31644.799999999999</v>
      </c>
      <c r="CQ143">
        <v>27796.6</v>
      </c>
      <c r="CR143">
        <v>32481.3</v>
      </c>
      <c r="CS143">
        <v>30707.5</v>
      </c>
      <c r="CT143">
        <v>40138.1</v>
      </c>
      <c r="CU143">
        <v>39697.800000000003</v>
      </c>
      <c r="CV143">
        <v>47424.6</v>
      </c>
      <c r="CW143">
        <v>46817.3</v>
      </c>
      <c r="CX143">
        <v>2.63306</v>
      </c>
      <c r="CY143">
        <v>2.1604399999999999</v>
      </c>
      <c r="CZ143">
        <v>0</v>
      </c>
      <c r="DA143">
        <v>0</v>
      </c>
      <c r="DB143">
        <v>999.9</v>
      </c>
      <c r="DC143">
        <v>999.9</v>
      </c>
      <c r="DD143">
        <v>61.713999999999999</v>
      </c>
      <c r="DE143">
        <v>25.327000000000002</v>
      </c>
      <c r="DF143">
        <v>19.930800000000001</v>
      </c>
      <c r="DG143">
        <v>30.47</v>
      </c>
      <c r="DH143">
        <v>16.2179</v>
      </c>
      <c r="DI143">
        <v>2</v>
      </c>
      <c r="DJ143">
        <v>-0.172734</v>
      </c>
      <c r="DK143">
        <v>1.5816600000000001</v>
      </c>
      <c r="DL143">
        <v>20.2424</v>
      </c>
      <c r="DM143">
        <v>5.2513100000000001</v>
      </c>
      <c r="DN143">
        <v>12.033899999999999</v>
      </c>
      <c r="DO143">
        <v>4.9673999999999996</v>
      </c>
      <c r="DP143">
        <v>3.2909999999999999</v>
      </c>
      <c r="DQ143">
        <v>9999</v>
      </c>
      <c r="DR143">
        <v>9999</v>
      </c>
      <c r="DS143">
        <v>597</v>
      </c>
      <c r="DT143">
        <v>9999</v>
      </c>
      <c r="DU143">
        <v>1.87103</v>
      </c>
      <c r="DV143">
        <v>1.8760699999999999</v>
      </c>
      <c r="DW143">
        <v>1.8762399999999999</v>
      </c>
      <c r="DX143">
        <v>1.8827799999999999</v>
      </c>
      <c r="DY143">
        <v>1.87554</v>
      </c>
      <c r="DZ143">
        <v>1.8745700000000001</v>
      </c>
      <c r="EA143">
        <v>1.8707400000000001</v>
      </c>
      <c r="EB143">
        <v>1.8746100000000001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-0.96299999999999997</v>
      </c>
      <c r="EQ143">
        <v>0.108</v>
      </c>
      <c r="ER143">
        <v>-0.96330000000000404</v>
      </c>
      <c r="ES143">
        <v>0</v>
      </c>
      <c r="ET143">
        <v>0</v>
      </c>
      <c r="EU143">
        <v>0</v>
      </c>
      <c r="EV143">
        <v>0.10804000000000299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8.1999999999999993</v>
      </c>
      <c r="FE143">
        <v>7.8</v>
      </c>
      <c r="FF143">
        <v>1.2365699999999999</v>
      </c>
      <c r="FG143">
        <v>2.5805699999999998</v>
      </c>
      <c r="FH143">
        <v>2.19604</v>
      </c>
      <c r="FI143">
        <v>2.5781200000000002</v>
      </c>
      <c r="FJ143">
        <v>2.4462899999999999</v>
      </c>
      <c r="FK143">
        <v>2.3010299999999999</v>
      </c>
      <c r="FL143">
        <v>30.458400000000001</v>
      </c>
      <c r="FM143">
        <v>24.157499999999999</v>
      </c>
      <c r="FN143">
        <v>19</v>
      </c>
      <c r="FO143">
        <v>864.21</v>
      </c>
      <c r="FP143">
        <v>592.36199999999997</v>
      </c>
      <c r="FQ143">
        <v>18.665500000000002</v>
      </c>
      <c r="FR143">
        <v>24.842600000000001</v>
      </c>
      <c r="FS143">
        <v>30.0002</v>
      </c>
      <c r="FT143">
        <v>24.843900000000001</v>
      </c>
      <c r="FU143">
        <v>24.846399999999999</v>
      </c>
      <c r="FV143">
        <v>24.820599999999999</v>
      </c>
      <c r="FW143">
        <v>33.181699999999999</v>
      </c>
      <c r="FX143">
        <v>28.9253</v>
      </c>
      <c r="FY143">
        <v>18.665299999999998</v>
      </c>
      <c r="FZ143">
        <v>410</v>
      </c>
      <c r="GA143">
        <v>14.004200000000001</v>
      </c>
      <c r="GB143">
        <v>99.940299999999993</v>
      </c>
      <c r="GC143">
        <v>99.674800000000005</v>
      </c>
    </row>
    <row r="144" spans="1:185" x14ac:dyDescent="0.2">
      <c r="A144">
        <v>129</v>
      </c>
      <c r="B144">
        <v>1771001025</v>
      </c>
      <c r="C144">
        <v>2401.9000000953702</v>
      </c>
      <c r="D144" t="s">
        <v>555</v>
      </c>
      <c r="E144" t="s">
        <v>556</v>
      </c>
      <c r="F144">
        <v>15</v>
      </c>
      <c r="G144">
        <v>1771001016.9333301</v>
      </c>
      <c r="H144">
        <f t="shared" ref="H144:H207" si="26">AF144*Q144*(AB144-AC144)/(1000*X144*(1000-Q144*AB144))</f>
        <v>1.1185521203642866E-3</v>
      </c>
      <c r="I144">
        <v>0</v>
      </c>
      <c r="J144">
        <f t="shared" si="25"/>
        <v>-1.4354331456527104E-2</v>
      </c>
      <c r="K144">
        <f t="shared" ref="K144:K207" si="27">AF144*Q144*(AA144-Z144*(1000-Q144*AC144)/(1000-Q144*AB144))/(1000*X144)</f>
        <v>-0.25667345051215246</v>
      </c>
      <c r="L144">
        <f t="shared" ref="L144:L207" si="28">(M144/N144*100)</f>
        <v>69.816713693754451</v>
      </c>
      <c r="M144">
        <f t="shared" ref="M144:M207" si="29">AB144*(AG144+AH144)/1000</f>
        <v>1.5396639638135032</v>
      </c>
      <c r="N144">
        <f t="shared" ref="N144:N207" si="30">0.61365*EXP(17.502*AI144/(240.97+AI144))</f>
        <v>2.2052942373757647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26336.305993054179</v>
      </c>
      <c r="T144">
        <f t="shared" ref="T144:T207" si="34">$B$11*AO144+$C$11*AP144+$D$11*BA144</f>
        <v>0</v>
      </c>
      <c r="U144">
        <f t="shared" ref="U144:U207" si="35">T144*V144</f>
        <v>0</v>
      </c>
      <c r="V144">
        <f t="shared" ref="V144:V207" si="36">($B$11*$D$9+$C$11*$D$9+$D$11*(BB144*$E$9+BC144*$F$9+BD144*$G$9+BE144*$H$9))/($B$11+$C$11+$D$11)</f>
        <v>0.84270227099999995</v>
      </c>
      <c r="W144">
        <f t="shared" ref="W144:W207" si="37">($B$11*$L$9+$C$11*$L$9+$D$11*(BB144*$M$9+BC144*$N$9+BD144*$O$9+BE144*$P$9))/($B$11+$C$11+$D$11)</f>
        <v>0.15795509285999998</v>
      </c>
      <c r="X144">
        <v>1</v>
      </c>
      <c r="Y144">
        <v>1771001016.9333301</v>
      </c>
      <c r="Z144">
        <v>409.75200000000001</v>
      </c>
      <c r="AA144">
        <v>410.00406666666697</v>
      </c>
      <c r="AB144">
        <v>15.3259333333333</v>
      </c>
      <c r="AC144">
        <v>13.9491866666667</v>
      </c>
      <c r="AD144">
        <v>410.71506666666698</v>
      </c>
      <c r="AE144">
        <v>15.217886666666701</v>
      </c>
      <c r="AF144">
        <v>800.00866666666695</v>
      </c>
      <c r="AG144">
        <v>100.396733333333</v>
      </c>
      <c r="AH144">
        <v>6.4617393333333301E-2</v>
      </c>
      <c r="AI144">
        <v>19.000826666666701</v>
      </c>
      <c r="AJ144">
        <v>999.9</v>
      </c>
      <c r="AK144">
        <v>999.9</v>
      </c>
      <c r="AL144">
        <v>0</v>
      </c>
      <c r="AM144">
        <v>0</v>
      </c>
      <c r="AN144">
        <v>5001.6666666666697</v>
      </c>
      <c r="AO144">
        <v>0</v>
      </c>
      <c r="AP144">
        <v>1.86317</v>
      </c>
      <c r="AQ144">
        <v>-0.25212806666666698</v>
      </c>
      <c r="AR144">
        <v>416.12939999999998</v>
      </c>
      <c r="AS144">
        <v>415.80419999999998</v>
      </c>
      <c r="AT144">
        <v>1.37672533333333</v>
      </c>
      <c r="AU144">
        <v>410.00406666666697</v>
      </c>
      <c r="AV144">
        <v>13.9491866666667</v>
      </c>
      <c r="AW144">
        <v>1.5386726666666699</v>
      </c>
      <c r="AX144">
        <v>1.4004540000000001</v>
      </c>
      <c r="AY144">
        <v>13.35796</v>
      </c>
      <c r="AZ144">
        <v>11.922546666666699</v>
      </c>
      <c r="BA144">
        <v>0</v>
      </c>
      <c r="BB144">
        <v>0.90993299999999999</v>
      </c>
      <c r="BC144">
        <v>0</v>
      </c>
      <c r="BD144">
        <v>9.0067300000000003E-2</v>
      </c>
      <c r="BE144">
        <v>0</v>
      </c>
      <c r="BF144">
        <v>24</v>
      </c>
      <c r="BG144">
        <v>0</v>
      </c>
      <c r="BH144">
        <v>1771000543</v>
      </c>
      <c r="BI144" t="s">
        <v>490</v>
      </c>
      <c r="BJ144">
        <v>1771000521</v>
      </c>
      <c r="BK144">
        <v>1771000543</v>
      </c>
      <c r="BL144">
        <v>5</v>
      </c>
      <c r="BM144">
        <v>0.04</v>
      </c>
      <c r="BN144">
        <v>1.9E-2</v>
      </c>
      <c r="BO144">
        <v>-0.96299999999999997</v>
      </c>
      <c r="BP144">
        <v>0.108</v>
      </c>
      <c r="BQ144">
        <v>410</v>
      </c>
      <c r="BR144">
        <v>15</v>
      </c>
      <c r="BS144">
        <v>0.33</v>
      </c>
      <c r="BT144">
        <v>7.0000000000000007E-2</v>
      </c>
      <c r="BU144">
        <v>-0.24748994999999999</v>
      </c>
      <c r="BV144">
        <v>-0.11649775939849601</v>
      </c>
      <c r="BW144">
        <v>2.4887714464118599E-2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1.3761635000000001</v>
      </c>
      <c r="CD144">
        <v>3.67619548872214E-2</v>
      </c>
      <c r="CE144">
        <v>5.1518572136657797E-3</v>
      </c>
      <c r="CF144">
        <v>1</v>
      </c>
      <c r="CG144">
        <v>2</v>
      </c>
      <c r="CH144">
        <v>2</v>
      </c>
      <c r="CI144" t="s">
        <v>304</v>
      </c>
      <c r="CJ144">
        <v>3.5325500000000001</v>
      </c>
      <c r="CK144">
        <v>2.70261</v>
      </c>
      <c r="CL144">
        <v>9.8376199999999997E-2</v>
      </c>
      <c r="CM144">
        <v>9.7023399999999996E-2</v>
      </c>
      <c r="CN144">
        <v>8.7127499999999997E-2</v>
      </c>
      <c r="CO144">
        <v>8.0437800000000004E-2</v>
      </c>
      <c r="CP144">
        <v>31644.2</v>
      </c>
      <c r="CQ144">
        <v>27796.9</v>
      </c>
      <c r="CR144">
        <v>32480.9</v>
      </c>
      <c r="CS144">
        <v>30707.8</v>
      </c>
      <c r="CT144">
        <v>40137.599999999999</v>
      </c>
      <c r="CU144">
        <v>39700.6</v>
      </c>
      <c r="CV144">
        <v>47423.7</v>
      </c>
      <c r="CW144">
        <v>46817.599999999999</v>
      </c>
      <c r="CX144">
        <v>2.6329600000000002</v>
      </c>
      <c r="CY144">
        <v>2.15998</v>
      </c>
      <c r="CZ144">
        <v>0</v>
      </c>
      <c r="DA144">
        <v>0</v>
      </c>
      <c r="DB144">
        <v>999.9</v>
      </c>
      <c r="DC144">
        <v>999.9</v>
      </c>
      <c r="DD144">
        <v>61.591999999999999</v>
      </c>
      <c r="DE144">
        <v>25.347000000000001</v>
      </c>
      <c r="DF144">
        <v>19.9131</v>
      </c>
      <c r="DG144">
        <v>30.38</v>
      </c>
      <c r="DH144">
        <v>16.197900000000001</v>
      </c>
      <c r="DI144">
        <v>2</v>
      </c>
      <c r="DJ144">
        <v>-0.17250199999999999</v>
      </c>
      <c r="DK144">
        <v>1.5843</v>
      </c>
      <c r="DL144">
        <v>20.2423</v>
      </c>
      <c r="DM144">
        <v>5.25143</v>
      </c>
      <c r="DN144">
        <v>12.033899999999999</v>
      </c>
      <c r="DO144">
        <v>4.9672000000000001</v>
      </c>
      <c r="DP144">
        <v>3.2909999999999999</v>
      </c>
      <c r="DQ144">
        <v>9999</v>
      </c>
      <c r="DR144">
        <v>9999</v>
      </c>
      <c r="DS144">
        <v>597</v>
      </c>
      <c r="DT144">
        <v>9999</v>
      </c>
      <c r="DU144">
        <v>1.87103</v>
      </c>
      <c r="DV144">
        <v>1.8760699999999999</v>
      </c>
      <c r="DW144">
        <v>1.8762399999999999</v>
      </c>
      <c r="DX144">
        <v>1.8827799999999999</v>
      </c>
      <c r="DY144">
        <v>1.8755200000000001</v>
      </c>
      <c r="DZ144">
        <v>1.87456</v>
      </c>
      <c r="EA144">
        <v>1.87073</v>
      </c>
      <c r="EB144">
        <v>1.87462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-0.96299999999999997</v>
      </c>
      <c r="EQ144">
        <v>0.108</v>
      </c>
      <c r="ER144">
        <v>-0.96330000000000404</v>
      </c>
      <c r="ES144">
        <v>0</v>
      </c>
      <c r="ET144">
        <v>0</v>
      </c>
      <c r="EU144">
        <v>0</v>
      </c>
      <c r="EV144">
        <v>0.10804000000000299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8.4</v>
      </c>
      <c r="FE144">
        <v>8</v>
      </c>
      <c r="FF144">
        <v>1.2365699999999999</v>
      </c>
      <c r="FG144">
        <v>2.5854499999999998</v>
      </c>
      <c r="FH144">
        <v>2.19604</v>
      </c>
      <c r="FI144">
        <v>2.5781200000000002</v>
      </c>
      <c r="FJ144">
        <v>2.4462899999999999</v>
      </c>
      <c r="FK144">
        <v>2.2692899999999998</v>
      </c>
      <c r="FL144">
        <v>30.48</v>
      </c>
      <c r="FM144">
        <v>24.157499999999999</v>
      </c>
      <c r="FN144">
        <v>19</v>
      </c>
      <c r="FO144">
        <v>864.15099999999995</v>
      </c>
      <c r="FP144">
        <v>592.03099999999995</v>
      </c>
      <c r="FQ144">
        <v>18.664400000000001</v>
      </c>
      <c r="FR144">
        <v>24.8447</v>
      </c>
      <c r="FS144">
        <v>30</v>
      </c>
      <c r="FT144">
        <v>24.8461</v>
      </c>
      <c r="FU144">
        <v>24.8489</v>
      </c>
      <c r="FV144">
        <v>24.821300000000001</v>
      </c>
      <c r="FW144">
        <v>33.181699999999999</v>
      </c>
      <c r="FX144">
        <v>28.551400000000001</v>
      </c>
      <c r="FY144">
        <v>18.6633</v>
      </c>
      <c r="FZ144">
        <v>410</v>
      </c>
      <c r="GA144">
        <v>14.004200000000001</v>
      </c>
      <c r="GB144">
        <v>99.938699999999997</v>
      </c>
      <c r="GC144">
        <v>99.6755</v>
      </c>
    </row>
    <row r="145" spans="1:185" x14ac:dyDescent="0.2">
      <c r="A145">
        <v>130</v>
      </c>
      <c r="B145">
        <v>1771001040</v>
      </c>
      <c r="C145">
        <v>2416.9000000953702</v>
      </c>
      <c r="D145" t="s">
        <v>557</v>
      </c>
      <c r="E145" t="s">
        <v>558</v>
      </c>
      <c r="F145">
        <v>15</v>
      </c>
      <c r="G145">
        <v>1771001031.9333301</v>
      </c>
      <c r="H145">
        <f t="shared" si="26"/>
        <v>1.1185506563171311E-3</v>
      </c>
      <c r="I145">
        <v>0</v>
      </c>
      <c r="J145">
        <f t="shared" ref="J145:J208" si="38">K145*(0.0007335/0.0131159)</f>
        <v>-1.4601880935995279E-2</v>
      </c>
      <c r="K145">
        <f t="shared" si="27"/>
        <v>-0.26109994569655143</v>
      </c>
      <c r="L145">
        <f t="shared" si="28"/>
        <v>69.790160025061127</v>
      </c>
      <c r="M145">
        <f t="shared" si="29"/>
        <v>1.539098226124455</v>
      </c>
      <c r="N145">
        <f t="shared" si="30"/>
        <v>2.2053226781136144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26323.283993668945</v>
      </c>
      <c r="T145">
        <f t="shared" si="34"/>
        <v>0</v>
      </c>
      <c r="U145">
        <f t="shared" si="35"/>
        <v>0</v>
      </c>
      <c r="V145">
        <f t="shared" si="36"/>
        <v>0.84270227099999995</v>
      </c>
      <c r="W145">
        <f t="shared" si="37"/>
        <v>0.15795509285999998</v>
      </c>
      <c r="X145">
        <v>1</v>
      </c>
      <c r="Y145">
        <v>1771001031.9333301</v>
      </c>
      <c r="Z145">
        <v>409.75226666666703</v>
      </c>
      <c r="AA145">
        <v>409.99880000000002</v>
      </c>
      <c r="AB145">
        <v>15.3202866666667</v>
      </c>
      <c r="AC145">
        <v>13.943533333333299</v>
      </c>
      <c r="AD145">
        <v>410.715466666667</v>
      </c>
      <c r="AE145">
        <v>15.212246666666699</v>
      </c>
      <c r="AF145">
        <v>800.00833333333298</v>
      </c>
      <c r="AG145">
        <v>100.396666666667</v>
      </c>
      <c r="AH145">
        <v>6.4784193333333295E-2</v>
      </c>
      <c r="AI145">
        <v>19.0010333333333</v>
      </c>
      <c r="AJ145">
        <v>999.9</v>
      </c>
      <c r="AK145">
        <v>999.9</v>
      </c>
      <c r="AL145">
        <v>0</v>
      </c>
      <c r="AM145">
        <v>0</v>
      </c>
      <c r="AN145">
        <v>4999.5333333333301</v>
      </c>
      <c r="AO145">
        <v>0</v>
      </c>
      <c r="AP145">
        <v>1.86317</v>
      </c>
      <c r="AQ145">
        <v>-0.246628866666667</v>
      </c>
      <c r="AR145">
        <v>416.12746666666698</v>
      </c>
      <c r="AS145">
        <v>415.79646666666702</v>
      </c>
      <c r="AT145">
        <v>1.3767499999999999</v>
      </c>
      <c r="AU145">
        <v>409.99880000000002</v>
      </c>
      <c r="AV145">
        <v>13.943533333333299</v>
      </c>
      <c r="AW145">
        <v>1.538106</v>
      </c>
      <c r="AX145">
        <v>1.3998853333333301</v>
      </c>
      <c r="AY145">
        <v>13.352320000000001</v>
      </c>
      <c r="AZ145">
        <v>11.916373333333301</v>
      </c>
      <c r="BA145">
        <v>0</v>
      </c>
      <c r="BB145">
        <v>0.90993299999999999</v>
      </c>
      <c r="BC145">
        <v>0</v>
      </c>
      <c r="BD145">
        <v>9.0067300000000003E-2</v>
      </c>
      <c r="BE145">
        <v>0</v>
      </c>
      <c r="BF145">
        <v>24</v>
      </c>
      <c r="BG145">
        <v>0</v>
      </c>
      <c r="BH145">
        <v>1771000543</v>
      </c>
      <c r="BI145" t="s">
        <v>490</v>
      </c>
      <c r="BJ145">
        <v>1771000521</v>
      </c>
      <c r="BK145">
        <v>1771000543</v>
      </c>
      <c r="BL145">
        <v>5</v>
      </c>
      <c r="BM145">
        <v>0.04</v>
      </c>
      <c r="BN145">
        <v>1.9E-2</v>
      </c>
      <c r="BO145">
        <v>-0.96299999999999997</v>
      </c>
      <c r="BP145">
        <v>0.108</v>
      </c>
      <c r="BQ145">
        <v>410</v>
      </c>
      <c r="BR145">
        <v>15</v>
      </c>
      <c r="BS145">
        <v>0.33</v>
      </c>
      <c r="BT145">
        <v>7.0000000000000007E-2</v>
      </c>
      <c r="BU145">
        <v>-0.24943038095238099</v>
      </c>
      <c r="BV145">
        <v>4.5956727272727101E-2</v>
      </c>
      <c r="BW145">
        <v>2.11220624567371E-2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1.37845476190476</v>
      </c>
      <c r="CD145">
        <v>-3.12732467532469E-2</v>
      </c>
      <c r="CE145">
        <v>4.3629714852845601E-3</v>
      </c>
      <c r="CF145">
        <v>1</v>
      </c>
      <c r="CG145">
        <v>2</v>
      </c>
      <c r="CH145">
        <v>2</v>
      </c>
      <c r="CI145" t="s">
        <v>304</v>
      </c>
      <c r="CJ145">
        <v>3.5325099999999998</v>
      </c>
      <c r="CK145">
        <v>2.7023299999999999</v>
      </c>
      <c r="CL145">
        <v>9.8370799999999994E-2</v>
      </c>
      <c r="CM145">
        <v>9.7024700000000005E-2</v>
      </c>
      <c r="CN145">
        <v>8.7124199999999999E-2</v>
      </c>
      <c r="CO145">
        <v>8.0516000000000004E-2</v>
      </c>
      <c r="CP145">
        <v>31644.2</v>
      </c>
      <c r="CQ145">
        <v>27797</v>
      </c>
      <c r="CR145">
        <v>32480.7</v>
      </c>
      <c r="CS145">
        <v>30708</v>
      </c>
      <c r="CT145">
        <v>40137.800000000003</v>
      </c>
      <c r="CU145">
        <v>39697.699999999997</v>
      </c>
      <c r="CV145">
        <v>47423.7</v>
      </c>
      <c r="CW145">
        <v>46818.3</v>
      </c>
      <c r="CX145">
        <v>2.63314</v>
      </c>
      <c r="CY145">
        <v>2.1598600000000001</v>
      </c>
      <c r="CZ145">
        <v>0</v>
      </c>
      <c r="DA145">
        <v>0</v>
      </c>
      <c r="DB145">
        <v>999.9</v>
      </c>
      <c r="DC145">
        <v>999.9</v>
      </c>
      <c r="DD145">
        <v>61.494</v>
      </c>
      <c r="DE145">
        <v>25.367000000000001</v>
      </c>
      <c r="DF145">
        <v>19.905100000000001</v>
      </c>
      <c r="DG145">
        <v>30.44</v>
      </c>
      <c r="DH145">
        <v>16.23</v>
      </c>
      <c r="DI145">
        <v>2</v>
      </c>
      <c r="DJ145">
        <v>-0.172374</v>
      </c>
      <c r="DK145">
        <v>1.5910200000000001</v>
      </c>
      <c r="DL145">
        <v>20.2425</v>
      </c>
      <c r="DM145">
        <v>5.2520300000000004</v>
      </c>
      <c r="DN145">
        <v>12.033899999999999</v>
      </c>
      <c r="DO145">
        <v>4.9673999999999996</v>
      </c>
      <c r="DP145">
        <v>3.2909999999999999</v>
      </c>
      <c r="DQ145">
        <v>9999</v>
      </c>
      <c r="DR145">
        <v>9999</v>
      </c>
      <c r="DS145">
        <v>597</v>
      </c>
      <c r="DT145">
        <v>9999</v>
      </c>
      <c r="DU145">
        <v>1.87103</v>
      </c>
      <c r="DV145">
        <v>1.8760699999999999</v>
      </c>
      <c r="DW145">
        <v>1.87625</v>
      </c>
      <c r="DX145">
        <v>1.8827799999999999</v>
      </c>
      <c r="DY145">
        <v>1.87557</v>
      </c>
      <c r="DZ145">
        <v>1.8745799999999999</v>
      </c>
      <c r="EA145">
        <v>1.87073</v>
      </c>
      <c r="EB145">
        <v>1.87462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-0.96299999999999997</v>
      </c>
      <c r="EQ145">
        <v>0.108</v>
      </c>
      <c r="ER145">
        <v>-0.96330000000000404</v>
      </c>
      <c r="ES145">
        <v>0</v>
      </c>
      <c r="ET145">
        <v>0</v>
      </c>
      <c r="EU145">
        <v>0</v>
      </c>
      <c r="EV145">
        <v>0.10804000000000299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8.6999999999999993</v>
      </c>
      <c r="FE145">
        <v>8.3000000000000007</v>
      </c>
      <c r="FF145">
        <v>1.2365699999999999</v>
      </c>
      <c r="FG145">
        <v>2.5891099999999998</v>
      </c>
      <c r="FH145">
        <v>2.19604</v>
      </c>
      <c r="FI145">
        <v>2.5781200000000002</v>
      </c>
      <c r="FJ145">
        <v>2.4462899999999999</v>
      </c>
      <c r="FK145">
        <v>2.2631800000000002</v>
      </c>
      <c r="FL145">
        <v>30.48</v>
      </c>
      <c r="FM145">
        <v>24.157499999999999</v>
      </c>
      <c r="FN145">
        <v>19</v>
      </c>
      <c r="FO145">
        <v>864.36500000000001</v>
      </c>
      <c r="FP145">
        <v>591.97500000000002</v>
      </c>
      <c r="FQ145">
        <v>18.661300000000001</v>
      </c>
      <c r="FR145">
        <v>24.846800000000002</v>
      </c>
      <c r="FS145">
        <v>30.0001</v>
      </c>
      <c r="FT145">
        <v>24.849</v>
      </c>
      <c r="FU145">
        <v>24.8522</v>
      </c>
      <c r="FV145">
        <v>24.8201</v>
      </c>
      <c r="FW145">
        <v>32.909300000000002</v>
      </c>
      <c r="FX145">
        <v>28.179400000000001</v>
      </c>
      <c r="FY145">
        <v>18.6602</v>
      </c>
      <c r="FZ145">
        <v>410</v>
      </c>
      <c r="GA145">
        <v>14.0046</v>
      </c>
      <c r="GB145">
        <v>99.938500000000005</v>
      </c>
      <c r="GC145">
        <v>99.676699999999997</v>
      </c>
    </row>
    <row r="146" spans="1:185" x14ac:dyDescent="0.2">
      <c r="A146">
        <v>131</v>
      </c>
      <c r="B146">
        <v>1771001055</v>
      </c>
      <c r="C146">
        <v>2431.9000000953702</v>
      </c>
      <c r="D146" t="s">
        <v>559</v>
      </c>
      <c r="E146" t="s">
        <v>560</v>
      </c>
      <c r="F146">
        <v>15</v>
      </c>
      <c r="G146">
        <v>1771001046.9333301</v>
      </c>
      <c r="H146">
        <f t="shared" si="26"/>
        <v>1.1053205147827506E-3</v>
      </c>
      <c r="I146">
        <v>0</v>
      </c>
      <c r="J146">
        <f t="shared" si="38"/>
        <v>-1.4423435289542286E-2</v>
      </c>
      <c r="K146">
        <f t="shared" si="27"/>
        <v>-0.25790911372066483</v>
      </c>
      <c r="L146">
        <f t="shared" si="28"/>
        <v>69.82168524391156</v>
      </c>
      <c r="M146">
        <f t="shared" si="29"/>
        <v>1.539743494560031</v>
      </c>
      <c r="N146">
        <f t="shared" si="30"/>
        <v>2.2052511181607386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26360.935856565808</v>
      </c>
      <c r="T146">
        <f t="shared" si="34"/>
        <v>0</v>
      </c>
      <c r="U146">
        <f t="shared" si="35"/>
        <v>0</v>
      </c>
      <c r="V146">
        <f t="shared" si="36"/>
        <v>0.84270227099999995</v>
      </c>
      <c r="W146">
        <f t="shared" si="37"/>
        <v>0.15795509285999998</v>
      </c>
      <c r="X146">
        <v>1</v>
      </c>
      <c r="Y146">
        <v>1771001046.9333301</v>
      </c>
      <c r="Z146">
        <v>409.74259999999998</v>
      </c>
      <c r="AA146">
        <v>409.98633333333299</v>
      </c>
      <c r="AB146">
        <v>15.3267066666667</v>
      </c>
      <c r="AC146">
        <v>13.966240000000001</v>
      </c>
      <c r="AD146">
        <v>410.70586666666702</v>
      </c>
      <c r="AE146">
        <v>15.2186733333333</v>
      </c>
      <c r="AF146">
        <v>800.00459999999998</v>
      </c>
      <c r="AG146">
        <v>100.396933333333</v>
      </c>
      <c r="AH146">
        <v>6.4537486666666699E-2</v>
      </c>
      <c r="AI146">
        <v>19.000513333333299</v>
      </c>
      <c r="AJ146">
        <v>999.9</v>
      </c>
      <c r="AK146">
        <v>999.9</v>
      </c>
      <c r="AL146">
        <v>0</v>
      </c>
      <c r="AM146">
        <v>0</v>
      </c>
      <c r="AN146">
        <v>5005.7</v>
      </c>
      <c r="AO146">
        <v>0</v>
      </c>
      <c r="AP146">
        <v>1.86317</v>
      </c>
      <c r="AQ146">
        <v>-0.2436218</v>
      </c>
      <c r="AR146">
        <v>416.12040000000002</v>
      </c>
      <c r="AS146">
        <v>415.79326666666702</v>
      </c>
      <c r="AT146">
        <v>1.3604706666666699</v>
      </c>
      <c r="AU146">
        <v>409.98633333333299</v>
      </c>
      <c r="AV146">
        <v>13.966240000000001</v>
      </c>
      <c r="AW146">
        <v>1.5387533333333301</v>
      </c>
      <c r="AX146">
        <v>1.40216733333333</v>
      </c>
      <c r="AY146">
        <v>13.358753333333301</v>
      </c>
      <c r="AZ146">
        <v>11.941093333333299</v>
      </c>
      <c r="BA146">
        <v>0</v>
      </c>
      <c r="BB146">
        <v>0.90993299999999999</v>
      </c>
      <c r="BC146">
        <v>0</v>
      </c>
      <c r="BD146">
        <v>9.0067300000000003E-2</v>
      </c>
      <c r="BE146">
        <v>0</v>
      </c>
      <c r="BF146">
        <v>24</v>
      </c>
      <c r="BG146">
        <v>0</v>
      </c>
      <c r="BH146">
        <v>1771000543</v>
      </c>
      <c r="BI146" t="s">
        <v>490</v>
      </c>
      <c r="BJ146">
        <v>1771000521</v>
      </c>
      <c r="BK146">
        <v>1771000543</v>
      </c>
      <c r="BL146">
        <v>5</v>
      </c>
      <c r="BM146">
        <v>0.04</v>
      </c>
      <c r="BN146">
        <v>1.9E-2</v>
      </c>
      <c r="BO146">
        <v>-0.96299999999999997</v>
      </c>
      <c r="BP146">
        <v>0.108</v>
      </c>
      <c r="BQ146">
        <v>410</v>
      </c>
      <c r="BR146">
        <v>15</v>
      </c>
      <c r="BS146">
        <v>0.33</v>
      </c>
      <c r="BT146">
        <v>7.0000000000000007E-2</v>
      </c>
      <c r="BU146">
        <v>-0.24436495</v>
      </c>
      <c r="BV146">
        <v>-3.1070120300751802E-2</v>
      </c>
      <c r="BW146">
        <v>2.0792970272366099E-2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1.3641325</v>
      </c>
      <c r="CD146">
        <v>-4.3826616541351102E-2</v>
      </c>
      <c r="CE146">
        <v>8.7518414490894703E-3</v>
      </c>
      <c r="CF146">
        <v>1</v>
      </c>
      <c r="CG146">
        <v>2</v>
      </c>
      <c r="CH146">
        <v>2</v>
      </c>
      <c r="CI146" t="s">
        <v>304</v>
      </c>
      <c r="CJ146">
        <v>3.5325700000000002</v>
      </c>
      <c r="CK146">
        <v>2.7023299999999999</v>
      </c>
      <c r="CL146">
        <v>9.8367999999999997E-2</v>
      </c>
      <c r="CM146">
        <v>9.7030900000000003E-2</v>
      </c>
      <c r="CN146">
        <v>8.7147699999999995E-2</v>
      </c>
      <c r="CO146">
        <v>8.0500199999999994E-2</v>
      </c>
      <c r="CP146">
        <v>31643.8</v>
      </c>
      <c r="CQ146">
        <v>27797</v>
      </c>
      <c r="CR146">
        <v>32480.2</v>
      </c>
      <c r="CS146">
        <v>30708.2</v>
      </c>
      <c r="CT146">
        <v>40136.199999999997</v>
      </c>
      <c r="CU146">
        <v>39698.6</v>
      </c>
      <c r="CV146">
        <v>47423.1</v>
      </c>
      <c r="CW146">
        <v>46818.6</v>
      </c>
      <c r="CX146">
        <v>2.6329799999999999</v>
      </c>
      <c r="CY146">
        <v>2.1597200000000001</v>
      </c>
      <c r="CZ146">
        <v>0</v>
      </c>
      <c r="DA146">
        <v>0</v>
      </c>
      <c r="DB146">
        <v>999.9</v>
      </c>
      <c r="DC146">
        <v>999.9</v>
      </c>
      <c r="DD146">
        <v>61.396999999999998</v>
      </c>
      <c r="DE146">
        <v>25.398</v>
      </c>
      <c r="DF146">
        <v>19.912500000000001</v>
      </c>
      <c r="DG146">
        <v>30.38</v>
      </c>
      <c r="DH146">
        <v>16.257999999999999</v>
      </c>
      <c r="DI146">
        <v>2</v>
      </c>
      <c r="DJ146">
        <v>-0.17221500000000001</v>
      </c>
      <c r="DK146">
        <v>1.5911900000000001</v>
      </c>
      <c r="DL146">
        <v>20.2425</v>
      </c>
      <c r="DM146">
        <v>5.2515499999999999</v>
      </c>
      <c r="DN146">
        <v>12.033899999999999</v>
      </c>
      <c r="DO146">
        <v>4.9672799999999997</v>
      </c>
      <c r="DP146">
        <v>3.2909999999999999</v>
      </c>
      <c r="DQ146">
        <v>9999</v>
      </c>
      <c r="DR146">
        <v>9999</v>
      </c>
      <c r="DS146">
        <v>597</v>
      </c>
      <c r="DT146">
        <v>9999</v>
      </c>
      <c r="DU146">
        <v>1.87103</v>
      </c>
      <c r="DV146">
        <v>1.8760699999999999</v>
      </c>
      <c r="DW146">
        <v>1.87625</v>
      </c>
      <c r="DX146">
        <v>1.8827799999999999</v>
      </c>
      <c r="DY146">
        <v>1.8755599999999999</v>
      </c>
      <c r="DZ146">
        <v>1.8745799999999999</v>
      </c>
      <c r="EA146">
        <v>1.8707499999999999</v>
      </c>
      <c r="EB146">
        <v>1.87459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-0.96399999999999997</v>
      </c>
      <c r="EQ146">
        <v>0.1081</v>
      </c>
      <c r="ER146">
        <v>-0.96330000000000404</v>
      </c>
      <c r="ES146">
        <v>0</v>
      </c>
      <c r="ET146">
        <v>0</v>
      </c>
      <c r="EU146">
        <v>0</v>
      </c>
      <c r="EV146">
        <v>0.10804000000000299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8.9</v>
      </c>
      <c r="FE146">
        <v>8.5</v>
      </c>
      <c r="FF146">
        <v>1.2365699999999999</v>
      </c>
      <c r="FG146">
        <v>2.5830099999999998</v>
      </c>
      <c r="FH146">
        <v>2.19604</v>
      </c>
      <c r="FI146">
        <v>2.5781200000000002</v>
      </c>
      <c r="FJ146">
        <v>2.4462899999999999</v>
      </c>
      <c r="FK146">
        <v>2.2766099999999998</v>
      </c>
      <c r="FL146">
        <v>30.5015</v>
      </c>
      <c r="FM146">
        <v>24.157499999999999</v>
      </c>
      <c r="FN146">
        <v>19</v>
      </c>
      <c r="FO146">
        <v>864.27200000000005</v>
      </c>
      <c r="FP146">
        <v>591.89599999999996</v>
      </c>
      <c r="FQ146">
        <v>18.658899999999999</v>
      </c>
      <c r="FR146">
        <v>24.8489</v>
      </c>
      <c r="FS146">
        <v>30.0002</v>
      </c>
      <c r="FT146">
        <v>24.8523</v>
      </c>
      <c r="FU146">
        <v>24.854700000000001</v>
      </c>
      <c r="FV146">
        <v>24.819500000000001</v>
      </c>
      <c r="FW146">
        <v>32.909300000000002</v>
      </c>
      <c r="FX146">
        <v>27.805199999999999</v>
      </c>
      <c r="FY146">
        <v>18.6587</v>
      </c>
      <c r="FZ146">
        <v>410</v>
      </c>
      <c r="GA146">
        <v>14.0046</v>
      </c>
      <c r="GB146">
        <v>99.936999999999998</v>
      </c>
      <c r="GC146">
        <v>99.677300000000002</v>
      </c>
    </row>
    <row r="147" spans="1:185" x14ac:dyDescent="0.2">
      <c r="A147">
        <v>132</v>
      </c>
      <c r="B147">
        <v>1771001070</v>
      </c>
      <c r="C147">
        <v>2446.9000000953702</v>
      </c>
      <c r="D147" t="s">
        <v>561</v>
      </c>
      <c r="E147" t="s">
        <v>562</v>
      </c>
      <c r="F147">
        <v>15</v>
      </c>
      <c r="G147">
        <v>1771001061.9333301</v>
      </c>
      <c r="H147">
        <f t="shared" si="26"/>
        <v>1.1146821361903414E-3</v>
      </c>
      <c r="I147">
        <v>0</v>
      </c>
      <c r="J147">
        <f t="shared" si="38"/>
        <v>-1.3608216197952902E-2</v>
      </c>
      <c r="K147">
        <f t="shared" si="27"/>
        <v>-0.24333197386602654</v>
      </c>
      <c r="L147">
        <f t="shared" si="28"/>
        <v>69.836173723298714</v>
      </c>
      <c r="M147">
        <f t="shared" si="29"/>
        <v>1.5399771512043885</v>
      </c>
      <c r="N147">
        <f t="shared" si="30"/>
        <v>2.2051281865842287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26283.479473499989</v>
      </c>
      <c r="T147">
        <f t="shared" si="34"/>
        <v>0</v>
      </c>
      <c r="U147">
        <f t="shared" si="35"/>
        <v>0</v>
      </c>
      <c r="V147">
        <f t="shared" si="36"/>
        <v>0.84270227099999995</v>
      </c>
      <c r="W147">
        <f t="shared" si="37"/>
        <v>0.15795509285999998</v>
      </c>
      <c r="X147">
        <v>1</v>
      </c>
      <c r="Y147">
        <v>1771001061.9333301</v>
      </c>
      <c r="Z147">
        <v>409.73</v>
      </c>
      <c r="AA147">
        <v>409.996733333333</v>
      </c>
      <c r="AB147">
        <v>15.329126666666699</v>
      </c>
      <c r="AC147">
        <v>13.957133333333299</v>
      </c>
      <c r="AD147">
        <v>410.69313333333298</v>
      </c>
      <c r="AE147">
        <v>15.2210933333333</v>
      </c>
      <c r="AF147">
        <v>800.00026666666702</v>
      </c>
      <c r="AG147">
        <v>100.396066666667</v>
      </c>
      <c r="AH147">
        <v>6.4787020000000001E-2</v>
      </c>
      <c r="AI147">
        <v>18.99962</v>
      </c>
      <c r="AJ147">
        <v>999.9</v>
      </c>
      <c r="AK147">
        <v>999.9</v>
      </c>
      <c r="AL147">
        <v>0</v>
      </c>
      <c r="AM147">
        <v>0</v>
      </c>
      <c r="AN147">
        <v>4993</v>
      </c>
      <c r="AO147">
        <v>0</v>
      </c>
      <c r="AP147">
        <v>1.86317</v>
      </c>
      <c r="AQ147">
        <v>-0.26696566666666699</v>
      </c>
      <c r="AR147">
        <v>416.10846666666703</v>
      </c>
      <c r="AS147">
        <v>415.80020000000002</v>
      </c>
      <c r="AT147">
        <v>1.3719840000000001</v>
      </c>
      <c r="AU147">
        <v>409.996733333333</v>
      </c>
      <c r="AV147">
        <v>13.957133333333299</v>
      </c>
      <c r="AW147">
        <v>1.5389820000000001</v>
      </c>
      <c r="AX147">
        <v>1.4012406666666699</v>
      </c>
      <c r="AY147">
        <v>13.36106</v>
      </c>
      <c r="AZ147">
        <v>11.93106</v>
      </c>
      <c r="BA147">
        <v>0</v>
      </c>
      <c r="BB147">
        <v>0.90993299999999999</v>
      </c>
      <c r="BC147">
        <v>0</v>
      </c>
      <c r="BD147">
        <v>9.0067300000000003E-2</v>
      </c>
      <c r="BE147">
        <v>0</v>
      </c>
      <c r="BF147">
        <v>24</v>
      </c>
      <c r="BG147">
        <v>0</v>
      </c>
      <c r="BH147">
        <v>1771000543</v>
      </c>
      <c r="BI147" t="s">
        <v>490</v>
      </c>
      <c r="BJ147">
        <v>1771000521</v>
      </c>
      <c r="BK147">
        <v>1771000543</v>
      </c>
      <c r="BL147">
        <v>5</v>
      </c>
      <c r="BM147">
        <v>0.04</v>
      </c>
      <c r="BN147">
        <v>1.9E-2</v>
      </c>
      <c r="BO147">
        <v>-0.96299999999999997</v>
      </c>
      <c r="BP147">
        <v>0.108</v>
      </c>
      <c r="BQ147">
        <v>410</v>
      </c>
      <c r="BR147">
        <v>15</v>
      </c>
      <c r="BS147">
        <v>0.33</v>
      </c>
      <c r="BT147">
        <v>7.0000000000000007E-2</v>
      </c>
      <c r="BU147">
        <v>-0.26390428571428598</v>
      </c>
      <c r="BV147">
        <v>3.637838961039E-2</v>
      </c>
      <c r="BW147">
        <v>2.87446453748849E-2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1.3695357142857101</v>
      </c>
      <c r="CD147">
        <v>4.2244675324678099E-2</v>
      </c>
      <c r="CE147">
        <v>5.59420497047621E-3</v>
      </c>
      <c r="CF147">
        <v>1</v>
      </c>
      <c r="CG147">
        <v>2</v>
      </c>
      <c r="CH147">
        <v>2</v>
      </c>
      <c r="CI147" t="s">
        <v>304</v>
      </c>
      <c r="CJ147">
        <v>3.5324900000000001</v>
      </c>
      <c r="CK147">
        <v>2.7028300000000001</v>
      </c>
      <c r="CL147">
        <v>9.8365400000000006E-2</v>
      </c>
      <c r="CM147">
        <v>9.7019400000000006E-2</v>
      </c>
      <c r="CN147">
        <v>8.7139800000000003E-2</v>
      </c>
      <c r="CO147">
        <v>8.0462599999999995E-2</v>
      </c>
      <c r="CP147">
        <v>31643.599999999999</v>
      </c>
      <c r="CQ147">
        <v>27797.1</v>
      </c>
      <c r="CR147">
        <v>32479.9</v>
      </c>
      <c r="CS147">
        <v>30707.9</v>
      </c>
      <c r="CT147">
        <v>40136.300000000003</v>
      </c>
      <c r="CU147">
        <v>39699.9</v>
      </c>
      <c r="CV147">
        <v>47422.7</v>
      </c>
      <c r="CW147">
        <v>46818.2</v>
      </c>
      <c r="CX147">
        <v>2.6330800000000001</v>
      </c>
      <c r="CY147">
        <v>2.1594199999999999</v>
      </c>
      <c r="CZ147">
        <v>0</v>
      </c>
      <c r="DA147">
        <v>0</v>
      </c>
      <c r="DB147">
        <v>999.9</v>
      </c>
      <c r="DC147">
        <v>999.9</v>
      </c>
      <c r="DD147">
        <v>61.286999999999999</v>
      </c>
      <c r="DE147">
        <v>25.398</v>
      </c>
      <c r="DF147">
        <v>19.876100000000001</v>
      </c>
      <c r="DG147">
        <v>30.53</v>
      </c>
      <c r="DH147">
        <v>16.322099999999999</v>
      </c>
      <c r="DI147">
        <v>2</v>
      </c>
      <c r="DJ147">
        <v>-0.17213600000000001</v>
      </c>
      <c r="DK147">
        <v>1.57287</v>
      </c>
      <c r="DL147">
        <v>20.242599999999999</v>
      </c>
      <c r="DM147">
        <v>5.2510700000000003</v>
      </c>
      <c r="DN147">
        <v>12.033899999999999</v>
      </c>
      <c r="DO147">
        <v>4.9672400000000003</v>
      </c>
      <c r="DP147">
        <v>3.2909999999999999</v>
      </c>
      <c r="DQ147">
        <v>9999</v>
      </c>
      <c r="DR147">
        <v>9999</v>
      </c>
      <c r="DS147">
        <v>597</v>
      </c>
      <c r="DT147">
        <v>9999</v>
      </c>
      <c r="DU147">
        <v>1.87103</v>
      </c>
      <c r="DV147">
        <v>1.8760699999999999</v>
      </c>
      <c r="DW147">
        <v>1.87622</v>
      </c>
      <c r="DX147">
        <v>1.8827700000000001</v>
      </c>
      <c r="DY147">
        <v>1.8755299999999999</v>
      </c>
      <c r="DZ147">
        <v>1.87456</v>
      </c>
      <c r="EA147">
        <v>1.87073</v>
      </c>
      <c r="EB147">
        <v>1.8746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-0.96299999999999997</v>
      </c>
      <c r="EQ147">
        <v>0.1081</v>
      </c>
      <c r="ER147">
        <v>-0.96330000000000404</v>
      </c>
      <c r="ES147">
        <v>0</v>
      </c>
      <c r="ET147">
        <v>0</v>
      </c>
      <c r="EU147">
        <v>0</v>
      </c>
      <c r="EV147">
        <v>0.10804000000000299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9.1999999999999993</v>
      </c>
      <c r="FE147">
        <v>8.8000000000000007</v>
      </c>
      <c r="FF147">
        <v>1.2365699999999999</v>
      </c>
      <c r="FG147">
        <v>2.5805699999999998</v>
      </c>
      <c r="FH147">
        <v>2.19604</v>
      </c>
      <c r="FI147">
        <v>2.5781200000000002</v>
      </c>
      <c r="FJ147">
        <v>2.4462899999999999</v>
      </c>
      <c r="FK147">
        <v>2.3083499999999999</v>
      </c>
      <c r="FL147">
        <v>30.5015</v>
      </c>
      <c r="FM147">
        <v>24.1663</v>
      </c>
      <c r="FN147">
        <v>19</v>
      </c>
      <c r="FO147">
        <v>864.39800000000002</v>
      </c>
      <c r="FP147">
        <v>591.68499999999995</v>
      </c>
      <c r="FQ147">
        <v>18.66</v>
      </c>
      <c r="FR147">
        <v>24.850999999999999</v>
      </c>
      <c r="FS147">
        <v>30.0002</v>
      </c>
      <c r="FT147">
        <v>24.854399999999998</v>
      </c>
      <c r="FU147">
        <v>24.8568</v>
      </c>
      <c r="FV147">
        <v>24.822500000000002</v>
      </c>
      <c r="FW147">
        <v>32.909300000000002</v>
      </c>
      <c r="FX147">
        <v>27.428599999999999</v>
      </c>
      <c r="FY147">
        <v>18.662299999999998</v>
      </c>
      <c r="FZ147">
        <v>410</v>
      </c>
      <c r="GA147">
        <v>14.0046</v>
      </c>
      <c r="GB147">
        <v>99.936300000000003</v>
      </c>
      <c r="GC147">
        <v>99.676500000000004</v>
      </c>
    </row>
    <row r="148" spans="1:185" x14ac:dyDescent="0.2">
      <c r="A148">
        <v>133</v>
      </c>
      <c r="B148">
        <v>1771001085</v>
      </c>
      <c r="C148">
        <v>2461.9000000953702</v>
      </c>
      <c r="D148" t="s">
        <v>563</v>
      </c>
      <c r="E148" t="s">
        <v>564</v>
      </c>
      <c r="F148">
        <v>15</v>
      </c>
      <c r="G148">
        <v>1771001076.9333301</v>
      </c>
      <c r="H148">
        <f t="shared" si="26"/>
        <v>1.1245891533753665E-3</v>
      </c>
      <c r="I148">
        <v>0</v>
      </c>
      <c r="J148">
        <f t="shared" si="38"/>
        <v>-1.3828779529024908E-2</v>
      </c>
      <c r="K148">
        <f t="shared" si="27"/>
        <v>-0.24727592286944483</v>
      </c>
      <c r="L148">
        <f t="shared" si="28"/>
        <v>69.814357561562161</v>
      </c>
      <c r="M148">
        <f t="shared" si="29"/>
        <v>1.5395229764467324</v>
      </c>
      <c r="N148">
        <f t="shared" si="30"/>
        <v>2.2051667167304148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26349.059686936067</v>
      </c>
      <c r="T148">
        <f t="shared" si="34"/>
        <v>0</v>
      </c>
      <c r="U148">
        <f t="shared" si="35"/>
        <v>0</v>
      </c>
      <c r="V148">
        <f t="shared" si="36"/>
        <v>0.84270227099999995</v>
      </c>
      <c r="W148">
        <f t="shared" si="37"/>
        <v>0.15795509285999998</v>
      </c>
      <c r="X148">
        <v>1</v>
      </c>
      <c r="Y148">
        <v>1771001076.9333301</v>
      </c>
      <c r="Z148">
        <v>409.72513333333302</v>
      </c>
      <c r="AA148">
        <v>409.99200000000002</v>
      </c>
      <c r="AB148">
        <v>15.324680000000001</v>
      </c>
      <c r="AC148">
        <v>13.9405066666667</v>
      </c>
      <c r="AD148">
        <v>410.68833333333299</v>
      </c>
      <c r="AE148">
        <v>15.21664</v>
      </c>
      <c r="AF148">
        <v>800.01193333333299</v>
      </c>
      <c r="AG148">
        <v>100.39553333333301</v>
      </c>
      <c r="AH148">
        <v>6.4833633333333293E-2</v>
      </c>
      <c r="AI148">
        <v>18.9999</v>
      </c>
      <c r="AJ148">
        <v>999.9</v>
      </c>
      <c r="AK148">
        <v>999.9</v>
      </c>
      <c r="AL148">
        <v>0</v>
      </c>
      <c r="AM148">
        <v>0</v>
      </c>
      <c r="AN148">
        <v>5003.8</v>
      </c>
      <c r="AO148">
        <v>0</v>
      </c>
      <c r="AP148">
        <v>1.86317</v>
      </c>
      <c r="AQ148">
        <v>-0.26703900000000003</v>
      </c>
      <c r="AR148">
        <v>416.10173333333302</v>
      </c>
      <c r="AS148">
        <v>415.78840000000002</v>
      </c>
      <c r="AT148">
        <v>1.3841633333333301</v>
      </c>
      <c r="AU148">
        <v>409.99200000000002</v>
      </c>
      <c r="AV148">
        <v>13.9405066666667</v>
      </c>
      <c r="AW148">
        <v>1.53853</v>
      </c>
      <c r="AX148">
        <v>1.3995660000000001</v>
      </c>
      <c r="AY148">
        <v>13.356533333333299</v>
      </c>
      <c r="AZ148">
        <v>11.912926666666699</v>
      </c>
      <c r="BA148">
        <v>0</v>
      </c>
      <c r="BB148">
        <v>0.90993299999999999</v>
      </c>
      <c r="BC148">
        <v>0</v>
      </c>
      <c r="BD148">
        <v>9.0067300000000003E-2</v>
      </c>
      <c r="BE148">
        <v>0</v>
      </c>
      <c r="BF148">
        <v>24</v>
      </c>
      <c r="BG148">
        <v>0</v>
      </c>
      <c r="BH148">
        <v>1771000543</v>
      </c>
      <c r="BI148" t="s">
        <v>490</v>
      </c>
      <c r="BJ148">
        <v>1771000521</v>
      </c>
      <c r="BK148">
        <v>1771000543</v>
      </c>
      <c r="BL148">
        <v>5</v>
      </c>
      <c r="BM148">
        <v>0.04</v>
      </c>
      <c r="BN148">
        <v>1.9E-2</v>
      </c>
      <c r="BO148">
        <v>-0.96299999999999997</v>
      </c>
      <c r="BP148">
        <v>0.108</v>
      </c>
      <c r="BQ148">
        <v>410</v>
      </c>
      <c r="BR148">
        <v>15</v>
      </c>
      <c r="BS148">
        <v>0.33</v>
      </c>
      <c r="BT148">
        <v>7.0000000000000007E-2</v>
      </c>
      <c r="BU148">
        <v>-0.26510620000000001</v>
      </c>
      <c r="BV148">
        <v>5.2195488721802196E-3</v>
      </c>
      <c r="BW148">
        <v>1.2182748567544199E-2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1.3818345000000001</v>
      </c>
      <c r="CD148">
        <v>3.3807969924812803E-2</v>
      </c>
      <c r="CE148">
        <v>4.6600445008605201E-3</v>
      </c>
      <c r="CF148">
        <v>1</v>
      </c>
      <c r="CG148">
        <v>2</v>
      </c>
      <c r="CH148">
        <v>2</v>
      </c>
      <c r="CI148" t="s">
        <v>304</v>
      </c>
      <c r="CJ148">
        <v>3.5325199999999999</v>
      </c>
      <c r="CK148">
        <v>2.7024400000000002</v>
      </c>
      <c r="CL148">
        <v>9.8367899999999994E-2</v>
      </c>
      <c r="CM148">
        <v>9.7022700000000003E-2</v>
      </c>
      <c r="CN148">
        <v>8.7109300000000001E-2</v>
      </c>
      <c r="CO148">
        <v>8.0419000000000004E-2</v>
      </c>
      <c r="CP148">
        <v>31643.599999999999</v>
      </c>
      <c r="CQ148">
        <v>27797.200000000001</v>
      </c>
      <c r="CR148">
        <v>32480</v>
      </c>
      <c r="CS148">
        <v>30708.1</v>
      </c>
      <c r="CT148">
        <v>40137.800000000003</v>
      </c>
      <c r="CU148">
        <v>39702</v>
      </c>
      <c r="CV148">
        <v>47422.9</v>
      </c>
      <c r="CW148">
        <v>46818.400000000001</v>
      </c>
      <c r="CX148">
        <v>2.6328399999999998</v>
      </c>
      <c r="CY148">
        <v>2.1592199999999999</v>
      </c>
      <c r="CZ148">
        <v>0</v>
      </c>
      <c r="DA148">
        <v>0</v>
      </c>
      <c r="DB148">
        <v>999.9</v>
      </c>
      <c r="DC148">
        <v>999.9</v>
      </c>
      <c r="DD148">
        <v>61.164999999999999</v>
      </c>
      <c r="DE148">
        <v>25.417999999999999</v>
      </c>
      <c r="DF148">
        <v>19.860199999999999</v>
      </c>
      <c r="DG148">
        <v>30.47</v>
      </c>
      <c r="DH148">
        <v>16.201899999999998</v>
      </c>
      <c r="DI148">
        <v>2</v>
      </c>
      <c r="DJ148">
        <v>-0.17178299999999999</v>
      </c>
      <c r="DK148">
        <v>1.57342</v>
      </c>
      <c r="DL148">
        <v>20.242699999999999</v>
      </c>
      <c r="DM148">
        <v>5.2513100000000001</v>
      </c>
      <c r="DN148">
        <v>12.033899999999999</v>
      </c>
      <c r="DO148">
        <v>4.9671599999999998</v>
      </c>
      <c r="DP148">
        <v>3.2909999999999999</v>
      </c>
      <c r="DQ148">
        <v>9999</v>
      </c>
      <c r="DR148">
        <v>9999</v>
      </c>
      <c r="DS148">
        <v>597</v>
      </c>
      <c r="DT148">
        <v>9999</v>
      </c>
      <c r="DU148">
        <v>1.87103</v>
      </c>
      <c r="DV148">
        <v>1.8760699999999999</v>
      </c>
      <c r="DW148">
        <v>1.8762700000000001</v>
      </c>
      <c r="DX148">
        <v>1.8827799999999999</v>
      </c>
      <c r="DY148">
        <v>1.87557</v>
      </c>
      <c r="DZ148">
        <v>1.87463</v>
      </c>
      <c r="EA148">
        <v>1.8707400000000001</v>
      </c>
      <c r="EB148">
        <v>1.8746499999999999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-0.96299999999999997</v>
      </c>
      <c r="EQ148">
        <v>0.108</v>
      </c>
      <c r="ER148">
        <v>-0.96330000000000404</v>
      </c>
      <c r="ES148">
        <v>0</v>
      </c>
      <c r="ET148">
        <v>0</v>
      </c>
      <c r="EU148">
        <v>0</v>
      </c>
      <c r="EV148">
        <v>0.10804000000000299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9.4</v>
      </c>
      <c r="FE148">
        <v>9</v>
      </c>
      <c r="FF148">
        <v>1.2365699999999999</v>
      </c>
      <c r="FG148">
        <v>2.5805699999999998</v>
      </c>
      <c r="FH148">
        <v>2.19604</v>
      </c>
      <c r="FI148">
        <v>2.5769000000000002</v>
      </c>
      <c r="FJ148">
        <v>2.4462899999999999</v>
      </c>
      <c r="FK148">
        <v>2.2851599999999999</v>
      </c>
      <c r="FL148">
        <v>30.523099999999999</v>
      </c>
      <c r="FM148">
        <v>24.157499999999999</v>
      </c>
      <c r="FN148">
        <v>19</v>
      </c>
      <c r="FO148">
        <v>864.23</v>
      </c>
      <c r="FP148">
        <v>591.57799999999997</v>
      </c>
      <c r="FQ148">
        <v>18.661000000000001</v>
      </c>
      <c r="FR148">
        <v>24.853100000000001</v>
      </c>
      <c r="FS148">
        <v>30.0001</v>
      </c>
      <c r="FT148">
        <v>24.857700000000001</v>
      </c>
      <c r="FU148">
        <v>24.861000000000001</v>
      </c>
      <c r="FV148">
        <v>24.823699999999999</v>
      </c>
      <c r="FW148">
        <v>32.6342</v>
      </c>
      <c r="FX148">
        <v>27.058499999999999</v>
      </c>
      <c r="FY148">
        <v>18.661200000000001</v>
      </c>
      <c r="FZ148">
        <v>410</v>
      </c>
      <c r="GA148">
        <v>14.0046</v>
      </c>
      <c r="GB148">
        <v>99.936599999999999</v>
      </c>
      <c r="GC148">
        <v>99.676900000000003</v>
      </c>
    </row>
    <row r="149" spans="1:185" x14ac:dyDescent="0.2">
      <c r="A149">
        <v>134</v>
      </c>
      <c r="B149">
        <v>1771001100</v>
      </c>
      <c r="C149">
        <v>2476.9000000953702</v>
      </c>
      <c r="D149" t="s">
        <v>565</v>
      </c>
      <c r="E149" t="s">
        <v>566</v>
      </c>
      <c r="F149">
        <v>15</v>
      </c>
      <c r="G149">
        <v>1771001091.9333301</v>
      </c>
      <c r="H149">
        <f t="shared" si="26"/>
        <v>1.0965297054693738E-3</v>
      </c>
      <c r="I149">
        <v>0</v>
      </c>
      <c r="J149">
        <f t="shared" si="38"/>
        <v>-1.3132677437543176E-2</v>
      </c>
      <c r="K149">
        <f t="shared" si="27"/>
        <v>-0.234828744380467</v>
      </c>
      <c r="L149">
        <f t="shared" si="28"/>
        <v>69.824544406115137</v>
      </c>
      <c r="M149">
        <f t="shared" si="29"/>
        <v>1.5398238421710038</v>
      </c>
      <c r="N149">
        <f t="shared" si="30"/>
        <v>2.2052758886832753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26317.192258360443</v>
      </c>
      <c r="T149">
        <f t="shared" si="34"/>
        <v>0</v>
      </c>
      <c r="U149">
        <f t="shared" si="35"/>
        <v>0</v>
      </c>
      <c r="V149">
        <f t="shared" si="36"/>
        <v>0.84270227099999995</v>
      </c>
      <c r="W149">
        <f t="shared" si="37"/>
        <v>0.15795509285999998</v>
      </c>
      <c r="X149">
        <v>1</v>
      </c>
      <c r="Y149">
        <v>1771001091.9333301</v>
      </c>
      <c r="Z149">
        <v>409.7328</v>
      </c>
      <c r="AA149">
        <v>410.00086666666698</v>
      </c>
      <c r="AB149">
        <v>15.327526666666699</v>
      </c>
      <c r="AC149">
        <v>13.9778866666667</v>
      </c>
      <c r="AD149">
        <v>410.69593333333302</v>
      </c>
      <c r="AE149">
        <v>15.2195066666667</v>
      </c>
      <c r="AF149">
        <v>800.00786666666704</v>
      </c>
      <c r="AG149">
        <v>100.396533333333</v>
      </c>
      <c r="AH149">
        <v>6.4804993333333297E-2</v>
      </c>
      <c r="AI149">
        <v>19.000693333333299</v>
      </c>
      <c r="AJ149">
        <v>999.9</v>
      </c>
      <c r="AK149">
        <v>999.9</v>
      </c>
      <c r="AL149">
        <v>0</v>
      </c>
      <c r="AM149">
        <v>0</v>
      </c>
      <c r="AN149">
        <v>4998.5333333333301</v>
      </c>
      <c r="AO149">
        <v>0</v>
      </c>
      <c r="AP149">
        <v>1.86317</v>
      </c>
      <c r="AQ149">
        <v>-0.26797080000000001</v>
      </c>
      <c r="AR149">
        <v>416.11079999999998</v>
      </c>
      <c r="AS149">
        <v>415.81286666666699</v>
      </c>
      <c r="AT149">
        <v>1.3496680000000001</v>
      </c>
      <c r="AU149">
        <v>410.00086666666698</v>
      </c>
      <c r="AV149">
        <v>13.9778866666667</v>
      </c>
      <c r="AW149">
        <v>1.538832</v>
      </c>
      <c r="AX149">
        <v>1.40332866666667</v>
      </c>
      <c r="AY149">
        <v>13.359540000000001</v>
      </c>
      <c r="AZ149">
        <v>11.9536333333333</v>
      </c>
      <c r="BA149">
        <v>0</v>
      </c>
      <c r="BB149">
        <v>0.90993299999999999</v>
      </c>
      <c r="BC149">
        <v>0</v>
      </c>
      <c r="BD149">
        <v>9.0067300000000003E-2</v>
      </c>
      <c r="BE149">
        <v>0</v>
      </c>
      <c r="BF149">
        <v>24</v>
      </c>
      <c r="BG149">
        <v>0</v>
      </c>
      <c r="BH149">
        <v>1771000543</v>
      </c>
      <c r="BI149" t="s">
        <v>490</v>
      </c>
      <c r="BJ149">
        <v>1771000521</v>
      </c>
      <c r="BK149">
        <v>1771000543</v>
      </c>
      <c r="BL149">
        <v>5</v>
      </c>
      <c r="BM149">
        <v>0.04</v>
      </c>
      <c r="BN149">
        <v>1.9E-2</v>
      </c>
      <c r="BO149">
        <v>-0.96299999999999997</v>
      </c>
      <c r="BP149">
        <v>0.108</v>
      </c>
      <c r="BQ149">
        <v>410</v>
      </c>
      <c r="BR149">
        <v>15</v>
      </c>
      <c r="BS149">
        <v>0.33</v>
      </c>
      <c r="BT149">
        <v>7.0000000000000007E-2</v>
      </c>
      <c r="BU149">
        <v>-0.26561052380952399</v>
      </c>
      <c r="BV149">
        <v>-5.75563636363636E-2</v>
      </c>
      <c r="BW149">
        <v>2.0021941972363001E-2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1.35949047619048</v>
      </c>
      <c r="CD149">
        <v>-0.18129428571428699</v>
      </c>
      <c r="CE149">
        <v>2.02285807887163E-2</v>
      </c>
      <c r="CF149">
        <v>0</v>
      </c>
      <c r="CG149">
        <v>1</v>
      </c>
      <c r="CH149">
        <v>2</v>
      </c>
      <c r="CI149" t="s">
        <v>290</v>
      </c>
      <c r="CJ149">
        <v>3.5325199999999999</v>
      </c>
      <c r="CK149">
        <v>2.70275</v>
      </c>
      <c r="CL149">
        <v>9.8366099999999998E-2</v>
      </c>
      <c r="CM149">
        <v>9.7025E-2</v>
      </c>
      <c r="CN149">
        <v>8.7180400000000005E-2</v>
      </c>
      <c r="CO149">
        <v>8.0657300000000001E-2</v>
      </c>
      <c r="CP149">
        <v>31643.200000000001</v>
      </c>
      <c r="CQ149">
        <v>27797.8</v>
      </c>
      <c r="CR149">
        <v>32479.5</v>
      </c>
      <c r="CS149">
        <v>30708.9</v>
      </c>
      <c r="CT149">
        <v>40134.1</v>
      </c>
      <c r="CU149">
        <v>39692.5</v>
      </c>
      <c r="CV149">
        <v>47422.3</v>
      </c>
      <c r="CW149">
        <v>46819.7</v>
      </c>
      <c r="CX149">
        <v>2.6328399999999998</v>
      </c>
      <c r="CY149">
        <v>2.1591800000000001</v>
      </c>
      <c r="CZ149">
        <v>0</v>
      </c>
      <c r="DA149">
        <v>0</v>
      </c>
      <c r="DB149">
        <v>999.9</v>
      </c>
      <c r="DC149">
        <v>999.9</v>
      </c>
      <c r="DD149">
        <v>61.067</v>
      </c>
      <c r="DE149">
        <v>25.437999999999999</v>
      </c>
      <c r="DF149">
        <v>19.853100000000001</v>
      </c>
      <c r="DG149">
        <v>30.59</v>
      </c>
      <c r="DH149">
        <v>16.25</v>
      </c>
      <c r="DI149">
        <v>2</v>
      </c>
      <c r="DJ149">
        <v>-0.17153499999999999</v>
      </c>
      <c r="DK149">
        <v>1.5802499999999999</v>
      </c>
      <c r="DL149">
        <v>20.242699999999999</v>
      </c>
      <c r="DM149">
        <v>5.2505899999999999</v>
      </c>
      <c r="DN149">
        <v>12.033899999999999</v>
      </c>
      <c r="DO149">
        <v>4.9668799999999997</v>
      </c>
      <c r="DP149">
        <v>3.2909999999999999</v>
      </c>
      <c r="DQ149">
        <v>9999</v>
      </c>
      <c r="DR149">
        <v>9999</v>
      </c>
      <c r="DS149">
        <v>597</v>
      </c>
      <c r="DT149">
        <v>9999</v>
      </c>
      <c r="DU149">
        <v>1.87103</v>
      </c>
      <c r="DV149">
        <v>1.8760699999999999</v>
      </c>
      <c r="DW149">
        <v>1.8762399999999999</v>
      </c>
      <c r="DX149">
        <v>1.8827799999999999</v>
      </c>
      <c r="DY149">
        <v>1.87558</v>
      </c>
      <c r="DZ149">
        <v>1.8746</v>
      </c>
      <c r="EA149">
        <v>1.8707499999999999</v>
      </c>
      <c r="EB149">
        <v>1.87463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-0.96299999999999997</v>
      </c>
      <c r="EQ149">
        <v>0.108</v>
      </c>
      <c r="ER149">
        <v>-0.96330000000000404</v>
      </c>
      <c r="ES149">
        <v>0</v>
      </c>
      <c r="ET149">
        <v>0</v>
      </c>
      <c r="EU149">
        <v>0</v>
      </c>
      <c r="EV149">
        <v>0.10804000000000299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9.6999999999999993</v>
      </c>
      <c r="FE149">
        <v>9.3000000000000007</v>
      </c>
      <c r="FF149">
        <v>1.2365699999999999</v>
      </c>
      <c r="FG149">
        <v>2.5842299999999998</v>
      </c>
      <c r="FH149">
        <v>2.19604</v>
      </c>
      <c r="FI149">
        <v>2.5781200000000002</v>
      </c>
      <c r="FJ149">
        <v>2.4462899999999999</v>
      </c>
      <c r="FK149">
        <v>2.2595200000000002</v>
      </c>
      <c r="FL149">
        <v>30.523099999999999</v>
      </c>
      <c r="FM149">
        <v>24.157499999999999</v>
      </c>
      <c r="FN149">
        <v>19</v>
      </c>
      <c r="FO149">
        <v>864.28399999999999</v>
      </c>
      <c r="FP149">
        <v>591.59400000000005</v>
      </c>
      <c r="FQ149">
        <v>18.660299999999999</v>
      </c>
      <c r="FR149">
        <v>24.856000000000002</v>
      </c>
      <c r="FS149">
        <v>30.000299999999999</v>
      </c>
      <c r="FT149">
        <v>24.8611</v>
      </c>
      <c r="FU149">
        <v>24.865100000000002</v>
      </c>
      <c r="FV149">
        <v>24.8216</v>
      </c>
      <c r="FW149">
        <v>32.6342</v>
      </c>
      <c r="FX149">
        <v>27.058499999999999</v>
      </c>
      <c r="FY149">
        <v>18.659300000000002</v>
      </c>
      <c r="FZ149">
        <v>410</v>
      </c>
      <c r="GA149">
        <v>14.0046</v>
      </c>
      <c r="GB149">
        <v>99.935299999999998</v>
      </c>
      <c r="GC149">
        <v>99.679500000000004</v>
      </c>
    </row>
    <row r="150" spans="1:185" x14ac:dyDescent="0.2">
      <c r="A150">
        <v>135</v>
      </c>
      <c r="B150">
        <v>1771001115</v>
      </c>
      <c r="C150">
        <v>2491.9000000953702</v>
      </c>
      <c r="D150" t="s">
        <v>567</v>
      </c>
      <c r="E150" t="s">
        <v>568</v>
      </c>
      <c r="F150">
        <v>15</v>
      </c>
      <c r="G150">
        <v>1771001106.9333301</v>
      </c>
      <c r="H150">
        <f t="shared" si="26"/>
        <v>1.1017690987499946E-3</v>
      </c>
      <c r="I150">
        <v>0</v>
      </c>
      <c r="J150">
        <f t="shared" si="38"/>
        <v>-1.4342580767752246E-2</v>
      </c>
      <c r="K150">
        <f t="shared" si="27"/>
        <v>-0.25646333345843447</v>
      </c>
      <c r="L150">
        <f t="shared" si="28"/>
        <v>69.882288778282458</v>
      </c>
      <c r="M150">
        <f t="shared" si="29"/>
        <v>1.5412825589036272</v>
      </c>
      <c r="N150">
        <f t="shared" si="30"/>
        <v>2.2055410402966316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26303.782888097518</v>
      </c>
      <c r="T150">
        <f t="shared" si="34"/>
        <v>0</v>
      </c>
      <c r="U150">
        <f t="shared" si="35"/>
        <v>0</v>
      </c>
      <c r="V150">
        <f t="shared" si="36"/>
        <v>0.84270227099999995</v>
      </c>
      <c r="W150">
        <f t="shared" si="37"/>
        <v>0.15795509285999998</v>
      </c>
      <c r="X150">
        <v>1</v>
      </c>
      <c r="Y150">
        <v>1771001106.9333301</v>
      </c>
      <c r="Z150">
        <v>409.75126666666699</v>
      </c>
      <c r="AA150">
        <v>409.995</v>
      </c>
      <c r="AB150">
        <v>15.341953333333301</v>
      </c>
      <c r="AC150">
        <v>13.98588</v>
      </c>
      <c r="AD150">
        <v>410.714333333333</v>
      </c>
      <c r="AE150">
        <v>15.233926666666701</v>
      </c>
      <c r="AF150">
        <v>800.00526666666701</v>
      </c>
      <c r="AG150">
        <v>100.397133333333</v>
      </c>
      <c r="AH150">
        <v>6.4817333333333296E-2</v>
      </c>
      <c r="AI150">
        <v>19.00262</v>
      </c>
      <c r="AJ150">
        <v>999.9</v>
      </c>
      <c r="AK150">
        <v>999.9</v>
      </c>
      <c r="AL150">
        <v>0</v>
      </c>
      <c r="AM150">
        <v>0</v>
      </c>
      <c r="AN150">
        <v>4996.3333333333303</v>
      </c>
      <c r="AO150">
        <v>0</v>
      </c>
      <c r="AP150">
        <v>1.86317</v>
      </c>
      <c r="AQ150">
        <v>-0.243845533333333</v>
      </c>
      <c r="AR150">
        <v>416.13560000000001</v>
      </c>
      <c r="AS150">
        <v>415.81046666666703</v>
      </c>
      <c r="AT150">
        <v>1.3560893333333299</v>
      </c>
      <c r="AU150">
        <v>409.995</v>
      </c>
      <c r="AV150">
        <v>13.98588</v>
      </c>
      <c r="AW150">
        <v>1.54028733333333</v>
      </c>
      <c r="AX150">
        <v>1.40414066666667</v>
      </c>
      <c r="AY150">
        <v>13.3740733333333</v>
      </c>
      <c r="AZ150">
        <v>11.962440000000001</v>
      </c>
      <c r="BA150">
        <v>0</v>
      </c>
      <c r="BB150">
        <v>0.90993299999999999</v>
      </c>
      <c r="BC150">
        <v>0</v>
      </c>
      <c r="BD150">
        <v>9.0067300000000003E-2</v>
      </c>
      <c r="BE150">
        <v>0</v>
      </c>
      <c r="BF150">
        <v>24</v>
      </c>
      <c r="BG150">
        <v>0</v>
      </c>
      <c r="BH150">
        <v>1771000543</v>
      </c>
      <c r="BI150" t="s">
        <v>490</v>
      </c>
      <c r="BJ150">
        <v>1771000521</v>
      </c>
      <c r="BK150">
        <v>1771000543</v>
      </c>
      <c r="BL150">
        <v>5</v>
      </c>
      <c r="BM150">
        <v>0.04</v>
      </c>
      <c r="BN150">
        <v>1.9E-2</v>
      </c>
      <c r="BO150">
        <v>-0.96299999999999997</v>
      </c>
      <c r="BP150">
        <v>0.108</v>
      </c>
      <c r="BQ150">
        <v>410</v>
      </c>
      <c r="BR150">
        <v>15</v>
      </c>
      <c r="BS150">
        <v>0.33</v>
      </c>
      <c r="BT150">
        <v>7.0000000000000007E-2</v>
      </c>
      <c r="BU150">
        <v>-0.24891199999999999</v>
      </c>
      <c r="BV150">
        <v>0.13926658646616599</v>
      </c>
      <c r="BW150">
        <v>2.35283869315344E-2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1.3524050000000001</v>
      </c>
      <c r="CD150">
        <v>9.9918496240602298E-2</v>
      </c>
      <c r="CE150">
        <v>9.8726073050638304E-3</v>
      </c>
      <c r="CF150">
        <v>1</v>
      </c>
      <c r="CG150">
        <v>2</v>
      </c>
      <c r="CH150">
        <v>2</v>
      </c>
      <c r="CI150" t="s">
        <v>304</v>
      </c>
      <c r="CJ150">
        <v>3.5325099999999998</v>
      </c>
      <c r="CK150">
        <v>2.7027000000000001</v>
      </c>
      <c r="CL150">
        <v>9.8370700000000005E-2</v>
      </c>
      <c r="CM150">
        <v>9.7023399999999996E-2</v>
      </c>
      <c r="CN150">
        <v>8.7215299999999996E-2</v>
      </c>
      <c r="CO150">
        <v>8.0596600000000004E-2</v>
      </c>
      <c r="CP150">
        <v>31644</v>
      </c>
      <c r="CQ150">
        <v>27797.8</v>
      </c>
      <c r="CR150">
        <v>32480.5</v>
      </c>
      <c r="CS150">
        <v>30708.9</v>
      </c>
      <c r="CT150">
        <v>40133.800000000003</v>
      </c>
      <c r="CU150">
        <v>39695.199999999997</v>
      </c>
      <c r="CV150">
        <v>47423.8</v>
      </c>
      <c r="CW150">
        <v>46819.7</v>
      </c>
      <c r="CX150">
        <v>2.6329799999999999</v>
      </c>
      <c r="CY150">
        <v>2.1588400000000001</v>
      </c>
      <c r="CZ150">
        <v>0</v>
      </c>
      <c r="DA150">
        <v>0</v>
      </c>
      <c r="DB150">
        <v>999.9</v>
      </c>
      <c r="DC150">
        <v>999.9</v>
      </c>
      <c r="DD150">
        <v>60.945</v>
      </c>
      <c r="DE150">
        <v>25.448</v>
      </c>
      <c r="DF150">
        <v>19.824100000000001</v>
      </c>
      <c r="DG150">
        <v>30.56</v>
      </c>
      <c r="DH150">
        <v>16.302099999999999</v>
      </c>
      <c r="DI150">
        <v>2</v>
      </c>
      <c r="DJ150">
        <v>-0.17110400000000001</v>
      </c>
      <c r="DK150">
        <v>1.5992900000000001</v>
      </c>
      <c r="DL150">
        <v>20.2424</v>
      </c>
      <c r="DM150">
        <v>5.2505899999999999</v>
      </c>
      <c r="DN150">
        <v>12.033899999999999</v>
      </c>
      <c r="DO150">
        <v>4.96692</v>
      </c>
      <c r="DP150">
        <v>3.2909999999999999</v>
      </c>
      <c r="DQ150">
        <v>9999</v>
      </c>
      <c r="DR150">
        <v>9999</v>
      </c>
      <c r="DS150">
        <v>597</v>
      </c>
      <c r="DT150">
        <v>9999</v>
      </c>
      <c r="DU150">
        <v>1.87103</v>
      </c>
      <c r="DV150">
        <v>1.8760699999999999</v>
      </c>
      <c r="DW150">
        <v>1.8762399999999999</v>
      </c>
      <c r="DX150">
        <v>1.8827700000000001</v>
      </c>
      <c r="DY150">
        <v>1.87558</v>
      </c>
      <c r="DZ150">
        <v>1.8745700000000001</v>
      </c>
      <c r="EA150">
        <v>1.8707400000000001</v>
      </c>
      <c r="EB150">
        <v>1.8746499999999999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-0.96299999999999997</v>
      </c>
      <c r="EQ150">
        <v>0.108</v>
      </c>
      <c r="ER150">
        <v>-0.96330000000000404</v>
      </c>
      <c r="ES150">
        <v>0</v>
      </c>
      <c r="ET150">
        <v>0</v>
      </c>
      <c r="EU150">
        <v>0</v>
      </c>
      <c r="EV150">
        <v>0.10804000000000299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9.9</v>
      </c>
      <c r="FE150">
        <v>9.5</v>
      </c>
      <c r="FF150">
        <v>1.2365699999999999</v>
      </c>
      <c r="FG150">
        <v>2.5842299999999998</v>
      </c>
      <c r="FH150">
        <v>2.19604</v>
      </c>
      <c r="FI150">
        <v>2.5769000000000002</v>
      </c>
      <c r="FJ150">
        <v>2.4462899999999999</v>
      </c>
      <c r="FK150">
        <v>2.3022499999999999</v>
      </c>
      <c r="FL150">
        <v>30.544599999999999</v>
      </c>
      <c r="FM150">
        <v>24.1663</v>
      </c>
      <c r="FN150">
        <v>19</v>
      </c>
      <c r="FO150">
        <v>864.47500000000002</v>
      </c>
      <c r="FP150">
        <v>591.37199999999996</v>
      </c>
      <c r="FQ150">
        <v>18.654800000000002</v>
      </c>
      <c r="FR150">
        <v>24.859300000000001</v>
      </c>
      <c r="FS150">
        <v>30.0002</v>
      </c>
      <c r="FT150">
        <v>24.864899999999999</v>
      </c>
      <c r="FU150">
        <v>24.8689</v>
      </c>
      <c r="FV150">
        <v>24.8233</v>
      </c>
      <c r="FW150">
        <v>32.6342</v>
      </c>
      <c r="FX150">
        <v>26.6843</v>
      </c>
      <c r="FY150">
        <v>18.651399999999999</v>
      </c>
      <c r="FZ150">
        <v>410</v>
      </c>
      <c r="GA150">
        <v>14.0046</v>
      </c>
      <c r="GB150">
        <v>99.938400000000001</v>
      </c>
      <c r="GC150">
        <v>99.679500000000004</v>
      </c>
    </row>
    <row r="151" spans="1:185" x14ac:dyDescent="0.2">
      <c r="A151">
        <v>136</v>
      </c>
      <c r="B151">
        <v>1771001130</v>
      </c>
      <c r="C151">
        <v>2506.9000000953702</v>
      </c>
      <c r="D151" t="s">
        <v>569</v>
      </c>
      <c r="E151" t="s">
        <v>570</v>
      </c>
      <c r="F151">
        <v>15</v>
      </c>
      <c r="G151">
        <v>1771001121.9333301</v>
      </c>
      <c r="H151">
        <f t="shared" si="26"/>
        <v>1.1116236018414644E-3</v>
      </c>
      <c r="I151">
        <v>0</v>
      </c>
      <c r="J151">
        <f t="shared" si="38"/>
        <v>-1.6056204121493119E-2</v>
      </c>
      <c r="K151">
        <f t="shared" si="27"/>
        <v>-0.28710506835322641</v>
      </c>
      <c r="L151">
        <f t="shared" si="28"/>
        <v>69.887401627326085</v>
      </c>
      <c r="M151">
        <f t="shared" si="29"/>
        <v>1.541460090963791</v>
      </c>
      <c r="N151">
        <f t="shared" si="30"/>
        <v>2.2056337123300311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26373.615634252303</v>
      </c>
      <c r="T151">
        <f t="shared" si="34"/>
        <v>0</v>
      </c>
      <c r="U151">
        <f t="shared" si="35"/>
        <v>0</v>
      </c>
      <c r="V151">
        <f t="shared" si="36"/>
        <v>0.84270227099999995</v>
      </c>
      <c r="W151">
        <f t="shared" si="37"/>
        <v>0.15795509285999998</v>
      </c>
      <c r="X151">
        <v>1</v>
      </c>
      <c r="Y151">
        <v>1771001121.9333301</v>
      </c>
      <c r="Z151">
        <v>409.79126666666701</v>
      </c>
      <c r="AA151">
        <v>410.0018</v>
      </c>
      <c r="AB151">
        <v>15.3438</v>
      </c>
      <c r="AC151">
        <v>13.9756066666667</v>
      </c>
      <c r="AD151">
        <v>410.71226666666701</v>
      </c>
      <c r="AE151">
        <v>15.235760000000001</v>
      </c>
      <c r="AF151">
        <v>800.00906666666697</v>
      </c>
      <c r="AG151">
        <v>100.396733333333</v>
      </c>
      <c r="AH151">
        <v>6.4696753333333301E-2</v>
      </c>
      <c r="AI151">
        <v>19.0032933333333</v>
      </c>
      <c r="AJ151">
        <v>999.9</v>
      </c>
      <c r="AK151">
        <v>999.9</v>
      </c>
      <c r="AL151">
        <v>0</v>
      </c>
      <c r="AM151">
        <v>0</v>
      </c>
      <c r="AN151">
        <v>5007.8333333333303</v>
      </c>
      <c r="AO151">
        <v>0</v>
      </c>
      <c r="AP151">
        <v>1.86317</v>
      </c>
      <c r="AQ151">
        <v>-0.25264893333333299</v>
      </c>
      <c r="AR151">
        <v>416.13420000000002</v>
      </c>
      <c r="AS151">
        <v>415.81286666666699</v>
      </c>
      <c r="AT151">
        <v>1.3681973333333299</v>
      </c>
      <c r="AU151">
        <v>410.0018</v>
      </c>
      <c r="AV151">
        <v>13.9756066666667</v>
      </c>
      <c r="AW151">
        <v>1.54046666666667</v>
      </c>
      <c r="AX151">
        <v>1.4031039999999999</v>
      </c>
      <c r="AY151">
        <v>13.3758466666667</v>
      </c>
      <c r="AZ151">
        <v>11.951219999999999</v>
      </c>
      <c r="BA151">
        <v>0</v>
      </c>
      <c r="BB151">
        <v>0.90993299999999999</v>
      </c>
      <c r="BC151">
        <v>0</v>
      </c>
      <c r="BD151">
        <v>9.0067300000000003E-2</v>
      </c>
      <c r="BE151">
        <v>0</v>
      </c>
      <c r="BF151">
        <v>24</v>
      </c>
      <c r="BG151">
        <v>0</v>
      </c>
      <c r="BH151">
        <v>1771001150</v>
      </c>
      <c r="BI151" t="s">
        <v>571</v>
      </c>
      <c r="BJ151">
        <v>1771001150</v>
      </c>
      <c r="BK151">
        <v>1771000543</v>
      </c>
      <c r="BL151">
        <v>6</v>
      </c>
      <c r="BM151">
        <v>4.2999999999999997E-2</v>
      </c>
      <c r="BN151">
        <v>1.9E-2</v>
      </c>
      <c r="BO151">
        <v>-0.92100000000000004</v>
      </c>
      <c r="BP151">
        <v>0.108</v>
      </c>
      <c r="BQ151">
        <v>410</v>
      </c>
      <c r="BR151">
        <v>15</v>
      </c>
      <c r="BS151">
        <v>0.09</v>
      </c>
      <c r="BT151">
        <v>7.0000000000000007E-2</v>
      </c>
      <c r="BU151">
        <v>-0.247173476190476</v>
      </c>
      <c r="BV151">
        <v>-0.17318968831168799</v>
      </c>
      <c r="BW151">
        <v>2.4531794507806501E-2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1.3672114285714301</v>
      </c>
      <c r="CD151">
        <v>3.0116883116882699E-2</v>
      </c>
      <c r="CE151">
        <v>4.1209110015860799E-3</v>
      </c>
      <c r="CF151">
        <v>1</v>
      </c>
      <c r="CG151">
        <v>2</v>
      </c>
      <c r="CH151">
        <v>2</v>
      </c>
      <c r="CI151" t="s">
        <v>304</v>
      </c>
      <c r="CJ151">
        <v>3.5325199999999999</v>
      </c>
      <c r="CK151">
        <v>2.7025700000000001</v>
      </c>
      <c r="CL151">
        <v>9.83657E-2</v>
      </c>
      <c r="CM151">
        <v>9.7021800000000005E-2</v>
      </c>
      <c r="CN151">
        <v>8.7178199999999997E-2</v>
      </c>
      <c r="CO151">
        <v>8.0538299999999993E-2</v>
      </c>
      <c r="CP151">
        <v>31643.7</v>
      </c>
      <c r="CQ151">
        <v>27797.599999999999</v>
      </c>
      <c r="CR151">
        <v>32480.1</v>
      </c>
      <c r="CS151">
        <v>30708.6</v>
      </c>
      <c r="CT151">
        <v>40134.9</v>
      </c>
      <c r="CU151">
        <v>39697.5</v>
      </c>
      <c r="CV151">
        <v>47423.199999999997</v>
      </c>
      <c r="CW151">
        <v>46819.4</v>
      </c>
      <c r="CX151">
        <v>2.6328200000000002</v>
      </c>
      <c r="CY151">
        <v>2.15856</v>
      </c>
      <c r="CZ151">
        <v>0</v>
      </c>
      <c r="DA151">
        <v>0</v>
      </c>
      <c r="DB151">
        <v>999.9</v>
      </c>
      <c r="DC151">
        <v>999.9</v>
      </c>
      <c r="DD151">
        <v>60.853000000000002</v>
      </c>
      <c r="DE151">
        <v>25.448</v>
      </c>
      <c r="DF151">
        <v>19.7926</v>
      </c>
      <c r="DG151">
        <v>30.38</v>
      </c>
      <c r="DH151">
        <v>16.2179</v>
      </c>
      <c r="DI151">
        <v>2</v>
      </c>
      <c r="DJ151">
        <v>-0.1706</v>
      </c>
      <c r="DK151">
        <v>1.6170199999999999</v>
      </c>
      <c r="DL151">
        <v>20.2424</v>
      </c>
      <c r="DM151">
        <v>5.25047</v>
      </c>
      <c r="DN151">
        <v>12.033899999999999</v>
      </c>
      <c r="DO151">
        <v>4.9669600000000003</v>
      </c>
      <c r="DP151">
        <v>3.2909999999999999</v>
      </c>
      <c r="DQ151">
        <v>9999</v>
      </c>
      <c r="DR151">
        <v>9999</v>
      </c>
      <c r="DS151">
        <v>597</v>
      </c>
      <c r="DT151">
        <v>9999</v>
      </c>
      <c r="DU151">
        <v>1.87103</v>
      </c>
      <c r="DV151">
        <v>1.87608</v>
      </c>
      <c r="DW151">
        <v>1.87626</v>
      </c>
      <c r="DX151">
        <v>1.8827799999999999</v>
      </c>
      <c r="DY151">
        <v>1.8755999999999999</v>
      </c>
      <c r="DZ151">
        <v>1.87463</v>
      </c>
      <c r="EA151">
        <v>1.87076</v>
      </c>
      <c r="EB151">
        <v>1.8746499999999999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-0.92100000000000004</v>
      </c>
      <c r="EQ151">
        <v>0.108</v>
      </c>
      <c r="ER151">
        <v>-0.96330000000000404</v>
      </c>
      <c r="ES151">
        <v>0</v>
      </c>
      <c r="ET151">
        <v>0</v>
      </c>
      <c r="EU151">
        <v>0</v>
      </c>
      <c r="EV151">
        <v>0.10804000000000299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10.199999999999999</v>
      </c>
      <c r="FE151">
        <v>9.8000000000000007</v>
      </c>
      <c r="FF151">
        <v>1.2365699999999999</v>
      </c>
      <c r="FG151">
        <v>2.5805699999999998</v>
      </c>
      <c r="FH151">
        <v>2.19604</v>
      </c>
      <c r="FI151">
        <v>2.5769000000000002</v>
      </c>
      <c r="FJ151">
        <v>2.4462899999999999</v>
      </c>
      <c r="FK151">
        <v>2.2692899999999998</v>
      </c>
      <c r="FL151">
        <v>30.566199999999998</v>
      </c>
      <c r="FM151">
        <v>24.157499999999999</v>
      </c>
      <c r="FN151">
        <v>19</v>
      </c>
      <c r="FO151">
        <v>864.39400000000001</v>
      </c>
      <c r="FP151">
        <v>591.20100000000002</v>
      </c>
      <c r="FQ151">
        <v>18.645</v>
      </c>
      <c r="FR151">
        <v>24.863499999999998</v>
      </c>
      <c r="FS151">
        <v>30.0001</v>
      </c>
      <c r="FT151">
        <v>24.869</v>
      </c>
      <c r="FU151">
        <v>24.873000000000001</v>
      </c>
      <c r="FV151">
        <v>24.823899999999998</v>
      </c>
      <c r="FW151">
        <v>32.6342</v>
      </c>
      <c r="FX151">
        <v>26.3123</v>
      </c>
      <c r="FY151">
        <v>18.641400000000001</v>
      </c>
      <c r="FZ151">
        <v>410</v>
      </c>
      <c r="GA151">
        <v>14.0046</v>
      </c>
      <c r="GB151">
        <v>99.937100000000001</v>
      </c>
      <c r="GC151">
        <v>99.678799999999995</v>
      </c>
    </row>
    <row r="152" spans="1:185" x14ac:dyDescent="0.2">
      <c r="A152">
        <v>137</v>
      </c>
      <c r="B152">
        <v>1771001152</v>
      </c>
      <c r="C152">
        <v>2528.9000000953702</v>
      </c>
      <c r="D152" t="s">
        <v>572</v>
      </c>
      <c r="E152" t="s">
        <v>573</v>
      </c>
      <c r="F152">
        <v>15</v>
      </c>
      <c r="G152">
        <v>1771001151</v>
      </c>
      <c r="H152">
        <f t="shared" si="26"/>
        <v>1.0547774128185885E-5</v>
      </c>
      <c r="I152">
        <v>0</v>
      </c>
      <c r="J152">
        <f t="shared" si="38"/>
        <v>-6.4453433244655888E-4</v>
      </c>
      <c r="K152">
        <f t="shared" si="27"/>
        <v>-1.1525082278031113E-2</v>
      </c>
      <c r="L152">
        <f t="shared" si="28"/>
        <v>63.708616029687889</v>
      </c>
      <c r="M152">
        <f t="shared" si="29"/>
        <v>1.4050127046878</v>
      </c>
      <c r="N152">
        <f t="shared" si="30"/>
        <v>2.2053731382786141</v>
      </c>
      <c r="O152">
        <v>464</v>
      </c>
      <c r="P152">
        <v>58</v>
      </c>
      <c r="Q152">
        <f t="shared" si="31"/>
        <v>1</v>
      </c>
      <c r="R152">
        <f t="shared" si="32"/>
        <v>0</v>
      </c>
      <c r="S152">
        <f t="shared" si="33"/>
        <v>26283.56359627526</v>
      </c>
      <c r="T152">
        <f t="shared" si="34"/>
        <v>0</v>
      </c>
      <c r="U152">
        <f t="shared" si="35"/>
        <v>0</v>
      </c>
      <c r="V152">
        <f t="shared" si="36"/>
        <v>0.84270227099999995</v>
      </c>
      <c r="W152">
        <f t="shared" si="37"/>
        <v>0.15795509285999998</v>
      </c>
      <c r="X152">
        <v>1</v>
      </c>
      <c r="Y152">
        <v>1771001151</v>
      </c>
      <c r="Z152">
        <v>410.029</v>
      </c>
      <c r="AA152">
        <v>410.02</v>
      </c>
      <c r="AB152">
        <v>13.9841</v>
      </c>
      <c r="AC152">
        <v>13.9711</v>
      </c>
      <c r="AD152">
        <v>410.94900000000001</v>
      </c>
      <c r="AE152">
        <v>13.883100000000001</v>
      </c>
      <c r="AF152">
        <v>800.02099999999996</v>
      </c>
      <c r="AG152">
        <v>100.39700000000001</v>
      </c>
      <c r="AH152">
        <v>7.5158000000000003E-2</v>
      </c>
      <c r="AI152">
        <v>19.0014</v>
      </c>
      <c r="AJ152">
        <v>999.9</v>
      </c>
      <c r="AK152">
        <v>999.9</v>
      </c>
      <c r="AL152">
        <v>0</v>
      </c>
      <c r="AM152">
        <v>0</v>
      </c>
      <c r="AN152">
        <v>4993</v>
      </c>
      <c r="AO152">
        <v>0</v>
      </c>
      <c r="AP152">
        <v>1.8564000000000001</v>
      </c>
      <c r="AQ152">
        <v>8.8500999999999996E-3</v>
      </c>
      <c r="AR152">
        <v>415.84699999999998</v>
      </c>
      <c r="AS152">
        <v>415.83</v>
      </c>
      <c r="AT152">
        <v>1.9953700000000001E-2</v>
      </c>
      <c r="AU152">
        <v>410.02</v>
      </c>
      <c r="AV152">
        <v>13.9711</v>
      </c>
      <c r="AW152">
        <v>1.4046700000000001</v>
      </c>
      <c r="AX152">
        <v>1.4026700000000001</v>
      </c>
      <c r="AY152">
        <v>11.9681</v>
      </c>
      <c r="AZ152">
        <v>11.9465</v>
      </c>
      <c r="BA152">
        <v>0</v>
      </c>
      <c r="BB152">
        <v>0.90993299999999999</v>
      </c>
      <c r="BC152">
        <v>0</v>
      </c>
      <c r="BD152">
        <v>9.0067300000000003E-2</v>
      </c>
      <c r="BE152">
        <v>0</v>
      </c>
      <c r="BF152">
        <v>24</v>
      </c>
      <c r="BG152">
        <v>0</v>
      </c>
      <c r="BH152">
        <v>1771001172</v>
      </c>
      <c r="BI152" t="s">
        <v>574</v>
      </c>
      <c r="BJ152">
        <v>1771001150</v>
      </c>
      <c r="BK152">
        <v>1771001172</v>
      </c>
      <c r="BL152">
        <v>7</v>
      </c>
      <c r="BM152">
        <v>4.2999999999999997E-2</v>
      </c>
      <c r="BN152">
        <v>-7.0000000000000001E-3</v>
      </c>
      <c r="BO152">
        <v>-0.92100000000000004</v>
      </c>
      <c r="BP152">
        <v>0.10100000000000001</v>
      </c>
      <c r="BQ152">
        <v>410</v>
      </c>
      <c r="BR152">
        <v>14</v>
      </c>
      <c r="BS152">
        <v>0.09</v>
      </c>
      <c r="BT152">
        <v>0.06</v>
      </c>
      <c r="BU152">
        <v>-8.8762595238095196E-2</v>
      </c>
      <c r="BV152">
        <v>0.63019486753246701</v>
      </c>
      <c r="BW152">
        <v>7.1765333121524E-2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0.27769511904761901</v>
      </c>
      <c r="CD152">
        <v>-3.4477969714285699</v>
      </c>
      <c r="CE152">
        <v>0.45137433370302199</v>
      </c>
      <c r="CF152">
        <v>0</v>
      </c>
      <c r="CG152">
        <v>0</v>
      </c>
      <c r="CH152">
        <v>2</v>
      </c>
      <c r="CI152" t="s">
        <v>299</v>
      </c>
      <c r="CJ152">
        <v>3.5339800000000001</v>
      </c>
      <c r="CK152">
        <v>2.7117100000000001</v>
      </c>
      <c r="CL152">
        <v>9.8393099999999997E-2</v>
      </c>
      <c r="CM152">
        <v>9.7020499999999996E-2</v>
      </c>
      <c r="CN152">
        <v>8.1604599999999999E-2</v>
      </c>
      <c r="CO152">
        <v>8.0554399999999998E-2</v>
      </c>
      <c r="CP152">
        <v>31642.1</v>
      </c>
      <c r="CQ152">
        <v>27797.7</v>
      </c>
      <c r="CR152">
        <v>32479.5</v>
      </c>
      <c r="CS152">
        <v>30708.7</v>
      </c>
      <c r="CT152">
        <v>40387.5</v>
      </c>
      <c r="CU152">
        <v>39697.199999999997</v>
      </c>
      <c r="CV152">
        <v>47422.5</v>
      </c>
      <c r="CW152">
        <v>46819.9</v>
      </c>
      <c r="CX152">
        <v>1.7194199999999999</v>
      </c>
      <c r="CY152">
        <v>1.6285000000000001</v>
      </c>
      <c r="CZ152">
        <v>0</v>
      </c>
      <c r="DA152">
        <v>0</v>
      </c>
      <c r="DB152">
        <v>999.9</v>
      </c>
      <c r="DC152">
        <v>999.9</v>
      </c>
      <c r="DD152">
        <v>60.737000000000002</v>
      </c>
      <c r="DE152">
        <v>25.478000000000002</v>
      </c>
      <c r="DF152">
        <v>19.791899999999998</v>
      </c>
      <c r="DG152">
        <v>30.3</v>
      </c>
      <c r="DH152">
        <v>16.514399999999998</v>
      </c>
      <c r="DI152">
        <v>2</v>
      </c>
      <c r="DJ152">
        <v>-0.17014599999999999</v>
      </c>
      <c r="DK152">
        <v>1.6222799999999999</v>
      </c>
      <c r="DL152">
        <v>20.240100000000002</v>
      </c>
      <c r="DM152">
        <v>5.2423299999999999</v>
      </c>
      <c r="DN152">
        <v>12.033899999999999</v>
      </c>
      <c r="DO152">
        <v>4.9658800000000003</v>
      </c>
      <c r="DP152">
        <v>3.2898399999999999</v>
      </c>
      <c r="DQ152">
        <v>9999</v>
      </c>
      <c r="DR152">
        <v>9999</v>
      </c>
      <c r="DS152">
        <v>597</v>
      </c>
      <c r="DT152">
        <v>9999</v>
      </c>
      <c r="DU152">
        <v>1.87103</v>
      </c>
      <c r="DV152">
        <v>1.87608</v>
      </c>
      <c r="DW152">
        <v>1.87629</v>
      </c>
      <c r="DX152">
        <v>1.8827799999999999</v>
      </c>
      <c r="DY152">
        <v>1.87557</v>
      </c>
      <c r="DZ152">
        <v>1.8746100000000001</v>
      </c>
      <c r="EA152">
        <v>1.8707499999999999</v>
      </c>
      <c r="EB152">
        <v>1.87463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-0.92100000000000004</v>
      </c>
      <c r="EQ152">
        <v>0.10100000000000001</v>
      </c>
      <c r="ER152">
        <v>-0.92059999999992204</v>
      </c>
      <c r="ES152">
        <v>0</v>
      </c>
      <c r="ET152">
        <v>0</v>
      </c>
      <c r="EU152">
        <v>0</v>
      </c>
      <c r="EV152">
        <v>0.10804000000000299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0</v>
      </c>
      <c r="FE152">
        <v>10.199999999999999</v>
      </c>
      <c r="FF152">
        <v>1.2365699999999999</v>
      </c>
      <c r="FG152">
        <v>2.5842299999999998</v>
      </c>
      <c r="FH152">
        <v>2.19604</v>
      </c>
      <c r="FI152">
        <v>2.5769000000000002</v>
      </c>
      <c r="FJ152">
        <v>2.4462899999999999</v>
      </c>
      <c r="FK152">
        <v>2.2790499999999998</v>
      </c>
      <c r="FL152">
        <v>30.566199999999998</v>
      </c>
      <c r="FM152">
        <v>24.157499999999999</v>
      </c>
      <c r="FN152">
        <v>19</v>
      </c>
      <c r="FO152">
        <v>309.82</v>
      </c>
      <c r="FP152">
        <v>286.76299999999998</v>
      </c>
      <c r="FQ152">
        <v>18.634599999999999</v>
      </c>
      <c r="FR152">
        <v>24.870200000000001</v>
      </c>
      <c r="FS152">
        <v>30.000299999999999</v>
      </c>
      <c r="FT152">
        <v>24.889099999999999</v>
      </c>
      <c r="FU152">
        <v>24.8918</v>
      </c>
      <c r="FV152">
        <v>24.823399999999999</v>
      </c>
      <c r="FW152">
        <v>30.516999999999999</v>
      </c>
      <c r="FX152">
        <v>26.3123</v>
      </c>
      <c r="FY152">
        <v>18.633099999999999</v>
      </c>
      <c r="FZ152">
        <v>410</v>
      </c>
      <c r="GA152">
        <v>14.470700000000001</v>
      </c>
      <c r="GB152">
        <v>99.935400000000001</v>
      </c>
      <c r="GC152">
        <v>99.679599999999994</v>
      </c>
    </row>
    <row r="153" spans="1:185" x14ac:dyDescent="0.2">
      <c r="A153">
        <v>138</v>
      </c>
      <c r="B153">
        <v>1771001174</v>
      </c>
      <c r="C153">
        <v>2550.9000000953702</v>
      </c>
      <c r="D153" t="s">
        <v>575</v>
      </c>
      <c r="E153" t="s">
        <v>576</v>
      </c>
      <c r="F153">
        <v>15</v>
      </c>
      <c r="G153">
        <v>1771001173</v>
      </c>
      <c r="H153">
        <f t="shared" si="26"/>
        <v>-7.3054753595856261E-7</v>
      </c>
      <c r="I153">
        <v>0</v>
      </c>
      <c r="J153">
        <f t="shared" si="38"/>
        <v>-1.4597299050525489E-3</v>
      </c>
      <c r="K153">
        <f t="shared" si="27"/>
        <v>-2.6101801583747409E-2</v>
      </c>
      <c r="L153">
        <f t="shared" si="28"/>
        <v>65.5699972644273</v>
      </c>
      <c r="M153">
        <f t="shared" si="29"/>
        <v>1.4461443221335</v>
      </c>
      <c r="N153">
        <f t="shared" si="30"/>
        <v>2.2054969993388345</v>
      </c>
      <c r="O153">
        <v>468</v>
      </c>
      <c r="P153">
        <v>58</v>
      </c>
      <c r="Q153">
        <f t="shared" si="31"/>
        <v>1</v>
      </c>
      <c r="R153">
        <f t="shared" si="32"/>
        <v>0</v>
      </c>
      <c r="S153">
        <f t="shared" si="33"/>
        <v>26368.703891754092</v>
      </c>
      <c r="T153">
        <f t="shared" si="34"/>
        <v>0</v>
      </c>
      <c r="U153">
        <f t="shared" si="35"/>
        <v>0</v>
      </c>
      <c r="V153">
        <f t="shared" si="36"/>
        <v>0.84270227099999995</v>
      </c>
      <c r="W153">
        <f t="shared" si="37"/>
        <v>0.15795509285999998</v>
      </c>
      <c r="X153">
        <v>1</v>
      </c>
      <c r="Y153">
        <v>1771001173</v>
      </c>
      <c r="Z153">
        <v>409.81099999999998</v>
      </c>
      <c r="AA153">
        <v>409.77800000000002</v>
      </c>
      <c r="AB153">
        <v>14.3935</v>
      </c>
      <c r="AC153">
        <v>14.394399999999999</v>
      </c>
      <c r="AD153">
        <v>410.73099999999999</v>
      </c>
      <c r="AE153">
        <v>14.2927</v>
      </c>
      <c r="AF153">
        <v>800.03599999999994</v>
      </c>
      <c r="AG153">
        <v>100.39700000000001</v>
      </c>
      <c r="AH153">
        <v>7.5040999999999997E-2</v>
      </c>
      <c r="AI153">
        <v>19.002300000000002</v>
      </c>
      <c r="AJ153">
        <v>999.9</v>
      </c>
      <c r="AK153">
        <v>999.9</v>
      </c>
      <c r="AL153">
        <v>0</v>
      </c>
      <c r="AM153">
        <v>0</v>
      </c>
      <c r="AN153">
        <v>5007</v>
      </c>
      <c r="AO153">
        <v>0</v>
      </c>
      <c r="AP153">
        <v>1.8338099999999999</v>
      </c>
      <c r="AQ153">
        <v>3.2684299999999999E-2</v>
      </c>
      <c r="AR153">
        <v>415.79599999999999</v>
      </c>
      <c r="AS153">
        <v>415.76299999999998</v>
      </c>
      <c r="AT153">
        <v>-8.8405600000000003E-4</v>
      </c>
      <c r="AU153">
        <v>409.77800000000002</v>
      </c>
      <c r="AV153">
        <v>14.394399999999999</v>
      </c>
      <c r="AW153">
        <v>1.44506</v>
      </c>
      <c r="AX153">
        <v>1.4451499999999999</v>
      </c>
      <c r="AY153">
        <v>12.398999999999999</v>
      </c>
      <c r="AZ153">
        <v>12.399900000000001</v>
      </c>
      <c r="BA153">
        <v>0</v>
      </c>
      <c r="BB153">
        <v>0.90993299999999999</v>
      </c>
      <c r="BC153">
        <v>0</v>
      </c>
      <c r="BD153">
        <v>9.0067300000000003E-2</v>
      </c>
      <c r="BE153">
        <v>0</v>
      </c>
      <c r="BF153">
        <v>24</v>
      </c>
      <c r="BG153">
        <v>0</v>
      </c>
      <c r="BH153">
        <v>1771001172</v>
      </c>
      <c r="BI153" t="s">
        <v>574</v>
      </c>
      <c r="BJ153">
        <v>1771001150</v>
      </c>
      <c r="BK153">
        <v>1771001172</v>
      </c>
      <c r="BL153">
        <v>7</v>
      </c>
      <c r="BM153">
        <v>4.2999999999999997E-2</v>
      </c>
      <c r="BN153">
        <v>-7.0000000000000001E-3</v>
      </c>
      <c r="BO153">
        <v>-0.92100000000000004</v>
      </c>
      <c r="BP153">
        <v>0.10100000000000001</v>
      </c>
      <c r="BQ153">
        <v>410</v>
      </c>
      <c r="BR153">
        <v>14</v>
      </c>
      <c r="BS153">
        <v>0.09</v>
      </c>
      <c r="BT153">
        <v>0.06</v>
      </c>
      <c r="BU153">
        <v>3.0362098571428599E-2</v>
      </c>
      <c r="BV153">
        <v>-0.25395557298701299</v>
      </c>
      <c r="BW153">
        <v>3.48715689242542E-2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0.12820120304761901</v>
      </c>
      <c r="CD153">
        <v>-1.5260538397402601</v>
      </c>
      <c r="CE153">
        <v>0.19985073543579099</v>
      </c>
      <c r="CF153">
        <v>0</v>
      </c>
      <c r="CG153">
        <v>1</v>
      </c>
      <c r="CH153">
        <v>2</v>
      </c>
      <c r="CI153" t="s">
        <v>290</v>
      </c>
      <c r="CJ153">
        <v>3.5337399999999999</v>
      </c>
      <c r="CK153">
        <v>2.7115399999999998</v>
      </c>
      <c r="CL153">
        <v>9.8355999999999999E-2</v>
      </c>
      <c r="CM153">
        <v>9.6979399999999993E-2</v>
      </c>
      <c r="CN153">
        <v>8.3357700000000007E-2</v>
      </c>
      <c r="CO153">
        <v>8.2354700000000003E-2</v>
      </c>
      <c r="CP153">
        <v>31643.200000000001</v>
      </c>
      <c r="CQ153">
        <v>27798.7</v>
      </c>
      <c r="CR153">
        <v>32479.3</v>
      </c>
      <c r="CS153">
        <v>30708.400000000001</v>
      </c>
      <c r="CT153">
        <v>40307.699999999997</v>
      </c>
      <c r="CU153">
        <v>39616.800000000003</v>
      </c>
      <c r="CV153">
        <v>47422.2</v>
      </c>
      <c r="CW153">
        <v>46819.5</v>
      </c>
      <c r="CX153">
        <v>1.71224</v>
      </c>
      <c r="CY153">
        <v>1.62808</v>
      </c>
      <c r="CZ153">
        <v>0</v>
      </c>
      <c r="DA153">
        <v>0</v>
      </c>
      <c r="DB153">
        <v>999.9</v>
      </c>
      <c r="DC153">
        <v>999.9</v>
      </c>
      <c r="DD153">
        <v>60.615000000000002</v>
      </c>
      <c r="DE153">
        <v>25.518999999999998</v>
      </c>
      <c r="DF153">
        <v>19.7986</v>
      </c>
      <c r="DG153">
        <v>30.34</v>
      </c>
      <c r="DH153">
        <v>16.554500000000001</v>
      </c>
      <c r="DI153">
        <v>2</v>
      </c>
      <c r="DJ153">
        <v>-0.16964599999999999</v>
      </c>
      <c r="DK153">
        <v>1.6294200000000001</v>
      </c>
      <c r="DL153">
        <v>20.240400000000001</v>
      </c>
      <c r="DM153">
        <v>5.2443600000000004</v>
      </c>
      <c r="DN153">
        <v>12.033899999999999</v>
      </c>
      <c r="DO153">
        <v>4.9660399999999996</v>
      </c>
      <c r="DP153">
        <v>3.2899799999999999</v>
      </c>
      <c r="DQ153">
        <v>9999</v>
      </c>
      <c r="DR153">
        <v>9999</v>
      </c>
      <c r="DS153">
        <v>597</v>
      </c>
      <c r="DT153">
        <v>9999</v>
      </c>
      <c r="DU153">
        <v>1.87103</v>
      </c>
      <c r="DV153">
        <v>1.8760699999999999</v>
      </c>
      <c r="DW153">
        <v>1.8763099999999999</v>
      </c>
      <c r="DX153">
        <v>1.8827799999999999</v>
      </c>
      <c r="DY153">
        <v>1.87558</v>
      </c>
      <c r="DZ153">
        <v>1.8746400000000001</v>
      </c>
      <c r="EA153">
        <v>1.87076</v>
      </c>
      <c r="EB153">
        <v>1.87463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-0.92100000000000004</v>
      </c>
      <c r="EQ153">
        <v>0.1008</v>
      </c>
      <c r="ER153">
        <v>-0.92059999999992204</v>
      </c>
      <c r="ES153">
        <v>0</v>
      </c>
      <c r="ET153">
        <v>0</v>
      </c>
      <c r="EU153">
        <v>0</v>
      </c>
      <c r="EV153">
        <v>0.100849999999996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0.4</v>
      </c>
      <c r="FE153">
        <v>0</v>
      </c>
      <c r="FF153">
        <v>1.2365699999999999</v>
      </c>
      <c r="FG153">
        <v>2.5805699999999998</v>
      </c>
      <c r="FH153">
        <v>2.19604</v>
      </c>
      <c r="FI153">
        <v>2.5769000000000002</v>
      </c>
      <c r="FJ153">
        <v>2.4462899999999999</v>
      </c>
      <c r="FK153">
        <v>2.3034699999999999</v>
      </c>
      <c r="FL153">
        <v>30.587700000000002</v>
      </c>
      <c r="FM153">
        <v>24.157499999999999</v>
      </c>
      <c r="FN153">
        <v>19</v>
      </c>
      <c r="FO153">
        <v>306.37799999999999</v>
      </c>
      <c r="FP153">
        <v>286.18</v>
      </c>
      <c r="FQ153">
        <v>18.627400000000002</v>
      </c>
      <c r="FR153">
        <v>24.877700000000001</v>
      </c>
      <c r="FS153">
        <v>30.000299999999999</v>
      </c>
      <c r="FT153">
        <v>24.896999999999998</v>
      </c>
      <c r="FU153">
        <v>24.898599999999998</v>
      </c>
      <c r="FV153">
        <v>24.826799999999999</v>
      </c>
      <c r="FW153">
        <v>31.1417</v>
      </c>
      <c r="FX153">
        <v>26.3123</v>
      </c>
      <c r="FY153">
        <v>18.6249</v>
      </c>
      <c r="FZ153">
        <v>410</v>
      </c>
      <c r="GA153">
        <v>14.3383</v>
      </c>
      <c r="GB153">
        <v>99.934899999999999</v>
      </c>
      <c r="GC153">
        <v>99.678700000000006</v>
      </c>
    </row>
    <row r="154" spans="1:185" x14ac:dyDescent="0.2">
      <c r="A154">
        <v>139</v>
      </c>
      <c r="B154">
        <v>1771001503</v>
      </c>
      <c r="C154">
        <v>2879.9000000953702</v>
      </c>
      <c r="D154" t="s">
        <v>577</v>
      </c>
      <c r="E154" t="s">
        <v>578</v>
      </c>
      <c r="F154">
        <v>15</v>
      </c>
      <c r="G154">
        <v>1771001494.5</v>
      </c>
      <c r="H154">
        <f t="shared" si="26"/>
        <v>1.3303019149988513E-3</v>
      </c>
      <c r="I154">
        <v>0</v>
      </c>
      <c r="J154">
        <f t="shared" si="38"/>
        <v>-6.6775339328631594E-3</v>
      </c>
      <c r="K154">
        <f t="shared" si="27"/>
        <v>-0.11940268208594398</v>
      </c>
      <c r="L154">
        <f t="shared" si="28"/>
        <v>70.412649301024203</v>
      </c>
      <c r="M154">
        <f t="shared" si="29"/>
        <v>1.5521907351042727</v>
      </c>
      <c r="N154">
        <f t="shared" si="30"/>
        <v>2.2044203002054847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26292.990351995748</v>
      </c>
      <c r="T154">
        <f t="shared" si="34"/>
        <v>99.999624999999995</v>
      </c>
      <c r="U154">
        <f t="shared" si="35"/>
        <v>84.29960990652738</v>
      </c>
      <c r="V154">
        <f t="shared" si="36"/>
        <v>0.84299926031249994</v>
      </c>
      <c r="W154">
        <f t="shared" si="37"/>
        <v>0.15869869888125002</v>
      </c>
      <c r="X154">
        <v>1</v>
      </c>
      <c r="Y154">
        <v>1771001494.5</v>
      </c>
      <c r="Z154">
        <v>409.4609375</v>
      </c>
      <c r="AA154">
        <v>409.99256250000002</v>
      </c>
      <c r="AB154">
        <v>15.45110625</v>
      </c>
      <c r="AC154">
        <v>13.8139375</v>
      </c>
      <c r="AD154">
        <v>410.38175000000001</v>
      </c>
      <c r="AE154">
        <v>15.350256249999999</v>
      </c>
      <c r="AF154">
        <v>800.00750000000005</v>
      </c>
      <c r="AG154">
        <v>100.3935625</v>
      </c>
      <c r="AH154">
        <v>6.4664243750000003E-2</v>
      </c>
      <c r="AI154">
        <v>18.994475000000001</v>
      </c>
      <c r="AJ154">
        <v>999.9</v>
      </c>
      <c r="AK154">
        <v>999.9</v>
      </c>
      <c r="AL154">
        <v>0</v>
      </c>
      <c r="AM154">
        <v>0</v>
      </c>
      <c r="AN154">
        <v>4994.59375</v>
      </c>
      <c r="AO154">
        <v>0</v>
      </c>
      <c r="AP154">
        <v>1.80671</v>
      </c>
      <c r="AQ154">
        <v>-0.53141968750000002</v>
      </c>
      <c r="AR154">
        <v>415.887</v>
      </c>
      <c r="AS154">
        <v>415.73556250000001</v>
      </c>
      <c r="AT154">
        <v>1.6371718749999999</v>
      </c>
      <c r="AU154">
        <v>409.99256250000002</v>
      </c>
      <c r="AV154">
        <v>13.8139375</v>
      </c>
      <c r="AW154">
        <v>1.55119125</v>
      </c>
      <c r="AX154">
        <v>1.38683125</v>
      </c>
      <c r="AY154">
        <v>13.482306250000001</v>
      </c>
      <c r="AZ154">
        <v>11.77439375</v>
      </c>
      <c r="BA154">
        <v>99.999624999999995</v>
      </c>
      <c r="BB154">
        <v>0.9000165</v>
      </c>
      <c r="BC154">
        <v>0</v>
      </c>
      <c r="BD154">
        <v>9.9983218750000005E-2</v>
      </c>
      <c r="BE154">
        <v>0</v>
      </c>
      <c r="BF154">
        <v>24</v>
      </c>
      <c r="BG154">
        <v>1648.8787500000001</v>
      </c>
      <c r="BH154">
        <v>1771001172</v>
      </c>
      <c r="BI154" t="s">
        <v>574</v>
      </c>
      <c r="BJ154">
        <v>1771001150</v>
      </c>
      <c r="BK154">
        <v>1771001172</v>
      </c>
      <c r="BL154">
        <v>7</v>
      </c>
      <c r="BM154">
        <v>4.2999999999999997E-2</v>
      </c>
      <c r="BN154">
        <v>-7.0000000000000001E-3</v>
      </c>
      <c r="BO154">
        <v>-0.92100000000000004</v>
      </c>
      <c r="BP154">
        <v>0.10100000000000001</v>
      </c>
      <c r="BQ154">
        <v>410</v>
      </c>
      <c r="BR154">
        <v>14</v>
      </c>
      <c r="BS154">
        <v>0.09</v>
      </c>
      <c r="BT154">
        <v>0.06</v>
      </c>
      <c r="BU154">
        <v>-0.52982871428571399</v>
      </c>
      <c r="BV154">
        <v>1.6546441558441601E-2</v>
      </c>
      <c r="BW154">
        <v>2.38514528421283E-2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1.6418600000000001</v>
      </c>
      <c r="CD154">
        <v>-0.12166753246753299</v>
      </c>
      <c r="CE154">
        <v>1.98036242474284E-2</v>
      </c>
      <c r="CF154">
        <v>0</v>
      </c>
      <c r="CG154">
        <v>1</v>
      </c>
      <c r="CH154">
        <v>2</v>
      </c>
      <c r="CI154" t="s">
        <v>290</v>
      </c>
      <c r="CJ154">
        <v>3.5324900000000001</v>
      </c>
      <c r="CK154">
        <v>2.70221</v>
      </c>
      <c r="CL154">
        <v>9.8269800000000004E-2</v>
      </c>
      <c r="CM154">
        <v>9.6985699999999994E-2</v>
      </c>
      <c r="CN154">
        <v>8.7520100000000003E-2</v>
      </c>
      <c r="CO154">
        <v>7.9771999999999996E-2</v>
      </c>
      <c r="CP154">
        <v>31641</v>
      </c>
      <c r="CQ154">
        <v>27798</v>
      </c>
      <c r="CR154">
        <v>32474.3</v>
      </c>
      <c r="CS154">
        <v>30708.400000000001</v>
      </c>
      <c r="CT154">
        <v>40114.300000000003</v>
      </c>
      <c r="CU154">
        <v>39733.1</v>
      </c>
      <c r="CV154">
        <v>47416.7</v>
      </c>
      <c r="CW154">
        <v>46821.4</v>
      </c>
      <c r="CX154">
        <v>2.6313</v>
      </c>
      <c r="CY154">
        <v>2.1534800000000001</v>
      </c>
      <c r="CZ154">
        <v>0</v>
      </c>
      <c r="DA154">
        <v>0</v>
      </c>
      <c r="DB154">
        <v>999.9</v>
      </c>
      <c r="DC154">
        <v>999.9</v>
      </c>
      <c r="DD154">
        <v>58.991999999999997</v>
      </c>
      <c r="DE154">
        <v>25.841000000000001</v>
      </c>
      <c r="DF154">
        <v>19.6416</v>
      </c>
      <c r="DG154">
        <v>30.450099999999999</v>
      </c>
      <c r="DH154">
        <v>16.362200000000001</v>
      </c>
      <c r="DI154">
        <v>2</v>
      </c>
      <c r="DJ154">
        <v>-0.16204299999999999</v>
      </c>
      <c r="DK154">
        <v>1.3590899999999999</v>
      </c>
      <c r="DL154">
        <v>20.239999999999998</v>
      </c>
      <c r="DM154">
        <v>5.2476000000000003</v>
      </c>
      <c r="DN154">
        <v>12.033899999999999</v>
      </c>
      <c r="DO154">
        <v>4.9672000000000001</v>
      </c>
      <c r="DP154">
        <v>3.2906</v>
      </c>
      <c r="DQ154">
        <v>9999</v>
      </c>
      <c r="DR154">
        <v>9999</v>
      </c>
      <c r="DS154">
        <v>597.1</v>
      </c>
      <c r="DT154">
        <v>9999</v>
      </c>
      <c r="DU154">
        <v>1.87107</v>
      </c>
      <c r="DV154">
        <v>1.8761099999999999</v>
      </c>
      <c r="DW154">
        <v>1.87632</v>
      </c>
      <c r="DX154">
        <v>1.88279</v>
      </c>
      <c r="DY154">
        <v>1.87561</v>
      </c>
      <c r="DZ154">
        <v>1.8746799999999999</v>
      </c>
      <c r="EA154">
        <v>1.87083</v>
      </c>
      <c r="EB154">
        <v>1.8746799999999999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-0.92100000000000004</v>
      </c>
      <c r="EQ154">
        <v>0.1008</v>
      </c>
      <c r="ER154">
        <v>-0.92059999999992204</v>
      </c>
      <c r="ES154">
        <v>0</v>
      </c>
      <c r="ET154">
        <v>0</v>
      </c>
      <c r="EU154">
        <v>0</v>
      </c>
      <c r="EV154">
        <v>0.100849999999996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5.9</v>
      </c>
      <c r="FE154">
        <v>5.5</v>
      </c>
      <c r="FF154">
        <v>1.2377899999999999</v>
      </c>
      <c r="FG154">
        <v>2.5866699999999998</v>
      </c>
      <c r="FH154">
        <v>2.19604</v>
      </c>
      <c r="FI154">
        <v>2.5769000000000002</v>
      </c>
      <c r="FJ154">
        <v>2.4462899999999999</v>
      </c>
      <c r="FK154">
        <v>2.3034699999999999</v>
      </c>
      <c r="FL154">
        <v>30.825299999999999</v>
      </c>
      <c r="FM154">
        <v>24.157499999999999</v>
      </c>
      <c r="FN154">
        <v>19</v>
      </c>
      <c r="FO154">
        <v>864.76400000000001</v>
      </c>
      <c r="FP154">
        <v>588.48099999999999</v>
      </c>
      <c r="FQ154">
        <v>18.919499999999999</v>
      </c>
      <c r="FR154">
        <v>24.987100000000002</v>
      </c>
      <c r="FS154">
        <v>30.0001</v>
      </c>
      <c r="FT154">
        <v>24.9788</v>
      </c>
      <c r="FU154">
        <v>24.980399999999999</v>
      </c>
      <c r="FV154">
        <v>24.844799999999999</v>
      </c>
      <c r="FW154">
        <v>33.131300000000003</v>
      </c>
      <c r="FX154">
        <v>22.6982</v>
      </c>
      <c r="FY154">
        <v>18.913</v>
      </c>
      <c r="FZ154">
        <v>410</v>
      </c>
      <c r="GA154">
        <v>13.814299999999999</v>
      </c>
      <c r="GB154">
        <v>99.921700000000001</v>
      </c>
      <c r="GC154">
        <v>99.681200000000004</v>
      </c>
    </row>
    <row r="155" spans="1:185" x14ac:dyDescent="0.2">
      <c r="A155">
        <v>140</v>
      </c>
      <c r="B155">
        <v>1771001518</v>
      </c>
      <c r="C155">
        <v>2894.9000000953702</v>
      </c>
      <c r="D155" t="s">
        <v>579</v>
      </c>
      <c r="E155" t="s">
        <v>580</v>
      </c>
      <c r="F155">
        <v>15</v>
      </c>
      <c r="G155">
        <v>1771001509.9333301</v>
      </c>
      <c r="H155">
        <f t="shared" si="26"/>
        <v>1.2988808038514341E-3</v>
      </c>
      <c r="I155">
        <v>0</v>
      </c>
      <c r="J155">
        <f t="shared" si="38"/>
        <v>-4.4572324946824532E-3</v>
      </c>
      <c r="K155">
        <f t="shared" si="27"/>
        <v>-7.9700907535113275E-2</v>
      </c>
      <c r="L155">
        <f t="shared" si="28"/>
        <v>70.033141878486731</v>
      </c>
      <c r="M155">
        <f t="shared" si="29"/>
        <v>1.5460805080888498</v>
      </c>
      <c r="N155">
        <f t="shared" si="30"/>
        <v>2.2076412204544908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26314.427547843759</v>
      </c>
      <c r="T155">
        <f t="shared" si="34"/>
        <v>100.00038000000001</v>
      </c>
      <c r="U155">
        <f t="shared" si="35"/>
        <v>84.300244899713334</v>
      </c>
      <c r="V155">
        <f t="shared" si="36"/>
        <v>0.84299924559999995</v>
      </c>
      <c r="W155">
        <f t="shared" si="37"/>
        <v>0.15869860769600003</v>
      </c>
      <c r="X155">
        <v>1</v>
      </c>
      <c r="Y155">
        <v>1771001509.9333301</v>
      </c>
      <c r="Z155">
        <v>409.43953333333297</v>
      </c>
      <c r="AA155">
        <v>410.00466666666699</v>
      </c>
      <c r="AB155">
        <v>15.3904533333333</v>
      </c>
      <c r="AC155">
        <v>13.79186</v>
      </c>
      <c r="AD155">
        <v>410.36020000000002</v>
      </c>
      <c r="AE155">
        <v>15.2896133333333</v>
      </c>
      <c r="AF155">
        <v>800.00986666666699</v>
      </c>
      <c r="AG155">
        <v>100.392666666667</v>
      </c>
      <c r="AH155">
        <v>6.4446233333333297E-2</v>
      </c>
      <c r="AI155">
        <v>19.017873333333299</v>
      </c>
      <c r="AJ155">
        <v>999.9</v>
      </c>
      <c r="AK155">
        <v>999.9</v>
      </c>
      <c r="AL155">
        <v>0</v>
      </c>
      <c r="AM155">
        <v>0</v>
      </c>
      <c r="AN155">
        <v>4998.5</v>
      </c>
      <c r="AO155">
        <v>0</v>
      </c>
      <c r="AP155">
        <v>1.80671</v>
      </c>
      <c r="AQ155">
        <v>-0.56509606666666701</v>
      </c>
      <c r="AR155">
        <v>415.83946666666702</v>
      </c>
      <c r="AS155">
        <v>415.73840000000001</v>
      </c>
      <c r="AT155">
        <v>1.5986073333333299</v>
      </c>
      <c r="AU155">
        <v>410.00466666666699</v>
      </c>
      <c r="AV155">
        <v>13.79186</v>
      </c>
      <c r="AW155">
        <v>1.5450900000000001</v>
      </c>
      <c r="AX155">
        <v>1.38460133333333</v>
      </c>
      <c r="AY155">
        <v>13.421813333333301</v>
      </c>
      <c r="AZ155">
        <v>11.75004</v>
      </c>
      <c r="BA155">
        <v>100.00038000000001</v>
      </c>
      <c r="BB155">
        <v>0.90001779999999998</v>
      </c>
      <c r="BC155">
        <v>0</v>
      </c>
      <c r="BD155">
        <v>9.9981946666666696E-2</v>
      </c>
      <c r="BE155">
        <v>0</v>
      </c>
      <c r="BF155">
        <v>24</v>
      </c>
      <c r="BG155">
        <v>1648.8906666666701</v>
      </c>
      <c r="BH155">
        <v>1771001172</v>
      </c>
      <c r="BI155" t="s">
        <v>574</v>
      </c>
      <c r="BJ155">
        <v>1771001150</v>
      </c>
      <c r="BK155">
        <v>1771001172</v>
      </c>
      <c r="BL155">
        <v>7</v>
      </c>
      <c r="BM155">
        <v>4.2999999999999997E-2</v>
      </c>
      <c r="BN155">
        <v>-7.0000000000000001E-3</v>
      </c>
      <c r="BO155">
        <v>-0.92100000000000004</v>
      </c>
      <c r="BP155">
        <v>0.10100000000000001</v>
      </c>
      <c r="BQ155">
        <v>410</v>
      </c>
      <c r="BR155">
        <v>14</v>
      </c>
      <c r="BS155">
        <v>0.09</v>
      </c>
      <c r="BT155">
        <v>0.06</v>
      </c>
      <c r="BU155">
        <v>-0.55318780952380997</v>
      </c>
      <c r="BV155">
        <v>-0.116866597402598</v>
      </c>
      <c r="BW155">
        <v>3.06569919091241E-2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1.60436</v>
      </c>
      <c r="CD155">
        <v>-0.146297922077921</v>
      </c>
      <c r="CE155">
        <v>1.59124599277541E-2</v>
      </c>
      <c r="CF155">
        <v>0</v>
      </c>
      <c r="CG155">
        <v>1</v>
      </c>
      <c r="CH155">
        <v>2</v>
      </c>
      <c r="CI155" t="s">
        <v>290</v>
      </c>
      <c r="CJ155">
        <v>3.5325099999999998</v>
      </c>
      <c r="CK155">
        <v>2.7025199999999998</v>
      </c>
      <c r="CL155">
        <v>9.8272100000000001E-2</v>
      </c>
      <c r="CM155">
        <v>9.6989699999999998E-2</v>
      </c>
      <c r="CN155">
        <v>8.7268399999999996E-2</v>
      </c>
      <c r="CO155">
        <v>7.9732499999999998E-2</v>
      </c>
      <c r="CP155">
        <v>31641.1</v>
      </c>
      <c r="CQ155">
        <v>27798</v>
      </c>
      <c r="CR155">
        <v>32474.6</v>
      </c>
      <c r="CS155">
        <v>30708.5</v>
      </c>
      <c r="CT155">
        <v>40126.1</v>
      </c>
      <c r="CU155">
        <v>39735.199999999997</v>
      </c>
      <c r="CV155">
        <v>47417.1</v>
      </c>
      <c r="CW155">
        <v>46821.8</v>
      </c>
      <c r="CX155">
        <v>2.6309999999999998</v>
      </c>
      <c r="CY155">
        <v>2.1532399999999998</v>
      </c>
      <c r="CZ155">
        <v>0</v>
      </c>
      <c r="DA155">
        <v>0</v>
      </c>
      <c r="DB155">
        <v>999.9</v>
      </c>
      <c r="DC155">
        <v>999.9</v>
      </c>
      <c r="DD155">
        <v>58.887999999999998</v>
      </c>
      <c r="DE155">
        <v>25.841000000000001</v>
      </c>
      <c r="DF155">
        <v>19.6069</v>
      </c>
      <c r="DG155">
        <v>30.360099999999999</v>
      </c>
      <c r="DH155">
        <v>16.3582</v>
      </c>
      <c r="DI155">
        <v>2</v>
      </c>
      <c r="DJ155">
        <v>-0.159638</v>
      </c>
      <c r="DK155">
        <v>2.0341999999999998</v>
      </c>
      <c r="DL155">
        <v>20.2317</v>
      </c>
      <c r="DM155">
        <v>5.25143</v>
      </c>
      <c r="DN155">
        <v>12.033899999999999</v>
      </c>
      <c r="DO155">
        <v>4.9674800000000001</v>
      </c>
      <c r="DP155">
        <v>3.2909999999999999</v>
      </c>
      <c r="DQ155">
        <v>9999</v>
      </c>
      <c r="DR155">
        <v>9999</v>
      </c>
      <c r="DS155">
        <v>597.1</v>
      </c>
      <c r="DT155">
        <v>9999</v>
      </c>
      <c r="DU155">
        <v>1.87104</v>
      </c>
      <c r="DV155">
        <v>1.87609</v>
      </c>
      <c r="DW155">
        <v>1.87632</v>
      </c>
      <c r="DX155">
        <v>1.8828</v>
      </c>
      <c r="DY155">
        <v>1.87561</v>
      </c>
      <c r="DZ155">
        <v>1.8746799999999999</v>
      </c>
      <c r="EA155">
        <v>1.8707800000000001</v>
      </c>
      <c r="EB155">
        <v>1.8746499999999999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-0.92100000000000004</v>
      </c>
      <c r="EQ155">
        <v>0.1009</v>
      </c>
      <c r="ER155">
        <v>-0.92059999999992204</v>
      </c>
      <c r="ES155">
        <v>0</v>
      </c>
      <c r="ET155">
        <v>0</v>
      </c>
      <c r="EU155">
        <v>0</v>
      </c>
      <c r="EV155">
        <v>0.100849999999996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6.1</v>
      </c>
      <c r="FE155">
        <v>5.8</v>
      </c>
      <c r="FF155">
        <v>1.2377899999999999</v>
      </c>
      <c r="FG155">
        <v>2.5878899999999998</v>
      </c>
      <c r="FH155">
        <v>2.19604</v>
      </c>
      <c r="FI155">
        <v>2.5769000000000002</v>
      </c>
      <c r="FJ155">
        <v>2.4462899999999999</v>
      </c>
      <c r="FK155">
        <v>2.2485400000000002</v>
      </c>
      <c r="FL155">
        <v>30.846900000000002</v>
      </c>
      <c r="FM155">
        <v>24.148800000000001</v>
      </c>
      <c r="FN155">
        <v>19</v>
      </c>
      <c r="FO155">
        <v>864.55399999999997</v>
      </c>
      <c r="FP155">
        <v>588.34199999999998</v>
      </c>
      <c r="FQ155">
        <v>18.492799999999999</v>
      </c>
      <c r="FR155">
        <v>24.990500000000001</v>
      </c>
      <c r="FS155">
        <v>30</v>
      </c>
      <c r="FT155">
        <v>24.983000000000001</v>
      </c>
      <c r="FU155">
        <v>24.9846</v>
      </c>
      <c r="FV155">
        <v>24.841799999999999</v>
      </c>
      <c r="FW155">
        <v>33.131300000000003</v>
      </c>
      <c r="FX155">
        <v>22.318000000000001</v>
      </c>
      <c r="FY155">
        <v>18.516999999999999</v>
      </c>
      <c r="FZ155">
        <v>410</v>
      </c>
      <c r="GA155">
        <v>13.823700000000001</v>
      </c>
      <c r="GB155">
        <v>99.922600000000003</v>
      </c>
      <c r="GC155">
        <v>99.681799999999996</v>
      </c>
    </row>
    <row r="156" spans="1:185" x14ac:dyDescent="0.2">
      <c r="A156">
        <v>141</v>
      </c>
      <c r="B156">
        <v>1771001533</v>
      </c>
      <c r="C156">
        <v>2909.9000000953702</v>
      </c>
      <c r="D156" t="s">
        <v>581</v>
      </c>
      <c r="E156" t="s">
        <v>582</v>
      </c>
      <c r="F156">
        <v>15</v>
      </c>
      <c r="G156">
        <v>1771001524.9333301</v>
      </c>
      <c r="H156">
        <f t="shared" si="26"/>
        <v>1.2744735696626538E-3</v>
      </c>
      <c r="I156">
        <v>0</v>
      </c>
      <c r="J156">
        <f t="shared" si="38"/>
        <v>-4.0049748167211305E-3</v>
      </c>
      <c r="K156">
        <f t="shared" si="27"/>
        <v>-7.1613973004270859E-2</v>
      </c>
      <c r="L156">
        <f t="shared" si="28"/>
        <v>69.869186713258586</v>
      </c>
      <c r="M156">
        <f t="shared" si="29"/>
        <v>1.5411480919838738</v>
      </c>
      <c r="N156">
        <f t="shared" si="30"/>
        <v>2.2057621742596027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26308.908868185521</v>
      </c>
      <c r="T156">
        <f t="shared" si="34"/>
        <v>100.000413333333</v>
      </c>
      <c r="U156">
        <f t="shared" si="35"/>
        <v>84.300273859691416</v>
      </c>
      <c r="V156">
        <f t="shared" si="36"/>
        <v>0.84299925419999966</v>
      </c>
      <c r="W156">
        <f t="shared" si="37"/>
        <v>0.15869827841199996</v>
      </c>
      <c r="X156">
        <v>1</v>
      </c>
      <c r="Y156">
        <v>1771001524.9333301</v>
      </c>
      <c r="Z156">
        <v>409.42860000000002</v>
      </c>
      <c r="AA156">
        <v>409.99133333333299</v>
      </c>
      <c r="AB156">
        <v>15.34136</v>
      </c>
      <c r="AC156">
        <v>13.772726666666699</v>
      </c>
      <c r="AD156">
        <v>410.34886666666699</v>
      </c>
      <c r="AE156">
        <v>15.240493333333299</v>
      </c>
      <c r="AF156">
        <v>800.00940000000003</v>
      </c>
      <c r="AG156">
        <v>100.392466666667</v>
      </c>
      <c r="AH156">
        <v>6.4604413333333305E-2</v>
      </c>
      <c r="AI156">
        <v>19.0042266666667</v>
      </c>
      <c r="AJ156">
        <v>999.9</v>
      </c>
      <c r="AK156">
        <v>999.9</v>
      </c>
      <c r="AL156">
        <v>0</v>
      </c>
      <c r="AM156">
        <v>0</v>
      </c>
      <c r="AN156">
        <v>4997.3999999999996</v>
      </c>
      <c r="AO156">
        <v>0</v>
      </c>
      <c r="AP156">
        <v>1.8088946666666701</v>
      </c>
      <c r="AQ156">
        <v>-0.56301073333333296</v>
      </c>
      <c r="AR156">
        <v>415.80753333333303</v>
      </c>
      <c r="AS156">
        <v>415.71699999999998</v>
      </c>
      <c r="AT156">
        <v>1.5686266666666699</v>
      </c>
      <c r="AU156">
        <v>409.99133333333299</v>
      </c>
      <c r="AV156">
        <v>13.772726666666699</v>
      </c>
      <c r="AW156">
        <v>1.5401560000000001</v>
      </c>
      <c r="AX156">
        <v>1.3826786666666699</v>
      </c>
      <c r="AY156">
        <v>13.372726666666701</v>
      </c>
      <c r="AZ156">
        <v>11.7289733333333</v>
      </c>
      <c r="BA156">
        <v>100.000413333333</v>
      </c>
      <c r="BB156">
        <v>0.90002273333333305</v>
      </c>
      <c r="BC156">
        <v>0</v>
      </c>
      <c r="BD156">
        <v>9.9977193333333297E-2</v>
      </c>
      <c r="BE156">
        <v>0</v>
      </c>
      <c r="BF156">
        <v>24</v>
      </c>
      <c r="BG156">
        <v>1648.8920000000001</v>
      </c>
      <c r="BH156">
        <v>1771001172</v>
      </c>
      <c r="BI156" t="s">
        <v>574</v>
      </c>
      <c r="BJ156">
        <v>1771001150</v>
      </c>
      <c r="BK156">
        <v>1771001172</v>
      </c>
      <c r="BL156">
        <v>7</v>
      </c>
      <c r="BM156">
        <v>4.2999999999999997E-2</v>
      </c>
      <c r="BN156">
        <v>-7.0000000000000001E-3</v>
      </c>
      <c r="BO156">
        <v>-0.92100000000000004</v>
      </c>
      <c r="BP156">
        <v>0.10100000000000001</v>
      </c>
      <c r="BQ156">
        <v>410</v>
      </c>
      <c r="BR156">
        <v>14</v>
      </c>
      <c r="BS156">
        <v>0.09</v>
      </c>
      <c r="BT156">
        <v>0.06</v>
      </c>
      <c r="BU156">
        <v>-0.55865180000000003</v>
      </c>
      <c r="BV156">
        <v>-7.7746285714285907E-2</v>
      </c>
      <c r="BW156">
        <v>2.7625121669596301E-2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1.5713945</v>
      </c>
      <c r="CD156">
        <v>-6.5235338345864993E-2</v>
      </c>
      <c r="CE156">
        <v>6.6146069233175503E-3</v>
      </c>
      <c r="CF156">
        <v>1</v>
      </c>
      <c r="CG156">
        <v>2</v>
      </c>
      <c r="CH156">
        <v>2</v>
      </c>
      <c r="CI156" t="s">
        <v>304</v>
      </c>
      <c r="CJ156">
        <v>3.5325299999999999</v>
      </c>
      <c r="CK156">
        <v>2.7021500000000001</v>
      </c>
      <c r="CL156">
        <v>9.8266300000000001E-2</v>
      </c>
      <c r="CM156">
        <v>9.6984399999999998E-2</v>
      </c>
      <c r="CN156">
        <v>8.7143100000000001E-2</v>
      </c>
      <c r="CO156">
        <v>7.9667299999999996E-2</v>
      </c>
      <c r="CP156">
        <v>31641</v>
      </c>
      <c r="CQ156">
        <v>27798.2</v>
      </c>
      <c r="CR156">
        <v>32474.2</v>
      </c>
      <c r="CS156">
        <v>30708.6</v>
      </c>
      <c r="CT156">
        <v>40131.599999999999</v>
      </c>
      <c r="CU156">
        <v>39738.1</v>
      </c>
      <c r="CV156">
        <v>47416.9</v>
      </c>
      <c r="CW156">
        <v>46821.8</v>
      </c>
      <c r="CX156">
        <v>2.6309399999999998</v>
      </c>
      <c r="CY156">
        <v>2.1530800000000001</v>
      </c>
      <c r="CZ156">
        <v>0</v>
      </c>
      <c r="DA156">
        <v>0</v>
      </c>
      <c r="DB156">
        <v>999.9</v>
      </c>
      <c r="DC156">
        <v>999.9</v>
      </c>
      <c r="DD156">
        <v>58.79</v>
      </c>
      <c r="DE156">
        <v>25.870999999999999</v>
      </c>
      <c r="DF156">
        <v>19.6096</v>
      </c>
      <c r="DG156">
        <v>30.510100000000001</v>
      </c>
      <c r="DH156">
        <v>16.274000000000001</v>
      </c>
      <c r="DI156">
        <v>2</v>
      </c>
      <c r="DJ156">
        <v>-0.16046299999999999</v>
      </c>
      <c r="DK156">
        <v>1.7944100000000001</v>
      </c>
      <c r="DL156">
        <v>20.235199999999999</v>
      </c>
      <c r="DM156">
        <v>5.2484400000000004</v>
      </c>
      <c r="DN156">
        <v>12.033899999999999</v>
      </c>
      <c r="DO156">
        <v>4.9670800000000002</v>
      </c>
      <c r="DP156">
        <v>3.2906</v>
      </c>
      <c r="DQ156">
        <v>9999</v>
      </c>
      <c r="DR156">
        <v>9999</v>
      </c>
      <c r="DS156">
        <v>597.1</v>
      </c>
      <c r="DT156">
        <v>9999</v>
      </c>
      <c r="DU156">
        <v>1.8710500000000001</v>
      </c>
      <c r="DV156">
        <v>1.8760699999999999</v>
      </c>
      <c r="DW156">
        <v>1.87632</v>
      </c>
      <c r="DX156">
        <v>1.88279</v>
      </c>
      <c r="DY156">
        <v>1.87561</v>
      </c>
      <c r="DZ156">
        <v>1.8746700000000001</v>
      </c>
      <c r="EA156">
        <v>1.87077</v>
      </c>
      <c r="EB156">
        <v>1.8746799999999999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-0.92</v>
      </c>
      <c r="EQ156">
        <v>0.1008</v>
      </c>
      <c r="ER156">
        <v>-0.92059999999992204</v>
      </c>
      <c r="ES156">
        <v>0</v>
      </c>
      <c r="ET156">
        <v>0</v>
      </c>
      <c r="EU156">
        <v>0</v>
      </c>
      <c r="EV156">
        <v>0.100849999999996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6.4</v>
      </c>
      <c r="FE156">
        <v>6</v>
      </c>
      <c r="FF156">
        <v>1.2377899999999999</v>
      </c>
      <c r="FG156">
        <v>2.5891099999999998</v>
      </c>
      <c r="FH156">
        <v>2.19604</v>
      </c>
      <c r="FI156">
        <v>2.5769000000000002</v>
      </c>
      <c r="FJ156">
        <v>2.4462899999999999</v>
      </c>
      <c r="FK156">
        <v>2.2997999999999998</v>
      </c>
      <c r="FL156">
        <v>30.868600000000001</v>
      </c>
      <c r="FM156">
        <v>24.157499999999999</v>
      </c>
      <c r="FN156">
        <v>19</v>
      </c>
      <c r="FO156">
        <v>864.55899999999997</v>
      </c>
      <c r="FP156">
        <v>588.26599999999996</v>
      </c>
      <c r="FQ156">
        <v>18.482800000000001</v>
      </c>
      <c r="FR156">
        <v>24.993400000000001</v>
      </c>
      <c r="FS156">
        <v>29.9998</v>
      </c>
      <c r="FT156">
        <v>24.986699999999999</v>
      </c>
      <c r="FU156">
        <v>24.988800000000001</v>
      </c>
      <c r="FV156">
        <v>24.845099999999999</v>
      </c>
      <c r="FW156">
        <v>33.131300000000003</v>
      </c>
      <c r="FX156">
        <v>21.939599999999999</v>
      </c>
      <c r="FY156">
        <v>18.493200000000002</v>
      </c>
      <c r="FZ156">
        <v>410</v>
      </c>
      <c r="GA156">
        <v>13.8347</v>
      </c>
      <c r="GB156">
        <v>99.921800000000005</v>
      </c>
      <c r="GC156">
        <v>99.681799999999996</v>
      </c>
    </row>
    <row r="157" spans="1:185" x14ac:dyDescent="0.2">
      <c r="A157">
        <v>142</v>
      </c>
      <c r="B157">
        <v>1771001548</v>
      </c>
      <c r="C157">
        <v>2924.9000000953702</v>
      </c>
      <c r="D157" t="s">
        <v>583</v>
      </c>
      <c r="E157" t="s">
        <v>584</v>
      </c>
      <c r="F157">
        <v>15</v>
      </c>
      <c r="G157">
        <v>1771001539.9333301</v>
      </c>
      <c r="H157">
        <f t="shared" si="26"/>
        <v>1.2476004929191876E-3</v>
      </c>
      <c r="I157">
        <v>0</v>
      </c>
      <c r="J157">
        <f t="shared" si="38"/>
        <v>-1.8356141084816841E-3</v>
      </c>
      <c r="K157">
        <f t="shared" si="27"/>
        <v>-3.2823082597729952E-2</v>
      </c>
      <c r="L157">
        <f t="shared" si="28"/>
        <v>69.783946274241387</v>
      </c>
      <c r="M157">
        <f t="shared" si="29"/>
        <v>1.5378590601021949</v>
      </c>
      <c r="N157">
        <f t="shared" si="30"/>
        <v>2.2037433280981538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26342.95850745272</v>
      </c>
      <c r="T157">
        <f t="shared" si="34"/>
        <v>99.998246666666603</v>
      </c>
      <c r="U157">
        <f t="shared" si="35"/>
        <v>84.298437241485018</v>
      </c>
      <c r="V157">
        <f t="shared" si="36"/>
        <v>0.84299915299999995</v>
      </c>
      <c r="W157">
        <f t="shared" si="37"/>
        <v>0.1586982073</v>
      </c>
      <c r="X157">
        <v>1</v>
      </c>
      <c r="Y157">
        <v>1771001539.9333301</v>
      </c>
      <c r="Z157">
        <v>409.4298</v>
      </c>
      <c r="AA157">
        <v>410.027266666667</v>
      </c>
      <c r="AB157">
        <v>15.3085</v>
      </c>
      <c r="AC157">
        <v>13.7729</v>
      </c>
      <c r="AD157">
        <v>410.35019999999997</v>
      </c>
      <c r="AE157">
        <v>15.20764</v>
      </c>
      <c r="AF157">
        <v>800.01406666666696</v>
      </c>
      <c r="AG157">
        <v>100.393466666667</v>
      </c>
      <c r="AH157">
        <v>6.4387473333333306E-2</v>
      </c>
      <c r="AI157">
        <v>18.989553333333301</v>
      </c>
      <c r="AJ157">
        <v>999.9</v>
      </c>
      <c r="AK157">
        <v>999.9</v>
      </c>
      <c r="AL157">
        <v>0</v>
      </c>
      <c r="AM157">
        <v>0</v>
      </c>
      <c r="AN157">
        <v>5002.7333333333299</v>
      </c>
      <c r="AO157">
        <v>0</v>
      </c>
      <c r="AP157">
        <v>1.808292</v>
      </c>
      <c r="AQ157">
        <v>-0.597550466666667</v>
      </c>
      <c r="AR157">
        <v>415.79500000000002</v>
      </c>
      <c r="AS157">
        <v>415.7534</v>
      </c>
      <c r="AT157">
        <v>1.53559933333333</v>
      </c>
      <c r="AU157">
        <v>410.027266666667</v>
      </c>
      <c r="AV157">
        <v>13.7729</v>
      </c>
      <c r="AW157">
        <v>1.5368740000000001</v>
      </c>
      <c r="AX157">
        <v>1.38270933333333</v>
      </c>
      <c r="AY157">
        <v>13.340006666666699</v>
      </c>
      <c r="AZ157">
        <v>11.72932</v>
      </c>
      <c r="BA157">
        <v>99.998246666666603</v>
      </c>
      <c r="BB157">
        <v>0.90002340000000003</v>
      </c>
      <c r="BC157">
        <v>0</v>
      </c>
      <c r="BD157">
        <v>9.9976433333333295E-2</v>
      </c>
      <c r="BE157">
        <v>0</v>
      </c>
      <c r="BF157">
        <v>24</v>
      </c>
      <c r="BG157">
        <v>1648.8606666666701</v>
      </c>
      <c r="BH157">
        <v>1771001172</v>
      </c>
      <c r="BI157" t="s">
        <v>574</v>
      </c>
      <c r="BJ157">
        <v>1771001150</v>
      </c>
      <c r="BK157">
        <v>1771001172</v>
      </c>
      <c r="BL157">
        <v>7</v>
      </c>
      <c r="BM157">
        <v>4.2999999999999997E-2</v>
      </c>
      <c r="BN157">
        <v>-7.0000000000000001E-3</v>
      </c>
      <c r="BO157">
        <v>-0.92100000000000004</v>
      </c>
      <c r="BP157">
        <v>0.10100000000000001</v>
      </c>
      <c r="BQ157">
        <v>410</v>
      </c>
      <c r="BR157">
        <v>14</v>
      </c>
      <c r="BS157">
        <v>0.09</v>
      </c>
      <c r="BT157">
        <v>0.06</v>
      </c>
      <c r="BU157">
        <v>-0.58840071428571405</v>
      </c>
      <c r="BV157">
        <v>-0.30704220779220798</v>
      </c>
      <c r="BW157">
        <v>4.2384021612084002E-2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1.5436276190476199</v>
      </c>
      <c r="CD157">
        <v>-0.205395584415584</v>
      </c>
      <c r="CE157">
        <v>2.28730063205646E-2</v>
      </c>
      <c r="CF157">
        <v>0</v>
      </c>
      <c r="CG157">
        <v>1</v>
      </c>
      <c r="CH157">
        <v>2</v>
      </c>
      <c r="CI157" t="s">
        <v>290</v>
      </c>
      <c r="CJ157">
        <v>3.5325199999999999</v>
      </c>
      <c r="CK157">
        <v>2.70235</v>
      </c>
      <c r="CL157">
        <v>9.8265199999999997E-2</v>
      </c>
      <c r="CM157">
        <v>9.6992599999999998E-2</v>
      </c>
      <c r="CN157">
        <v>8.7063699999999994E-2</v>
      </c>
      <c r="CO157">
        <v>7.9914200000000005E-2</v>
      </c>
      <c r="CP157">
        <v>31641.599999999999</v>
      </c>
      <c r="CQ157">
        <v>27798.7</v>
      </c>
      <c r="CR157">
        <v>32474.799999999999</v>
      </c>
      <c r="CS157">
        <v>30709.4</v>
      </c>
      <c r="CT157">
        <v>40135.699999999997</v>
      </c>
      <c r="CU157">
        <v>39728</v>
      </c>
      <c r="CV157">
        <v>47417.5</v>
      </c>
      <c r="CW157">
        <v>46822.8</v>
      </c>
      <c r="CX157">
        <v>2.63096</v>
      </c>
      <c r="CY157">
        <v>2.15286</v>
      </c>
      <c r="CZ157">
        <v>0</v>
      </c>
      <c r="DA157">
        <v>0</v>
      </c>
      <c r="DB157">
        <v>999.9</v>
      </c>
      <c r="DC157">
        <v>999.9</v>
      </c>
      <c r="DD157">
        <v>58.667999999999999</v>
      </c>
      <c r="DE157">
        <v>25.881</v>
      </c>
      <c r="DF157">
        <v>19.579799999999999</v>
      </c>
      <c r="DG157">
        <v>30.420100000000001</v>
      </c>
      <c r="DH157">
        <v>16.394200000000001</v>
      </c>
      <c r="DI157">
        <v>2</v>
      </c>
      <c r="DJ157">
        <v>-0.16084300000000001</v>
      </c>
      <c r="DK157">
        <v>1.70017</v>
      </c>
      <c r="DL157">
        <v>20.236899999999999</v>
      </c>
      <c r="DM157">
        <v>5.2519099999999996</v>
      </c>
      <c r="DN157">
        <v>12.033899999999999</v>
      </c>
      <c r="DO157">
        <v>4.9675200000000004</v>
      </c>
      <c r="DP157">
        <v>3.2909999999999999</v>
      </c>
      <c r="DQ157">
        <v>9999</v>
      </c>
      <c r="DR157">
        <v>9999</v>
      </c>
      <c r="DS157">
        <v>597.1</v>
      </c>
      <c r="DT157">
        <v>9999</v>
      </c>
      <c r="DU157">
        <v>1.87107</v>
      </c>
      <c r="DV157">
        <v>1.87609</v>
      </c>
      <c r="DW157">
        <v>1.8763300000000001</v>
      </c>
      <c r="DX157">
        <v>1.8828</v>
      </c>
      <c r="DY157">
        <v>1.87561</v>
      </c>
      <c r="DZ157">
        <v>1.8746799999999999</v>
      </c>
      <c r="EA157">
        <v>1.8708400000000001</v>
      </c>
      <c r="EB157">
        <v>1.8746799999999999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-0.92100000000000004</v>
      </c>
      <c r="EQ157">
        <v>0.1009</v>
      </c>
      <c r="ER157">
        <v>-0.92059999999992204</v>
      </c>
      <c r="ES157">
        <v>0</v>
      </c>
      <c r="ET157">
        <v>0</v>
      </c>
      <c r="EU157">
        <v>0</v>
      </c>
      <c r="EV157">
        <v>0.100849999999996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6.6</v>
      </c>
      <c r="FE157">
        <v>6.3</v>
      </c>
      <c r="FF157">
        <v>1.2377899999999999</v>
      </c>
      <c r="FG157">
        <v>2.5939899999999998</v>
      </c>
      <c r="FH157">
        <v>2.19604</v>
      </c>
      <c r="FI157">
        <v>2.5769000000000002</v>
      </c>
      <c r="FJ157">
        <v>2.4462899999999999</v>
      </c>
      <c r="FK157">
        <v>2.2583000000000002</v>
      </c>
      <c r="FL157">
        <v>30.868600000000001</v>
      </c>
      <c r="FM157">
        <v>24.148800000000001</v>
      </c>
      <c r="FN157">
        <v>19</v>
      </c>
      <c r="FO157">
        <v>864.63900000000001</v>
      </c>
      <c r="FP157">
        <v>588.14800000000002</v>
      </c>
      <c r="FQ157">
        <v>18.530899999999999</v>
      </c>
      <c r="FR157">
        <v>24.997699999999998</v>
      </c>
      <c r="FS157">
        <v>30.0001</v>
      </c>
      <c r="FT157">
        <v>24.990500000000001</v>
      </c>
      <c r="FU157">
        <v>24.993400000000001</v>
      </c>
      <c r="FV157">
        <v>24.84</v>
      </c>
      <c r="FW157">
        <v>32.540399999999998</v>
      </c>
      <c r="FX157">
        <v>21.939599999999999</v>
      </c>
      <c r="FY157">
        <v>18.534600000000001</v>
      </c>
      <c r="FZ157">
        <v>410</v>
      </c>
      <c r="GA157">
        <v>13.865500000000001</v>
      </c>
      <c r="GB157">
        <v>99.923299999999998</v>
      </c>
      <c r="GC157">
        <v>99.684299999999993</v>
      </c>
    </row>
    <row r="158" spans="1:185" x14ac:dyDescent="0.2">
      <c r="A158">
        <v>143</v>
      </c>
      <c r="B158">
        <v>1771001563</v>
      </c>
      <c r="C158">
        <v>2939.9000000953702</v>
      </c>
      <c r="D158" t="s">
        <v>585</v>
      </c>
      <c r="E158" t="s">
        <v>586</v>
      </c>
      <c r="F158">
        <v>15</v>
      </c>
      <c r="G158">
        <v>1771001554.9333301</v>
      </c>
      <c r="H158">
        <f t="shared" si="26"/>
        <v>1.2161523840999247E-3</v>
      </c>
      <c r="I158">
        <v>0</v>
      </c>
      <c r="J158">
        <f t="shared" si="38"/>
        <v>-1.0182141982874417E-3</v>
      </c>
      <c r="K158">
        <f t="shared" si="27"/>
        <v>-1.8206946971122368E-2</v>
      </c>
      <c r="L158">
        <f t="shared" si="28"/>
        <v>69.868452770684968</v>
      </c>
      <c r="M158">
        <f t="shared" si="29"/>
        <v>1.5393959694535242</v>
      </c>
      <c r="N158">
        <f t="shared" si="30"/>
        <v>2.2032776001294474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26318.757887166561</v>
      </c>
      <c r="T158">
        <f t="shared" si="34"/>
        <v>100.000953333333</v>
      </c>
      <c r="U158">
        <f t="shared" si="35"/>
        <v>84.300711419120333</v>
      </c>
      <c r="V158">
        <f t="shared" si="36"/>
        <v>0.8429990775999997</v>
      </c>
      <c r="W158">
        <f t="shared" si="37"/>
        <v>0.15869766801599994</v>
      </c>
      <c r="X158">
        <v>1</v>
      </c>
      <c r="Y158">
        <v>1771001554.9333301</v>
      </c>
      <c r="Z158">
        <v>409.39746666666701</v>
      </c>
      <c r="AA158">
        <v>409.99706666666702</v>
      </c>
      <c r="AB158">
        <v>15.323873333333299</v>
      </c>
      <c r="AC158">
        <v>13.8269866666667</v>
      </c>
      <c r="AD158">
        <v>410.31813333333298</v>
      </c>
      <c r="AE158">
        <v>15.2230333333333</v>
      </c>
      <c r="AF158">
        <v>800.00459999999998</v>
      </c>
      <c r="AG158">
        <v>100.392866666667</v>
      </c>
      <c r="AH158">
        <v>6.4500473333333294E-2</v>
      </c>
      <c r="AI158">
        <v>18.986166666666701</v>
      </c>
      <c r="AJ158">
        <v>999.9</v>
      </c>
      <c r="AK158">
        <v>999.9</v>
      </c>
      <c r="AL158">
        <v>0</v>
      </c>
      <c r="AM158">
        <v>0</v>
      </c>
      <c r="AN158">
        <v>4998.7333333333299</v>
      </c>
      <c r="AO158">
        <v>0</v>
      </c>
      <c r="AP158">
        <v>1.81424266666667</v>
      </c>
      <c r="AQ158">
        <v>-0.59945066666666702</v>
      </c>
      <c r="AR158">
        <v>415.768666666667</v>
      </c>
      <c r="AS158">
        <v>415.74560000000002</v>
      </c>
      <c r="AT158">
        <v>1.4968886666666701</v>
      </c>
      <c r="AU158">
        <v>409.99706666666702</v>
      </c>
      <c r="AV158">
        <v>13.8269866666667</v>
      </c>
      <c r="AW158">
        <v>1.5384086666666701</v>
      </c>
      <c r="AX158">
        <v>1.38813066666667</v>
      </c>
      <c r="AY158">
        <v>13.3553266666667</v>
      </c>
      <c r="AZ158">
        <v>11.78858</v>
      </c>
      <c r="BA158">
        <v>100.000953333333</v>
      </c>
      <c r="BB158">
        <v>0.90003113333333296</v>
      </c>
      <c r="BC158">
        <v>0</v>
      </c>
      <c r="BD158">
        <v>9.9968879999999996E-2</v>
      </c>
      <c r="BE158">
        <v>0</v>
      </c>
      <c r="BF158">
        <v>24</v>
      </c>
      <c r="BG158">
        <v>1648.91266666667</v>
      </c>
      <c r="BH158">
        <v>1771001172</v>
      </c>
      <c r="BI158" t="s">
        <v>574</v>
      </c>
      <c r="BJ158">
        <v>1771001150</v>
      </c>
      <c r="BK158">
        <v>1771001172</v>
      </c>
      <c r="BL158">
        <v>7</v>
      </c>
      <c r="BM158">
        <v>4.2999999999999997E-2</v>
      </c>
      <c r="BN158">
        <v>-7.0000000000000001E-3</v>
      </c>
      <c r="BO158">
        <v>-0.92100000000000004</v>
      </c>
      <c r="BP158">
        <v>0.10100000000000001</v>
      </c>
      <c r="BQ158">
        <v>410</v>
      </c>
      <c r="BR158">
        <v>14</v>
      </c>
      <c r="BS158">
        <v>0.09</v>
      </c>
      <c r="BT158">
        <v>0.06</v>
      </c>
      <c r="BU158">
        <v>-0.61115874999999997</v>
      </c>
      <c r="BV158">
        <v>0.247762060150375</v>
      </c>
      <c r="BW158">
        <v>2.6351731701873E-2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1.4991975</v>
      </c>
      <c r="CD158">
        <v>6.1939849624121702E-4</v>
      </c>
      <c r="CE158">
        <v>1.0725889648416099E-2</v>
      </c>
      <c r="CF158">
        <v>1</v>
      </c>
      <c r="CG158">
        <v>2</v>
      </c>
      <c r="CH158">
        <v>2</v>
      </c>
      <c r="CI158" t="s">
        <v>304</v>
      </c>
      <c r="CJ158">
        <v>3.53254</v>
      </c>
      <c r="CK158">
        <v>2.7022599999999999</v>
      </c>
      <c r="CL158">
        <v>9.8258600000000001E-2</v>
      </c>
      <c r="CM158">
        <v>9.6978499999999995E-2</v>
      </c>
      <c r="CN158">
        <v>8.7130799999999994E-2</v>
      </c>
      <c r="CO158">
        <v>7.9886899999999997E-2</v>
      </c>
      <c r="CP158">
        <v>31641.7</v>
      </c>
      <c r="CQ158">
        <v>27798.7</v>
      </c>
      <c r="CR158">
        <v>32474.7</v>
      </c>
      <c r="CS158">
        <v>30708.9</v>
      </c>
      <c r="CT158">
        <v>40132.699999999997</v>
      </c>
      <c r="CU158">
        <v>39729.1</v>
      </c>
      <c r="CV158">
        <v>47417.599999999999</v>
      </c>
      <c r="CW158">
        <v>46822.6</v>
      </c>
      <c r="CX158">
        <v>2.6308400000000001</v>
      </c>
      <c r="CY158">
        <v>2.15272</v>
      </c>
      <c r="CZ158">
        <v>0</v>
      </c>
      <c r="DA158">
        <v>0</v>
      </c>
      <c r="DB158">
        <v>999.9</v>
      </c>
      <c r="DC158">
        <v>999.9</v>
      </c>
      <c r="DD158">
        <v>58.57</v>
      </c>
      <c r="DE158">
        <v>25.901</v>
      </c>
      <c r="DF158">
        <v>19.571400000000001</v>
      </c>
      <c r="DG158">
        <v>30.4801</v>
      </c>
      <c r="DH158">
        <v>16.262</v>
      </c>
      <c r="DI158">
        <v>2</v>
      </c>
      <c r="DJ158">
        <v>-0.16044900000000001</v>
      </c>
      <c r="DK158">
        <v>1.6847799999999999</v>
      </c>
      <c r="DL158">
        <v>20.237200000000001</v>
      </c>
      <c r="DM158">
        <v>5.2513100000000001</v>
      </c>
      <c r="DN158">
        <v>12.033899999999999</v>
      </c>
      <c r="DO158">
        <v>4.9674800000000001</v>
      </c>
      <c r="DP158">
        <v>3.2909999999999999</v>
      </c>
      <c r="DQ158">
        <v>9999</v>
      </c>
      <c r="DR158">
        <v>9999</v>
      </c>
      <c r="DS158">
        <v>597.1</v>
      </c>
      <c r="DT158">
        <v>9999</v>
      </c>
      <c r="DU158">
        <v>1.8710899999999999</v>
      </c>
      <c r="DV158">
        <v>1.8761099999999999</v>
      </c>
      <c r="DW158">
        <v>1.87636</v>
      </c>
      <c r="DX158">
        <v>1.8828400000000001</v>
      </c>
      <c r="DY158">
        <v>1.8756200000000001</v>
      </c>
      <c r="DZ158">
        <v>1.87469</v>
      </c>
      <c r="EA158">
        <v>1.87086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-0.92100000000000004</v>
      </c>
      <c r="EQ158">
        <v>0.1009</v>
      </c>
      <c r="ER158">
        <v>-0.92059999999992204</v>
      </c>
      <c r="ES158">
        <v>0</v>
      </c>
      <c r="ET158">
        <v>0</v>
      </c>
      <c r="EU158">
        <v>0</v>
      </c>
      <c r="EV158">
        <v>0.100849999999996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6.9</v>
      </c>
      <c r="FE158">
        <v>6.5</v>
      </c>
      <c r="FF158">
        <v>1.2377899999999999</v>
      </c>
      <c r="FG158">
        <v>2.5842299999999998</v>
      </c>
      <c r="FH158">
        <v>2.19604</v>
      </c>
      <c r="FI158">
        <v>2.5769000000000002</v>
      </c>
      <c r="FJ158">
        <v>2.4462899999999999</v>
      </c>
      <c r="FK158">
        <v>2.3034699999999999</v>
      </c>
      <c r="FL158">
        <v>30.8902</v>
      </c>
      <c r="FM158">
        <v>24.157499999999999</v>
      </c>
      <c r="FN158">
        <v>19</v>
      </c>
      <c r="FO158">
        <v>864.596</v>
      </c>
      <c r="FP158">
        <v>588.08199999999999</v>
      </c>
      <c r="FQ158">
        <v>18.560400000000001</v>
      </c>
      <c r="FR158">
        <v>25.001799999999999</v>
      </c>
      <c r="FS158">
        <v>30.000299999999999</v>
      </c>
      <c r="FT158">
        <v>24.994700000000002</v>
      </c>
      <c r="FU158">
        <v>24.997199999999999</v>
      </c>
      <c r="FV158">
        <v>24.842500000000001</v>
      </c>
      <c r="FW158">
        <v>32.540399999999998</v>
      </c>
      <c r="FX158">
        <v>21.567399999999999</v>
      </c>
      <c r="FY158">
        <v>18.563700000000001</v>
      </c>
      <c r="FZ158">
        <v>410</v>
      </c>
      <c r="GA158">
        <v>13.865500000000001</v>
      </c>
      <c r="GB158">
        <v>99.923299999999998</v>
      </c>
      <c r="GC158">
        <v>99.683400000000006</v>
      </c>
    </row>
    <row r="159" spans="1:185" x14ac:dyDescent="0.2">
      <c r="A159">
        <v>144</v>
      </c>
      <c r="B159">
        <v>1771001578</v>
      </c>
      <c r="C159">
        <v>2954.9000000953702</v>
      </c>
      <c r="D159" t="s">
        <v>587</v>
      </c>
      <c r="E159" t="s">
        <v>588</v>
      </c>
      <c r="F159">
        <v>15</v>
      </c>
      <c r="G159">
        <v>1771001569.9333301</v>
      </c>
      <c r="H159">
        <f t="shared" si="26"/>
        <v>1.2210913928511413E-3</v>
      </c>
      <c r="I159">
        <v>0</v>
      </c>
      <c r="J159">
        <f t="shared" si="38"/>
        <v>-1.3001853706310343E-3</v>
      </c>
      <c r="K159">
        <f t="shared" si="27"/>
        <v>-2.3248945197899905E-2</v>
      </c>
      <c r="L159">
        <f t="shared" si="28"/>
        <v>69.862845898884245</v>
      </c>
      <c r="M159">
        <f t="shared" si="29"/>
        <v>1.5392698727673939</v>
      </c>
      <c r="N159">
        <f t="shared" si="30"/>
        <v>2.2032739333225142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26373.127591958299</v>
      </c>
      <c r="T159">
        <f t="shared" si="34"/>
        <v>99.999586666666602</v>
      </c>
      <c r="U159">
        <f t="shared" si="35"/>
        <v>84.299528520508503</v>
      </c>
      <c r="V159">
        <f t="shared" si="36"/>
        <v>0.84299876959999998</v>
      </c>
      <c r="W159">
        <f t="shared" si="37"/>
        <v>0.15869728777600001</v>
      </c>
      <c r="X159">
        <v>1</v>
      </c>
      <c r="Y159">
        <v>1771001569.9333301</v>
      </c>
      <c r="Z159">
        <v>409.38473333333297</v>
      </c>
      <c r="AA159">
        <v>409.98053333333303</v>
      </c>
      <c r="AB159">
        <v>15.322760000000001</v>
      </c>
      <c r="AC159">
        <v>13.8198066666667</v>
      </c>
      <c r="AD159">
        <v>410.30540000000002</v>
      </c>
      <c r="AE159">
        <v>15.221920000000001</v>
      </c>
      <c r="AF159">
        <v>800.01213333333305</v>
      </c>
      <c r="AG159">
        <v>100.39206666666701</v>
      </c>
      <c r="AH159">
        <v>6.4370213333333301E-2</v>
      </c>
      <c r="AI159">
        <v>18.986139999999999</v>
      </c>
      <c r="AJ159">
        <v>999.9</v>
      </c>
      <c r="AK159">
        <v>999.9</v>
      </c>
      <c r="AL159">
        <v>0</v>
      </c>
      <c r="AM159">
        <v>0</v>
      </c>
      <c r="AN159">
        <v>5007.7</v>
      </c>
      <c r="AO159">
        <v>0</v>
      </c>
      <c r="AP159">
        <v>1.8067853333333299</v>
      </c>
      <c r="AQ159">
        <v>-0.59562773333333296</v>
      </c>
      <c r="AR159">
        <v>415.75540000000001</v>
      </c>
      <c r="AS159">
        <v>415.72553333333298</v>
      </c>
      <c r="AT159">
        <v>1.502972</v>
      </c>
      <c r="AU159">
        <v>409.98053333333303</v>
      </c>
      <c r="AV159">
        <v>13.8198066666667</v>
      </c>
      <c r="AW159">
        <v>1.5382846666666701</v>
      </c>
      <c r="AX159">
        <v>1.3873993333333301</v>
      </c>
      <c r="AY159">
        <v>13.3541066666667</v>
      </c>
      <c r="AZ159">
        <v>11.7806</v>
      </c>
      <c r="BA159">
        <v>99.999586666666602</v>
      </c>
      <c r="BB159">
        <v>0.90003560000000005</v>
      </c>
      <c r="BC159">
        <v>0</v>
      </c>
      <c r="BD159">
        <v>9.9964213333333302E-2</v>
      </c>
      <c r="BE159">
        <v>0</v>
      </c>
      <c r="BF159">
        <v>24</v>
      </c>
      <c r="BG159">
        <v>1648.89</v>
      </c>
      <c r="BH159">
        <v>1771001172</v>
      </c>
      <c r="BI159" t="s">
        <v>574</v>
      </c>
      <c r="BJ159">
        <v>1771001150</v>
      </c>
      <c r="BK159">
        <v>1771001172</v>
      </c>
      <c r="BL159">
        <v>7</v>
      </c>
      <c r="BM159">
        <v>4.2999999999999997E-2</v>
      </c>
      <c r="BN159">
        <v>-7.0000000000000001E-3</v>
      </c>
      <c r="BO159">
        <v>-0.92100000000000004</v>
      </c>
      <c r="BP159">
        <v>0.10100000000000001</v>
      </c>
      <c r="BQ159">
        <v>410</v>
      </c>
      <c r="BR159">
        <v>14</v>
      </c>
      <c r="BS159">
        <v>0.09</v>
      </c>
      <c r="BT159">
        <v>0.06</v>
      </c>
      <c r="BU159">
        <v>-0.59278642857142805</v>
      </c>
      <c r="BV159">
        <v>1.3197506493506501E-2</v>
      </c>
      <c r="BW159">
        <v>1.5978345550482099E-2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1.50339380952381</v>
      </c>
      <c r="CD159">
        <v>-9.2392207792214194E-3</v>
      </c>
      <c r="CE159">
        <v>1.9863282138767101E-3</v>
      </c>
      <c r="CF159">
        <v>1</v>
      </c>
      <c r="CG159">
        <v>2</v>
      </c>
      <c r="CH159">
        <v>2</v>
      </c>
      <c r="CI159" t="s">
        <v>304</v>
      </c>
      <c r="CJ159">
        <v>3.5325000000000002</v>
      </c>
      <c r="CK159">
        <v>2.7021899999999999</v>
      </c>
      <c r="CL159">
        <v>9.8253199999999999E-2</v>
      </c>
      <c r="CM159">
        <v>9.6979200000000002E-2</v>
      </c>
      <c r="CN159">
        <v>8.7072700000000003E-2</v>
      </c>
      <c r="CO159">
        <v>7.9824000000000006E-2</v>
      </c>
      <c r="CP159">
        <v>31641.1</v>
      </c>
      <c r="CQ159">
        <v>27798.6</v>
      </c>
      <c r="CR159">
        <v>32473.9</v>
      </c>
      <c r="CS159">
        <v>30708.9</v>
      </c>
      <c r="CT159">
        <v>40134.6</v>
      </c>
      <c r="CU159">
        <v>39731.800000000003</v>
      </c>
      <c r="CV159">
        <v>47416.6</v>
      </c>
      <c r="CW159">
        <v>46822.5</v>
      </c>
      <c r="CX159">
        <v>2.63076</v>
      </c>
      <c r="CY159">
        <v>2.1526000000000001</v>
      </c>
      <c r="CZ159">
        <v>0</v>
      </c>
      <c r="DA159">
        <v>0</v>
      </c>
      <c r="DB159">
        <v>999.9</v>
      </c>
      <c r="DC159">
        <v>999.9</v>
      </c>
      <c r="DD159">
        <v>58.478999999999999</v>
      </c>
      <c r="DE159">
        <v>25.911000000000001</v>
      </c>
      <c r="DF159">
        <v>19.552099999999999</v>
      </c>
      <c r="DG159">
        <v>30.210100000000001</v>
      </c>
      <c r="DH159">
        <v>16.322099999999999</v>
      </c>
      <c r="DI159">
        <v>2</v>
      </c>
      <c r="DJ159">
        <v>-0.16022</v>
      </c>
      <c r="DK159">
        <v>1.6573800000000001</v>
      </c>
      <c r="DL159">
        <v>20.237100000000002</v>
      </c>
      <c r="DM159">
        <v>5.25143</v>
      </c>
      <c r="DN159">
        <v>12.033899999999999</v>
      </c>
      <c r="DO159">
        <v>4.96732</v>
      </c>
      <c r="DP159">
        <v>3.2909999999999999</v>
      </c>
      <c r="DQ159">
        <v>9999</v>
      </c>
      <c r="DR159">
        <v>9999</v>
      </c>
      <c r="DS159">
        <v>597.1</v>
      </c>
      <c r="DT159">
        <v>9999</v>
      </c>
      <c r="DU159">
        <v>1.87104</v>
      </c>
      <c r="DV159">
        <v>1.8760699999999999</v>
      </c>
      <c r="DW159">
        <v>1.87629</v>
      </c>
      <c r="DX159">
        <v>1.8827799999999999</v>
      </c>
      <c r="DY159">
        <v>1.87561</v>
      </c>
      <c r="DZ159">
        <v>1.87463</v>
      </c>
      <c r="EA159">
        <v>1.87079</v>
      </c>
      <c r="EB159">
        <v>1.8746499999999999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-0.92</v>
      </c>
      <c r="EQ159">
        <v>0.1009</v>
      </c>
      <c r="ER159">
        <v>-0.92059999999992204</v>
      </c>
      <c r="ES159">
        <v>0</v>
      </c>
      <c r="ET159">
        <v>0</v>
      </c>
      <c r="EU159">
        <v>0</v>
      </c>
      <c r="EV159">
        <v>0.100849999999996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7.1</v>
      </c>
      <c r="FE159">
        <v>6.8</v>
      </c>
      <c r="FF159">
        <v>1.2377899999999999</v>
      </c>
      <c r="FG159">
        <v>2.5891099999999998</v>
      </c>
      <c r="FH159">
        <v>2.19604</v>
      </c>
      <c r="FI159">
        <v>2.5769000000000002</v>
      </c>
      <c r="FJ159">
        <v>2.4462899999999999</v>
      </c>
      <c r="FK159">
        <v>2.2778299999999998</v>
      </c>
      <c r="FL159">
        <v>30.8902</v>
      </c>
      <c r="FM159">
        <v>24.157499999999999</v>
      </c>
      <c r="FN159">
        <v>19</v>
      </c>
      <c r="FO159">
        <v>864.59</v>
      </c>
      <c r="FP159">
        <v>588.03300000000002</v>
      </c>
      <c r="FQ159">
        <v>18.589400000000001</v>
      </c>
      <c r="FR159">
        <v>25.006</v>
      </c>
      <c r="FS159">
        <v>30.0001</v>
      </c>
      <c r="FT159">
        <v>24.998899999999999</v>
      </c>
      <c r="FU159">
        <v>25.001000000000001</v>
      </c>
      <c r="FV159">
        <v>24.8445</v>
      </c>
      <c r="FW159">
        <v>32.540399999999998</v>
      </c>
      <c r="FX159">
        <v>21.194400000000002</v>
      </c>
      <c r="FY159">
        <v>18.5931</v>
      </c>
      <c r="FZ159">
        <v>410</v>
      </c>
      <c r="GA159">
        <v>13.8903</v>
      </c>
      <c r="GB159">
        <v>99.921099999999996</v>
      </c>
      <c r="GC159">
        <v>99.683199999999999</v>
      </c>
    </row>
    <row r="160" spans="1:185" x14ac:dyDescent="0.2">
      <c r="A160">
        <v>145</v>
      </c>
      <c r="B160">
        <v>1771001593</v>
      </c>
      <c r="C160">
        <v>2969.9000000953702</v>
      </c>
      <c r="D160" t="s">
        <v>589</v>
      </c>
      <c r="E160" t="s">
        <v>590</v>
      </c>
      <c r="F160">
        <v>15</v>
      </c>
      <c r="G160">
        <v>1771001584.9333301</v>
      </c>
      <c r="H160">
        <f t="shared" si="26"/>
        <v>1.1932300800912041E-3</v>
      </c>
      <c r="I160">
        <v>0</v>
      </c>
      <c r="J160">
        <f t="shared" si="38"/>
        <v>-6.1633608802992362E-4</v>
      </c>
      <c r="K160">
        <f t="shared" si="27"/>
        <v>-1.1020862299920484E-2</v>
      </c>
      <c r="L160">
        <f t="shared" si="28"/>
        <v>69.80807791904347</v>
      </c>
      <c r="M160">
        <f t="shared" si="29"/>
        <v>1.5385086329355893</v>
      </c>
      <c r="N160">
        <f t="shared" si="30"/>
        <v>2.2039120382598125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26340.007340836179</v>
      </c>
      <c r="T160">
        <f t="shared" si="34"/>
        <v>100.001633333333</v>
      </c>
      <c r="U160">
        <f t="shared" si="35"/>
        <v>84.301276118353684</v>
      </c>
      <c r="V160">
        <f t="shared" si="36"/>
        <v>0.8429989922000003</v>
      </c>
      <c r="W160">
        <f t="shared" si="37"/>
        <v>0.15869762341200006</v>
      </c>
      <c r="X160">
        <v>1</v>
      </c>
      <c r="Y160">
        <v>1771001584.9333301</v>
      </c>
      <c r="Z160">
        <v>409.36599999999999</v>
      </c>
      <c r="AA160">
        <v>409.96280000000002</v>
      </c>
      <c r="AB160">
        <v>15.314966666666701</v>
      </c>
      <c r="AC160">
        <v>13.8462933333333</v>
      </c>
      <c r="AD160">
        <v>410.28680000000003</v>
      </c>
      <c r="AE160">
        <v>15.2141133333333</v>
      </c>
      <c r="AF160">
        <v>800.011666666667</v>
      </c>
      <c r="AG160">
        <v>100.393466666667</v>
      </c>
      <c r="AH160">
        <v>6.4383906666666699E-2</v>
      </c>
      <c r="AI160">
        <v>18.990780000000001</v>
      </c>
      <c r="AJ160">
        <v>999.9</v>
      </c>
      <c r="AK160">
        <v>999.9</v>
      </c>
      <c r="AL160">
        <v>0</v>
      </c>
      <c r="AM160">
        <v>0</v>
      </c>
      <c r="AN160">
        <v>5002.2666666666701</v>
      </c>
      <c r="AO160">
        <v>0</v>
      </c>
      <c r="AP160">
        <v>1.81040133333333</v>
      </c>
      <c r="AQ160">
        <v>-0.59653520000000004</v>
      </c>
      <c r="AR160">
        <v>415.733</v>
      </c>
      <c r="AS160">
        <v>415.71879999999999</v>
      </c>
      <c r="AT160">
        <v>1.468672</v>
      </c>
      <c r="AU160">
        <v>409.96280000000002</v>
      </c>
      <c r="AV160">
        <v>13.8462933333333</v>
      </c>
      <c r="AW160">
        <v>1.5375220000000001</v>
      </c>
      <c r="AX160">
        <v>1.3900779999999999</v>
      </c>
      <c r="AY160">
        <v>13.346493333333299</v>
      </c>
      <c r="AZ160">
        <v>11.809799999999999</v>
      </c>
      <c r="BA160">
        <v>100.001633333333</v>
      </c>
      <c r="BB160">
        <v>0.900031466666667</v>
      </c>
      <c r="BC160">
        <v>0</v>
      </c>
      <c r="BD160">
        <v>9.9968459999999995E-2</v>
      </c>
      <c r="BE160">
        <v>0</v>
      </c>
      <c r="BF160">
        <v>24</v>
      </c>
      <c r="BG160">
        <v>1648.92</v>
      </c>
      <c r="BH160">
        <v>1771001172</v>
      </c>
      <c r="BI160" t="s">
        <v>574</v>
      </c>
      <c r="BJ160">
        <v>1771001150</v>
      </c>
      <c r="BK160">
        <v>1771001172</v>
      </c>
      <c r="BL160">
        <v>7</v>
      </c>
      <c r="BM160">
        <v>4.2999999999999997E-2</v>
      </c>
      <c r="BN160">
        <v>-7.0000000000000001E-3</v>
      </c>
      <c r="BO160">
        <v>-0.92100000000000004</v>
      </c>
      <c r="BP160">
        <v>0.10100000000000001</v>
      </c>
      <c r="BQ160">
        <v>410</v>
      </c>
      <c r="BR160">
        <v>14</v>
      </c>
      <c r="BS160">
        <v>0.09</v>
      </c>
      <c r="BT160">
        <v>0.06</v>
      </c>
      <c r="BU160">
        <v>-0.59346310000000002</v>
      </c>
      <c r="BV160">
        <v>-0.16340138345864699</v>
      </c>
      <c r="BW160">
        <v>2.4203105498881699E-2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1.4771780000000001</v>
      </c>
      <c r="CD160">
        <v>-0.25668360902255599</v>
      </c>
      <c r="CE160">
        <v>2.71296182427988E-2</v>
      </c>
      <c r="CF160">
        <v>0</v>
      </c>
      <c r="CG160">
        <v>1</v>
      </c>
      <c r="CH160">
        <v>2</v>
      </c>
      <c r="CI160" t="s">
        <v>290</v>
      </c>
      <c r="CJ160">
        <v>3.5325799999999998</v>
      </c>
      <c r="CK160">
        <v>2.7021899999999999</v>
      </c>
      <c r="CL160">
        <v>9.8254300000000003E-2</v>
      </c>
      <c r="CM160">
        <v>9.6983899999999998E-2</v>
      </c>
      <c r="CN160">
        <v>8.7105600000000005E-2</v>
      </c>
      <c r="CO160">
        <v>8.0109700000000006E-2</v>
      </c>
      <c r="CP160">
        <v>31641.5</v>
      </c>
      <c r="CQ160">
        <v>27799</v>
      </c>
      <c r="CR160">
        <v>32474.400000000001</v>
      </c>
      <c r="CS160">
        <v>30709.5</v>
      </c>
      <c r="CT160">
        <v>40133.5</v>
      </c>
      <c r="CU160">
        <v>39719.800000000003</v>
      </c>
      <c r="CV160">
        <v>47417.1</v>
      </c>
      <c r="CW160">
        <v>46823.4</v>
      </c>
      <c r="CX160">
        <v>2.6307399999999999</v>
      </c>
      <c r="CY160">
        <v>2.1525799999999999</v>
      </c>
      <c r="CZ160">
        <v>0</v>
      </c>
      <c r="DA160">
        <v>0</v>
      </c>
      <c r="DB160">
        <v>999.9</v>
      </c>
      <c r="DC160">
        <v>999.9</v>
      </c>
      <c r="DD160">
        <v>58.405999999999999</v>
      </c>
      <c r="DE160">
        <v>25.911000000000001</v>
      </c>
      <c r="DF160">
        <v>19.526900000000001</v>
      </c>
      <c r="DG160">
        <v>30.030100000000001</v>
      </c>
      <c r="DH160">
        <v>16.4543</v>
      </c>
      <c r="DI160">
        <v>2</v>
      </c>
      <c r="DJ160">
        <v>-0.16001199999999999</v>
      </c>
      <c r="DK160">
        <v>1.6498299999999999</v>
      </c>
      <c r="DL160">
        <v>20.2376</v>
      </c>
      <c r="DM160">
        <v>5.2517899999999997</v>
      </c>
      <c r="DN160">
        <v>12.033899999999999</v>
      </c>
      <c r="DO160">
        <v>4.96692</v>
      </c>
      <c r="DP160">
        <v>3.2909999999999999</v>
      </c>
      <c r="DQ160">
        <v>9999</v>
      </c>
      <c r="DR160">
        <v>9999</v>
      </c>
      <c r="DS160">
        <v>597.1</v>
      </c>
      <c r="DT160">
        <v>9999</v>
      </c>
      <c r="DU160">
        <v>1.87104</v>
      </c>
      <c r="DV160">
        <v>1.8760699999999999</v>
      </c>
      <c r="DW160">
        <v>1.8762700000000001</v>
      </c>
      <c r="DX160">
        <v>1.88279</v>
      </c>
      <c r="DY160">
        <v>1.87561</v>
      </c>
      <c r="DZ160">
        <v>1.8746400000000001</v>
      </c>
      <c r="EA160">
        <v>1.8707499999999999</v>
      </c>
      <c r="EB160">
        <v>1.8746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-0.92100000000000004</v>
      </c>
      <c r="EQ160">
        <v>0.1009</v>
      </c>
      <c r="ER160">
        <v>-0.92059999999992204</v>
      </c>
      <c r="ES160">
        <v>0</v>
      </c>
      <c r="ET160">
        <v>0</v>
      </c>
      <c r="EU160">
        <v>0</v>
      </c>
      <c r="EV160">
        <v>0.100849999999996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7.4</v>
      </c>
      <c r="FE160">
        <v>7</v>
      </c>
      <c r="FF160">
        <v>1.2377899999999999</v>
      </c>
      <c r="FG160">
        <v>2.5891099999999998</v>
      </c>
      <c r="FH160">
        <v>2.19604</v>
      </c>
      <c r="FI160">
        <v>2.5769000000000002</v>
      </c>
      <c r="FJ160">
        <v>2.4462899999999999</v>
      </c>
      <c r="FK160">
        <v>2.2595200000000002</v>
      </c>
      <c r="FL160">
        <v>30.8902</v>
      </c>
      <c r="FM160">
        <v>24.148800000000001</v>
      </c>
      <c r="FN160">
        <v>19</v>
      </c>
      <c r="FO160">
        <v>864.63900000000001</v>
      </c>
      <c r="FP160">
        <v>588.06600000000003</v>
      </c>
      <c r="FQ160">
        <v>18.613099999999999</v>
      </c>
      <c r="FR160">
        <v>25.009399999999999</v>
      </c>
      <c r="FS160">
        <v>30.0002</v>
      </c>
      <c r="FT160">
        <v>25.0031</v>
      </c>
      <c r="FU160">
        <v>25.005199999999999</v>
      </c>
      <c r="FV160">
        <v>24.848199999999999</v>
      </c>
      <c r="FW160">
        <v>32.265300000000003</v>
      </c>
      <c r="FX160">
        <v>20.819700000000001</v>
      </c>
      <c r="FY160">
        <v>18.614799999999999</v>
      </c>
      <c r="FZ160">
        <v>410</v>
      </c>
      <c r="GA160">
        <v>13.8986</v>
      </c>
      <c r="GB160">
        <v>99.922300000000007</v>
      </c>
      <c r="GC160">
        <v>99.685100000000006</v>
      </c>
    </row>
    <row r="161" spans="1:185" x14ac:dyDescent="0.2">
      <c r="A161">
        <v>146</v>
      </c>
      <c r="B161">
        <v>1771001608</v>
      </c>
      <c r="C161">
        <v>2984.9000000953702</v>
      </c>
      <c r="D161" t="s">
        <v>591</v>
      </c>
      <c r="E161" t="s">
        <v>592</v>
      </c>
      <c r="F161">
        <v>15</v>
      </c>
      <c r="G161">
        <v>1771001599.9333301</v>
      </c>
      <c r="H161">
        <f t="shared" si="26"/>
        <v>1.1864149980183904E-3</v>
      </c>
      <c r="I161">
        <v>0</v>
      </c>
      <c r="J161">
        <f t="shared" si="38"/>
        <v>9.1349967473882852E-4</v>
      </c>
      <c r="K161">
        <f t="shared" si="27"/>
        <v>1.6334519950793457E-2</v>
      </c>
      <c r="L161">
        <f t="shared" si="28"/>
        <v>69.815281160780074</v>
      </c>
      <c r="M161">
        <f t="shared" si="29"/>
        <v>1.539091863402325</v>
      </c>
      <c r="N161">
        <f t="shared" si="30"/>
        <v>2.2045200388979254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26310.257051601897</v>
      </c>
      <c r="T161">
        <f t="shared" si="34"/>
        <v>99.999660000000006</v>
      </c>
      <c r="U161">
        <f t="shared" si="35"/>
        <v>84.299682520104952</v>
      </c>
      <c r="V161">
        <f t="shared" si="36"/>
        <v>0.8429996914000002</v>
      </c>
      <c r="W161">
        <f t="shared" si="37"/>
        <v>0.15869918952400003</v>
      </c>
      <c r="X161">
        <v>1</v>
      </c>
      <c r="Y161">
        <v>1771001599.9333301</v>
      </c>
      <c r="Z161">
        <v>409.38119999999998</v>
      </c>
      <c r="AA161">
        <v>410.008733333333</v>
      </c>
      <c r="AB161">
        <v>15.3207</v>
      </c>
      <c r="AC161">
        <v>13.8604133333333</v>
      </c>
      <c r="AD161">
        <v>410.30186666666702</v>
      </c>
      <c r="AE161">
        <v>15.2198666666667</v>
      </c>
      <c r="AF161">
        <v>800.00613333333399</v>
      </c>
      <c r="AG161">
        <v>100.393733333333</v>
      </c>
      <c r="AH161">
        <v>6.4591899999999994E-2</v>
      </c>
      <c r="AI161">
        <v>18.995200000000001</v>
      </c>
      <c r="AJ161">
        <v>999.9</v>
      </c>
      <c r="AK161">
        <v>999.9</v>
      </c>
      <c r="AL161">
        <v>0</v>
      </c>
      <c r="AM161">
        <v>0</v>
      </c>
      <c r="AN161">
        <v>4997.4333333333298</v>
      </c>
      <c r="AO161">
        <v>0</v>
      </c>
      <c r="AP161">
        <v>1.8105519999999999</v>
      </c>
      <c r="AQ161">
        <v>-0.62765106666666703</v>
      </c>
      <c r="AR161">
        <v>415.75080000000003</v>
      </c>
      <c r="AS161">
        <v>415.77159999999998</v>
      </c>
      <c r="AT161">
        <v>1.4602993333333301</v>
      </c>
      <c r="AU161">
        <v>410.008733333333</v>
      </c>
      <c r="AV161">
        <v>13.8604133333333</v>
      </c>
      <c r="AW161">
        <v>1.53810333333333</v>
      </c>
      <c r="AX161">
        <v>1.3914966666666699</v>
      </c>
      <c r="AY161">
        <v>13.3522866666667</v>
      </c>
      <c r="AZ161">
        <v>11.8253</v>
      </c>
      <c r="BA161">
        <v>99.999660000000006</v>
      </c>
      <c r="BB161">
        <v>0.90001086666666696</v>
      </c>
      <c r="BC161">
        <v>0</v>
      </c>
      <c r="BD161">
        <v>9.9989153333333303E-2</v>
      </c>
      <c r="BE161">
        <v>0</v>
      </c>
      <c r="BF161">
        <v>24</v>
      </c>
      <c r="BG161">
        <v>1648.8773333333299</v>
      </c>
      <c r="BH161">
        <v>1771001172</v>
      </c>
      <c r="BI161" t="s">
        <v>574</v>
      </c>
      <c r="BJ161">
        <v>1771001150</v>
      </c>
      <c r="BK161">
        <v>1771001172</v>
      </c>
      <c r="BL161">
        <v>7</v>
      </c>
      <c r="BM161">
        <v>4.2999999999999997E-2</v>
      </c>
      <c r="BN161">
        <v>-7.0000000000000001E-3</v>
      </c>
      <c r="BO161">
        <v>-0.92100000000000004</v>
      </c>
      <c r="BP161">
        <v>0.10100000000000001</v>
      </c>
      <c r="BQ161">
        <v>410</v>
      </c>
      <c r="BR161">
        <v>14</v>
      </c>
      <c r="BS161">
        <v>0.09</v>
      </c>
      <c r="BT161">
        <v>0.06</v>
      </c>
      <c r="BU161">
        <v>-0.62571066666666697</v>
      </c>
      <c r="BV161">
        <v>4.2327662337661401E-2</v>
      </c>
      <c r="BW161">
        <v>2.1945362843148901E-2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1.45573333333333</v>
      </c>
      <c r="CD161">
        <v>7.0876363636364195E-2</v>
      </c>
      <c r="CE161">
        <v>8.3804553424042302E-3</v>
      </c>
      <c r="CF161">
        <v>1</v>
      </c>
      <c r="CG161">
        <v>2</v>
      </c>
      <c r="CH161">
        <v>2</v>
      </c>
      <c r="CI161" t="s">
        <v>304</v>
      </c>
      <c r="CJ161">
        <v>3.5325299999999999</v>
      </c>
      <c r="CK161">
        <v>2.70262</v>
      </c>
      <c r="CL161">
        <v>9.8259100000000002E-2</v>
      </c>
      <c r="CM161">
        <v>9.6984899999999999E-2</v>
      </c>
      <c r="CN161">
        <v>8.7086999999999998E-2</v>
      </c>
      <c r="CO161">
        <v>8.0043900000000001E-2</v>
      </c>
      <c r="CP161">
        <v>31640.5</v>
      </c>
      <c r="CQ161">
        <v>27798.6</v>
      </c>
      <c r="CR161">
        <v>32473.599999999999</v>
      </c>
      <c r="CS161">
        <v>30709.200000000001</v>
      </c>
      <c r="CT161">
        <v>40133.699999999997</v>
      </c>
      <c r="CU161">
        <v>39722.400000000001</v>
      </c>
      <c r="CV161">
        <v>47416.3</v>
      </c>
      <c r="CW161">
        <v>46823</v>
      </c>
      <c r="CX161">
        <v>2.63056</v>
      </c>
      <c r="CY161">
        <v>2.1522399999999999</v>
      </c>
      <c r="CZ161">
        <v>0</v>
      </c>
      <c r="DA161">
        <v>0</v>
      </c>
      <c r="DB161">
        <v>999.9</v>
      </c>
      <c r="DC161">
        <v>999.9</v>
      </c>
      <c r="DD161">
        <v>58.314</v>
      </c>
      <c r="DE161">
        <v>25.920999999999999</v>
      </c>
      <c r="DF161">
        <v>19.509</v>
      </c>
      <c r="DG161">
        <v>30.270099999999999</v>
      </c>
      <c r="DH161">
        <v>16.330100000000002</v>
      </c>
      <c r="DI161">
        <v>2</v>
      </c>
      <c r="DJ161">
        <v>-0.15972800000000001</v>
      </c>
      <c r="DK161">
        <v>1.64717</v>
      </c>
      <c r="DL161">
        <v>20.2377</v>
      </c>
      <c r="DM161">
        <v>5.2510700000000003</v>
      </c>
      <c r="DN161">
        <v>12.033899999999999</v>
      </c>
      <c r="DO161">
        <v>4.9660399999999996</v>
      </c>
      <c r="DP161">
        <v>3.2909999999999999</v>
      </c>
      <c r="DQ161">
        <v>9999</v>
      </c>
      <c r="DR161">
        <v>9999</v>
      </c>
      <c r="DS161">
        <v>597.20000000000005</v>
      </c>
      <c r="DT161">
        <v>9999</v>
      </c>
      <c r="DU161">
        <v>1.8710599999999999</v>
      </c>
      <c r="DV161">
        <v>1.8761099999999999</v>
      </c>
      <c r="DW161">
        <v>1.8763099999999999</v>
      </c>
      <c r="DX161">
        <v>1.8828</v>
      </c>
      <c r="DY161">
        <v>1.87561</v>
      </c>
      <c r="DZ161">
        <v>1.8746799999999999</v>
      </c>
      <c r="EA161">
        <v>1.8708</v>
      </c>
      <c r="EB161">
        <v>1.87466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-0.92100000000000004</v>
      </c>
      <c r="EQ161">
        <v>0.1009</v>
      </c>
      <c r="ER161">
        <v>-0.92059999999992204</v>
      </c>
      <c r="ES161">
        <v>0</v>
      </c>
      <c r="ET161">
        <v>0</v>
      </c>
      <c r="EU161">
        <v>0</v>
      </c>
      <c r="EV161">
        <v>0.100849999999996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7.6</v>
      </c>
      <c r="FE161">
        <v>7.3</v>
      </c>
      <c r="FF161">
        <v>1.2377899999999999</v>
      </c>
      <c r="FG161">
        <v>2.5842299999999998</v>
      </c>
      <c r="FH161">
        <v>2.19604</v>
      </c>
      <c r="FI161">
        <v>2.5769000000000002</v>
      </c>
      <c r="FJ161">
        <v>2.4462899999999999</v>
      </c>
      <c r="FK161">
        <v>2.2839399999999999</v>
      </c>
      <c r="FL161">
        <v>30.911899999999999</v>
      </c>
      <c r="FM161">
        <v>24.157499999999999</v>
      </c>
      <c r="FN161">
        <v>19</v>
      </c>
      <c r="FO161">
        <v>864.52</v>
      </c>
      <c r="FP161">
        <v>587.83399999999995</v>
      </c>
      <c r="FQ161">
        <v>18.6264</v>
      </c>
      <c r="FR161">
        <v>25.0124</v>
      </c>
      <c r="FS161">
        <v>30</v>
      </c>
      <c r="FT161">
        <v>25.0061</v>
      </c>
      <c r="FU161">
        <v>25.008099999999999</v>
      </c>
      <c r="FV161">
        <v>24.847899999999999</v>
      </c>
      <c r="FW161">
        <v>32.265300000000003</v>
      </c>
      <c r="FX161">
        <v>20.819700000000001</v>
      </c>
      <c r="FY161">
        <v>18.6267</v>
      </c>
      <c r="FZ161">
        <v>410</v>
      </c>
      <c r="GA161">
        <v>13.914899999999999</v>
      </c>
      <c r="GB161">
        <v>99.920299999999997</v>
      </c>
      <c r="GC161">
        <v>99.684200000000004</v>
      </c>
    </row>
    <row r="162" spans="1:185" x14ac:dyDescent="0.2">
      <c r="A162">
        <v>147</v>
      </c>
      <c r="B162">
        <v>1771001623</v>
      </c>
      <c r="C162">
        <v>2999.9000000953702</v>
      </c>
      <c r="D162" t="s">
        <v>593</v>
      </c>
      <c r="E162" t="s">
        <v>594</v>
      </c>
      <c r="F162">
        <v>15</v>
      </c>
      <c r="G162">
        <v>1771001614.9333301</v>
      </c>
      <c r="H162">
        <f t="shared" si="26"/>
        <v>1.1963483432326256E-3</v>
      </c>
      <c r="I162">
        <v>0</v>
      </c>
      <c r="J162">
        <f t="shared" si="38"/>
        <v>-9.1003077127924689E-4</v>
      </c>
      <c r="K162">
        <f t="shared" si="27"/>
        <v>-1.6272491606027912E-2</v>
      </c>
      <c r="L162">
        <f t="shared" si="28"/>
        <v>69.807616107852795</v>
      </c>
      <c r="M162">
        <f t="shared" si="29"/>
        <v>1.5392571251975449</v>
      </c>
      <c r="N162">
        <f t="shared" si="30"/>
        <v>2.2049988396959321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26290.745841848991</v>
      </c>
      <c r="T162">
        <f t="shared" si="34"/>
        <v>100.00072666666701</v>
      </c>
      <c r="U162">
        <f t="shared" si="35"/>
        <v>84.30055729959858</v>
      </c>
      <c r="V162">
        <f t="shared" si="36"/>
        <v>0.84299944719999997</v>
      </c>
      <c r="W162">
        <f t="shared" si="37"/>
        <v>0.158698955792</v>
      </c>
      <c r="X162">
        <v>1</v>
      </c>
      <c r="Y162">
        <v>1771001614.9333301</v>
      </c>
      <c r="Z162">
        <v>409.38979999999998</v>
      </c>
      <c r="AA162">
        <v>409.98166666666702</v>
      </c>
      <c r="AB162">
        <v>15.322433333333301</v>
      </c>
      <c r="AC162">
        <v>13.849933333333301</v>
      </c>
      <c r="AD162">
        <v>410.31053333333301</v>
      </c>
      <c r="AE162">
        <v>15.221579999999999</v>
      </c>
      <c r="AF162">
        <v>800.01179999999999</v>
      </c>
      <c r="AG162">
        <v>100.393266666667</v>
      </c>
      <c r="AH162">
        <v>6.4479939999999999E-2</v>
      </c>
      <c r="AI162">
        <v>18.99868</v>
      </c>
      <c r="AJ162">
        <v>999.9</v>
      </c>
      <c r="AK162">
        <v>999.9</v>
      </c>
      <c r="AL162">
        <v>0</v>
      </c>
      <c r="AM162">
        <v>0</v>
      </c>
      <c r="AN162">
        <v>4994.3</v>
      </c>
      <c r="AO162">
        <v>0</v>
      </c>
      <c r="AP162">
        <v>1.80671</v>
      </c>
      <c r="AQ162">
        <v>-0.59175613333333299</v>
      </c>
      <c r="AR162">
        <v>415.76026666666701</v>
      </c>
      <c r="AS162">
        <v>415.73953333333299</v>
      </c>
      <c r="AT162">
        <v>1.47250066666667</v>
      </c>
      <c r="AU162">
        <v>409.98166666666702</v>
      </c>
      <c r="AV162">
        <v>13.849933333333301</v>
      </c>
      <c r="AW162">
        <v>1.5382706666666699</v>
      </c>
      <c r="AX162">
        <v>1.3904413333333301</v>
      </c>
      <c r="AY162">
        <v>13.353960000000001</v>
      </c>
      <c r="AZ162">
        <v>11.813800000000001</v>
      </c>
      <c r="BA162">
        <v>100.00072666666701</v>
      </c>
      <c r="BB162">
        <v>0.90001339999999996</v>
      </c>
      <c r="BC162">
        <v>0</v>
      </c>
      <c r="BD162">
        <v>9.9986426666666697E-2</v>
      </c>
      <c r="BE162">
        <v>0</v>
      </c>
      <c r="BF162">
        <v>24</v>
      </c>
      <c r="BG162">
        <v>1648.896</v>
      </c>
      <c r="BH162">
        <v>1771001172</v>
      </c>
      <c r="BI162" t="s">
        <v>574</v>
      </c>
      <c r="BJ162">
        <v>1771001150</v>
      </c>
      <c r="BK162">
        <v>1771001172</v>
      </c>
      <c r="BL162">
        <v>7</v>
      </c>
      <c r="BM162">
        <v>4.2999999999999997E-2</v>
      </c>
      <c r="BN162">
        <v>-7.0000000000000001E-3</v>
      </c>
      <c r="BO162">
        <v>-0.92100000000000004</v>
      </c>
      <c r="BP162">
        <v>0.10100000000000001</v>
      </c>
      <c r="BQ162">
        <v>410</v>
      </c>
      <c r="BR162">
        <v>14</v>
      </c>
      <c r="BS162">
        <v>0.09</v>
      </c>
      <c r="BT162">
        <v>0.06</v>
      </c>
      <c r="BU162">
        <v>-0.59912259999999995</v>
      </c>
      <c r="BV162">
        <v>0.12148204511278</v>
      </c>
      <c r="BW162">
        <v>2.2470525887037001E-2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1.4698184999999999</v>
      </c>
      <c r="CD162">
        <v>8.7380300751881301E-2</v>
      </c>
      <c r="CE162">
        <v>9.9294819980701894E-3</v>
      </c>
      <c r="CF162">
        <v>1</v>
      </c>
      <c r="CG162">
        <v>2</v>
      </c>
      <c r="CH162">
        <v>2</v>
      </c>
      <c r="CI162" t="s">
        <v>304</v>
      </c>
      <c r="CJ162">
        <v>3.5325199999999999</v>
      </c>
      <c r="CK162">
        <v>2.7019600000000001</v>
      </c>
      <c r="CL162">
        <v>9.8252900000000004E-2</v>
      </c>
      <c r="CM162">
        <v>9.6979399999999993E-2</v>
      </c>
      <c r="CN162">
        <v>8.7094500000000005E-2</v>
      </c>
      <c r="CO162">
        <v>8.0006400000000005E-2</v>
      </c>
      <c r="CP162">
        <v>31640.9</v>
      </c>
      <c r="CQ162">
        <v>27799.5</v>
      </c>
      <c r="CR162">
        <v>32473.8</v>
      </c>
      <c r="CS162">
        <v>30710</v>
      </c>
      <c r="CT162">
        <v>40133.4</v>
      </c>
      <c r="CU162">
        <v>39725</v>
      </c>
      <c r="CV162">
        <v>47416.4</v>
      </c>
      <c r="CW162">
        <v>46824.1</v>
      </c>
      <c r="CX162">
        <v>2.6305200000000002</v>
      </c>
      <c r="CY162">
        <v>2.15232</v>
      </c>
      <c r="CZ162">
        <v>0</v>
      </c>
      <c r="DA162">
        <v>0</v>
      </c>
      <c r="DB162">
        <v>999.9</v>
      </c>
      <c r="DC162">
        <v>999.9</v>
      </c>
      <c r="DD162">
        <v>58.192</v>
      </c>
      <c r="DE162">
        <v>25.942</v>
      </c>
      <c r="DF162">
        <v>19.491599999999998</v>
      </c>
      <c r="DG162">
        <v>30.540099999999999</v>
      </c>
      <c r="DH162">
        <v>16.27</v>
      </c>
      <c r="DI162">
        <v>2</v>
      </c>
      <c r="DJ162">
        <v>-0.15967500000000001</v>
      </c>
      <c r="DK162">
        <v>1.65303</v>
      </c>
      <c r="DL162">
        <v>20.237300000000001</v>
      </c>
      <c r="DM162">
        <v>5.2508299999999997</v>
      </c>
      <c r="DN162">
        <v>12.033899999999999</v>
      </c>
      <c r="DO162">
        <v>4.9660000000000002</v>
      </c>
      <c r="DP162">
        <v>3.2909999999999999</v>
      </c>
      <c r="DQ162">
        <v>9999</v>
      </c>
      <c r="DR162">
        <v>9999</v>
      </c>
      <c r="DS162">
        <v>597.20000000000005</v>
      </c>
      <c r="DT162">
        <v>9999</v>
      </c>
      <c r="DU162">
        <v>1.87107</v>
      </c>
      <c r="DV162">
        <v>1.87612</v>
      </c>
      <c r="DW162">
        <v>1.87629</v>
      </c>
      <c r="DX162">
        <v>1.88279</v>
      </c>
      <c r="DY162">
        <v>1.8755999999999999</v>
      </c>
      <c r="DZ162">
        <v>1.8746499999999999</v>
      </c>
      <c r="EA162">
        <v>1.87079</v>
      </c>
      <c r="EB162">
        <v>1.8746499999999999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-0.92</v>
      </c>
      <c r="EQ162">
        <v>0.1009</v>
      </c>
      <c r="ER162">
        <v>-0.92059999999992204</v>
      </c>
      <c r="ES162">
        <v>0</v>
      </c>
      <c r="ET162">
        <v>0</v>
      </c>
      <c r="EU162">
        <v>0</v>
      </c>
      <c r="EV162">
        <v>0.100849999999996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7.9</v>
      </c>
      <c r="FE162">
        <v>7.5</v>
      </c>
      <c r="FF162">
        <v>1.2377899999999999</v>
      </c>
      <c r="FG162">
        <v>2.5842299999999998</v>
      </c>
      <c r="FH162">
        <v>2.19604</v>
      </c>
      <c r="FI162">
        <v>2.5769000000000002</v>
      </c>
      <c r="FJ162">
        <v>2.4462899999999999</v>
      </c>
      <c r="FK162">
        <v>2.3071299999999999</v>
      </c>
      <c r="FL162">
        <v>30.911899999999999</v>
      </c>
      <c r="FM162">
        <v>24.157499999999999</v>
      </c>
      <c r="FN162">
        <v>19</v>
      </c>
      <c r="FO162">
        <v>864.53700000000003</v>
      </c>
      <c r="FP162">
        <v>587.93600000000004</v>
      </c>
      <c r="FQ162">
        <v>18.630800000000001</v>
      </c>
      <c r="FR162">
        <v>25.014399999999998</v>
      </c>
      <c r="FS162">
        <v>30</v>
      </c>
      <c r="FT162">
        <v>25.009399999999999</v>
      </c>
      <c r="FU162">
        <v>25.011500000000002</v>
      </c>
      <c r="FV162">
        <v>24.85</v>
      </c>
      <c r="FW162">
        <v>31.992799999999999</v>
      </c>
      <c r="FX162">
        <v>20.438099999999999</v>
      </c>
      <c r="FY162">
        <v>18.630500000000001</v>
      </c>
      <c r="FZ162">
        <v>410</v>
      </c>
      <c r="GA162">
        <v>13.9251</v>
      </c>
      <c r="GB162">
        <v>99.920599999999993</v>
      </c>
      <c r="GC162">
        <v>99.686599999999999</v>
      </c>
    </row>
    <row r="163" spans="1:185" x14ac:dyDescent="0.2">
      <c r="A163">
        <v>148</v>
      </c>
      <c r="B163">
        <v>1771001638</v>
      </c>
      <c r="C163">
        <v>3014.9000000953702</v>
      </c>
      <c r="D163" t="s">
        <v>595</v>
      </c>
      <c r="E163" t="s">
        <v>596</v>
      </c>
      <c r="F163">
        <v>15</v>
      </c>
      <c r="G163">
        <v>1771001629.9333301</v>
      </c>
      <c r="H163">
        <f t="shared" si="26"/>
        <v>1.1754074980374805E-3</v>
      </c>
      <c r="I163">
        <v>0</v>
      </c>
      <c r="J163">
        <f t="shared" si="38"/>
        <v>4.3754230157099037E-4</v>
      </c>
      <c r="K163">
        <f t="shared" si="27"/>
        <v>7.8238051440694643E-3</v>
      </c>
      <c r="L163">
        <f t="shared" si="28"/>
        <v>69.759823074429022</v>
      </c>
      <c r="M163">
        <f t="shared" si="29"/>
        <v>1.5385424839593131</v>
      </c>
      <c r="N163">
        <f t="shared" si="30"/>
        <v>2.2054850717121117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26328.348782451601</v>
      </c>
      <c r="T163">
        <f t="shared" si="34"/>
        <v>99.999706666666697</v>
      </c>
      <c r="U163">
        <f t="shared" si="35"/>
        <v>84.299715920108028</v>
      </c>
      <c r="V163">
        <f t="shared" si="36"/>
        <v>0.8429996320000005</v>
      </c>
      <c r="W163">
        <f t="shared" si="37"/>
        <v>0.15869920992000011</v>
      </c>
      <c r="X163">
        <v>1</v>
      </c>
      <c r="Y163">
        <v>1771001629.9333301</v>
      </c>
      <c r="Z163">
        <v>409.38206666666701</v>
      </c>
      <c r="AA163">
        <v>409.993333333333</v>
      </c>
      <c r="AB163">
        <v>15.3154866666667</v>
      </c>
      <c r="AC163">
        <v>13.868733333333299</v>
      </c>
      <c r="AD163">
        <v>410.30239999999998</v>
      </c>
      <c r="AE163">
        <v>15.214639999999999</v>
      </c>
      <c r="AF163">
        <v>800.00199999999995</v>
      </c>
      <c r="AG163">
        <v>100.39239999999999</v>
      </c>
      <c r="AH163">
        <v>6.4250020000000005E-2</v>
      </c>
      <c r="AI163">
        <v>19.002213333333302</v>
      </c>
      <c r="AJ163">
        <v>999.9</v>
      </c>
      <c r="AK163">
        <v>999.9</v>
      </c>
      <c r="AL163">
        <v>0</v>
      </c>
      <c r="AM163">
        <v>0</v>
      </c>
      <c r="AN163">
        <v>5000.5666666666702</v>
      </c>
      <c r="AO163">
        <v>0</v>
      </c>
      <c r="AP163">
        <v>1.8125853333333299</v>
      </c>
      <c r="AQ163">
        <v>-0.61143206666666605</v>
      </c>
      <c r="AR163">
        <v>415.74939999999998</v>
      </c>
      <c r="AS163">
        <v>415.75946666666698</v>
      </c>
      <c r="AT163">
        <v>1.4467620000000001</v>
      </c>
      <c r="AU163">
        <v>409.993333333333</v>
      </c>
      <c r="AV163">
        <v>13.868733333333299</v>
      </c>
      <c r="AW163">
        <v>1.53755666666667</v>
      </c>
      <c r="AX163">
        <v>1.3923113333333299</v>
      </c>
      <c r="AY163">
        <v>13.3468466666667</v>
      </c>
      <c r="AZ163">
        <v>11.83418</v>
      </c>
      <c r="BA163">
        <v>99.999706666666697</v>
      </c>
      <c r="BB163">
        <v>0.90001033333333402</v>
      </c>
      <c r="BC163">
        <v>0</v>
      </c>
      <c r="BD163">
        <v>9.9989599999999998E-2</v>
      </c>
      <c r="BE163">
        <v>0</v>
      </c>
      <c r="BF163">
        <v>24</v>
      </c>
      <c r="BG163">
        <v>1648.8786666666699</v>
      </c>
      <c r="BH163">
        <v>1771001172</v>
      </c>
      <c r="BI163" t="s">
        <v>574</v>
      </c>
      <c r="BJ163">
        <v>1771001150</v>
      </c>
      <c r="BK163">
        <v>1771001172</v>
      </c>
      <c r="BL163">
        <v>7</v>
      </c>
      <c r="BM163">
        <v>4.2999999999999997E-2</v>
      </c>
      <c r="BN163">
        <v>-7.0000000000000001E-3</v>
      </c>
      <c r="BO163">
        <v>-0.92100000000000004</v>
      </c>
      <c r="BP163">
        <v>0.10100000000000001</v>
      </c>
      <c r="BQ163">
        <v>410</v>
      </c>
      <c r="BR163">
        <v>14</v>
      </c>
      <c r="BS163">
        <v>0.09</v>
      </c>
      <c r="BT163">
        <v>0.06</v>
      </c>
      <c r="BU163">
        <v>-0.60530899999999999</v>
      </c>
      <c r="BV163">
        <v>-1.8477662337662501E-2</v>
      </c>
      <c r="BW163">
        <v>2.7781320519542001E-2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1.4564928571428599</v>
      </c>
      <c r="CD163">
        <v>-0.149417142857145</v>
      </c>
      <c r="CE163">
        <v>1.7995455548781299E-2</v>
      </c>
      <c r="CF163">
        <v>0</v>
      </c>
      <c r="CG163">
        <v>1</v>
      </c>
      <c r="CH163">
        <v>2</v>
      </c>
      <c r="CI163" t="s">
        <v>290</v>
      </c>
      <c r="CJ163">
        <v>3.5325199999999999</v>
      </c>
      <c r="CK163">
        <v>2.7024499999999998</v>
      </c>
      <c r="CL163">
        <v>9.8257300000000006E-2</v>
      </c>
      <c r="CM163">
        <v>9.6981999999999999E-2</v>
      </c>
      <c r="CN163">
        <v>8.7078100000000005E-2</v>
      </c>
      <c r="CO163">
        <v>8.0047099999999996E-2</v>
      </c>
      <c r="CP163">
        <v>31640.9</v>
      </c>
      <c r="CQ163">
        <v>27799.4</v>
      </c>
      <c r="CR163">
        <v>32473.8</v>
      </c>
      <c r="CS163">
        <v>30710</v>
      </c>
      <c r="CT163">
        <v>40134.199999999997</v>
      </c>
      <c r="CU163">
        <v>39723.5</v>
      </c>
      <c r="CV163">
        <v>47416.5</v>
      </c>
      <c r="CW163">
        <v>46824.4</v>
      </c>
      <c r="CX163">
        <v>2.6304799999999999</v>
      </c>
      <c r="CY163">
        <v>2.1518799999999998</v>
      </c>
      <c r="CZ163">
        <v>0</v>
      </c>
      <c r="DA163">
        <v>0</v>
      </c>
      <c r="DB163">
        <v>999.9</v>
      </c>
      <c r="DC163">
        <v>999.9</v>
      </c>
      <c r="DD163">
        <v>58.082000000000001</v>
      </c>
      <c r="DE163">
        <v>25.972000000000001</v>
      </c>
      <c r="DF163">
        <v>19.489899999999999</v>
      </c>
      <c r="DG163">
        <v>30.330100000000002</v>
      </c>
      <c r="DH163">
        <v>16.402200000000001</v>
      </c>
      <c r="DI163">
        <v>2</v>
      </c>
      <c r="DJ163">
        <v>-0.159081</v>
      </c>
      <c r="DK163">
        <v>1.7555099999999999</v>
      </c>
      <c r="DL163">
        <v>20.2362</v>
      </c>
      <c r="DM163">
        <v>5.2486800000000002</v>
      </c>
      <c r="DN163">
        <v>12.033899999999999</v>
      </c>
      <c r="DO163">
        <v>4.9657200000000001</v>
      </c>
      <c r="DP163">
        <v>3.2909999999999999</v>
      </c>
      <c r="DQ163">
        <v>9999</v>
      </c>
      <c r="DR163">
        <v>9999</v>
      </c>
      <c r="DS163">
        <v>597.20000000000005</v>
      </c>
      <c r="DT163">
        <v>9999</v>
      </c>
      <c r="DU163">
        <v>1.8710599999999999</v>
      </c>
      <c r="DV163">
        <v>1.87608</v>
      </c>
      <c r="DW163">
        <v>1.87625</v>
      </c>
      <c r="DX163">
        <v>1.8827799999999999</v>
      </c>
      <c r="DY163">
        <v>1.8755900000000001</v>
      </c>
      <c r="DZ163">
        <v>1.8746400000000001</v>
      </c>
      <c r="EA163">
        <v>1.87076</v>
      </c>
      <c r="EB163">
        <v>1.8746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-0.92100000000000004</v>
      </c>
      <c r="EQ163">
        <v>0.1009</v>
      </c>
      <c r="ER163">
        <v>-0.92059999999992204</v>
      </c>
      <c r="ES163">
        <v>0</v>
      </c>
      <c r="ET163">
        <v>0</v>
      </c>
      <c r="EU163">
        <v>0</v>
      </c>
      <c r="EV163">
        <v>0.100849999999996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8.1</v>
      </c>
      <c r="FE163">
        <v>7.8</v>
      </c>
      <c r="FF163">
        <v>1.2377899999999999</v>
      </c>
      <c r="FG163">
        <v>2.5903299999999998</v>
      </c>
      <c r="FH163">
        <v>2.19604</v>
      </c>
      <c r="FI163">
        <v>2.5769000000000002</v>
      </c>
      <c r="FJ163">
        <v>2.4462899999999999</v>
      </c>
      <c r="FK163">
        <v>2.2741699999999998</v>
      </c>
      <c r="FL163">
        <v>30.911899999999999</v>
      </c>
      <c r="FM163">
        <v>24.148800000000001</v>
      </c>
      <c r="FN163">
        <v>19</v>
      </c>
      <c r="FO163">
        <v>864.53399999999999</v>
      </c>
      <c r="FP163">
        <v>587.61699999999996</v>
      </c>
      <c r="FQ163">
        <v>18.566299999999998</v>
      </c>
      <c r="FR163">
        <v>25.0166</v>
      </c>
      <c r="FS163">
        <v>30</v>
      </c>
      <c r="FT163">
        <v>25.011500000000002</v>
      </c>
      <c r="FU163">
        <v>25.013500000000001</v>
      </c>
      <c r="FV163">
        <v>24.8505</v>
      </c>
      <c r="FW163">
        <v>31.709599999999998</v>
      </c>
      <c r="FX163">
        <v>20.0623</v>
      </c>
      <c r="FY163">
        <v>18.569700000000001</v>
      </c>
      <c r="FZ163">
        <v>410</v>
      </c>
      <c r="GA163">
        <v>13.941800000000001</v>
      </c>
      <c r="GB163">
        <v>99.9208</v>
      </c>
      <c r="GC163">
        <v>99.687100000000001</v>
      </c>
    </row>
    <row r="164" spans="1:185" x14ac:dyDescent="0.2">
      <c r="A164">
        <v>149</v>
      </c>
      <c r="B164">
        <v>1771001653</v>
      </c>
      <c r="C164">
        <v>3029.9000000953702</v>
      </c>
      <c r="D164" t="s">
        <v>597</v>
      </c>
      <c r="E164" t="s">
        <v>598</v>
      </c>
      <c r="F164">
        <v>15</v>
      </c>
      <c r="G164">
        <v>1771001644.9333301</v>
      </c>
      <c r="H164">
        <f t="shared" si="26"/>
        <v>1.1696984705096886E-3</v>
      </c>
      <c r="I164">
        <v>0</v>
      </c>
      <c r="J164">
        <f t="shared" si="38"/>
        <v>6.1571188432244027E-4</v>
      </c>
      <c r="K164">
        <f t="shared" si="27"/>
        <v>1.1009700754716693E-2</v>
      </c>
      <c r="L164">
        <f t="shared" si="28"/>
        <v>69.810216240138899</v>
      </c>
      <c r="M164">
        <f t="shared" si="29"/>
        <v>1.5394374173111893</v>
      </c>
      <c r="N164">
        <f t="shared" si="30"/>
        <v>2.2051749732671024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26307.183477718463</v>
      </c>
      <c r="T164">
        <f t="shared" si="34"/>
        <v>99.999213333333302</v>
      </c>
      <c r="U164">
        <f t="shared" si="35"/>
        <v>84.299299740291886</v>
      </c>
      <c r="V164">
        <f t="shared" si="36"/>
        <v>0.84299962900000058</v>
      </c>
      <c r="W164">
        <f t="shared" si="37"/>
        <v>0.1586990075400001</v>
      </c>
      <c r="X164">
        <v>1</v>
      </c>
      <c r="Y164">
        <v>1771001644.9333301</v>
      </c>
      <c r="Z164">
        <v>409.38799999999998</v>
      </c>
      <c r="AA164">
        <v>410.000333333333</v>
      </c>
      <c r="AB164">
        <v>15.32428</v>
      </c>
      <c r="AC164">
        <v>13.8845733333333</v>
      </c>
      <c r="AD164">
        <v>410.308533333333</v>
      </c>
      <c r="AE164">
        <v>15.223433333333301</v>
      </c>
      <c r="AF164">
        <v>800.00580000000002</v>
      </c>
      <c r="AG164">
        <v>100.392933333333</v>
      </c>
      <c r="AH164">
        <v>6.4472646666666703E-2</v>
      </c>
      <c r="AI164">
        <v>18.999960000000002</v>
      </c>
      <c r="AJ164">
        <v>999.9</v>
      </c>
      <c r="AK164">
        <v>999.9</v>
      </c>
      <c r="AL164">
        <v>0</v>
      </c>
      <c r="AM164">
        <v>0</v>
      </c>
      <c r="AN164">
        <v>4997.0333333333301</v>
      </c>
      <c r="AO164">
        <v>0</v>
      </c>
      <c r="AP164">
        <v>1.81514333333333</v>
      </c>
      <c r="AQ164">
        <v>-0.61241060000000003</v>
      </c>
      <c r="AR164">
        <v>415.75940000000003</v>
      </c>
      <c r="AS164">
        <v>415.77326666666698</v>
      </c>
      <c r="AT164">
        <v>1.4397139999999999</v>
      </c>
      <c r="AU164">
        <v>410.000333333333</v>
      </c>
      <c r="AV164">
        <v>13.8845733333333</v>
      </c>
      <c r="AW164">
        <v>1.53845066666667</v>
      </c>
      <c r="AX164">
        <v>1.3939140000000001</v>
      </c>
      <c r="AY164">
        <v>13.355740000000001</v>
      </c>
      <c r="AZ164">
        <v>11.85158</v>
      </c>
      <c r="BA164">
        <v>99.999213333333302</v>
      </c>
      <c r="BB164">
        <v>0.900013333333334</v>
      </c>
      <c r="BC164">
        <v>0</v>
      </c>
      <c r="BD164">
        <v>9.9986699999999998E-2</v>
      </c>
      <c r="BE164">
        <v>0</v>
      </c>
      <c r="BF164">
        <v>24</v>
      </c>
      <c r="BG164">
        <v>1648.8713333333301</v>
      </c>
      <c r="BH164">
        <v>1771001172</v>
      </c>
      <c r="BI164" t="s">
        <v>574</v>
      </c>
      <c r="BJ164">
        <v>1771001150</v>
      </c>
      <c r="BK164">
        <v>1771001172</v>
      </c>
      <c r="BL164">
        <v>7</v>
      </c>
      <c r="BM164">
        <v>4.2999999999999997E-2</v>
      </c>
      <c r="BN164">
        <v>-7.0000000000000001E-3</v>
      </c>
      <c r="BO164">
        <v>-0.92100000000000004</v>
      </c>
      <c r="BP164">
        <v>0.10100000000000001</v>
      </c>
      <c r="BQ164">
        <v>410</v>
      </c>
      <c r="BR164">
        <v>14</v>
      </c>
      <c r="BS164">
        <v>0.09</v>
      </c>
      <c r="BT164">
        <v>0.06</v>
      </c>
      <c r="BU164">
        <v>-0.60666359999999997</v>
      </c>
      <c r="BV164">
        <v>-0.122267007518796</v>
      </c>
      <c r="BW164">
        <v>3.16298441497899E-2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1.4411795000000001</v>
      </c>
      <c r="CD164">
        <v>-4.8975789473685201E-2</v>
      </c>
      <c r="CE164">
        <v>8.3267847786525906E-3</v>
      </c>
      <c r="CF164">
        <v>1</v>
      </c>
      <c r="CG164">
        <v>2</v>
      </c>
      <c r="CH164">
        <v>2</v>
      </c>
      <c r="CI164" t="s">
        <v>304</v>
      </c>
      <c r="CJ164">
        <v>3.5324900000000001</v>
      </c>
      <c r="CK164">
        <v>2.70214</v>
      </c>
      <c r="CL164">
        <v>9.82576E-2</v>
      </c>
      <c r="CM164">
        <v>9.6976999999999994E-2</v>
      </c>
      <c r="CN164">
        <v>8.7142800000000006E-2</v>
      </c>
      <c r="CO164">
        <v>8.0198699999999998E-2</v>
      </c>
      <c r="CP164">
        <v>31640.799999999999</v>
      </c>
      <c r="CQ164">
        <v>27799.599999999999</v>
      </c>
      <c r="CR164">
        <v>32473.8</v>
      </c>
      <c r="CS164">
        <v>30710</v>
      </c>
      <c r="CT164">
        <v>40131.300000000003</v>
      </c>
      <c r="CU164">
        <v>39716.699999999997</v>
      </c>
      <c r="CV164">
        <v>47416.5</v>
      </c>
      <c r="CW164">
        <v>46824.4</v>
      </c>
      <c r="CX164">
        <v>2.6305200000000002</v>
      </c>
      <c r="CY164">
        <v>2.1517599999999999</v>
      </c>
      <c r="CZ164">
        <v>0</v>
      </c>
      <c r="DA164">
        <v>0</v>
      </c>
      <c r="DB164">
        <v>999.9</v>
      </c>
      <c r="DC164">
        <v>999.9</v>
      </c>
      <c r="DD164">
        <v>58.009</v>
      </c>
      <c r="DE164">
        <v>25.981999999999999</v>
      </c>
      <c r="DF164">
        <v>19.476500000000001</v>
      </c>
      <c r="DG164">
        <v>30.4801</v>
      </c>
      <c r="DH164">
        <v>16.430299999999999</v>
      </c>
      <c r="DI164">
        <v>2</v>
      </c>
      <c r="DJ164">
        <v>-0.15912200000000001</v>
      </c>
      <c r="DK164">
        <v>1.7080299999999999</v>
      </c>
      <c r="DL164">
        <v>20.236999999999998</v>
      </c>
      <c r="DM164">
        <v>5.2476000000000003</v>
      </c>
      <c r="DN164">
        <v>12.033899999999999</v>
      </c>
      <c r="DO164">
        <v>4.9663599999999999</v>
      </c>
      <c r="DP164">
        <v>3.2909999999999999</v>
      </c>
      <c r="DQ164">
        <v>9999</v>
      </c>
      <c r="DR164">
        <v>9999</v>
      </c>
      <c r="DS164">
        <v>597.20000000000005</v>
      </c>
      <c r="DT164">
        <v>9999</v>
      </c>
      <c r="DU164">
        <v>1.87103</v>
      </c>
      <c r="DV164">
        <v>1.8760699999999999</v>
      </c>
      <c r="DW164">
        <v>1.87625</v>
      </c>
      <c r="DX164">
        <v>1.8827799999999999</v>
      </c>
      <c r="DY164">
        <v>1.8755900000000001</v>
      </c>
      <c r="DZ164">
        <v>1.8746100000000001</v>
      </c>
      <c r="EA164">
        <v>1.8707499999999999</v>
      </c>
      <c r="EB164">
        <v>1.8745700000000001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-0.92</v>
      </c>
      <c r="EQ164">
        <v>0.1009</v>
      </c>
      <c r="ER164">
        <v>-0.92059999999992204</v>
      </c>
      <c r="ES164">
        <v>0</v>
      </c>
      <c r="ET164">
        <v>0</v>
      </c>
      <c r="EU164">
        <v>0</v>
      </c>
      <c r="EV164">
        <v>0.100849999999996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8.4</v>
      </c>
      <c r="FE164">
        <v>8</v>
      </c>
      <c r="FF164">
        <v>1.2377899999999999</v>
      </c>
      <c r="FG164">
        <v>2.5927699999999998</v>
      </c>
      <c r="FH164">
        <v>2.19604</v>
      </c>
      <c r="FI164">
        <v>2.5769000000000002</v>
      </c>
      <c r="FJ164">
        <v>2.4462899999999999</v>
      </c>
      <c r="FK164">
        <v>2.2265600000000001</v>
      </c>
      <c r="FL164">
        <v>30.933499999999999</v>
      </c>
      <c r="FM164">
        <v>24.148800000000001</v>
      </c>
      <c r="FN164">
        <v>19</v>
      </c>
      <c r="FO164">
        <v>864.61099999999999</v>
      </c>
      <c r="FP164">
        <v>587.55700000000002</v>
      </c>
      <c r="FQ164">
        <v>18.567499999999999</v>
      </c>
      <c r="FR164">
        <v>25.018599999999999</v>
      </c>
      <c r="FS164">
        <v>30.0001</v>
      </c>
      <c r="FT164">
        <v>25.013999999999999</v>
      </c>
      <c r="FU164">
        <v>25.016500000000001</v>
      </c>
      <c r="FV164">
        <v>24.851199999999999</v>
      </c>
      <c r="FW164">
        <v>31.709599999999998</v>
      </c>
      <c r="FX164">
        <v>19.683800000000002</v>
      </c>
      <c r="FY164">
        <v>18.570499999999999</v>
      </c>
      <c r="FZ164">
        <v>410</v>
      </c>
      <c r="GA164">
        <v>13.9399</v>
      </c>
      <c r="GB164">
        <v>99.9208</v>
      </c>
      <c r="GC164">
        <v>99.687100000000001</v>
      </c>
    </row>
    <row r="165" spans="1:185" x14ac:dyDescent="0.2">
      <c r="A165">
        <v>150</v>
      </c>
      <c r="B165">
        <v>1771001668</v>
      </c>
      <c r="C165">
        <v>3044.9000000953702</v>
      </c>
      <c r="D165" t="s">
        <v>599</v>
      </c>
      <c r="E165" t="s">
        <v>600</v>
      </c>
      <c r="F165">
        <v>15</v>
      </c>
      <c r="G165">
        <v>1771001659.9333301</v>
      </c>
      <c r="H165">
        <f t="shared" si="26"/>
        <v>1.1734953916015807E-3</v>
      </c>
      <c r="I165">
        <v>0</v>
      </c>
      <c r="J165">
        <f t="shared" si="38"/>
        <v>1.4990713052675229E-4</v>
      </c>
      <c r="K165">
        <f t="shared" si="27"/>
        <v>2.6805275163951335E-3</v>
      </c>
      <c r="L165">
        <f t="shared" si="28"/>
        <v>69.841071479927479</v>
      </c>
      <c r="M165">
        <f t="shared" si="29"/>
        <v>1.5400255683493393</v>
      </c>
      <c r="N165">
        <f t="shared" si="30"/>
        <v>2.2050428719323802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26334.987654912318</v>
      </c>
      <c r="T165">
        <f t="shared" si="34"/>
        <v>100.000353333333</v>
      </c>
      <c r="U165">
        <f t="shared" si="35"/>
        <v>84.300215419708437</v>
      </c>
      <c r="V165">
        <f t="shared" si="36"/>
        <v>0.84299917560000004</v>
      </c>
      <c r="W165">
        <f t="shared" si="37"/>
        <v>0.15869817285599999</v>
      </c>
      <c r="X165">
        <v>1</v>
      </c>
      <c r="Y165">
        <v>1771001659.9333301</v>
      </c>
      <c r="Z165">
        <v>409.39246666666702</v>
      </c>
      <c r="AA165">
        <v>409.99633333333298</v>
      </c>
      <c r="AB165">
        <v>15.330073333333299</v>
      </c>
      <c r="AC165">
        <v>13.8857133333333</v>
      </c>
      <c r="AD165">
        <v>410.313066666667</v>
      </c>
      <c r="AE165">
        <v>15.22926</v>
      </c>
      <c r="AF165">
        <v>800.01220000000001</v>
      </c>
      <c r="AG165">
        <v>100.3934</v>
      </c>
      <c r="AH165">
        <v>6.44083133333333E-2</v>
      </c>
      <c r="AI165">
        <v>18.998999999999999</v>
      </c>
      <c r="AJ165">
        <v>999.9</v>
      </c>
      <c r="AK165">
        <v>999.9</v>
      </c>
      <c r="AL165">
        <v>0</v>
      </c>
      <c r="AM165">
        <v>0</v>
      </c>
      <c r="AN165">
        <v>5001.5666666666702</v>
      </c>
      <c r="AO165">
        <v>0</v>
      </c>
      <c r="AP165">
        <v>1.80671</v>
      </c>
      <c r="AQ165">
        <v>-0.60384539999999998</v>
      </c>
      <c r="AR165">
        <v>415.76626666666698</v>
      </c>
      <c r="AS165">
        <v>415.76946666666697</v>
      </c>
      <c r="AT165">
        <v>1.44437866666667</v>
      </c>
      <c r="AU165">
        <v>409.99633333333298</v>
      </c>
      <c r="AV165">
        <v>13.8857133333333</v>
      </c>
      <c r="AW165">
        <v>1.53904</v>
      </c>
      <c r="AX165">
        <v>1.3940333333333299</v>
      </c>
      <c r="AY165">
        <v>13.3616266666667</v>
      </c>
      <c r="AZ165">
        <v>11.8528933333333</v>
      </c>
      <c r="BA165">
        <v>100.000353333333</v>
      </c>
      <c r="BB165">
        <v>0.90002400000000005</v>
      </c>
      <c r="BC165">
        <v>0</v>
      </c>
      <c r="BD165">
        <v>9.9975880000000003E-2</v>
      </c>
      <c r="BE165">
        <v>0</v>
      </c>
      <c r="BF165">
        <v>24</v>
      </c>
      <c r="BG165">
        <v>1648.89466666667</v>
      </c>
      <c r="BH165">
        <v>1771001172</v>
      </c>
      <c r="BI165" t="s">
        <v>574</v>
      </c>
      <c r="BJ165">
        <v>1771001150</v>
      </c>
      <c r="BK165">
        <v>1771001172</v>
      </c>
      <c r="BL165">
        <v>7</v>
      </c>
      <c r="BM165">
        <v>4.2999999999999997E-2</v>
      </c>
      <c r="BN165">
        <v>-7.0000000000000001E-3</v>
      </c>
      <c r="BO165">
        <v>-0.92100000000000004</v>
      </c>
      <c r="BP165">
        <v>0.10100000000000001</v>
      </c>
      <c r="BQ165">
        <v>410</v>
      </c>
      <c r="BR165">
        <v>14</v>
      </c>
      <c r="BS165">
        <v>0.09</v>
      </c>
      <c r="BT165">
        <v>0.06</v>
      </c>
      <c r="BU165">
        <v>-0.60486290476190496</v>
      </c>
      <c r="BV165">
        <v>1.99863896103896E-2</v>
      </c>
      <c r="BW165">
        <v>1.5410746726151701E-2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1.44211714285714</v>
      </c>
      <c r="CD165">
        <v>4.31579220779231E-2</v>
      </c>
      <c r="CE165">
        <v>4.7401026137749097E-3</v>
      </c>
      <c r="CF165">
        <v>1</v>
      </c>
      <c r="CG165">
        <v>2</v>
      </c>
      <c r="CH165">
        <v>2</v>
      </c>
      <c r="CI165" t="s">
        <v>304</v>
      </c>
      <c r="CJ165">
        <v>3.53254</v>
      </c>
      <c r="CK165">
        <v>2.70235</v>
      </c>
      <c r="CL165">
        <v>9.8254300000000003E-2</v>
      </c>
      <c r="CM165">
        <v>9.6979599999999999E-2</v>
      </c>
      <c r="CN165">
        <v>8.7163199999999996E-2</v>
      </c>
      <c r="CO165">
        <v>8.0149899999999996E-2</v>
      </c>
      <c r="CP165">
        <v>31641.5</v>
      </c>
      <c r="CQ165">
        <v>27799.599999999999</v>
      </c>
      <c r="CR165">
        <v>32474.400000000001</v>
      </c>
      <c r="CS165">
        <v>30710.1</v>
      </c>
      <c r="CT165">
        <v>40131.199999999997</v>
      </c>
      <c r="CU165">
        <v>39719</v>
      </c>
      <c r="CV165">
        <v>47417.4</v>
      </c>
      <c r="CW165">
        <v>46824.6</v>
      </c>
      <c r="CX165">
        <v>2.6305000000000001</v>
      </c>
      <c r="CY165">
        <v>2.1516600000000001</v>
      </c>
      <c r="CZ165">
        <v>0</v>
      </c>
      <c r="DA165">
        <v>0</v>
      </c>
      <c r="DB165">
        <v>999.9</v>
      </c>
      <c r="DC165">
        <v>999.9</v>
      </c>
      <c r="DD165">
        <v>57.917000000000002</v>
      </c>
      <c r="DE165">
        <v>25.981999999999999</v>
      </c>
      <c r="DF165">
        <v>19.446300000000001</v>
      </c>
      <c r="DG165">
        <v>29.9101</v>
      </c>
      <c r="DH165">
        <v>16.290099999999999</v>
      </c>
      <c r="DI165">
        <v>2</v>
      </c>
      <c r="DJ165">
        <v>-0.15917500000000001</v>
      </c>
      <c r="DK165">
        <v>1.7064999999999999</v>
      </c>
      <c r="DL165">
        <v>20.236999999999998</v>
      </c>
      <c r="DM165">
        <v>5.2472399999999997</v>
      </c>
      <c r="DN165">
        <v>12.033899999999999</v>
      </c>
      <c r="DO165">
        <v>4.9671200000000004</v>
      </c>
      <c r="DP165">
        <v>3.2910200000000001</v>
      </c>
      <c r="DQ165">
        <v>9999</v>
      </c>
      <c r="DR165">
        <v>9999</v>
      </c>
      <c r="DS165">
        <v>597.20000000000005</v>
      </c>
      <c r="DT165">
        <v>9999</v>
      </c>
      <c r="DU165">
        <v>1.87103</v>
      </c>
      <c r="DV165">
        <v>1.87608</v>
      </c>
      <c r="DW165">
        <v>1.8762399999999999</v>
      </c>
      <c r="DX165">
        <v>1.8827799999999999</v>
      </c>
      <c r="DY165">
        <v>1.87558</v>
      </c>
      <c r="DZ165">
        <v>1.8746100000000001</v>
      </c>
      <c r="EA165">
        <v>1.87076</v>
      </c>
      <c r="EB165">
        <v>1.8745700000000001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-0.92</v>
      </c>
      <c r="EQ165">
        <v>0.1008</v>
      </c>
      <c r="ER165">
        <v>-0.92059999999992204</v>
      </c>
      <c r="ES165">
        <v>0</v>
      </c>
      <c r="ET165">
        <v>0</v>
      </c>
      <c r="EU165">
        <v>0</v>
      </c>
      <c r="EV165">
        <v>0.100849999999996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8.6</v>
      </c>
      <c r="FE165">
        <v>8.3000000000000007</v>
      </c>
      <c r="FF165">
        <v>1.2377899999999999</v>
      </c>
      <c r="FG165">
        <v>2.5878899999999998</v>
      </c>
      <c r="FH165">
        <v>2.19604</v>
      </c>
      <c r="FI165">
        <v>2.5769000000000002</v>
      </c>
      <c r="FJ165">
        <v>2.4462899999999999</v>
      </c>
      <c r="FK165">
        <v>2.2839399999999999</v>
      </c>
      <c r="FL165">
        <v>30.933499999999999</v>
      </c>
      <c r="FM165">
        <v>24.157499999999999</v>
      </c>
      <c r="FN165">
        <v>19</v>
      </c>
      <c r="FO165">
        <v>864.63400000000001</v>
      </c>
      <c r="FP165">
        <v>587.49900000000002</v>
      </c>
      <c r="FQ165">
        <v>18.571300000000001</v>
      </c>
      <c r="FR165">
        <v>25.020700000000001</v>
      </c>
      <c r="FS165">
        <v>30.0001</v>
      </c>
      <c r="FT165">
        <v>25.0166</v>
      </c>
      <c r="FU165">
        <v>25.0182</v>
      </c>
      <c r="FV165">
        <v>24.850899999999999</v>
      </c>
      <c r="FW165">
        <v>31.709599999999998</v>
      </c>
      <c r="FX165">
        <v>19.683800000000002</v>
      </c>
      <c r="FY165">
        <v>18.571999999999999</v>
      </c>
      <c r="FZ165">
        <v>410</v>
      </c>
      <c r="GA165">
        <v>13.940799999999999</v>
      </c>
      <c r="GB165">
        <v>99.922700000000006</v>
      </c>
      <c r="GC165">
        <v>99.687399999999997</v>
      </c>
    </row>
    <row r="166" spans="1:185" x14ac:dyDescent="0.2">
      <c r="A166">
        <v>151</v>
      </c>
      <c r="B166">
        <v>1771001683</v>
      </c>
      <c r="C166">
        <v>3059.9000000953702</v>
      </c>
      <c r="D166" t="s">
        <v>601</v>
      </c>
      <c r="E166" t="s">
        <v>602</v>
      </c>
      <c r="F166">
        <v>15</v>
      </c>
      <c r="G166">
        <v>1771001674.9333301</v>
      </c>
      <c r="H166">
        <f t="shared" si="26"/>
        <v>1.1701817099336812E-3</v>
      </c>
      <c r="I166">
        <v>0</v>
      </c>
      <c r="J166">
        <f t="shared" si="38"/>
        <v>8.896182641787374E-5</v>
      </c>
      <c r="K166">
        <f t="shared" si="27"/>
        <v>1.5907490376471576E-3</v>
      </c>
      <c r="L166">
        <f t="shared" si="28"/>
        <v>69.858111300686858</v>
      </c>
      <c r="M166">
        <f t="shared" si="29"/>
        <v>1.5403231228652257</v>
      </c>
      <c r="N166">
        <f t="shared" si="30"/>
        <v>2.2049309581750469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26357.986607853883</v>
      </c>
      <c r="T166">
        <f t="shared" si="34"/>
        <v>99.998580000000004</v>
      </c>
      <c r="U166">
        <f t="shared" si="35"/>
        <v>84.298665601950262</v>
      </c>
      <c r="V166">
        <f t="shared" si="36"/>
        <v>0.84299862660000024</v>
      </c>
      <c r="W166">
        <f t="shared" si="37"/>
        <v>0.15869634563600005</v>
      </c>
      <c r="X166">
        <v>1</v>
      </c>
      <c r="Y166">
        <v>1771001674.9333301</v>
      </c>
      <c r="Z166">
        <v>409.38566666666702</v>
      </c>
      <c r="AA166">
        <v>409.98646666666701</v>
      </c>
      <c r="AB166">
        <v>15.33304</v>
      </c>
      <c r="AC166">
        <v>13.892760000000001</v>
      </c>
      <c r="AD166">
        <v>410.3064</v>
      </c>
      <c r="AE166">
        <v>15.232200000000001</v>
      </c>
      <c r="AF166">
        <v>800.01059999999995</v>
      </c>
      <c r="AG166">
        <v>100.3934</v>
      </c>
      <c r="AH166">
        <v>6.437764E-2</v>
      </c>
      <c r="AI166">
        <v>18.998186666666701</v>
      </c>
      <c r="AJ166">
        <v>999.9</v>
      </c>
      <c r="AK166">
        <v>999.9</v>
      </c>
      <c r="AL166">
        <v>0</v>
      </c>
      <c r="AM166">
        <v>0</v>
      </c>
      <c r="AN166">
        <v>5005.3333333333303</v>
      </c>
      <c r="AO166">
        <v>0</v>
      </c>
      <c r="AP166">
        <v>1.81792933333333</v>
      </c>
      <c r="AQ166">
        <v>-0.60072239999999999</v>
      </c>
      <c r="AR166">
        <v>415.76066666666702</v>
      </c>
      <c r="AS166">
        <v>415.76253333333301</v>
      </c>
      <c r="AT166">
        <v>1.4402839999999999</v>
      </c>
      <c r="AU166">
        <v>409.98646666666701</v>
      </c>
      <c r="AV166">
        <v>13.892760000000001</v>
      </c>
      <c r="AW166">
        <v>1.5393380000000001</v>
      </c>
      <c r="AX166">
        <v>1.39474266666667</v>
      </c>
      <c r="AY166">
        <v>13.3645866666667</v>
      </c>
      <c r="AZ166">
        <v>11.8605866666667</v>
      </c>
      <c r="BA166">
        <v>99.998580000000004</v>
      </c>
      <c r="BB166">
        <v>0.90004906666666695</v>
      </c>
      <c r="BC166">
        <v>0</v>
      </c>
      <c r="BD166">
        <v>9.9951046666666696E-2</v>
      </c>
      <c r="BE166">
        <v>0</v>
      </c>
      <c r="BF166">
        <v>24</v>
      </c>
      <c r="BG166">
        <v>1648.8779999999999</v>
      </c>
      <c r="BH166">
        <v>1771001172</v>
      </c>
      <c r="BI166" t="s">
        <v>574</v>
      </c>
      <c r="BJ166">
        <v>1771001150</v>
      </c>
      <c r="BK166">
        <v>1771001172</v>
      </c>
      <c r="BL166">
        <v>7</v>
      </c>
      <c r="BM166">
        <v>4.2999999999999997E-2</v>
      </c>
      <c r="BN166">
        <v>-7.0000000000000001E-3</v>
      </c>
      <c r="BO166">
        <v>-0.92100000000000004</v>
      </c>
      <c r="BP166">
        <v>0.10100000000000001</v>
      </c>
      <c r="BQ166">
        <v>410</v>
      </c>
      <c r="BR166">
        <v>14</v>
      </c>
      <c r="BS166">
        <v>0.09</v>
      </c>
      <c r="BT166">
        <v>0.06</v>
      </c>
      <c r="BU166">
        <v>-0.60207385000000002</v>
      </c>
      <c r="BV166">
        <v>6.2241338345864199E-2</v>
      </c>
      <c r="BW166">
        <v>1.43762343583951E-2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1.442153</v>
      </c>
      <c r="CD166">
        <v>-0.115459849624061</v>
      </c>
      <c r="CE166">
        <v>1.6958215147827301E-2</v>
      </c>
      <c r="CF166">
        <v>0</v>
      </c>
      <c r="CG166">
        <v>1</v>
      </c>
      <c r="CH166">
        <v>2</v>
      </c>
      <c r="CI166" t="s">
        <v>290</v>
      </c>
      <c r="CJ166">
        <v>3.5325099999999998</v>
      </c>
      <c r="CK166">
        <v>2.7021199999999999</v>
      </c>
      <c r="CL166">
        <v>9.8250199999999996E-2</v>
      </c>
      <c r="CM166">
        <v>9.6973799999999999E-2</v>
      </c>
      <c r="CN166">
        <v>8.7161699999999995E-2</v>
      </c>
      <c r="CO166">
        <v>8.0356800000000006E-2</v>
      </c>
      <c r="CP166">
        <v>31641</v>
      </c>
      <c r="CQ166">
        <v>27799.8</v>
      </c>
      <c r="CR166">
        <v>32473.8</v>
      </c>
      <c r="CS166">
        <v>30710.2</v>
      </c>
      <c r="CT166">
        <v>40130.400000000001</v>
      </c>
      <c r="CU166">
        <v>39710.1</v>
      </c>
      <c r="CV166">
        <v>47416.4</v>
      </c>
      <c r="CW166">
        <v>46824.9</v>
      </c>
      <c r="CX166">
        <v>2.6304400000000001</v>
      </c>
      <c r="CY166">
        <v>2.1516000000000002</v>
      </c>
      <c r="CZ166">
        <v>0</v>
      </c>
      <c r="DA166">
        <v>0</v>
      </c>
      <c r="DB166">
        <v>999.9</v>
      </c>
      <c r="DC166">
        <v>999.9</v>
      </c>
      <c r="DD166">
        <v>57.832000000000001</v>
      </c>
      <c r="DE166">
        <v>25.992000000000001</v>
      </c>
      <c r="DF166">
        <v>19.4284</v>
      </c>
      <c r="DG166">
        <v>30.270099999999999</v>
      </c>
      <c r="DH166">
        <v>16.290099999999999</v>
      </c>
      <c r="DI166">
        <v>2</v>
      </c>
      <c r="DJ166">
        <v>-0.159193</v>
      </c>
      <c r="DK166">
        <v>1.7008099999999999</v>
      </c>
      <c r="DL166">
        <v>20.236999999999998</v>
      </c>
      <c r="DM166">
        <v>5.2472399999999997</v>
      </c>
      <c r="DN166">
        <v>12.033899999999999</v>
      </c>
      <c r="DO166">
        <v>4.9669600000000003</v>
      </c>
      <c r="DP166">
        <v>3.2909999999999999</v>
      </c>
      <c r="DQ166">
        <v>9999</v>
      </c>
      <c r="DR166">
        <v>9999</v>
      </c>
      <c r="DS166">
        <v>597.20000000000005</v>
      </c>
      <c r="DT166">
        <v>9999</v>
      </c>
      <c r="DU166">
        <v>1.87103</v>
      </c>
      <c r="DV166">
        <v>1.8760699999999999</v>
      </c>
      <c r="DW166">
        <v>1.8762700000000001</v>
      </c>
      <c r="DX166">
        <v>1.8827799999999999</v>
      </c>
      <c r="DY166">
        <v>1.87558</v>
      </c>
      <c r="DZ166">
        <v>1.8746400000000001</v>
      </c>
      <c r="EA166">
        <v>1.8707800000000001</v>
      </c>
      <c r="EB166">
        <v>1.87459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-0.92100000000000004</v>
      </c>
      <c r="EQ166">
        <v>0.1009</v>
      </c>
      <c r="ER166">
        <v>-0.92059999999992204</v>
      </c>
      <c r="ES166">
        <v>0</v>
      </c>
      <c r="ET166">
        <v>0</v>
      </c>
      <c r="EU166">
        <v>0</v>
      </c>
      <c r="EV166">
        <v>0.100849999999996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8.9</v>
      </c>
      <c r="FE166">
        <v>8.5</v>
      </c>
      <c r="FF166">
        <v>1.2377899999999999</v>
      </c>
      <c r="FG166">
        <v>2.5793499999999998</v>
      </c>
      <c r="FH166">
        <v>2.19604</v>
      </c>
      <c r="FI166">
        <v>2.5769000000000002</v>
      </c>
      <c r="FJ166">
        <v>2.4462899999999999</v>
      </c>
      <c r="FK166">
        <v>2.3071299999999999</v>
      </c>
      <c r="FL166">
        <v>30.955200000000001</v>
      </c>
      <c r="FM166">
        <v>24.157499999999999</v>
      </c>
      <c r="FN166">
        <v>19</v>
      </c>
      <c r="FO166">
        <v>864.61900000000003</v>
      </c>
      <c r="FP166">
        <v>587.495</v>
      </c>
      <c r="FQ166">
        <v>18.575900000000001</v>
      </c>
      <c r="FR166">
        <v>25.0212</v>
      </c>
      <c r="FS166">
        <v>30</v>
      </c>
      <c r="FT166">
        <v>25.019100000000002</v>
      </c>
      <c r="FU166">
        <v>25.021899999999999</v>
      </c>
      <c r="FV166">
        <v>24.853400000000001</v>
      </c>
      <c r="FW166">
        <v>31.4346</v>
      </c>
      <c r="FX166">
        <v>19.308499999999999</v>
      </c>
      <c r="FY166">
        <v>18.576499999999999</v>
      </c>
      <c r="FZ166">
        <v>410</v>
      </c>
      <c r="GA166">
        <v>13.944599999999999</v>
      </c>
      <c r="GB166">
        <v>99.920699999999997</v>
      </c>
      <c r="GC166">
        <v>99.687899999999999</v>
      </c>
    </row>
    <row r="167" spans="1:185" x14ac:dyDescent="0.2">
      <c r="A167">
        <v>152</v>
      </c>
      <c r="B167">
        <v>1771001698</v>
      </c>
      <c r="C167">
        <v>3074.9000000953702</v>
      </c>
      <c r="D167" t="s">
        <v>603</v>
      </c>
      <c r="E167" t="s">
        <v>604</v>
      </c>
      <c r="F167">
        <v>15</v>
      </c>
      <c r="G167">
        <v>1771001689.9333301</v>
      </c>
      <c r="H167">
        <f t="shared" si="26"/>
        <v>1.1453258073506581E-3</v>
      </c>
      <c r="I167">
        <v>0</v>
      </c>
      <c r="J167">
        <f t="shared" si="38"/>
        <v>6.5491271711083502E-4</v>
      </c>
      <c r="K167">
        <f t="shared" si="27"/>
        <v>1.1710660813025223E-2</v>
      </c>
      <c r="L167">
        <f t="shared" si="28"/>
        <v>69.896105487140176</v>
      </c>
      <c r="M167">
        <f t="shared" si="29"/>
        <v>1.5414596747697986</v>
      </c>
      <c r="N167">
        <f t="shared" si="30"/>
        <v>2.2053584588534823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26297.927562036504</v>
      </c>
      <c r="T167">
        <f t="shared" si="34"/>
        <v>100.00086</v>
      </c>
      <c r="U167">
        <f t="shared" si="35"/>
        <v>84.300618219081883</v>
      </c>
      <c r="V167">
        <f t="shared" si="36"/>
        <v>0.84299893240000023</v>
      </c>
      <c r="W167">
        <f t="shared" si="37"/>
        <v>0.15869748690400007</v>
      </c>
      <c r="X167">
        <v>1</v>
      </c>
      <c r="Y167">
        <v>1771001689.9333301</v>
      </c>
      <c r="Z167">
        <v>409.38706666666701</v>
      </c>
      <c r="AA167">
        <v>409.98779999999999</v>
      </c>
      <c r="AB167">
        <v>15.3441733333333</v>
      </c>
      <c r="AC167">
        <v>13.9345</v>
      </c>
      <c r="AD167">
        <v>410.30753333333303</v>
      </c>
      <c r="AE167">
        <v>15.243320000000001</v>
      </c>
      <c r="AF167">
        <v>800.00926666666703</v>
      </c>
      <c r="AG167">
        <v>100.394466666667</v>
      </c>
      <c r="AH167">
        <v>6.4492006666666699E-2</v>
      </c>
      <c r="AI167">
        <v>19.001293333333301</v>
      </c>
      <c r="AJ167">
        <v>999.9</v>
      </c>
      <c r="AK167">
        <v>999.9</v>
      </c>
      <c r="AL167">
        <v>0</v>
      </c>
      <c r="AM167">
        <v>0</v>
      </c>
      <c r="AN167">
        <v>4995.4666666666699</v>
      </c>
      <c r="AO167">
        <v>0</v>
      </c>
      <c r="AP167">
        <v>1.8119833333333299</v>
      </c>
      <c r="AQ167">
        <v>-0.60071613333333296</v>
      </c>
      <c r="AR167">
        <v>415.76666666666699</v>
      </c>
      <c r="AS167">
        <v>415.78153333333302</v>
      </c>
      <c r="AT167">
        <v>1.40966533333333</v>
      </c>
      <c r="AU167">
        <v>409.98779999999999</v>
      </c>
      <c r="AV167">
        <v>13.9345</v>
      </c>
      <c r="AW167">
        <v>1.54047</v>
      </c>
      <c r="AX167">
        <v>1.39894733333333</v>
      </c>
      <c r="AY167">
        <v>13.37588</v>
      </c>
      <c r="AZ167">
        <v>11.906226666666701</v>
      </c>
      <c r="BA167">
        <v>100.00086</v>
      </c>
      <c r="BB167">
        <v>0.90003326666666705</v>
      </c>
      <c r="BC167">
        <v>0</v>
      </c>
      <c r="BD167">
        <v>9.9966653333333294E-2</v>
      </c>
      <c r="BE167">
        <v>0</v>
      </c>
      <c r="BF167">
        <v>24</v>
      </c>
      <c r="BG167">
        <v>1648.9079999999999</v>
      </c>
      <c r="BH167">
        <v>1771001172</v>
      </c>
      <c r="BI167" t="s">
        <v>574</v>
      </c>
      <c r="BJ167">
        <v>1771001150</v>
      </c>
      <c r="BK167">
        <v>1771001172</v>
      </c>
      <c r="BL167">
        <v>7</v>
      </c>
      <c r="BM167">
        <v>4.2999999999999997E-2</v>
      </c>
      <c r="BN167">
        <v>-7.0000000000000001E-3</v>
      </c>
      <c r="BO167">
        <v>-0.92100000000000004</v>
      </c>
      <c r="BP167">
        <v>0.10100000000000001</v>
      </c>
      <c r="BQ167">
        <v>410</v>
      </c>
      <c r="BR167">
        <v>14</v>
      </c>
      <c r="BS167">
        <v>0.09</v>
      </c>
      <c r="BT167">
        <v>0.06</v>
      </c>
      <c r="BU167">
        <v>-0.60013257142857102</v>
      </c>
      <c r="BV167">
        <v>-4.1333688311689099E-2</v>
      </c>
      <c r="BW167">
        <v>8.8372711882357593E-3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1.41294380952381</v>
      </c>
      <c r="CD167">
        <v>-2.6727272727270601E-2</v>
      </c>
      <c r="CE167">
        <v>1.1374110734969099E-2</v>
      </c>
      <c r="CF167">
        <v>1</v>
      </c>
      <c r="CG167">
        <v>2</v>
      </c>
      <c r="CH167">
        <v>2</v>
      </c>
      <c r="CI167" t="s">
        <v>304</v>
      </c>
      <c r="CJ167">
        <v>3.53247</v>
      </c>
      <c r="CK167">
        <v>2.7024400000000002</v>
      </c>
      <c r="CL167">
        <v>9.8253699999999999E-2</v>
      </c>
      <c r="CM167">
        <v>9.6984200000000007E-2</v>
      </c>
      <c r="CN167">
        <v>8.7236499999999995E-2</v>
      </c>
      <c r="CO167">
        <v>8.0333100000000005E-2</v>
      </c>
      <c r="CP167">
        <v>31641.200000000001</v>
      </c>
      <c r="CQ167">
        <v>27799.599999999999</v>
      </c>
      <c r="CR167">
        <v>32474.1</v>
      </c>
      <c r="CS167">
        <v>30710.3</v>
      </c>
      <c r="CT167">
        <v>40127.4</v>
      </c>
      <c r="CU167">
        <v>39711.300000000003</v>
      </c>
      <c r="CV167">
        <v>47416.9</v>
      </c>
      <c r="CW167">
        <v>46825.1</v>
      </c>
      <c r="CX167">
        <v>2.6303399999999999</v>
      </c>
      <c r="CY167">
        <v>2.15158</v>
      </c>
      <c r="CZ167">
        <v>0</v>
      </c>
      <c r="DA167">
        <v>0</v>
      </c>
      <c r="DB167">
        <v>999.9</v>
      </c>
      <c r="DC167">
        <v>999.9</v>
      </c>
      <c r="DD167">
        <v>57.734000000000002</v>
      </c>
      <c r="DE167">
        <v>26.021999999999998</v>
      </c>
      <c r="DF167">
        <v>19.4297</v>
      </c>
      <c r="DG167">
        <v>30.4801</v>
      </c>
      <c r="DH167">
        <v>16.322099999999999</v>
      </c>
      <c r="DI167">
        <v>2</v>
      </c>
      <c r="DJ167">
        <v>-0.158974</v>
      </c>
      <c r="DK167">
        <v>1.7242200000000001</v>
      </c>
      <c r="DL167">
        <v>20.236699999999999</v>
      </c>
      <c r="DM167">
        <v>5.2476000000000003</v>
      </c>
      <c r="DN167">
        <v>12.033899999999999</v>
      </c>
      <c r="DO167">
        <v>4.9665999999999997</v>
      </c>
      <c r="DP167">
        <v>3.2909999999999999</v>
      </c>
      <c r="DQ167">
        <v>9999</v>
      </c>
      <c r="DR167">
        <v>9999</v>
      </c>
      <c r="DS167">
        <v>597.20000000000005</v>
      </c>
      <c r="DT167">
        <v>9999</v>
      </c>
      <c r="DU167">
        <v>1.87104</v>
      </c>
      <c r="DV167">
        <v>1.87609</v>
      </c>
      <c r="DW167">
        <v>1.8763000000000001</v>
      </c>
      <c r="DX167">
        <v>1.8827799999999999</v>
      </c>
      <c r="DY167">
        <v>1.8755999999999999</v>
      </c>
      <c r="DZ167">
        <v>1.8746499999999999</v>
      </c>
      <c r="EA167">
        <v>1.87077</v>
      </c>
      <c r="EB167">
        <v>1.87466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-0.92100000000000004</v>
      </c>
      <c r="EQ167">
        <v>0.1009</v>
      </c>
      <c r="ER167">
        <v>-0.92059999999992204</v>
      </c>
      <c r="ES167">
        <v>0</v>
      </c>
      <c r="ET167">
        <v>0</v>
      </c>
      <c r="EU167">
        <v>0</v>
      </c>
      <c r="EV167">
        <v>0.100849999999996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9.1</v>
      </c>
      <c r="FE167">
        <v>8.8000000000000007</v>
      </c>
      <c r="FF167">
        <v>1.2377899999999999</v>
      </c>
      <c r="FG167">
        <v>2.5878899999999998</v>
      </c>
      <c r="FH167">
        <v>2.19604</v>
      </c>
      <c r="FI167">
        <v>2.5769000000000002</v>
      </c>
      <c r="FJ167">
        <v>2.4462899999999999</v>
      </c>
      <c r="FK167">
        <v>2.2985799999999998</v>
      </c>
      <c r="FL167">
        <v>30.955200000000001</v>
      </c>
      <c r="FM167">
        <v>24.157499999999999</v>
      </c>
      <c r="FN167">
        <v>19</v>
      </c>
      <c r="FO167">
        <v>864.57399999999996</v>
      </c>
      <c r="FP167">
        <v>587.505</v>
      </c>
      <c r="FQ167">
        <v>18.573499999999999</v>
      </c>
      <c r="FR167">
        <v>25.0229</v>
      </c>
      <c r="FS167">
        <v>30.0001</v>
      </c>
      <c r="FT167">
        <v>25.021999999999998</v>
      </c>
      <c r="FU167">
        <v>25.024100000000001</v>
      </c>
      <c r="FV167">
        <v>24.8523</v>
      </c>
      <c r="FW167">
        <v>31.4346</v>
      </c>
      <c r="FX167">
        <v>18.935500000000001</v>
      </c>
      <c r="FY167">
        <v>18.571400000000001</v>
      </c>
      <c r="FZ167">
        <v>410</v>
      </c>
      <c r="GA167">
        <v>13.944599999999999</v>
      </c>
      <c r="GB167">
        <v>99.921599999999998</v>
      </c>
      <c r="GC167">
        <v>99.688299999999998</v>
      </c>
    </row>
    <row r="168" spans="1:185" x14ac:dyDescent="0.2">
      <c r="A168">
        <v>153</v>
      </c>
      <c r="B168">
        <v>1771001713</v>
      </c>
      <c r="C168">
        <v>3089.9000000953702</v>
      </c>
      <c r="D168" t="s">
        <v>605</v>
      </c>
      <c r="E168" t="s">
        <v>606</v>
      </c>
      <c r="F168">
        <v>15</v>
      </c>
      <c r="G168">
        <v>1771001704.9333301</v>
      </c>
      <c r="H168">
        <f t="shared" si="26"/>
        <v>1.1601995919731563E-3</v>
      </c>
      <c r="I168">
        <v>0</v>
      </c>
      <c r="J168">
        <f t="shared" si="38"/>
        <v>1.4274192081308685E-3</v>
      </c>
      <c r="K168">
        <f t="shared" si="27"/>
        <v>2.5524045796760271E-2</v>
      </c>
      <c r="L168">
        <f t="shared" si="28"/>
        <v>69.945747552208942</v>
      </c>
      <c r="M168">
        <f t="shared" si="29"/>
        <v>1.542487722092758</v>
      </c>
      <c r="N168">
        <f t="shared" si="30"/>
        <v>2.205263044678182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26320.629762028271</v>
      </c>
      <c r="T168">
        <f t="shared" si="34"/>
        <v>100.00069999999999</v>
      </c>
      <c r="U168">
        <f t="shared" si="35"/>
        <v>84.300516039481593</v>
      </c>
      <c r="V168">
        <f t="shared" si="36"/>
        <v>0.8429992594000002</v>
      </c>
      <c r="W168">
        <f t="shared" si="37"/>
        <v>0.15869849928400004</v>
      </c>
      <c r="X168">
        <v>1</v>
      </c>
      <c r="Y168">
        <v>1771001704.9333301</v>
      </c>
      <c r="Z168">
        <v>409.37686666666701</v>
      </c>
      <c r="AA168">
        <v>410.00246666666698</v>
      </c>
      <c r="AB168">
        <v>15.354480000000001</v>
      </c>
      <c r="AC168">
        <v>13.9265066666667</v>
      </c>
      <c r="AD168">
        <v>410.29753333333298</v>
      </c>
      <c r="AE168">
        <v>15.253640000000001</v>
      </c>
      <c r="AF168">
        <v>800.00466666666705</v>
      </c>
      <c r="AG168">
        <v>100.394133333333</v>
      </c>
      <c r="AH168">
        <v>6.4346673333333299E-2</v>
      </c>
      <c r="AI168">
        <v>19.000599999999999</v>
      </c>
      <c r="AJ168">
        <v>999.9</v>
      </c>
      <c r="AK168">
        <v>999.9</v>
      </c>
      <c r="AL168">
        <v>0</v>
      </c>
      <c r="AM168">
        <v>0</v>
      </c>
      <c r="AN168">
        <v>4999.2</v>
      </c>
      <c r="AO168">
        <v>0</v>
      </c>
      <c r="AP168">
        <v>1.81492066666667</v>
      </c>
      <c r="AQ168">
        <v>-0.62558393333333295</v>
      </c>
      <c r="AR168">
        <v>415.76073333333301</v>
      </c>
      <c r="AS168">
        <v>415.792933333333</v>
      </c>
      <c r="AT168">
        <v>1.42799866666667</v>
      </c>
      <c r="AU168">
        <v>410.00246666666698</v>
      </c>
      <c r="AV168">
        <v>13.9265066666667</v>
      </c>
      <c r="AW168">
        <v>1.5415013333333301</v>
      </c>
      <c r="AX168">
        <v>1.3981380000000001</v>
      </c>
      <c r="AY168">
        <v>13.3861266666667</v>
      </c>
      <c r="AZ168">
        <v>11.897446666666699</v>
      </c>
      <c r="BA168">
        <v>100.00069999999999</v>
      </c>
      <c r="BB168">
        <v>0.90001946666666699</v>
      </c>
      <c r="BC168">
        <v>0</v>
      </c>
      <c r="BD168">
        <v>9.9980353333333299E-2</v>
      </c>
      <c r="BE168">
        <v>0</v>
      </c>
      <c r="BF168">
        <v>24</v>
      </c>
      <c r="BG168">
        <v>1648.8986666666699</v>
      </c>
      <c r="BH168">
        <v>1771001172</v>
      </c>
      <c r="BI168" t="s">
        <v>574</v>
      </c>
      <c r="BJ168">
        <v>1771001150</v>
      </c>
      <c r="BK168">
        <v>1771001172</v>
      </c>
      <c r="BL168">
        <v>7</v>
      </c>
      <c r="BM168">
        <v>4.2999999999999997E-2</v>
      </c>
      <c r="BN168">
        <v>-7.0000000000000001E-3</v>
      </c>
      <c r="BO168">
        <v>-0.92100000000000004</v>
      </c>
      <c r="BP168">
        <v>0.10100000000000001</v>
      </c>
      <c r="BQ168">
        <v>410</v>
      </c>
      <c r="BR168">
        <v>14</v>
      </c>
      <c r="BS168">
        <v>0.09</v>
      </c>
      <c r="BT168">
        <v>0.06</v>
      </c>
      <c r="BU168">
        <v>-0.62190705000000002</v>
      </c>
      <c r="BV168">
        <v>-1.8937398496241101E-2</v>
      </c>
      <c r="BW168">
        <v>1.7161925222640401E-2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1.4252149999999999</v>
      </c>
      <c r="CD168">
        <v>4.6925413533832103E-2</v>
      </c>
      <c r="CE168">
        <v>5.8659053009744401E-3</v>
      </c>
      <c r="CF168">
        <v>1</v>
      </c>
      <c r="CG168">
        <v>2</v>
      </c>
      <c r="CH168">
        <v>2</v>
      </c>
      <c r="CI168" t="s">
        <v>304</v>
      </c>
      <c r="CJ168">
        <v>3.5325199999999999</v>
      </c>
      <c r="CK168">
        <v>2.7017699999999998</v>
      </c>
      <c r="CL168">
        <v>9.8253999999999994E-2</v>
      </c>
      <c r="CM168">
        <v>9.6977400000000005E-2</v>
      </c>
      <c r="CN168">
        <v>8.7235499999999994E-2</v>
      </c>
      <c r="CO168">
        <v>8.0338900000000005E-2</v>
      </c>
      <c r="CP168">
        <v>31641.1</v>
      </c>
      <c r="CQ168">
        <v>27799.599999999999</v>
      </c>
      <c r="CR168">
        <v>32474</v>
      </c>
      <c r="CS168">
        <v>30710.1</v>
      </c>
      <c r="CT168">
        <v>40127.4</v>
      </c>
      <c r="CU168">
        <v>39710.9</v>
      </c>
      <c r="CV168">
        <v>47416.800000000003</v>
      </c>
      <c r="CW168">
        <v>46824.9</v>
      </c>
      <c r="CX168">
        <v>2.6303999999999998</v>
      </c>
      <c r="CY168">
        <v>2.1514199999999999</v>
      </c>
      <c r="CZ168">
        <v>0</v>
      </c>
      <c r="DA168">
        <v>0</v>
      </c>
      <c r="DB168">
        <v>999.9</v>
      </c>
      <c r="DC168">
        <v>999.9</v>
      </c>
      <c r="DD168">
        <v>57.667000000000002</v>
      </c>
      <c r="DE168">
        <v>26.042000000000002</v>
      </c>
      <c r="DF168">
        <v>19.430499999999999</v>
      </c>
      <c r="DG168">
        <v>30.240100000000002</v>
      </c>
      <c r="DH168">
        <v>16.3782</v>
      </c>
      <c r="DI168">
        <v>2</v>
      </c>
      <c r="DJ168">
        <v>-0.15879099999999999</v>
      </c>
      <c r="DK168">
        <v>1.7286900000000001</v>
      </c>
      <c r="DL168">
        <v>20.2361</v>
      </c>
      <c r="DM168">
        <v>5.24688</v>
      </c>
      <c r="DN168">
        <v>12.033899999999999</v>
      </c>
      <c r="DO168">
        <v>4.9660000000000002</v>
      </c>
      <c r="DP168">
        <v>3.2906399999999998</v>
      </c>
      <c r="DQ168">
        <v>9999</v>
      </c>
      <c r="DR168">
        <v>9999</v>
      </c>
      <c r="DS168">
        <v>597.20000000000005</v>
      </c>
      <c r="DT168">
        <v>9999</v>
      </c>
      <c r="DU168">
        <v>1.87104</v>
      </c>
      <c r="DV168">
        <v>1.87608</v>
      </c>
      <c r="DW168">
        <v>1.8762799999999999</v>
      </c>
      <c r="DX168">
        <v>1.8827799999999999</v>
      </c>
      <c r="DY168">
        <v>1.87561</v>
      </c>
      <c r="DZ168">
        <v>1.8746499999999999</v>
      </c>
      <c r="EA168">
        <v>1.87077</v>
      </c>
      <c r="EB168">
        <v>1.87466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-0.92</v>
      </c>
      <c r="EQ168">
        <v>0.1008</v>
      </c>
      <c r="ER168">
        <v>-0.92059999999992204</v>
      </c>
      <c r="ES168">
        <v>0</v>
      </c>
      <c r="ET168">
        <v>0</v>
      </c>
      <c r="EU168">
        <v>0</v>
      </c>
      <c r="EV168">
        <v>0.100849999999996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9.4</v>
      </c>
      <c r="FE168">
        <v>9</v>
      </c>
      <c r="FF168">
        <v>1.2377899999999999</v>
      </c>
      <c r="FG168">
        <v>2.5866699999999998</v>
      </c>
      <c r="FH168">
        <v>2.19604</v>
      </c>
      <c r="FI168">
        <v>2.5769000000000002</v>
      </c>
      <c r="FJ168">
        <v>2.4462899999999999</v>
      </c>
      <c r="FK168">
        <v>2.2888199999999999</v>
      </c>
      <c r="FL168">
        <v>30.976900000000001</v>
      </c>
      <c r="FM168">
        <v>24.157499999999999</v>
      </c>
      <c r="FN168">
        <v>19</v>
      </c>
      <c r="FO168">
        <v>864.66399999999999</v>
      </c>
      <c r="FP168">
        <v>587.404</v>
      </c>
      <c r="FQ168">
        <v>18.5684</v>
      </c>
      <c r="FR168">
        <v>25.024999999999999</v>
      </c>
      <c r="FS168">
        <v>30.0002</v>
      </c>
      <c r="FT168">
        <v>25.024100000000001</v>
      </c>
      <c r="FU168">
        <v>25.0261</v>
      </c>
      <c r="FV168">
        <v>24.852499999999999</v>
      </c>
      <c r="FW168">
        <v>31.4346</v>
      </c>
      <c r="FX168">
        <v>18.564</v>
      </c>
      <c r="FY168">
        <v>18.5686</v>
      </c>
      <c r="FZ168">
        <v>410</v>
      </c>
      <c r="GA168">
        <v>13.944599999999999</v>
      </c>
      <c r="GB168">
        <v>99.921400000000006</v>
      </c>
      <c r="GC168">
        <v>99.687700000000007</v>
      </c>
    </row>
    <row r="169" spans="1:185" x14ac:dyDescent="0.2">
      <c r="A169">
        <v>154</v>
      </c>
      <c r="B169">
        <v>1771001728.0999999</v>
      </c>
      <c r="C169">
        <v>3105</v>
      </c>
      <c r="D169" t="s">
        <v>607</v>
      </c>
      <c r="E169" t="s">
        <v>608</v>
      </c>
      <c r="F169">
        <v>15</v>
      </c>
      <c r="G169">
        <v>1771001720.5071399</v>
      </c>
      <c r="H169">
        <f t="shared" si="26"/>
        <v>1.1663644271074762E-3</v>
      </c>
      <c r="I169">
        <v>0</v>
      </c>
      <c r="J169">
        <f t="shared" si="38"/>
        <v>9.29807071434727E-4</v>
      </c>
      <c r="K169">
        <f t="shared" si="27"/>
        <v>1.6626116657437948E-2</v>
      </c>
      <c r="L169">
        <f t="shared" si="28"/>
        <v>69.9219382036177</v>
      </c>
      <c r="M169">
        <f t="shared" si="29"/>
        <v>1.5420636997158303</v>
      </c>
      <c r="N169">
        <f t="shared" si="30"/>
        <v>2.2054075435169289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26306.721942016207</v>
      </c>
      <c r="T169">
        <f t="shared" si="34"/>
        <v>99.999321428571406</v>
      </c>
      <c r="U169">
        <f t="shared" si="35"/>
        <v>84.299350993379434</v>
      </c>
      <c r="V169">
        <f t="shared" si="36"/>
        <v>0.84299923028571433</v>
      </c>
      <c r="W169">
        <f t="shared" si="37"/>
        <v>0.15869790867428574</v>
      </c>
      <c r="X169">
        <v>1</v>
      </c>
      <c r="Y169">
        <v>1771001720.5071399</v>
      </c>
      <c r="Z169">
        <v>409.387</v>
      </c>
      <c r="AA169">
        <v>410.00464285714298</v>
      </c>
      <c r="AB169">
        <v>15.3503928571429</v>
      </c>
      <c r="AC169">
        <v>13.914835714285701</v>
      </c>
      <c r="AD169">
        <v>410.3075</v>
      </c>
      <c r="AE169">
        <v>15.2495714285714</v>
      </c>
      <c r="AF169">
        <v>800.01014285714302</v>
      </c>
      <c r="AG169">
        <v>100.393357142857</v>
      </c>
      <c r="AH169">
        <v>6.4247692857142893E-2</v>
      </c>
      <c r="AI169">
        <v>19.001650000000001</v>
      </c>
      <c r="AJ169">
        <v>999.9</v>
      </c>
      <c r="AK169">
        <v>999.9</v>
      </c>
      <c r="AL169">
        <v>0</v>
      </c>
      <c r="AM169">
        <v>0</v>
      </c>
      <c r="AN169">
        <v>4996.9642857142899</v>
      </c>
      <c r="AO169">
        <v>0</v>
      </c>
      <c r="AP169">
        <v>1.808405</v>
      </c>
      <c r="AQ169">
        <v>-0.61782185714285698</v>
      </c>
      <c r="AR169">
        <v>415.76907142857101</v>
      </c>
      <c r="AS169">
        <v>415.79035714285698</v>
      </c>
      <c r="AT169">
        <v>1.4355635714285699</v>
      </c>
      <c r="AU169">
        <v>410.00464285714298</v>
      </c>
      <c r="AV169">
        <v>13.914835714285701</v>
      </c>
      <c r="AW169">
        <v>1.5410792857142901</v>
      </c>
      <c r="AX169">
        <v>1.3969585714285699</v>
      </c>
      <c r="AY169">
        <v>13.38195</v>
      </c>
      <c r="AZ169">
        <v>11.884650000000001</v>
      </c>
      <c r="BA169">
        <v>99.999321428571406</v>
      </c>
      <c r="BB169">
        <v>0.90002814285714305</v>
      </c>
      <c r="BC169">
        <v>0</v>
      </c>
      <c r="BD169">
        <v>9.9971942857142795E-2</v>
      </c>
      <c r="BE169">
        <v>0</v>
      </c>
      <c r="BF169">
        <v>24</v>
      </c>
      <c r="BG169">
        <v>1648.8828571428601</v>
      </c>
      <c r="BH169">
        <v>1771001172</v>
      </c>
      <c r="BI169" t="s">
        <v>574</v>
      </c>
      <c r="BJ169">
        <v>1771001150</v>
      </c>
      <c r="BK169">
        <v>1771001172</v>
      </c>
      <c r="BL169">
        <v>7</v>
      </c>
      <c r="BM169">
        <v>4.2999999999999997E-2</v>
      </c>
      <c r="BN169">
        <v>-7.0000000000000001E-3</v>
      </c>
      <c r="BO169">
        <v>-0.92100000000000004</v>
      </c>
      <c r="BP169">
        <v>0.10100000000000001</v>
      </c>
      <c r="BQ169">
        <v>410</v>
      </c>
      <c r="BR169">
        <v>14</v>
      </c>
      <c r="BS169">
        <v>0.09</v>
      </c>
      <c r="BT169">
        <v>0.06</v>
      </c>
      <c r="BU169">
        <v>-0.61604309999999995</v>
      </c>
      <c r="BV169">
        <v>-8.7104534349428095E-2</v>
      </c>
      <c r="BW169">
        <v>2.0919033734615899E-2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1.433352</v>
      </c>
      <c r="CD169">
        <v>3.8738161704265903E-2</v>
      </c>
      <c r="CE169">
        <v>5.1936043361041698E-3</v>
      </c>
      <c r="CF169">
        <v>1</v>
      </c>
      <c r="CG169">
        <v>2</v>
      </c>
      <c r="CH169">
        <v>2</v>
      </c>
      <c r="CI169" t="s">
        <v>304</v>
      </c>
      <c r="CJ169">
        <v>3.5325099999999998</v>
      </c>
      <c r="CK169">
        <v>2.7021600000000001</v>
      </c>
      <c r="CL169">
        <v>9.8251099999999994E-2</v>
      </c>
      <c r="CM169">
        <v>9.6978900000000007E-2</v>
      </c>
      <c r="CN169">
        <v>8.7215200000000007E-2</v>
      </c>
      <c r="CO169">
        <v>8.0267699999999997E-2</v>
      </c>
      <c r="CP169">
        <v>31641.200000000001</v>
      </c>
      <c r="CQ169">
        <v>27800.1</v>
      </c>
      <c r="CR169">
        <v>32474.1</v>
      </c>
      <c r="CS169">
        <v>30710.6</v>
      </c>
      <c r="CT169">
        <v>40128.400000000001</v>
      </c>
      <c r="CU169">
        <v>39714.6</v>
      </c>
      <c r="CV169">
        <v>47416.800000000003</v>
      </c>
      <c r="CW169">
        <v>46825.5</v>
      </c>
      <c r="CX169">
        <v>2.6303200000000002</v>
      </c>
      <c r="CY169">
        <v>2.1513200000000001</v>
      </c>
      <c r="CZ169">
        <v>0</v>
      </c>
      <c r="DA169">
        <v>0</v>
      </c>
      <c r="DB169">
        <v>999.9</v>
      </c>
      <c r="DC169">
        <v>999.9</v>
      </c>
      <c r="DD169">
        <v>57.569000000000003</v>
      </c>
      <c r="DE169">
        <v>26.052</v>
      </c>
      <c r="DF169">
        <v>19.4087</v>
      </c>
      <c r="DG169">
        <v>30.420100000000001</v>
      </c>
      <c r="DH169">
        <v>16.406199999999998</v>
      </c>
      <c r="DI169">
        <v>2</v>
      </c>
      <c r="DJ169">
        <v>-0.158638</v>
      </c>
      <c r="DK169">
        <v>1.7351799999999999</v>
      </c>
      <c r="DL169">
        <v>20.236599999999999</v>
      </c>
      <c r="DM169">
        <v>5.2496400000000003</v>
      </c>
      <c r="DN169">
        <v>12.033899999999999</v>
      </c>
      <c r="DO169">
        <v>4.9659599999999999</v>
      </c>
      <c r="DP169">
        <v>3.2909999999999999</v>
      </c>
      <c r="DQ169">
        <v>9999</v>
      </c>
      <c r="DR169">
        <v>9999</v>
      </c>
      <c r="DS169">
        <v>597.20000000000005</v>
      </c>
      <c r="DT169">
        <v>9999</v>
      </c>
      <c r="DU169">
        <v>1.87103</v>
      </c>
      <c r="DV169">
        <v>1.87608</v>
      </c>
      <c r="DW169">
        <v>1.8763000000000001</v>
      </c>
      <c r="DX169">
        <v>1.8827799999999999</v>
      </c>
      <c r="DY169">
        <v>1.8755999999999999</v>
      </c>
      <c r="DZ169">
        <v>1.87466</v>
      </c>
      <c r="EA169">
        <v>1.87077</v>
      </c>
      <c r="EB169">
        <v>1.8746499999999999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-0.92</v>
      </c>
      <c r="EQ169">
        <v>0.1008</v>
      </c>
      <c r="ER169">
        <v>-0.92059999999992204</v>
      </c>
      <c r="ES169">
        <v>0</v>
      </c>
      <c r="ET169">
        <v>0</v>
      </c>
      <c r="EU169">
        <v>0</v>
      </c>
      <c r="EV169">
        <v>0.100849999999996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9.6</v>
      </c>
      <c r="FE169">
        <v>9.3000000000000007</v>
      </c>
      <c r="FF169">
        <v>1.2377899999999999</v>
      </c>
      <c r="FG169">
        <v>2.5915499999999998</v>
      </c>
      <c r="FH169">
        <v>2.19604</v>
      </c>
      <c r="FI169">
        <v>2.5769000000000002</v>
      </c>
      <c r="FJ169">
        <v>2.4462899999999999</v>
      </c>
      <c r="FK169">
        <v>2.2570800000000002</v>
      </c>
      <c r="FL169">
        <v>30.9985</v>
      </c>
      <c r="FM169">
        <v>24.148800000000001</v>
      </c>
      <c r="FN169">
        <v>19</v>
      </c>
      <c r="FO169">
        <v>864.62400000000002</v>
      </c>
      <c r="FP169">
        <v>587.351</v>
      </c>
      <c r="FQ169">
        <v>18.5657</v>
      </c>
      <c r="FR169">
        <v>25.027100000000001</v>
      </c>
      <c r="FS169">
        <v>30.0001</v>
      </c>
      <c r="FT169">
        <v>25.026199999999999</v>
      </c>
      <c r="FU169">
        <v>25.028300000000002</v>
      </c>
      <c r="FV169">
        <v>24.8536</v>
      </c>
      <c r="FW169">
        <v>31.4346</v>
      </c>
      <c r="FX169">
        <v>18.564</v>
      </c>
      <c r="FY169">
        <v>18.564499999999999</v>
      </c>
      <c r="FZ169">
        <v>410</v>
      </c>
      <c r="GA169">
        <v>13.944599999999999</v>
      </c>
      <c r="GB169">
        <v>99.921599999999998</v>
      </c>
      <c r="GC169">
        <v>99.689300000000003</v>
      </c>
    </row>
    <row r="170" spans="1:185" x14ac:dyDescent="0.2">
      <c r="A170">
        <v>155</v>
      </c>
      <c r="B170">
        <v>1771001743.0999999</v>
      </c>
      <c r="C170">
        <v>3120</v>
      </c>
      <c r="D170" t="s">
        <v>609</v>
      </c>
      <c r="E170" t="s">
        <v>610</v>
      </c>
      <c r="F170">
        <v>15</v>
      </c>
      <c r="G170">
        <v>1771001735.03333</v>
      </c>
      <c r="H170">
        <f t="shared" si="26"/>
        <v>1.1697875916851441E-3</v>
      </c>
      <c r="I170">
        <v>0</v>
      </c>
      <c r="J170">
        <f t="shared" si="38"/>
        <v>1.2827446284341972E-3</v>
      </c>
      <c r="K170">
        <f t="shared" si="27"/>
        <v>2.2937082852188258E-2</v>
      </c>
      <c r="L170">
        <f t="shared" si="28"/>
        <v>69.912024351411347</v>
      </c>
      <c r="M170">
        <f t="shared" si="29"/>
        <v>1.5417158158083906</v>
      </c>
      <c r="N170">
        <f t="shared" si="30"/>
        <v>2.2052226782319844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26312.868868182839</v>
      </c>
      <c r="T170">
        <f t="shared" si="34"/>
        <v>100.000693333333</v>
      </c>
      <c r="U170">
        <f t="shared" si="35"/>
        <v>84.300504719446693</v>
      </c>
      <c r="V170">
        <f t="shared" si="36"/>
        <v>0.8429992023999997</v>
      </c>
      <c r="W170">
        <f t="shared" si="37"/>
        <v>0.15869751230399995</v>
      </c>
      <c r="X170">
        <v>1</v>
      </c>
      <c r="Y170">
        <v>1771001735.03333</v>
      </c>
      <c r="Z170">
        <v>409.37233333333302</v>
      </c>
      <c r="AA170">
        <v>409.99959999999999</v>
      </c>
      <c r="AB170">
        <v>15.346966666666701</v>
      </c>
      <c r="AC170">
        <v>13.90718</v>
      </c>
      <c r="AD170">
        <v>410.29320000000001</v>
      </c>
      <c r="AE170">
        <v>15.246126666666701</v>
      </c>
      <c r="AF170">
        <v>800.00386666666702</v>
      </c>
      <c r="AG170">
        <v>100.393066666667</v>
      </c>
      <c r="AH170">
        <v>6.4297273333333294E-2</v>
      </c>
      <c r="AI170">
        <v>19.000306666666699</v>
      </c>
      <c r="AJ170">
        <v>999.9</v>
      </c>
      <c r="AK170">
        <v>999.9</v>
      </c>
      <c r="AL170">
        <v>0</v>
      </c>
      <c r="AM170">
        <v>0</v>
      </c>
      <c r="AN170">
        <v>4997.9666666666699</v>
      </c>
      <c r="AO170">
        <v>0</v>
      </c>
      <c r="AP170">
        <v>1.8104766666666701</v>
      </c>
      <c r="AQ170">
        <v>-0.62720120000000001</v>
      </c>
      <c r="AR170">
        <v>415.75299999999999</v>
      </c>
      <c r="AS170">
        <v>415.78199999999998</v>
      </c>
      <c r="AT170">
        <v>1.43977933333333</v>
      </c>
      <c r="AU170">
        <v>409.99959999999999</v>
      </c>
      <c r="AV170">
        <v>13.90718</v>
      </c>
      <c r="AW170">
        <v>1.5407266666666699</v>
      </c>
      <c r="AX170">
        <v>1.39618333333333</v>
      </c>
      <c r="AY170">
        <v>13.378439999999999</v>
      </c>
      <c r="AZ170">
        <v>11.876239999999999</v>
      </c>
      <c r="BA170">
        <v>100.000693333333</v>
      </c>
      <c r="BB170">
        <v>0.90003393333333304</v>
      </c>
      <c r="BC170">
        <v>0</v>
      </c>
      <c r="BD170">
        <v>9.9966319999999997E-2</v>
      </c>
      <c r="BE170">
        <v>0</v>
      </c>
      <c r="BF170">
        <v>24</v>
      </c>
      <c r="BG170">
        <v>1648.9093333333301</v>
      </c>
      <c r="BH170">
        <v>1771001172</v>
      </c>
      <c r="BI170" t="s">
        <v>574</v>
      </c>
      <c r="BJ170">
        <v>1771001150</v>
      </c>
      <c r="BK170">
        <v>1771001172</v>
      </c>
      <c r="BL170">
        <v>7</v>
      </c>
      <c r="BM170">
        <v>4.2999999999999997E-2</v>
      </c>
      <c r="BN170">
        <v>-7.0000000000000001E-3</v>
      </c>
      <c r="BO170">
        <v>-0.92100000000000004</v>
      </c>
      <c r="BP170">
        <v>0.10100000000000001</v>
      </c>
      <c r="BQ170">
        <v>410</v>
      </c>
      <c r="BR170">
        <v>14</v>
      </c>
      <c r="BS170">
        <v>0.09</v>
      </c>
      <c r="BT170">
        <v>0.06</v>
      </c>
      <c r="BU170">
        <v>-0.63001240000000003</v>
      </c>
      <c r="BV170">
        <v>-1.27829534070403E-2</v>
      </c>
      <c r="BW170">
        <v>1.6068342600903202E-2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1.438998</v>
      </c>
      <c r="CD170">
        <v>3.3445966461338697E-2</v>
      </c>
      <c r="CE170">
        <v>3.9888853079525603E-3</v>
      </c>
      <c r="CF170">
        <v>1</v>
      </c>
      <c r="CG170">
        <v>2</v>
      </c>
      <c r="CH170">
        <v>2</v>
      </c>
      <c r="CI170" t="s">
        <v>304</v>
      </c>
      <c r="CJ170">
        <v>3.5324599999999999</v>
      </c>
      <c r="CK170">
        <v>2.7021700000000002</v>
      </c>
      <c r="CL170">
        <v>9.8247399999999999E-2</v>
      </c>
      <c r="CM170">
        <v>9.6978099999999998E-2</v>
      </c>
      <c r="CN170">
        <v>8.7174199999999993E-2</v>
      </c>
      <c r="CO170">
        <v>8.0200499999999994E-2</v>
      </c>
      <c r="CP170">
        <v>31641.200000000001</v>
      </c>
      <c r="CQ170">
        <v>27800.1</v>
      </c>
      <c r="CR170">
        <v>32473.9</v>
      </c>
      <c r="CS170">
        <v>30710.6</v>
      </c>
      <c r="CT170">
        <v>40130.199999999997</v>
      </c>
      <c r="CU170">
        <v>39717.599999999999</v>
      </c>
      <c r="CV170">
        <v>47416.800000000003</v>
      </c>
      <c r="CW170">
        <v>46825.599999999999</v>
      </c>
      <c r="CX170">
        <v>2.6301600000000001</v>
      </c>
      <c r="CY170">
        <v>2.1510799999999999</v>
      </c>
      <c r="CZ170">
        <v>0</v>
      </c>
      <c r="DA170">
        <v>0</v>
      </c>
      <c r="DB170">
        <v>999.9</v>
      </c>
      <c r="DC170">
        <v>999.9</v>
      </c>
      <c r="DD170">
        <v>57.496000000000002</v>
      </c>
      <c r="DE170">
        <v>26.062000000000001</v>
      </c>
      <c r="DF170">
        <v>19.395099999999999</v>
      </c>
      <c r="DG170">
        <v>30.330100000000002</v>
      </c>
      <c r="DH170">
        <v>16.426300000000001</v>
      </c>
      <c r="DI170">
        <v>2</v>
      </c>
      <c r="DJ170">
        <v>-0.15871099999999999</v>
      </c>
      <c r="DK170">
        <v>1.7278899999999999</v>
      </c>
      <c r="DL170">
        <v>20.236699999999999</v>
      </c>
      <c r="DM170">
        <v>5.2485600000000003</v>
      </c>
      <c r="DN170">
        <v>12.033899999999999</v>
      </c>
      <c r="DO170">
        <v>4.9657600000000004</v>
      </c>
      <c r="DP170">
        <v>3.2909999999999999</v>
      </c>
      <c r="DQ170">
        <v>9999</v>
      </c>
      <c r="DR170">
        <v>9999</v>
      </c>
      <c r="DS170">
        <v>597.20000000000005</v>
      </c>
      <c r="DT170">
        <v>9999</v>
      </c>
      <c r="DU170">
        <v>1.87103</v>
      </c>
      <c r="DV170">
        <v>1.87608</v>
      </c>
      <c r="DW170">
        <v>1.87629</v>
      </c>
      <c r="DX170">
        <v>1.8827799999999999</v>
      </c>
      <c r="DY170">
        <v>1.8755900000000001</v>
      </c>
      <c r="DZ170">
        <v>1.87463</v>
      </c>
      <c r="EA170">
        <v>1.87077</v>
      </c>
      <c r="EB170">
        <v>1.87463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-0.92100000000000004</v>
      </c>
      <c r="EQ170">
        <v>0.1008</v>
      </c>
      <c r="ER170">
        <v>-0.92059999999992204</v>
      </c>
      <c r="ES170">
        <v>0</v>
      </c>
      <c r="ET170">
        <v>0</v>
      </c>
      <c r="EU170">
        <v>0</v>
      </c>
      <c r="EV170">
        <v>0.100849999999996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9.9</v>
      </c>
      <c r="FE170">
        <v>9.5</v>
      </c>
      <c r="FF170">
        <v>1.2377899999999999</v>
      </c>
      <c r="FG170">
        <v>2.5903299999999998</v>
      </c>
      <c r="FH170">
        <v>2.19604</v>
      </c>
      <c r="FI170">
        <v>2.5769000000000002</v>
      </c>
      <c r="FJ170">
        <v>2.4462899999999999</v>
      </c>
      <c r="FK170">
        <v>2.2558600000000002</v>
      </c>
      <c r="FL170">
        <v>30.9985</v>
      </c>
      <c r="FM170">
        <v>24.148800000000001</v>
      </c>
      <c r="FN170">
        <v>19</v>
      </c>
      <c r="FO170">
        <v>864.48900000000003</v>
      </c>
      <c r="FP170">
        <v>587.178</v>
      </c>
      <c r="FQ170">
        <v>18.562200000000001</v>
      </c>
      <c r="FR170">
        <v>25.027100000000001</v>
      </c>
      <c r="FS170">
        <v>30</v>
      </c>
      <c r="FT170">
        <v>25.027100000000001</v>
      </c>
      <c r="FU170">
        <v>25.029499999999999</v>
      </c>
      <c r="FV170">
        <v>24.853400000000001</v>
      </c>
      <c r="FW170">
        <v>31.4346</v>
      </c>
      <c r="FX170">
        <v>18.186299999999999</v>
      </c>
      <c r="FY170">
        <v>18.5626</v>
      </c>
      <c r="FZ170">
        <v>410</v>
      </c>
      <c r="GA170">
        <v>13.945</v>
      </c>
      <c r="GB170">
        <v>99.921400000000006</v>
      </c>
      <c r="GC170">
        <v>99.689300000000003</v>
      </c>
    </row>
    <row r="171" spans="1:185" x14ac:dyDescent="0.2">
      <c r="A171">
        <v>156</v>
      </c>
      <c r="B171">
        <v>1771001758.0999999</v>
      </c>
      <c r="C171">
        <v>3135</v>
      </c>
      <c r="D171" t="s">
        <v>611</v>
      </c>
      <c r="E171" t="s">
        <v>612</v>
      </c>
      <c r="F171">
        <v>15</v>
      </c>
      <c r="G171">
        <v>1771001750.03333</v>
      </c>
      <c r="H171">
        <f t="shared" si="26"/>
        <v>1.1726849012220653E-3</v>
      </c>
      <c r="I171">
        <v>0</v>
      </c>
      <c r="J171">
        <f t="shared" si="38"/>
        <v>-1.3963885052081821E-3</v>
      </c>
      <c r="K171">
        <f t="shared" si="27"/>
        <v>-2.4969177907920921E-2</v>
      </c>
      <c r="L171">
        <f t="shared" si="28"/>
        <v>69.883257658900931</v>
      </c>
      <c r="M171">
        <f t="shared" si="29"/>
        <v>1.5410461850834756</v>
      </c>
      <c r="N171">
        <f t="shared" si="30"/>
        <v>2.2051722210851952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26343.070876026206</v>
      </c>
      <c r="T171">
        <f t="shared" si="34"/>
        <v>99.998913333333306</v>
      </c>
      <c r="U171">
        <f t="shared" si="35"/>
        <v>84.299000560906038</v>
      </c>
      <c r="V171">
        <f t="shared" si="36"/>
        <v>0.84299916620000004</v>
      </c>
      <c r="W171">
        <f t="shared" si="37"/>
        <v>0.15869792849200004</v>
      </c>
      <c r="X171">
        <v>1</v>
      </c>
      <c r="Y171">
        <v>1771001750.03333</v>
      </c>
      <c r="Z171">
        <v>409.42026666666698</v>
      </c>
      <c r="AA171">
        <v>409.98919999999998</v>
      </c>
      <c r="AB171">
        <v>15.34022</v>
      </c>
      <c r="AC171">
        <v>13.8968666666667</v>
      </c>
      <c r="AD171">
        <v>410.30726666666698</v>
      </c>
      <c r="AE171">
        <v>15.2393533333333</v>
      </c>
      <c r="AF171">
        <v>800.00900000000001</v>
      </c>
      <c r="AG171">
        <v>100.39360000000001</v>
      </c>
      <c r="AH171">
        <v>6.4293373333333306E-2</v>
      </c>
      <c r="AI171">
        <v>18.999939999999999</v>
      </c>
      <c r="AJ171">
        <v>999.9</v>
      </c>
      <c r="AK171">
        <v>999.9</v>
      </c>
      <c r="AL171">
        <v>0</v>
      </c>
      <c r="AM171">
        <v>0</v>
      </c>
      <c r="AN171">
        <v>5002.8999999999996</v>
      </c>
      <c r="AO171">
        <v>0</v>
      </c>
      <c r="AP171">
        <v>1.8142406666666699</v>
      </c>
      <c r="AQ171">
        <v>-0.60233966666666705</v>
      </c>
      <c r="AR171">
        <v>415.76466666666698</v>
      </c>
      <c r="AS171">
        <v>415.76679999999999</v>
      </c>
      <c r="AT171">
        <v>1.4433320000000001</v>
      </c>
      <c r="AU171">
        <v>409.98919999999998</v>
      </c>
      <c r="AV171">
        <v>13.8968666666667</v>
      </c>
      <c r="AW171">
        <v>1.5400560000000001</v>
      </c>
      <c r="AX171">
        <v>1.39515733333333</v>
      </c>
      <c r="AY171">
        <v>13.37176</v>
      </c>
      <c r="AZ171">
        <v>11.8651</v>
      </c>
      <c r="BA171">
        <v>99.998913333333306</v>
      </c>
      <c r="BB171">
        <v>0.90002760000000004</v>
      </c>
      <c r="BC171">
        <v>0</v>
      </c>
      <c r="BD171">
        <v>9.9972393333333395E-2</v>
      </c>
      <c r="BE171">
        <v>0</v>
      </c>
      <c r="BF171">
        <v>24</v>
      </c>
      <c r="BG171">
        <v>1648.87333333333</v>
      </c>
      <c r="BH171">
        <v>1771001782.0999999</v>
      </c>
      <c r="BI171" t="s">
        <v>613</v>
      </c>
      <c r="BJ171">
        <v>1771001782.0999999</v>
      </c>
      <c r="BK171">
        <v>1771001172</v>
      </c>
      <c r="BL171">
        <v>8</v>
      </c>
      <c r="BM171">
        <v>3.4000000000000002E-2</v>
      </c>
      <c r="BN171">
        <v>-7.0000000000000001E-3</v>
      </c>
      <c r="BO171">
        <v>-0.88700000000000001</v>
      </c>
      <c r="BP171">
        <v>0.10100000000000001</v>
      </c>
      <c r="BQ171">
        <v>410</v>
      </c>
      <c r="BR171">
        <v>14</v>
      </c>
      <c r="BS171">
        <v>0.28999999999999998</v>
      </c>
      <c r="BT171">
        <v>0.06</v>
      </c>
      <c r="BU171">
        <v>-0.61223633333333305</v>
      </c>
      <c r="BV171">
        <v>0.23469561038961101</v>
      </c>
      <c r="BW171">
        <v>3.2848157364184401E-2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1.44368428571429</v>
      </c>
      <c r="CD171">
        <v>9.7402597402475896E-4</v>
      </c>
      <c r="CE171">
        <v>1.73864635750419E-3</v>
      </c>
      <c r="CF171">
        <v>1</v>
      </c>
      <c r="CG171">
        <v>2</v>
      </c>
      <c r="CH171">
        <v>2</v>
      </c>
      <c r="CI171" t="s">
        <v>304</v>
      </c>
      <c r="CJ171">
        <v>3.5324800000000001</v>
      </c>
      <c r="CK171">
        <v>2.7021500000000001</v>
      </c>
      <c r="CL171">
        <v>9.8253599999999996E-2</v>
      </c>
      <c r="CM171">
        <v>9.6976000000000007E-2</v>
      </c>
      <c r="CN171">
        <v>8.7184200000000003E-2</v>
      </c>
      <c r="CO171">
        <v>8.0195100000000005E-2</v>
      </c>
      <c r="CP171">
        <v>31641.5</v>
      </c>
      <c r="CQ171">
        <v>27800.799999999999</v>
      </c>
      <c r="CR171">
        <v>32474.5</v>
      </c>
      <c r="CS171">
        <v>30711.4</v>
      </c>
      <c r="CT171">
        <v>40130.699999999997</v>
      </c>
      <c r="CU171">
        <v>39718.9</v>
      </c>
      <c r="CV171">
        <v>47417.9</v>
      </c>
      <c r="CW171">
        <v>46826.9</v>
      </c>
      <c r="CX171">
        <v>2.6303800000000002</v>
      </c>
      <c r="CY171">
        <v>2.1510199999999999</v>
      </c>
      <c r="CZ171">
        <v>0</v>
      </c>
      <c r="DA171">
        <v>0</v>
      </c>
      <c r="DB171">
        <v>999.9</v>
      </c>
      <c r="DC171">
        <v>999.9</v>
      </c>
      <c r="DD171">
        <v>57.398000000000003</v>
      </c>
      <c r="DE171">
        <v>26.062000000000001</v>
      </c>
      <c r="DF171">
        <v>19.362200000000001</v>
      </c>
      <c r="DG171">
        <v>30.450099999999999</v>
      </c>
      <c r="DH171">
        <v>16.4343</v>
      </c>
      <c r="DI171">
        <v>2</v>
      </c>
      <c r="DJ171">
        <v>-0.158583</v>
      </c>
      <c r="DK171">
        <v>1.7153099999999999</v>
      </c>
      <c r="DL171">
        <v>20.236799999999999</v>
      </c>
      <c r="DM171">
        <v>5.2474800000000004</v>
      </c>
      <c r="DN171">
        <v>12.033899999999999</v>
      </c>
      <c r="DO171">
        <v>4.9657600000000004</v>
      </c>
      <c r="DP171">
        <v>3.2909999999999999</v>
      </c>
      <c r="DQ171">
        <v>9999</v>
      </c>
      <c r="DR171">
        <v>9999</v>
      </c>
      <c r="DS171">
        <v>597.20000000000005</v>
      </c>
      <c r="DT171">
        <v>9999</v>
      </c>
      <c r="DU171">
        <v>1.87103</v>
      </c>
      <c r="DV171">
        <v>1.8760699999999999</v>
      </c>
      <c r="DW171">
        <v>1.87629</v>
      </c>
      <c r="DX171">
        <v>1.8827799999999999</v>
      </c>
      <c r="DY171">
        <v>1.8755900000000001</v>
      </c>
      <c r="DZ171">
        <v>1.8746400000000001</v>
      </c>
      <c r="EA171">
        <v>1.87077</v>
      </c>
      <c r="EB171">
        <v>1.8746100000000001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-0.88700000000000001</v>
      </c>
      <c r="EQ171">
        <v>0.1009</v>
      </c>
      <c r="ER171">
        <v>-0.92059999999992204</v>
      </c>
      <c r="ES171">
        <v>0</v>
      </c>
      <c r="ET171">
        <v>0</v>
      </c>
      <c r="EU171">
        <v>0</v>
      </c>
      <c r="EV171">
        <v>0.100849999999996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10.1</v>
      </c>
      <c r="FE171">
        <v>9.8000000000000007</v>
      </c>
      <c r="FF171">
        <v>1.2377899999999999</v>
      </c>
      <c r="FG171">
        <v>2.5903299999999998</v>
      </c>
      <c r="FH171">
        <v>2.19604</v>
      </c>
      <c r="FI171">
        <v>2.5769000000000002</v>
      </c>
      <c r="FJ171">
        <v>2.4462899999999999</v>
      </c>
      <c r="FK171">
        <v>2.2827099999999998</v>
      </c>
      <c r="FL171">
        <v>30.9985</v>
      </c>
      <c r="FM171">
        <v>24.148800000000001</v>
      </c>
      <c r="FN171">
        <v>19</v>
      </c>
      <c r="FO171">
        <v>864.71400000000006</v>
      </c>
      <c r="FP171">
        <v>587.14200000000005</v>
      </c>
      <c r="FQ171">
        <v>18.5684</v>
      </c>
      <c r="FR171">
        <v>25.0291</v>
      </c>
      <c r="FS171">
        <v>30.0001</v>
      </c>
      <c r="FT171">
        <v>25.028300000000002</v>
      </c>
      <c r="FU171">
        <v>25.0304</v>
      </c>
      <c r="FV171">
        <v>24.854600000000001</v>
      </c>
      <c r="FW171">
        <v>31.4346</v>
      </c>
      <c r="FX171">
        <v>17.808199999999999</v>
      </c>
      <c r="FY171">
        <v>18.5686</v>
      </c>
      <c r="FZ171">
        <v>410</v>
      </c>
      <c r="GA171">
        <v>13.9452</v>
      </c>
      <c r="GB171">
        <v>99.923500000000004</v>
      </c>
      <c r="GC171">
        <v>99.691999999999993</v>
      </c>
    </row>
    <row r="172" spans="1:185" x14ac:dyDescent="0.2">
      <c r="A172">
        <v>157</v>
      </c>
      <c r="B172">
        <v>1771001784.0999999</v>
      </c>
      <c r="C172">
        <v>3161</v>
      </c>
      <c r="D172" t="s">
        <v>614</v>
      </c>
      <c r="E172" t="s">
        <v>615</v>
      </c>
      <c r="F172">
        <v>15</v>
      </c>
      <c r="G172">
        <v>1771001783.0999999</v>
      </c>
      <c r="H172">
        <f t="shared" si="26"/>
        <v>1.8822661574224464E-5</v>
      </c>
      <c r="I172">
        <v>0</v>
      </c>
      <c r="J172">
        <f t="shared" si="38"/>
        <v>-1.1922455712957702E-3</v>
      </c>
      <c r="K172">
        <f t="shared" si="27"/>
        <v>-2.1318846201169996E-2</v>
      </c>
      <c r="L172">
        <f t="shared" si="28"/>
        <v>63.380543703298699</v>
      </c>
      <c r="M172">
        <f t="shared" si="29"/>
        <v>1.3976553763672002</v>
      </c>
      <c r="N172">
        <f t="shared" si="30"/>
        <v>2.2051804776399511</v>
      </c>
      <c r="O172">
        <v>500</v>
      </c>
      <c r="P172">
        <v>62</v>
      </c>
      <c r="Q172">
        <f t="shared" si="31"/>
        <v>1</v>
      </c>
      <c r="R172">
        <f t="shared" si="32"/>
        <v>0</v>
      </c>
      <c r="S172">
        <f t="shared" si="33"/>
        <v>26568.58482449007</v>
      </c>
      <c r="T172">
        <f t="shared" si="34"/>
        <v>100.002</v>
      </c>
      <c r="U172">
        <f t="shared" si="35"/>
        <v>84.301610398487995</v>
      </c>
      <c r="V172">
        <f t="shared" si="36"/>
        <v>0.84299924399999993</v>
      </c>
      <c r="W172">
        <f t="shared" si="37"/>
        <v>0.15869772024000001</v>
      </c>
      <c r="X172">
        <v>1</v>
      </c>
      <c r="Y172">
        <v>1771001783.0999999</v>
      </c>
      <c r="Z172">
        <v>410.05099999999999</v>
      </c>
      <c r="AA172">
        <v>410.03399999999999</v>
      </c>
      <c r="AB172">
        <v>13.9114</v>
      </c>
      <c r="AC172">
        <v>13.888199999999999</v>
      </c>
      <c r="AD172">
        <v>410.93799999999999</v>
      </c>
      <c r="AE172">
        <v>13.804399999999999</v>
      </c>
      <c r="AF172">
        <v>800.03499999999997</v>
      </c>
      <c r="AG172">
        <v>100.393</v>
      </c>
      <c r="AH172">
        <v>7.5347999999999998E-2</v>
      </c>
      <c r="AI172">
        <v>19</v>
      </c>
      <c r="AJ172">
        <v>999.9</v>
      </c>
      <c r="AK172">
        <v>999.9</v>
      </c>
      <c r="AL172">
        <v>0</v>
      </c>
      <c r="AM172">
        <v>0</v>
      </c>
      <c r="AN172">
        <v>5040</v>
      </c>
      <c r="AO172">
        <v>0</v>
      </c>
      <c r="AP172">
        <v>1.8180099999999999</v>
      </c>
      <c r="AQ172">
        <v>1.7181399999999999E-2</v>
      </c>
      <c r="AR172">
        <v>415.83300000000003</v>
      </c>
      <c r="AS172">
        <v>415.80900000000003</v>
      </c>
      <c r="AT172">
        <v>1.7073600000000001E-2</v>
      </c>
      <c r="AU172">
        <v>410.03399999999999</v>
      </c>
      <c r="AV172">
        <v>13.888199999999999</v>
      </c>
      <c r="AW172">
        <v>1.3959999999999999</v>
      </c>
      <c r="AX172">
        <v>1.39428</v>
      </c>
      <c r="AY172">
        <v>11.8742</v>
      </c>
      <c r="AZ172">
        <v>11.855600000000001</v>
      </c>
      <c r="BA172">
        <v>100.002</v>
      </c>
      <c r="BB172">
        <v>0.90003100000000003</v>
      </c>
      <c r="BC172">
        <v>0</v>
      </c>
      <c r="BD172">
        <v>9.9969199999999994E-2</v>
      </c>
      <c r="BE172">
        <v>0</v>
      </c>
      <c r="BF172">
        <v>24</v>
      </c>
      <c r="BG172">
        <v>1648.93</v>
      </c>
      <c r="BH172">
        <v>1771001804.0999999</v>
      </c>
      <c r="BI172" t="s">
        <v>616</v>
      </c>
      <c r="BJ172">
        <v>1771001782.0999999</v>
      </c>
      <c r="BK172">
        <v>1771001804.0999999</v>
      </c>
      <c r="BL172">
        <v>9</v>
      </c>
      <c r="BM172">
        <v>3.4000000000000002E-2</v>
      </c>
      <c r="BN172">
        <v>6.0000000000000001E-3</v>
      </c>
      <c r="BO172">
        <v>-0.88700000000000001</v>
      </c>
      <c r="BP172">
        <v>0.107</v>
      </c>
      <c r="BQ172">
        <v>410</v>
      </c>
      <c r="BR172">
        <v>15</v>
      </c>
      <c r="BS172">
        <v>0.28999999999999998</v>
      </c>
      <c r="BT172">
        <v>7.0000000000000007E-2</v>
      </c>
      <c r="BU172">
        <v>-3.1408392952381001E-2</v>
      </c>
      <c r="BV172">
        <v>0.14040603833766199</v>
      </c>
      <c r="BW172">
        <v>5.43527903273879E-2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6.2904347619047604E-2</v>
      </c>
      <c r="CD172">
        <v>-0.70184934545454503</v>
      </c>
      <c r="CE172">
        <v>0.13399049251299799</v>
      </c>
      <c r="CF172">
        <v>0</v>
      </c>
      <c r="CG172">
        <v>1</v>
      </c>
      <c r="CH172">
        <v>2</v>
      </c>
      <c r="CI172" t="s">
        <v>290</v>
      </c>
      <c r="CJ172">
        <v>3.5336500000000002</v>
      </c>
      <c r="CK172">
        <v>2.7123400000000002</v>
      </c>
      <c r="CL172">
        <v>9.8347699999999996E-2</v>
      </c>
      <c r="CM172">
        <v>9.6976999999999994E-2</v>
      </c>
      <c r="CN172">
        <v>8.0965300000000004E-2</v>
      </c>
      <c r="CO172">
        <v>8.01674E-2</v>
      </c>
      <c r="CP172">
        <v>31638.5</v>
      </c>
      <c r="CQ172">
        <v>27801.1</v>
      </c>
      <c r="CR172">
        <v>32474.9</v>
      </c>
      <c r="CS172">
        <v>30711.7</v>
      </c>
      <c r="CT172">
        <v>40413.199999999997</v>
      </c>
      <c r="CU172">
        <v>39720.9</v>
      </c>
      <c r="CV172">
        <v>47418.3</v>
      </c>
      <c r="CW172">
        <v>46827.7</v>
      </c>
      <c r="CX172">
        <v>1.6574599999999999</v>
      </c>
      <c r="CY172">
        <v>1.59338</v>
      </c>
      <c r="CZ172">
        <v>0</v>
      </c>
      <c r="DA172">
        <v>0</v>
      </c>
      <c r="DB172">
        <v>999.9</v>
      </c>
      <c r="DC172">
        <v>999.9</v>
      </c>
      <c r="DD172">
        <v>57.281999999999996</v>
      </c>
      <c r="DE172">
        <v>26.113</v>
      </c>
      <c r="DF172">
        <v>19.380099999999999</v>
      </c>
      <c r="DG172">
        <v>30.5001</v>
      </c>
      <c r="DH172">
        <v>16.678699999999999</v>
      </c>
      <c r="DI172">
        <v>2</v>
      </c>
      <c r="DJ172">
        <v>-0.15868499999999999</v>
      </c>
      <c r="DK172">
        <v>1.73098</v>
      </c>
      <c r="DL172">
        <v>20.235299999999999</v>
      </c>
      <c r="DM172">
        <v>5.2420900000000001</v>
      </c>
      <c r="DN172">
        <v>12.033899999999999</v>
      </c>
      <c r="DO172">
        <v>4.9660399999999996</v>
      </c>
      <c r="DP172">
        <v>3.2901400000000001</v>
      </c>
      <c r="DQ172">
        <v>9999</v>
      </c>
      <c r="DR172">
        <v>9999</v>
      </c>
      <c r="DS172">
        <v>597.20000000000005</v>
      </c>
      <c r="DT172">
        <v>9999</v>
      </c>
      <c r="DU172">
        <v>1.8710500000000001</v>
      </c>
      <c r="DV172">
        <v>1.87609</v>
      </c>
      <c r="DW172">
        <v>1.8763399999999999</v>
      </c>
      <c r="DX172">
        <v>1.8827799999999999</v>
      </c>
      <c r="DY172">
        <v>1.87561</v>
      </c>
      <c r="DZ172">
        <v>1.8746799999999999</v>
      </c>
      <c r="EA172">
        <v>1.87083</v>
      </c>
      <c r="EB172">
        <v>1.87466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-0.88700000000000001</v>
      </c>
      <c r="EQ172">
        <v>0.107</v>
      </c>
      <c r="ER172">
        <v>-0.88680000000005099</v>
      </c>
      <c r="ES172">
        <v>0</v>
      </c>
      <c r="ET172">
        <v>0</v>
      </c>
      <c r="EU172">
        <v>0</v>
      </c>
      <c r="EV172">
        <v>0.100849999999996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0</v>
      </c>
      <c r="FE172">
        <v>10.199999999999999</v>
      </c>
      <c r="FF172">
        <v>1.2377899999999999</v>
      </c>
      <c r="FG172">
        <v>2.5939899999999998</v>
      </c>
      <c r="FH172">
        <v>2.19604</v>
      </c>
      <c r="FI172">
        <v>2.5769000000000002</v>
      </c>
      <c r="FJ172">
        <v>2.4462899999999999</v>
      </c>
      <c r="FK172">
        <v>2.2814899999999998</v>
      </c>
      <c r="FL172">
        <v>31.020199999999999</v>
      </c>
      <c r="FM172">
        <v>24.122499999999999</v>
      </c>
      <c r="FN172">
        <v>19</v>
      </c>
      <c r="FO172">
        <v>275.78199999999998</v>
      </c>
      <c r="FP172">
        <v>268.238</v>
      </c>
      <c r="FQ172">
        <v>18.565000000000001</v>
      </c>
      <c r="FR172">
        <v>25.031300000000002</v>
      </c>
      <c r="FS172">
        <v>30</v>
      </c>
      <c r="FT172">
        <v>25.045999999999999</v>
      </c>
      <c r="FU172">
        <v>25.0471</v>
      </c>
      <c r="FV172">
        <v>24.853999999999999</v>
      </c>
      <c r="FW172">
        <v>28.086099999999998</v>
      </c>
      <c r="FX172">
        <v>17.808199999999999</v>
      </c>
      <c r="FY172">
        <v>18.5642</v>
      </c>
      <c r="FZ172">
        <v>410</v>
      </c>
      <c r="GA172">
        <v>14.8941</v>
      </c>
      <c r="GB172">
        <v>99.924400000000006</v>
      </c>
      <c r="GC172">
        <v>99.693399999999997</v>
      </c>
    </row>
    <row r="173" spans="1:185" x14ac:dyDescent="0.2">
      <c r="A173">
        <v>158</v>
      </c>
      <c r="B173">
        <v>1771001806.0999999</v>
      </c>
      <c r="C173">
        <v>3183</v>
      </c>
      <c r="D173" t="s">
        <v>617</v>
      </c>
      <c r="E173" t="s">
        <v>618</v>
      </c>
      <c r="F173">
        <v>15</v>
      </c>
      <c r="G173">
        <v>1771001805.0999999</v>
      </c>
      <c r="H173">
        <f t="shared" si="26"/>
        <v>1.6237582606259267E-7</v>
      </c>
      <c r="I173">
        <v>0</v>
      </c>
      <c r="J173">
        <f t="shared" si="38"/>
        <v>-4.0638264253053328E-4</v>
      </c>
      <c r="K173">
        <f t="shared" si="27"/>
        <v>-7.2666313580998241E-3</v>
      </c>
      <c r="L173">
        <f t="shared" si="28"/>
        <v>66.578546398341487</v>
      </c>
      <c r="M173">
        <f t="shared" si="29"/>
        <v>1.46868108441495</v>
      </c>
      <c r="N173">
        <f t="shared" si="30"/>
        <v>2.2059374436140224</v>
      </c>
      <c r="O173">
        <v>472</v>
      </c>
      <c r="P173">
        <v>59</v>
      </c>
      <c r="Q173">
        <f t="shared" si="31"/>
        <v>1</v>
      </c>
      <c r="R173">
        <f t="shared" si="32"/>
        <v>0</v>
      </c>
      <c r="S173">
        <f t="shared" si="33"/>
        <v>26331.37195337794</v>
      </c>
      <c r="T173">
        <f t="shared" si="34"/>
        <v>100.001</v>
      </c>
      <c r="U173">
        <f t="shared" si="35"/>
        <v>84.300806699637008</v>
      </c>
      <c r="V173">
        <f t="shared" si="36"/>
        <v>0.84299963700000002</v>
      </c>
      <c r="W173">
        <f t="shared" si="37"/>
        <v>0.15869889762</v>
      </c>
      <c r="X173">
        <v>1</v>
      </c>
      <c r="Y173">
        <v>1771001805.0999999</v>
      </c>
      <c r="Z173">
        <v>409.74299999999999</v>
      </c>
      <c r="AA173">
        <v>409.73399999999998</v>
      </c>
      <c r="AB173">
        <v>14.6181</v>
      </c>
      <c r="AC173">
        <v>14.617900000000001</v>
      </c>
      <c r="AD173">
        <v>410.63</v>
      </c>
      <c r="AE173">
        <v>14.5116</v>
      </c>
      <c r="AF173">
        <v>800.01099999999997</v>
      </c>
      <c r="AG173">
        <v>100.395</v>
      </c>
      <c r="AH173">
        <v>7.5039499999999995E-2</v>
      </c>
      <c r="AI173">
        <v>19.005500000000001</v>
      </c>
      <c r="AJ173">
        <v>999.9</v>
      </c>
      <c r="AK173">
        <v>999.9</v>
      </c>
      <c r="AL173">
        <v>0</v>
      </c>
      <c r="AM173">
        <v>0</v>
      </c>
      <c r="AN173">
        <v>5001</v>
      </c>
      <c r="AO173">
        <v>0</v>
      </c>
      <c r="AP173">
        <v>1.80671</v>
      </c>
      <c r="AQ173">
        <v>8.4838899999999991E-3</v>
      </c>
      <c r="AR173">
        <v>415.82100000000003</v>
      </c>
      <c r="AS173">
        <v>415.81299999999999</v>
      </c>
      <c r="AT173">
        <v>2.3364999999999999E-4</v>
      </c>
      <c r="AU173">
        <v>409.73399999999998</v>
      </c>
      <c r="AV173">
        <v>14.617900000000001</v>
      </c>
      <c r="AW173">
        <v>1.4675800000000001</v>
      </c>
      <c r="AX173">
        <v>1.46756</v>
      </c>
      <c r="AY173">
        <v>12.634499999999999</v>
      </c>
      <c r="AZ173">
        <v>12.6343</v>
      </c>
      <c r="BA173">
        <v>100.001</v>
      </c>
      <c r="BB173">
        <v>0.90001500000000001</v>
      </c>
      <c r="BC173">
        <v>0</v>
      </c>
      <c r="BD173">
        <v>9.9985099999999993E-2</v>
      </c>
      <c r="BE173">
        <v>0</v>
      </c>
      <c r="BF173">
        <v>24</v>
      </c>
      <c r="BG173">
        <v>1648.9</v>
      </c>
      <c r="BH173">
        <v>1771001804.0999999</v>
      </c>
      <c r="BI173" t="s">
        <v>616</v>
      </c>
      <c r="BJ173">
        <v>1771001782.0999999</v>
      </c>
      <c r="BK173">
        <v>1771001804.0999999</v>
      </c>
      <c r="BL173">
        <v>9</v>
      </c>
      <c r="BM173">
        <v>3.4000000000000002E-2</v>
      </c>
      <c r="BN173">
        <v>6.0000000000000001E-3</v>
      </c>
      <c r="BO173">
        <v>-0.88700000000000001</v>
      </c>
      <c r="BP173">
        <v>0.107</v>
      </c>
      <c r="BQ173">
        <v>410</v>
      </c>
      <c r="BR173">
        <v>15</v>
      </c>
      <c r="BS173">
        <v>0.28999999999999998</v>
      </c>
      <c r="BT173">
        <v>7.0000000000000007E-2</v>
      </c>
      <c r="BU173">
        <v>-4.6415876190476204E-3</v>
      </c>
      <c r="BV173">
        <v>1.4803027012987E-2</v>
      </c>
      <c r="BW173">
        <v>1.57418778988044E-2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0.119575907619048</v>
      </c>
      <c r="CD173">
        <v>-1.53508368545454</v>
      </c>
      <c r="CE173">
        <v>0.20365935082820499</v>
      </c>
      <c r="CF173">
        <v>0</v>
      </c>
      <c r="CG173">
        <v>1</v>
      </c>
      <c r="CH173">
        <v>2</v>
      </c>
      <c r="CI173" t="s">
        <v>290</v>
      </c>
      <c r="CJ173">
        <v>3.5337000000000001</v>
      </c>
      <c r="CK173">
        <v>2.7115200000000002</v>
      </c>
      <c r="CL173">
        <v>9.8294000000000006E-2</v>
      </c>
      <c r="CM173">
        <v>9.6930799999999998E-2</v>
      </c>
      <c r="CN173">
        <v>8.4266900000000006E-2</v>
      </c>
      <c r="CO173">
        <v>8.3266599999999996E-2</v>
      </c>
      <c r="CP173">
        <v>31641</v>
      </c>
      <c r="CQ173">
        <v>27802.6</v>
      </c>
      <c r="CR173">
        <v>32475.4</v>
      </c>
      <c r="CS173">
        <v>30711.7</v>
      </c>
      <c r="CT173">
        <v>40264.300000000003</v>
      </c>
      <c r="CU173">
        <v>39583.1</v>
      </c>
      <c r="CV173">
        <v>47419.3</v>
      </c>
      <c r="CW173">
        <v>46827.7</v>
      </c>
      <c r="CX173">
        <v>1.7013</v>
      </c>
      <c r="CY173">
        <v>1.62486</v>
      </c>
      <c r="CZ173">
        <v>0</v>
      </c>
      <c r="DA173">
        <v>0</v>
      </c>
      <c r="DB173">
        <v>999.9</v>
      </c>
      <c r="DC173">
        <v>999.9</v>
      </c>
      <c r="DD173">
        <v>57.197000000000003</v>
      </c>
      <c r="DE173">
        <v>26.123000000000001</v>
      </c>
      <c r="DF173">
        <v>19.364799999999999</v>
      </c>
      <c r="DG173">
        <v>30.5701</v>
      </c>
      <c r="DH173">
        <v>16.666699999999999</v>
      </c>
      <c r="DI173">
        <v>2</v>
      </c>
      <c r="DJ173">
        <v>-0.15848799999999999</v>
      </c>
      <c r="DK173">
        <v>1.73983</v>
      </c>
      <c r="DL173">
        <v>20.234400000000001</v>
      </c>
      <c r="DM173">
        <v>5.2398100000000003</v>
      </c>
      <c r="DN173">
        <v>12.033899999999999</v>
      </c>
      <c r="DO173">
        <v>4.9653999999999998</v>
      </c>
      <c r="DP173">
        <v>3.28972</v>
      </c>
      <c r="DQ173">
        <v>9999</v>
      </c>
      <c r="DR173">
        <v>9999</v>
      </c>
      <c r="DS173">
        <v>597.20000000000005</v>
      </c>
      <c r="DT173">
        <v>9999</v>
      </c>
      <c r="DU173">
        <v>1.8710500000000001</v>
      </c>
      <c r="DV173">
        <v>1.8761000000000001</v>
      </c>
      <c r="DW173">
        <v>1.87635</v>
      </c>
      <c r="DX173">
        <v>1.8828</v>
      </c>
      <c r="DY173">
        <v>1.87561</v>
      </c>
      <c r="DZ173">
        <v>1.8746799999999999</v>
      </c>
      <c r="EA173">
        <v>1.8708100000000001</v>
      </c>
      <c r="EB173">
        <v>1.8746700000000001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-0.88700000000000001</v>
      </c>
      <c r="EQ173">
        <v>0.1066</v>
      </c>
      <c r="ER173">
        <v>-0.88680000000005099</v>
      </c>
      <c r="ES173">
        <v>0</v>
      </c>
      <c r="ET173">
        <v>0</v>
      </c>
      <c r="EU173">
        <v>0</v>
      </c>
      <c r="EV173">
        <v>0.10658999999999701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0.4</v>
      </c>
      <c r="FE173">
        <v>0</v>
      </c>
      <c r="FF173">
        <v>1.2390099999999999</v>
      </c>
      <c r="FG173">
        <v>2.5805699999999998</v>
      </c>
      <c r="FH173">
        <v>2.19604</v>
      </c>
      <c r="FI173">
        <v>2.5756800000000002</v>
      </c>
      <c r="FJ173">
        <v>2.4462899999999999</v>
      </c>
      <c r="FK173">
        <v>2.2827099999999998</v>
      </c>
      <c r="FL173">
        <v>31.020199999999999</v>
      </c>
      <c r="FM173">
        <v>24.157499999999999</v>
      </c>
      <c r="FN173">
        <v>19</v>
      </c>
      <c r="FO173">
        <v>302.18299999999999</v>
      </c>
      <c r="FP173">
        <v>285.154</v>
      </c>
      <c r="FQ173">
        <v>18.561299999999999</v>
      </c>
      <c r="FR173">
        <v>25.0334</v>
      </c>
      <c r="FS173">
        <v>30.0002</v>
      </c>
      <c r="FT173">
        <v>25.0502</v>
      </c>
      <c r="FU173">
        <v>25.051400000000001</v>
      </c>
      <c r="FV173">
        <v>24.859200000000001</v>
      </c>
      <c r="FW173">
        <v>30.76</v>
      </c>
      <c r="FX173">
        <v>17.808199999999999</v>
      </c>
      <c r="FY173">
        <v>18.556899999999999</v>
      </c>
      <c r="FZ173">
        <v>410</v>
      </c>
      <c r="GA173">
        <v>14.164400000000001</v>
      </c>
      <c r="GB173">
        <v>99.926400000000001</v>
      </c>
      <c r="GC173">
        <v>99.693600000000004</v>
      </c>
    </row>
    <row r="174" spans="1:185" x14ac:dyDescent="0.2">
      <c r="A174">
        <v>159</v>
      </c>
      <c r="B174">
        <v>1771001821.0999999</v>
      </c>
      <c r="C174">
        <v>3198</v>
      </c>
      <c r="D174" t="s">
        <v>619</v>
      </c>
      <c r="E174" t="s">
        <v>620</v>
      </c>
      <c r="F174">
        <v>15</v>
      </c>
      <c r="G174">
        <v>1771001813.03333</v>
      </c>
      <c r="H174">
        <f t="shared" si="26"/>
        <v>1.0383275184843042E-3</v>
      </c>
      <c r="I174">
        <v>0</v>
      </c>
      <c r="J174">
        <f t="shared" si="38"/>
        <v>9.4447363116199824E-4</v>
      </c>
      <c r="K174">
        <f t="shared" si="27"/>
        <v>1.6888373141046562E-2</v>
      </c>
      <c r="L174">
        <f t="shared" si="28"/>
        <v>70.247367150299524</v>
      </c>
      <c r="M174">
        <f t="shared" si="29"/>
        <v>1.5495291738023929</v>
      </c>
      <c r="N174">
        <f t="shared" si="30"/>
        <v>2.2058181490091417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26316.435231108389</v>
      </c>
      <c r="T174">
        <f t="shared" si="34"/>
        <v>99.999946666666702</v>
      </c>
      <c r="U174">
        <f t="shared" si="35"/>
        <v>84.299878740040697</v>
      </c>
      <c r="V174">
        <f t="shared" si="36"/>
        <v>0.84299923699999968</v>
      </c>
      <c r="W174">
        <f t="shared" si="37"/>
        <v>0.15869828737999997</v>
      </c>
      <c r="X174">
        <v>1</v>
      </c>
      <c r="Y174">
        <v>1771001813.03333</v>
      </c>
      <c r="Z174">
        <v>409.43200000000002</v>
      </c>
      <c r="AA174">
        <v>409.984266666667</v>
      </c>
      <c r="AB174">
        <v>15.424146666666701</v>
      </c>
      <c r="AC174">
        <v>14.1468333333333</v>
      </c>
      <c r="AD174">
        <v>410.31866666666701</v>
      </c>
      <c r="AE174">
        <v>15.31756</v>
      </c>
      <c r="AF174">
        <v>800.36133333333396</v>
      </c>
      <c r="AG174">
        <v>100.395</v>
      </c>
      <c r="AH174">
        <v>6.62577466666667E-2</v>
      </c>
      <c r="AI174">
        <v>19.004633333333299</v>
      </c>
      <c r="AJ174">
        <v>999.9</v>
      </c>
      <c r="AK174">
        <v>999.9</v>
      </c>
      <c r="AL174">
        <v>0</v>
      </c>
      <c r="AM174">
        <v>0</v>
      </c>
      <c r="AN174">
        <v>4998.5333333333301</v>
      </c>
      <c r="AO174">
        <v>0</v>
      </c>
      <c r="AP174">
        <v>1.81356266666667</v>
      </c>
      <c r="AQ174">
        <v>-0.55250247399999997</v>
      </c>
      <c r="AR174">
        <v>415.84586666666701</v>
      </c>
      <c r="AS174">
        <v>415.86753333333297</v>
      </c>
      <c r="AT174">
        <v>1.2773211099999999</v>
      </c>
      <c r="AU174">
        <v>409.984266666667</v>
      </c>
      <c r="AV174">
        <v>14.1468333333333</v>
      </c>
      <c r="AW174">
        <v>1.54850466666667</v>
      </c>
      <c r="AX174">
        <v>1.4202693333333301</v>
      </c>
      <c r="AY174">
        <v>13.4530866666667</v>
      </c>
      <c r="AZ174">
        <v>12.1331333333333</v>
      </c>
      <c r="BA174">
        <v>99.999946666666702</v>
      </c>
      <c r="BB174">
        <v>0.90002253333333304</v>
      </c>
      <c r="BC174">
        <v>0</v>
      </c>
      <c r="BD174">
        <v>9.9977366666666706E-2</v>
      </c>
      <c r="BE174">
        <v>0</v>
      </c>
      <c r="BF174">
        <v>24</v>
      </c>
      <c r="BG174">
        <v>1648.8886666666699</v>
      </c>
      <c r="BH174">
        <v>1771001804.0999999</v>
      </c>
      <c r="BI174" t="s">
        <v>616</v>
      </c>
      <c r="BJ174">
        <v>1771001782.0999999</v>
      </c>
      <c r="BK174">
        <v>1771001804.0999999</v>
      </c>
      <c r="BL174">
        <v>9</v>
      </c>
      <c r="BM174">
        <v>3.4000000000000002E-2</v>
      </c>
      <c r="BN174">
        <v>6.0000000000000001E-3</v>
      </c>
      <c r="BO174">
        <v>-0.88700000000000001</v>
      </c>
      <c r="BP174">
        <v>0.107</v>
      </c>
      <c r="BQ174">
        <v>410</v>
      </c>
      <c r="BR174">
        <v>15</v>
      </c>
      <c r="BS174">
        <v>0.28999999999999998</v>
      </c>
      <c r="BT174">
        <v>7.0000000000000007E-2</v>
      </c>
      <c r="BU174">
        <v>-0.41532442899999999</v>
      </c>
      <c r="BV174">
        <v>-2.5213637593985001</v>
      </c>
      <c r="BW174">
        <v>0.303516139484098</v>
      </c>
      <c r="BX174">
        <v>0</v>
      </c>
      <c r="BY174">
        <v>0</v>
      </c>
      <c r="BZ174">
        <v>0</v>
      </c>
      <c r="CA174">
        <v>0</v>
      </c>
      <c r="CB174">
        <v>-1</v>
      </c>
      <c r="CC174">
        <v>0.95985054449999996</v>
      </c>
      <c r="CD174">
        <v>7.02909091353383</v>
      </c>
      <c r="CE174">
        <v>0.73235617383134699</v>
      </c>
      <c r="CF174">
        <v>0</v>
      </c>
      <c r="CG174">
        <v>0</v>
      </c>
      <c r="CH174">
        <v>2</v>
      </c>
      <c r="CI174" t="s">
        <v>299</v>
      </c>
      <c r="CJ174">
        <v>3.5325600000000001</v>
      </c>
      <c r="CK174">
        <v>2.70228</v>
      </c>
      <c r="CL174">
        <v>9.8242800000000005E-2</v>
      </c>
      <c r="CM174">
        <v>9.6963300000000002E-2</v>
      </c>
      <c r="CN174">
        <v>8.7831500000000007E-2</v>
      </c>
      <c r="CO174">
        <v>8.0201599999999998E-2</v>
      </c>
      <c r="CP174">
        <v>31641.9</v>
      </c>
      <c r="CQ174">
        <v>27801.4</v>
      </c>
      <c r="CR174">
        <v>32474.5</v>
      </c>
      <c r="CS174">
        <v>30711.599999999999</v>
      </c>
      <c r="CT174">
        <v>40101.5</v>
      </c>
      <c r="CU174">
        <v>39719.300000000003</v>
      </c>
      <c r="CV174">
        <v>47418.1</v>
      </c>
      <c r="CW174">
        <v>46827.7</v>
      </c>
      <c r="CX174">
        <v>2.6269800000000001</v>
      </c>
      <c r="CY174">
        <v>2.1495199999999999</v>
      </c>
      <c r="CZ174">
        <v>0</v>
      </c>
      <c r="DA174">
        <v>0</v>
      </c>
      <c r="DB174">
        <v>999.9</v>
      </c>
      <c r="DC174">
        <v>999.9</v>
      </c>
      <c r="DD174">
        <v>57.136000000000003</v>
      </c>
      <c r="DE174">
        <v>26.132999999999999</v>
      </c>
      <c r="DF174">
        <v>19.355599999999999</v>
      </c>
      <c r="DG174">
        <v>30.5701</v>
      </c>
      <c r="DH174">
        <v>16.2821</v>
      </c>
      <c r="DI174">
        <v>2</v>
      </c>
      <c r="DJ174">
        <v>-0.15813199999999999</v>
      </c>
      <c r="DK174">
        <v>1.7630999999999999</v>
      </c>
      <c r="DL174">
        <v>20.2362</v>
      </c>
      <c r="DM174">
        <v>5.2481999999999998</v>
      </c>
      <c r="DN174">
        <v>12.033899999999999</v>
      </c>
      <c r="DO174">
        <v>4.96732</v>
      </c>
      <c r="DP174">
        <v>3.2909999999999999</v>
      </c>
      <c r="DQ174">
        <v>9999</v>
      </c>
      <c r="DR174">
        <v>9999</v>
      </c>
      <c r="DS174">
        <v>597.20000000000005</v>
      </c>
      <c r="DT174">
        <v>9999</v>
      </c>
      <c r="DU174">
        <v>1.87107</v>
      </c>
      <c r="DV174">
        <v>1.8761000000000001</v>
      </c>
      <c r="DW174">
        <v>1.8763099999999999</v>
      </c>
      <c r="DX174">
        <v>1.8827799999999999</v>
      </c>
      <c r="DY174">
        <v>1.87561</v>
      </c>
      <c r="DZ174">
        <v>1.8746799999999999</v>
      </c>
      <c r="EA174">
        <v>1.8708</v>
      </c>
      <c r="EB174">
        <v>1.87466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-0.88600000000000001</v>
      </c>
      <c r="EQ174">
        <v>0.1066</v>
      </c>
      <c r="ER174">
        <v>-0.88680000000005099</v>
      </c>
      <c r="ES174">
        <v>0</v>
      </c>
      <c r="ET174">
        <v>0</v>
      </c>
      <c r="EU174">
        <v>0</v>
      </c>
      <c r="EV174">
        <v>0.10658999999999701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0.7</v>
      </c>
      <c r="FE174">
        <v>0.3</v>
      </c>
      <c r="FF174">
        <v>1.2377899999999999</v>
      </c>
      <c r="FG174">
        <v>2.5854499999999998</v>
      </c>
      <c r="FH174">
        <v>2.19604</v>
      </c>
      <c r="FI174">
        <v>2.5769000000000002</v>
      </c>
      <c r="FJ174">
        <v>2.4462899999999999</v>
      </c>
      <c r="FK174">
        <v>2.3059099999999999</v>
      </c>
      <c r="FL174">
        <v>31.020199999999999</v>
      </c>
      <c r="FM174">
        <v>24.157499999999999</v>
      </c>
      <c r="FN174">
        <v>19</v>
      </c>
      <c r="FO174">
        <v>861.73199999999997</v>
      </c>
      <c r="FP174">
        <v>586.05799999999999</v>
      </c>
      <c r="FQ174">
        <v>18.544499999999999</v>
      </c>
      <c r="FR174">
        <v>25.0334</v>
      </c>
      <c r="FS174">
        <v>30.0002</v>
      </c>
      <c r="FT174">
        <v>25.038799999999998</v>
      </c>
      <c r="FU174">
        <v>25.037400000000002</v>
      </c>
      <c r="FV174">
        <v>24.854800000000001</v>
      </c>
      <c r="FW174">
        <v>31.6236</v>
      </c>
      <c r="FX174">
        <v>17.433700000000002</v>
      </c>
      <c r="FY174">
        <v>18.542100000000001</v>
      </c>
      <c r="FZ174">
        <v>410</v>
      </c>
      <c r="GA174">
        <v>13.892799999999999</v>
      </c>
      <c r="GB174">
        <v>99.923699999999997</v>
      </c>
      <c r="GC174">
        <v>99.693399999999997</v>
      </c>
    </row>
    <row r="175" spans="1:185" x14ac:dyDescent="0.2">
      <c r="A175">
        <v>160</v>
      </c>
      <c r="B175">
        <v>1771001836.0999999</v>
      </c>
      <c r="C175">
        <v>3213</v>
      </c>
      <c r="D175" t="s">
        <v>621</v>
      </c>
      <c r="E175" t="s">
        <v>622</v>
      </c>
      <c r="F175">
        <v>15</v>
      </c>
      <c r="G175">
        <v>1771001828.03333</v>
      </c>
      <c r="H175">
        <f t="shared" si="26"/>
        <v>1.2696270466906502E-3</v>
      </c>
      <c r="I175">
        <v>0</v>
      </c>
      <c r="J175">
        <f t="shared" si="38"/>
        <v>-2.0203911290413248E-3</v>
      </c>
      <c r="K175">
        <f t="shared" si="27"/>
        <v>-3.6127127483835189E-2</v>
      </c>
      <c r="L175">
        <f t="shared" si="28"/>
        <v>70.353913196125689</v>
      </c>
      <c r="M175">
        <f t="shared" si="29"/>
        <v>1.5515766309654921</v>
      </c>
      <c r="N175">
        <f t="shared" si="30"/>
        <v>2.2053878177894104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26334.142376689957</v>
      </c>
      <c r="T175">
        <f t="shared" si="34"/>
        <v>99.999319999999997</v>
      </c>
      <c r="U175">
        <f t="shared" si="35"/>
        <v>84.299358660463128</v>
      </c>
      <c r="V175">
        <f t="shared" si="36"/>
        <v>0.84299931900000047</v>
      </c>
      <c r="W175">
        <f t="shared" si="37"/>
        <v>0.1586987522200001</v>
      </c>
      <c r="X175">
        <v>1</v>
      </c>
      <c r="Y175">
        <v>1771001828.03333</v>
      </c>
      <c r="Z175">
        <v>409.37733333333301</v>
      </c>
      <c r="AA175">
        <v>409.98186666666697</v>
      </c>
      <c r="AB175">
        <v>15.444926666666699</v>
      </c>
      <c r="AC175">
        <v>13.8824133333333</v>
      </c>
      <c r="AD175">
        <v>410.26413333333301</v>
      </c>
      <c r="AE175">
        <v>15.338333333333299</v>
      </c>
      <c r="AF175">
        <v>800.00453333333303</v>
      </c>
      <c r="AG175">
        <v>100.394133333333</v>
      </c>
      <c r="AH175">
        <v>6.4526293333333304E-2</v>
      </c>
      <c r="AI175">
        <v>19.0015066666667</v>
      </c>
      <c r="AJ175">
        <v>999.9</v>
      </c>
      <c r="AK175">
        <v>999.9</v>
      </c>
      <c r="AL175">
        <v>0</v>
      </c>
      <c r="AM175">
        <v>0</v>
      </c>
      <c r="AN175">
        <v>5001.4333333333298</v>
      </c>
      <c r="AO175">
        <v>0</v>
      </c>
      <c r="AP175">
        <v>1.80671</v>
      </c>
      <c r="AQ175">
        <v>-0.60454713333333299</v>
      </c>
      <c r="AR175">
        <v>415.79926666666699</v>
      </c>
      <c r="AS175">
        <v>415.75360000000001</v>
      </c>
      <c r="AT175">
        <v>1.5625213333333301</v>
      </c>
      <c r="AU175">
        <v>409.98186666666697</v>
      </c>
      <c r="AV175">
        <v>13.8824133333333</v>
      </c>
      <c r="AW175">
        <v>1.55057933333333</v>
      </c>
      <c r="AX175">
        <v>1.39371133333333</v>
      </c>
      <c r="AY175">
        <v>13.4762066666667</v>
      </c>
      <c r="AZ175">
        <v>11.8493733333333</v>
      </c>
      <c r="BA175">
        <v>99.999319999999997</v>
      </c>
      <c r="BB175">
        <v>0.90001593333333396</v>
      </c>
      <c r="BC175">
        <v>0</v>
      </c>
      <c r="BD175">
        <v>9.99838333333333E-2</v>
      </c>
      <c r="BE175">
        <v>0</v>
      </c>
      <c r="BF175">
        <v>24</v>
      </c>
      <c r="BG175">
        <v>1648.8720000000001</v>
      </c>
      <c r="BH175">
        <v>1771001804.0999999</v>
      </c>
      <c r="BI175" t="s">
        <v>616</v>
      </c>
      <c r="BJ175">
        <v>1771001782.0999999</v>
      </c>
      <c r="BK175">
        <v>1771001804.0999999</v>
      </c>
      <c r="BL175">
        <v>9</v>
      </c>
      <c r="BM175">
        <v>3.4000000000000002E-2</v>
      </c>
      <c r="BN175">
        <v>6.0000000000000001E-3</v>
      </c>
      <c r="BO175">
        <v>-0.88700000000000001</v>
      </c>
      <c r="BP175">
        <v>0.107</v>
      </c>
      <c r="BQ175">
        <v>410</v>
      </c>
      <c r="BR175">
        <v>15</v>
      </c>
      <c r="BS175">
        <v>0.28999999999999998</v>
      </c>
      <c r="BT175">
        <v>7.0000000000000007E-2</v>
      </c>
      <c r="BU175">
        <v>-0.60322795238095195</v>
      </c>
      <c r="BV175">
        <v>-5.4282779220779301E-2</v>
      </c>
      <c r="BW175">
        <v>2.6397667080320701E-2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1.5860542857142901</v>
      </c>
      <c r="CD175">
        <v>-0.427890389610389</v>
      </c>
      <c r="CE175">
        <v>4.4627561265318902E-2</v>
      </c>
      <c r="CF175">
        <v>0</v>
      </c>
      <c r="CG175">
        <v>1</v>
      </c>
      <c r="CH175">
        <v>2</v>
      </c>
      <c r="CI175" t="s">
        <v>290</v>
      </c>
      <c r="CJ175">
        <v>3.5325299999999999</v>
      </c>
      <c r="CK175">
        <v>2.7021500000000001</v>
      </c>
      <c r="CL175">
        <v>9.8243200000000003E-2</v>
      </c>
      <c r="CM175">
        <v>9.6975000000000006E-2</v>
      </c>
      <c r="CN175">
        <v>8.7418200000000001E-2</v>
      </c>
      <c r="CO175">
        <v>8.0114000000000005E-2</v>
      </c>
      <c r="CP175">
        <v>31642.400000000001</v>
      </c>
      <c r="CQ175">
        <v>27801.4</v>
      </c>
      <c r="CR175">
        <v>32475</v>
      </c>
      <c r="CS175">
        <v>30712.1</v>
      </c>
      <c r="CT175">
        <v>40120.5</v>
      </c>
      <c r="CU175">
        <v>39723.699999999997</v>
      </c>
      <c r="CV175">
        <v>47418.400000000001</v>
      </c>
      <c r="CW175">
        <v>46828.3</v>
      </c>
      <c r="CX175">
        <v>2.6292</v>
      </c>
      <c r="CY175">
        <v>2.1499600000000001</v>
      </c>
      <c r="CZ175">
        <v>0</v>
      </c>
      <c r="DA175">
        <v>0</v>
      </c>
      <c r="DB175">
        <v>999.9</v>
      </c>
      <c r="DC175">
        <v>999.9</v>
      </c>
      <c r="DD175">
        <v>57.087000000000003</v>
      </c>
      <c r="DE175">
        <v>26.152999999999999</v>
      </c>
      <c r="DF175">
        <v>19.3626</v>
      </c>
      <c r="DG175">
        <v>30.240100000000002</v>
      </c>
      <c r="DH175">
        <v>16.354199999999999</v>
      </c>
      <c r="DI175">
        <v>2</v>
      </c>
      <c r="DJ175">
        <v>-0.15781899999999999</v>
      </c>
      <c r="DK175">
        <v>1.76888</v>
      </c>
      <c r="DL175">
        <v>20.235900000000001</v>
      </c>
      <c r="DM175">
        <v>5.2478400000000001</v>
      </c>
      <c r="DN175">
        <v>12.033899999999999</v>
      </c>
      <c r="DO175">
        <v>4.9668000000000001</v>
      </c>
      <c r="DP175">
        <v>3.29068</v>
      </c>
      <c r="DQ175">
        <v>9999</v>
      </c>
      <c r="DR175">
        <v>9999</v>
      </c>
      <c r="DS175">
        <v>597.20000000000005</v>
      </c>
      <c r="DT175">
        <v>9999</v>
      </c>
      <c r="DU175">
        <v>1.87107</v>
      </c>
      <c r="DV175">
        <v>1.87612</v>
      </c>
      <c r="DW175">
        <v>1.87635</v>
      </c>
      <c r="DX175">
        <v>1.8828</v>
      </c>
      <c r="DY175">
        <v>1.87561</v>
      </c>
      <c r="DZ175">
        <v>1.8746799999999999</v>
      </c>
      <c r="EA175">
        <v>1.8708100000000001</v>
      </c>
      <c r="EB175">
        <v>1.8746799999999999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-0.88700000000000001</v>
      </c>
      <c r="EQ175">
        <v>0.1066</v>
      </c>
      <c r="ER175">
        <v>-0.88680000000005099</v>
      </c>
      <c r="ES175">
        <v>0</v>
      </c>
      <c r="ET175">
        <v>0</v>
      </c>
      <c r="EU175">
        <v>0</v>
      </c>
      <c r="EV175">
        <v>0.10658999999999701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0.9</v>
      </c>
      <c r="FE175">
        <v>0.5</v>
      </c>
      <c r="FF175">
        <v>1.2377899999999999</v>
      </c>
      <c r="FG175">
        <v>2.5866699999999998</v>
      </c>
      <c r="FH175">
        <v>2.19604</v>
      </c>
      <c r="FI175">
        <v>2.5769000000000002</v>
      </c>
      <c r="FJ175">
        <v>2.4462899999999999</v>
      </c>
      <c r="FK175">
        <v>2.2973599999999998</v>
      </c>
      <c r="FL175">
        <v>31.041899999999998</v>
      </c>
      <c r="FM175">
        <v>24.157499999999999</v>
      </c>
      <c r="FN175">
        <v>19</v>
      </c>
      <c r="FO175">
        <v>863.78899999999999</v>
      </c>
      <c r="FP175">
        <v>586.43899999999996</v>
      </c>
      <c r="FQ175">
        <v>18.539200000000001</v>
      </c>
      <c r="FR175">
        <v>25.035499999999999</v>
      </c>
      <c r="FS175">
        <v>30.0001</v>
      </c>
      <c r="FT175">
        <v>25.038799999999998</v>
      </c>
      <c r="FU175">
        <v>25.040900000000001</v>
      </c>
      <c r="FV175">
        <v>24.854900000000001</v>
      </c>
      <c r="FW175">
        <v>31.6236</v>
      </c>
      <c r="FX175">
        <v>17.433700000000002</v>
      </c>
      <c r="FY175">
        <v>18.537400000000002</v>
      </c>
      <c r="FZ175">
        <v>410</v>
      </c>
      <c r="GA175">
        <v>13.9244</v>
      </c>
      <c r="GB175">
        <v>99.924700000000001</v>
      </c>
      <c r="GC175">
        <v>99.694699999999997</v>
      </c>
    </row>
    <row r="176" spans="1:185" x14ac:dyDescent="0.2">
      <c r="A176">
        <v>161</v>
      </c>
      <c r="B176">
        <v>1771001851.0999999</v>
      </c>
      <c r="C176">
        <v>3228</v>
      </c>
      <c r="D176" t="s">
        <v>623</v>
      </c>
      <c r="E176" t="s">
        <v>624</v>
      </c>
      <c r="F176">
        <v>15</v>
      </c>
      <c r="G176">
        <v>1771001843.03333</v>
      </c>
      <c r="H176">
        <f t="shared" si="26"/>
        <v>1.2282588796259293E-3</v>
      </c>
      <c r="I176">
        <v>0</v>
      </c>
      <c r="J176">
        <f t="shared" si="38"/>
        <v>-5.5134546595235511E-4</v>
      </c>
      <c r="K176">
        <f t="shared" si="27"/>
        <v>-9.8587484620102171E-3</v>
      </c>
      <c r="L176">
        <f t="shared" si="28"/>
        <v>70.063431989846876</v>
      </c>
      <c r="M176">
        <f t="shared" si="29"/>
        <v>1.5451446815191339</v>
      </c>
      <c r="N176">
        <f t="shared" si="30"/>
        <v>2.2053511191730455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26362.279057180178</v>
      </c>
      <c r="T176">
        <f t="shared" si="34"/>
        <v>99.998966666666703</v>
      </c>
      <c r="U176">
        <f t="shared" si="35"/>
        <v>84.299056120752141</v>
      </c>
      <c r="V176">
        <f t="shared" si="36"/>
        <v>0.84299927220000048</v>
      </c>
      <c r="W176">
        <f t="shared" si="37"/>
        <v>0.15869832341200008</v>
      </c>
      <c r="X176">
        <v>1</v>
      </c>
      <c r="Y176">
        <v>1771001843.03333</v>
      </c>
      <c r="Z176">
        <v>409.37933333333302</v>
      </c>
      <c r="AA176">
        <v>409.99553333333301</v>
      </c>
      <c r="AB176">
        <v>15.3809733333333</v>
      </c>
      <c r="AC176">
        <v>13.86928</v>
      </c>
      <c r="AD176">
        <v>410.26606666666697</v>
      </c>
      <c r="AE176">
        <v>15.274373333333299</v>
      </c>
      <c r="AF176">
        <v>800.00819999999999</v>
      </c>
      <c r="AG176">
        <v>100.3938</v>
      </c>
      <c r="AH176">
        <v>6.4386100000000002E-2</v>
      </c>
      <c r="AI176">
        <v>19.001239999999999</v>
      </c>
      <c r="AJ176">
        <v>999.9</v>
      </c>
      <c r="AK176">
        <v>999.9</v>
      </c>
      <c r="AL176">
        <v>0</v>
      </c>
      <c r="AM176">
        <v>0</v>
      </c>
      <c r="AN176">
        <v>5006.0666666666702</v>
      </c>
      <c r="AO176">
        <v>0</v>
      </c>
      <c r="AP176">
        <v>1.80671</v>
      </c>
      <c r="AQ176">
        <v>-0.61627393333333302</v>
      </c>
      <c r="AR176">
        <v>415.77420000000001</v>
      </c>
      <c r="AS176">
        <v>415.761866666667</v>
      </c>
      <c r="AT176">
        <v>1.5116986666666701</v>
      </c>
      <c r="AU176">
        <v>409.99553333333301</v>
      </c>
      <c r="AV176">
        <v>13.86928</v>
      </c>
      <c r="AW176">
        <v>1.5441526666666701</v>
      </c>
      <c r="AX176">
        <v>1.392388</v>
      </c>
      <c r="AY176">
        <v>13.412513333333299</v>
      </c>
      <c r="AZ176">
        <v>11.834986666666699</v>
      </c>
      <c r="BA176">
        <v>99.998966666666703</v>
      </c>
      <c r="BB176">
        <v>0.90002213333333403</v>
      </c>
      <c r="BC176">
        <v>0</v>
      </c>
      <c r="BD176">
        <v>9.9977793333333301E-2</v>
      </c>
      <c r="BE176">
        <v>0</v>
      </c>
      <c r="BF176">
        <v>24</v>
      </c>
      <c r="BG176">
        <v>1648.8713333333301</v>
      </c>
      <c r="BH176">
        <v>1771001804.0999999</v>
      </c>
      <c r="BI176" t="s">
        <v>616</v>
      </c>
      <c r="BJ176">
        <v>1771001782.0999999</v>
      </c>
      <c r="BK176">
        <v>1771001804.0999999</v>
      </c>
      <c r="BL176">
        <v>9</v>
      </c>
      <c r="BM176">
        <v>3.4000000000000002E-2</v>
      </c>
      <c r="BN176">
        <v>6.0000000000000001E-3</v>
      </c>
      <c r="BO176">
        <v>-0.88700000000000001</v>
      </c>
      <c r="BP176">
        <v>0.107</v>
      </c>
      <c r="BQ176">
        <v>410</v>
      </c>
      <c r="BR176">
        <v>15</v>
      </c>
      <c r="BS176">
        <v>0.28999999999999998</v>
      </c>
      <c r="BT176">
        <v>7.0000000000000007E-2</v>
      </c>
      <c r="BU176">
        <v>-0.61416170000000003</v>
      </c>
      <c r="BV176">
        <v>-0.110356691729323</v>
      </c>
      <c r="BW176">
        <v>1.8129187488963801E-2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1.5177849999999999</v>
      </c>
      <c r="CD176">
        <v>-0.109907368421053</v>
      </c>
      <c r="CE176">
        <v>1.2488412829499199E-2</v>
      </c>
      <c r="CF176">
        <v>0</v>
      </c>
      <c r="CG176">
        <v>1</v>
      </c>
      <c r="CH176">
        <v>2</v>
      </c>
      <c r="CI176" t="s">
        <v>290</v>
      </c>
      <c r="CJ176">
        <v>3.5325600000000001</v>
      </c>
      <c r="CK176">
        <v>2.7021000000000002</v>
      </c>
      <c r="CL176">
        <v>9.8236900000000002E-2</v>
      </c>
      <c r="CM176">
        <v>9.6977999999999995E-2</v>
      </c>
      <c r="CN176">
        <v>8.7252300000000005E-2</v>
      </c>
      <c r="CO176">
        <v>8.0028600000000005E-2</v>
      </c>
      <c r="CP176">
        <v>31641.3</v>
      </c>
      <c r="CQ176">
        <v>27801.200000000001</v>
      </c>
      <c r="CR176">
        <v>32473.599999999999</v>
      </c>
      <c r="CS176">
        <v>30711.8</v>
      </c>
      <c r="CT176">
        <v>40126.699999999997</v>
      </c>
      <c r="CU176">
        <v>39727.5</v>
      </c>
      <c r="CV176">
        <v>47416.800000000003</v>
      </c>
      <c r="CW176">
        <v>46828.2</v>
      </c>
      <c r="CX176">
        <v>2.62988</v>
      </c>
      <c r="CY176">
        <v>2.15002</v>
      </c>
      <c r="CZ176">
        <v>0</v>
      </c>
      <c r="DA176">
        <v>0</v>
      </c>
      <c r="DB176">
        <v>999.9</v>
      </c>
      <c r="DC176">
        <v>999.9</v>
      </c>
      <c r="DD176">
        <v>57.02</v>
      </c>
      <c r="DE176">
        <v>26.152999999999999</v>
      </c>
      <c r="DF176">
        <v>19.339500000000001</v>
      </c>
      <c r="DG176">
        <v>29.940100000000001</v>
      </c>
      <c r="DH176">
        <v>16.302099999999999</v>
      </c>
      <c r="DI176">
        <v>2</v>
      </c>
      <c r="DJ176">
        <v>-0.157638</v>
      </c>
      <c r="DK176">
        <v>1.77667</v>
      </c>
      <c r="DL176">
        <v>20.236000000000001</v>
      </c>
      <c r="DM176">
        <v>5.2498800000000001</v>
      </c>
      <c r="DN176">
        <v>12.033899999999999</v>
      </c>
      <c r="DO176">
        <v>4.9670399999999999</v>
      </c>
      <c r="DP176">
        <v>3.2909999999999999</v>
      </c>
      <c r="DQ176">
        <v>9999</v>
      </c>
      <c r="DR176">
        <v>9999</v>
      </c>
      <c r="DS176">
        <v>597.20000000000005</v>
      </c>
      <c r="DT176">
        <v>9999</v>
      </c>
      <c r="DU176">
        <v>1.87107</v>
      </c>
      <c r="DV176">
        <v>1.8761000000000001</v>
      </c>
      <c r="DW176">
        <v>1.87635</v>
      </c>
      <c r="DX176">
        <v>1.8828100000000001</v>
      </c>
      <c r="DY176">
        <v>1.87561</v>
      </c>
      <c r="DZ176">
        <v>1.87469</v>
      </c>
      <c r="EA176">
        <v>1.8708199999999999</v>
      </c>
      <c r="EB176">
        <v>1.8746700000000001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-0.88700000000000001</v>
      </c>
      <c r="EQ176">
        <v>0.1066</v>
      </c>
      <c r="ER176">
        <v>-0.88680000000005099</v>
      </c>
      <c r="ES176">
        <v>0</v>
      </c>
      <c r="ET176">
        <v>0</v>
      </c>
      <c r="EU176">
        <v>0</v>
      </c>
      <c r="EV176">
        <v>0.10658999999999701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1.1000000000000001</v>
      </c>
      <c r="FE176">
        <v>0.8</v>
      </c>
      <c r="FF176">
        <v>1.2377899999999999</v>
      </c>
      <c r="FG176">
        <v>2.5903299999999998</v>
      </c>
      <c r="FH176">
        <v>2.19604</v>
      </c>
      <c r="FI176">
        <v>2.5769000000000002</v>
      </c>
      <c r="FJ176">
        <v>2.4462899999999999</v>
      </c>
      <c r="FK176">
        <v>2.3046899999999999</v>
      </c>
      <c r="FL176">
        <v>31.063600000000001</v>
      </c>
      <c r="FM176">
        <v>24.157499999999999</v>
      </c>
      <c r="FN176">
        <v>19</v>
      </c>
      <c r="FO176">
        <v>864.45299999999997</v>
      </c>
      <c r="FP176">
        <v>586.50900000000001</v>
      </c>
      <c r="FQ176">
        <v>18.535</v>
      </c>
      <c r="FR176">
        <v>25.038</v>
      </c>
      <c r="FS176">
        <v>30.0002</v>
      </c>
      <c r="FT176">
        <v>25.040900000000001</v>
      </c>
      <c r="FU176">
        <v>25.042899999999999</v>
      </c>
      <c r="FV176">
        <v>24.854900000000001</v>
      </c>
      <c r="FW176">
        <v>31.351600000000001</v>
      </c>
      <c r="FX176">
        <v>17.056100000000001</v>
      </c>
      <c r="FY176">
        <v>18.5336</v>
      </c>
      <c r="FZ176">
        <v>410</v>
      </c>
      <c r="GA176">
        <v>13.9244</v>
      </c>
      <c r="GB176">
        <v>99.921099999999996</v>
      </c>
      <c r="GC176">
        <v>99.694299999999998</v>
      </c>
    </row>
    <row r="177" spans="1:185" x14ac:dyDescent="0.2">
      <c r="A177">
        <v>162</v>
      </c>
      <c r="B177">
        <v>1771002047.0999999</v>
      </c>
      <c r="C177">
        <v>3424</v>
      </c>
      <c r="D177" t="s">
        <v>625</v>
      </c>
      <c r="E177" t="s">
        <v>626</v>
      </c>
      <c r="F177">
        <v>15</v>
      </c>
      <c r="G177">
        <v>1771002039.0999999</v>
      </c>
      <c r="H177">
        <f t="shared" si="26"/>
        <v>1.2261111095987856E-3</v>
      </c>
      <c r="I177">
        <v>0</v>
      </c>
      <c r="J177">
        <f t="shared" si="38"/>
        <v>-1.5584123742300868E-2</v>
      </c>
      <c r="K177">
        <f t="shared" si="27"/>
        <v>-0.27866367906154593</v>
      </c>
      <c r="L177">
        <f t="shared" si="28"/>
        <v>72.56228081938157</v>
      </c>
      <c r="M177">
        <f t="shared" si="29"/>
        <v>1.5925475956682293</v>
      </c>
      <c r="N177">
        <f t="shared" si="30"/>
        <v>2.1947319980642832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26339.490615079892</v>
      </c>
      <c r="T177">
        <f t="shared" si="34"/>
        <v>299.99993333333299</v>
      </c>
      <c r="U177">
        <f t="shared" si="35"/>
        <v>252.90006619997246</v>
      </c>
      <c r="V177">
        <f t="shared" si="36"/>
        <v>0.84300040799999987</v>
      </c>
      <c r="W177">
        <f t="shared" si="37"/>
        <v>0.15870102</v>
      </c>
      <c r="X177">
        <v>1</v>
      </c>
      <c r="Y177">
        <v>1771002039.0999999</v>
      </c>
      <c r="Z177">
        <v>409.74773333333297</v>
      </c>
      <c r="AA177">
        <v>410.0274</v>
      </c>
      <c r="AB177">
        <v>15.853293333333299</v>
      </c>
      <c r="AC177">
        <v>14.344946666666701</v>
      </c>
      <c r="AD177">
        <v>410.63466666666699</v>
      </c>
      <c r="AE177">
        <v>15.746700000000001</v>
      </c>
      <c r="AF177">
        <v>799.99726666666697</v>
      </c>
      <c r="AG177">
        <v>100.390933333333</v>
      </c>
      <c r="AH177">
        <v>6.4382933333333295E-2</v>
      </c>
      <c r="AI177">
        <v>18.923913333333299</v>
      </c>
      <c r="AJ177">
        <v>999.9</v>
      </c>
      <c r="AK177">
        <v>999.9</v>
      </c>
      <c r="AL177">
        <v>0</v>
      </c>
      <c r="AM177">
        <v>0</v>
      </c>
      <c r="AN177">
        <v>5001.3</v>
      </c>
      <c r="AO177">
        <v>0</v>
      </c>
      <c r="AP177">
        <v>1.80671</v>
      </c>
      <c r="AQ177">
        <v>-0.27960409333333303</v>
      </c>
      <c r="AR177">
        <v>416.34826666666697</v>
      </c>
      <c r="AS177">
        <v>415.99486666666701</v>
      </c>
      <c r="AT177">
        <v>1.5083580000000001</v>
      </c>
      <c r="AU177">
        <v>410.0274</v>
      </c>
      <c r="AV177">
        <v>14.344946666666701</v>
      </c>
      <c r="AW177">
        <v>1.5915280000000001</v>
      </c>
      <c r="AX177">
        <v>1.44010333333333</v>
      </c>
      <c r="AY177">
        <v>13.8769733333333</v>
      </c>
      <c r="AZ177">
        <v>12.346360000000001</v>
      </c>
      <c r="BA177">
        <v>299.99993333333299</v>
      </c>
      <c r="BB177">
        <v>0.89998639999999996</v>
      </c>
      <c r="BC177">
        <v>0</v>
      </c>
      <c r="BD177">
        <v>0.10001359999999999</v>
      </c>
      <c r="BE177">
        <v>0</v>
      </c>
      <c r="BF177">
        <v>24</v>
      </c>
      <c r="BG177">
        <v>4946.616</v>
      </c>
      <c r="BH177">
        <v>1771001804.0999999</v>
      </c>
      <c r="BI177" t="s">
        <v>616</v>
      </c>
      <c r="BJ177">
        <v>1771001782.0999999</v>
      </c>
      <c r="BK177">
        <v>1771001804.0999999</v>
      </c>
      <c r="BL177">
        <v>9</v>
      </c>
      <c r="BM177">
        <v>3.4000000000000002E-2</v>
      </c>
      <c r="BN177">
        <v>6.0000000000000001E-3</v>
      </c>
      <c r="BO177">
        <v>-0.88700000000000001</v>
      </c>
      <c r="BP177">
        <v>0.107</v>
      </c>
      <c r="BQ177">
        <v>410</v>
      </c>
      <c r="BR177">
        <v>15</v>
      </c>
      <c r="BS177">
        <v>0.28999999999999998</v>
      </c>
      <c r="BT177">
        <v>7.0000000000000007E-2</v>
      </c>
      <c r="BU177">
        <v>-0.19502106620000001</v>
      </c>
      <c r="BV177">
        <v>-1.8563196535939801</v>
      </c>
      <c r="BW177">
        <v>0.18178145440191401</v>
      </c>
      <c r="BX177">
        <v>0</v>
      </c>
      <c r="BY177">
        <v>0</v>
      </c>
      <c r="BZ177">
        <v>0</v>
      </c>
      <c r="CA177">
        <v>0</v>
      </c>
      <c r="CB177">
        <v>-1</v>
      </c>
      <c r="CC177">
        <v>1.4761424999999999</v>
      </c>
      <c r="CD177">
        <v>0.74295834586466303</v>
      </c>
      <c r="CE177">
        <v>7.1584658403529497E-2</v>
      </c>
      <c r="CF177">
        <v>0</v>
      </c>
      <c r="CG177">
        <v>0</v>
      </c>
      <c r="CH177">
        <v>2</v>
      </c>
      <c r="CI177" t="s">
        <v>299</v>
      </c>
      <c r="CJ177">
        <v>3.5325099999999998</v>
      </c>
      <c r="CK177">
        <v>2.7022200000000001</v>
      </c>
      <c r="CL177">
        <v>9.8263799999999998E-2</v>
      </c>
      <c r="CM177">
        <v>9.6971100000000005E-2</v>
      </c>
      <c r="CN177">
        <v>8.9024800000000001E-2</v>
      </c>
      <c r="CO177">
        <v>8.1465200000000002E-2</v>
      </c>
      <c r="CP177">
        <v>31639.200000000001</v>
      </c>
      <c r="CQ177">
        <v>27802</v>
      </c>
      <c r="CR177">
        <v>32472.6</v>
      </c>
      <c r="CS177">
        <v>30712.7</v>
      </c>
      <c r="CT177">
        <v>40045.4</v>
      </c>
      <c r="CU177">
        <v>39665.300000000003</v>
      </c>
      <c r="CV177">
        <v>47415.8</v>
      </c>
      <c r="CW177">
        <v>46830.2</v>
      </c>
      <c r="CX177">
        <v>2.6300400000000002</v>
      </c>
      <c r="CY177">
        <v>2.1489400000000001</v>
      </c>
      <c r="CZ177">
        <v>0</v>
      </c>
      <c r="DA177">
        <v>0</v>
      </c>
      <c r="DB177">
        <v>999.9</v>
      </c>
      <c r="DC177">
        <v>999.9</v>
      </c>
      <c r="DD177">
        <v>56.274999999999999</v>
      </c>
      <c r="DE177">
        <v>26.334</v>
      </c>
      <c r="DF177">
        <v>19.292899999999999</v>
      </c>
      <c r="DG177">
        <v>30.280100000000001</v>
      </c>
      <c r="DH177">
        <v>16.538499999999999</v>
      </c>
      <c r="DI177">
        <v>2</v>
      </c>
      <c r="DJ177">
        <v>-0.154803</v>
      </c>
      <c r="DK177">
        <v>1.50116</v>
      </c>
      <c r="DL177">
        <v>20.232399999999998</v>
      </c>
      <c r="DM177">
        <v>5.25143</v>
      </c>
      <c r="DN177">
        <v>12.033899999999999</v>
      </c>
      <c r="DO177">
        <v>4.9673999999999996</v>
      </c>
      <c r="DP177">
        <v>3.2909999999999999</v>
      </c>
      <c r="DQ177">
        <v>9999</v>
      </c>
      <c r="DR177">
        <v>9999</v>
      </c>
      <c r="DS177">
        <v>597.29999999999995</v>
      </c>
      <c r="DT177">
        <v>9999</v>
      </c>
      <c r="DU177">
        <v>1.8710800000000001</v>
      </c>
      <c r="DV177">
        <v>1.87609</v>
      </c>
      <c r="DW177">
        <v>1.87635</v>
      </c>
      <c r="DX177">
        <v>1.8828</v>
      </c>
      <c r="DY177">
        <v>1.87561</v>
      </c>
      <c r="DZ177">
        <v>1.87469</v>
      </c>
      <c r="EA177">
        <v>1.87087</v>
      </c>
      <c r="EB177">
        <v>1.8746499999999999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-0.88700000000000001</v>
      </c>
      <c r="EQ177">
        <v>0.1066</v>
      </c>
      <c r="ER177">
        <v>-0.88680000000005099</v>
      </c>
      <c r="ES177">
        <v>0</v>
      </c>
      <c r="ET177">
        <v>0</v>
      </c>
      <c r="EU177">
        <v>0</v>
      </c>
      <c r="EV177">
        <v>0.10658999999999701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4.4000000000000004</v>
      </c>
      <c r="FE177">
        <v>4</v>
      </c>
      <c r="FF177">
        <v>1.2390099999999999</v>
      </c>
      <c r="FG177">
        <v>2.5854499999999998</v>
      </c>
      <c r="FH177">
        <v>2.19604</v>
      </c>
      <c r="FI177">
        <v>2.5756800000000002</v>
      </c>
      <c r="FJ177">
        <v>2.4462899999999999</v>
      </c>
      <c r="FK177">
        <v>2.2961399999999998</v>
      </c>
      <c r="FL177">
        <v>31.1722</v>
      </c>
      <c r="FM177">
        <v>24.157499999999999</v>
      </c>
      <c r="FN177">
        <v>19</v>
      </c>
      <c r="FO177">
        <v>865.23</v>
      </c>
      <c r="FP177">
        <v>586.10299999999995</v>
      </c>
      <c r="FQ177">
        <v>18.502400000000002</v>
      </c>
      <c r="FR177">
        <v>25.085699999999999</v>
      </c>
      <c r="FS177">
        <v>30.0002</v>
      </c>
      <c r="FT177">
        <v>25.079799999999999</v>
      </c>
      <c r="FU177">
        <v>25.0808</v>
      </c>
      <c r="FV177">
        <v>24.871200000000002</v>
      </c>
      <c r="FW177">
        <v>30.4436</v>
      </c>
      <c r="FX177">
        <v>15.938800000000001</v>
      </c>
      <c r="FY177">
        <v>18.5319</v>
      </c>
      <c r="FZ177">
        <v>410</v>
      </c>
      <c r="GA177">
        <v>14.0703</v>
      </c>
      <c r="GB177">
        <v>99.918400000000005</v>
      </c>
      <c r="GC177">
        <v>99.698099999999997</v>
      </c>
    </row>
    <row r="178" spans="1:185" x14ac:dyDescent="0.2">
      <c r="A178">
        <v>163</v>
      </c>
      <c r="B178">
        <v>1771002062.0999999</v>
      </c>
      <c r="C178">
        <v>3439</v>
      </c>
      <c r="D178" t="s">
        <v>627</v>
      </c>
      <c r="E178" t="s">
        <v>628</v>
      </c>
      <c r="F178">
        <v>15</v>
      </c>
      <c r="G178">
        <v>1771002054.03333</v>
      </c>
      <c r="H178">
        <f t="shared" si="26"/>
        <v>1.3083544916628824E-3</v>
      </c>
      <c r="I178">
        <v>0</v>
      </c>
      <c r="J178">
        <f t="shared" si="38"/>
        <v>-6.0137874468251312E-3</v>
      </c>
      <c r="K178">
        <f t="shared" si="27"/>
        <v>-0.10753406240465403</v>
      </c>
      <c r="L178">
        <f t="shared" si="28"/>
        <v>71.866807894125827</v>
      </c>
      <c r="M178">
        <f t="shared" si="29"/>
        <v>1.5793840887366761</v>
      </c>
      <c r="N178">
        <f t="shared" si="30"/>
        <v>2.1976544318810216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26289.740848883237</v>
      </c>
      <c r="T178">
        <f t="shared" si="34"/>
        <v>299.99893333333301</v>
      </c>
      <c r="U178">
        <f t="shared" si="35"/>
        <v>252.89919199967548</v>
      </c>
      <c r="V178">
        <f t="shared" si="36"/>
        <v>0.84300030400000003</v>
      </c>
      <c r="W178">
        <f t="shared" si="37"/>
        <v>0.15870075999999997</v>
      </c>
      <c r="X178">
        <v>1</v>
      </c>
      <c r="Y178">
        <v>1771002054.03333</v>
      </c>
      <c r="Z178">
        <v>409.48393333333303</v>
      </c>
      <c r="AA178">
        <v>410.01920000000001</v>
      </c>
      <c r="AB178">
        <v>15.722213333333301</v>
      </c>
      <c r="AC178">
        <v>14.112493333333299</v>
      </c>
      <c r="AD178">
        <v>410.37079999999997</v>
      </c>
      <c r="AE178">
        <v>15.6156466666667</v>
      </c>
      <c r="AF178">
        <v>800.00513333333299</v>
      </c>
      <c r="AG178">
        <v>100.3912</v>
      </c>
      <c r="AH178">
        <v>6.4381873333333298E-2</v>
      </c>
      <c r="AI178">
        <v>18.945226666666699</v>
      </c>
      <c r="AJ178">
        <v>999.9</v>
      </c>
      <c r="AK178">
        <v>999.9</v>
      </c>
      <c r="AL178">
        <v>0</v>
      </c>
      <c r="AM178">
        <v>0</v>
      </c>
      <c r="AN178">
        <v>4993.4333333333298</v>
      </c>
      <c r="AO178">
        <v>0</v>
      </c>
      <c r="AP178">
        <v>1.80671</v>
      </c>
      <c r="AQ178">
        <v>-0.53522939999999997</v>
      </c>
      <c r="AR178">
        <v>416.02486666666698</v>
      </c>
      <c r="AS178">
        <v>415.88853333333299</v>
      </c>
      <c r="AT178">
        <v>1.60972466666667</v>
      </c>
      <c r="AU178">
        <v>410.01920000000001</v>
      </c>
      <c r="AV178">
        <v>14.112493333333299</v>
      </c>
      <c r="AW178">
        <v>1.5783706666666699</v>
      </c>
      <c r="AX178">
        <v>1.416768</v>
      </c>
      <c r="AY178">
        <v>13.7492</v>
      </c>
      <c r="AZ178">
        <v>12.0982066666667</v>
      </c>
      <c r="BA178">
        <v>299.99893333333301</v>
      </c>
      <c r="BB178">
        <v>0.89998986666666703</v>
      </c>
      <c r="BC178">
        <v>0</v>
      </c>
      <c r="BD178">
        <v>0.100010133333333</v>
      </c>
      <c r="BE178">
        <v>0</v>
      </c>
      <c r="BF178">
        <v>24</v>
      </c>
      <c r="BG178">
        <v>4946.5986666666704</v>
      </c>
      <c r="BH178">
        <v>1771001804.0999999</v>
      </c>
      <c r="BI178" t="s">
        <v>616</v>
      </c>
      <c r="BJ178">
        <v>1771001782.0999999</v>
      </c>
      <c r="BK178">
        <v>1771001804.0999999</v>
      </c>
      <c r="BL178">
        <v>9</v>
      </c>
      <c r="BM178">
        <v>3.4000000000000002E-2</v>
      </c>
      <c r="BN178">
        <v>6.0000000000000001E-3</v>
      </c>
      <c r="BO178">
        <v>-0.88700000000000001</v>
      </c>
      <c r="BP178">
        <v>0.107</v>
      </c>
      <c r="BQ178">
        <v>410</v>
      </c>
      <c r="BR178">
        <v>15</v>
      </c>
      <c r="BS178">
        <v>0.28999999999999998</v>
      </c>
      <c r="BT178">
        <v>7.0000000000000007E-2</v>
      </c>
      <c r="BU178">
        <v>-0.48883815000000003</v>
      </c>
      <c r="BV178">
        <v>-0.75417189473684199</v>
      </c>
      <c r="BW178">
        <v>7.4894930831982898E-2</v>
      </c>
      <c r="BX178">
        <v>0</v>
      </c>
      <c r="BY178">
        <v>0</v>
      </c>
      <c r="BZ178">
        <v>0</v>
      </c>
      <c r="CA178">
        <v>0</v>
      </c>
      <c r="CB178">
        <v>-1</v>
      </c>
      <c r="CC178">
        <v>1.593758</v>
      </c>
      <c r="CD178">
        <v>0.30260120300752202</v>
      </c>
      <c r="CE178">
        <v>3.0378459572532601E-2</v>
      </c>
      <c r="CF178">
        <v>0</v>
      </c>
      <c r="CG178">
        <v>0</v>
      </c>
      <c r="CH178">
        <v>2</v>
      </c>
      <c r="CI178" t="s">
        <v>299</v>
      </c>
      <c r="CJ178">
        <v>3.5324599999999999</v>
      </c>
      <c r="CK178">
        <v>2.7023700000000002</v>
      </c>
      <c r="CL178">
        <v>9.8233500000000001E-2</v>
      </c>
      <c r="CM178">
        <v>9.6964900000000007E-2</v>
      </c>
      <c r="CN178">
        <v>8.8503999999999999E-2</v>
      </c>
      <c r="CO178">
        <v>8.0715200000000001E-2</v>
      </c>
      <c r="CP178">
        <v>31640</v>
      </c>
      <c r="CQ178">
        <v>27802</v>
      </c>
      <c r="CR178">
        <v>32472.400000000001</v>
      </c>
      <c r="CS178">
        <v>30712.6</v>
      </c>
      <c r="CT178">
        <v>40069</v>
      </c>
      <c r="CU178">
        <v>39698.699999999997</v>
      </c>
      <c r="CV178">
        <v>47415.7</v>
      </c>
      <c r="CW178">
        <v>46830.3</v>
      </c>
      <c r="CX178">
        <v>2.6297999999999999</v>
      </c>
      <c r="CY178">
        <v>2.1480399999999999</v>
      </c>
      <c r="CZ178">
        <v>0</v>
      </c>
      <c r="DA178">
        <v>0</v>
      </c>
      <c r="DB178">
        <v>999.9</v>
      </c>
      <c r="DC178">
        <v>999.9</v>
      </c>
      <c r="DD178">
        <v>56.207999999999998</v>
      </c>
      <c r="DE178">
        <v>26.344000000000001</v>
      </c>
      <c r="DF178">
        <v>19.280200000000001</v>
      </c>
      <c r="DG178">
        <v>30.520099999999999</v>
      </c>
      <c r="DH178">
        <v>16.490400000000001</v>
      </c>
      <c r="DI178">
        <v>2</v>
      </c>
      <c r="DJ178">
        <v>-0.15481700000000001</v>
      </c>
      <c r="DK178">
        <v>1.46153</v>
      </c>
      <c r="DL178">
        <v>20.232800000000001</v>
      </c>
      <c r="DM178">
        <v>5.2520300000000004</v>
      </c>
      <c r="DN178">
        <v>12.033899999999999</v>
      </c>
      <c r="DO178">
        <v>4.9676400000000003</v>
      </c>
      <c r="DP178">
        <v>3.2909999999999999</v>
      </c>
      <c r="DQ178">
        <v>9999</v>
      </c>
      <c r="DR178">
        <v>9999</v>
      </c>
      <c r="DS178">
        <v>597.29999999999995</v>
      </c>
      <c r="DT178">
        <v>9999</v>
      </c>
      <c r="DU178">
        <v>1.8710899999999999</v>
      </c>
      <c r="DV178">
        <v>1.87608</v>
      </c>
      <c r="DW178">
        <v>1.87632</v>
      </c>
      <c r="DX178">
        <v>1.8828</v>
      </c>
      <c r="DY178">
        <v>1.87561</v>
      </c>
      <c r="DZ178">
        <v>1.8746799999999999</v>
      </c>
      <c r="EA178">
        <v>1.8708499999999999</v>
      </c>
      <c r="EB178">
        <v>1.8746700000000001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-0.88600000000000001</v>
      </c>
      <c r="EQ178">
        <v>0.1066</v>
      </c>
      <c r="ER178">
        <v>-0.88680000000005099</v>
      </c>
      <c r="ES178">
        <v>0</v>
      </c>
      <c r="ET178">
        <v>0</v>
      </c>
      <c r="EU178">
        <v>0</v>
      </c>
      <c r="EV178">
        <v>0.10658999999999701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4.7</v>
      </c>
      <c r="FE178">
        <v>4.3</v>
      </c>
      <c r="FF178">
        <v>1.2390099999999999</v>
      </c>
      <c r="FG178">
        <v>2.5891099999999998</v>
      </c>
      <c r="FH178">
        <v>2.19604</v>
      </c>
      <c r="FI178">
        <v>2.5756800000000002</v>
      </c>
      <c r="FJ178">
        <v>2.4462899999999999</v>
      </c>
      <c r="FK178">
        <v>2.2460900000000001</v>
      </c>
      <c r="FL178">
        <v>31.1722</v>
      </c>
      <c r="FM178">
        <v>24.148800000000001</v>
      </c>
      <c r="FN178">
        <v>19</v>
      </c>
      <c r="FO178">
        <v>865.06100000000004</v>
      </c>
      <c r="FP178">
        <v>585.44399999999996</v>
      </c>
      <c r="FQ178">
        <v>18.637899999999998</v>
      </c>
      <c r="FR178">
        <v>25.089500000000001</v>
      </c>
      <c r="FS178">
        <v>30.0002</v>
      </c>
      <c r="FT178">
        <v>25.083100000000002</v>
      </c>
      <c r="FU178">
        <v>25.084099999999999</v>
      </c>
      <c r="FV178">
        <v>24.869399999999999</v>
      </c>
      <c r="FW178">
        <v>31.034199999999998</v>
      </c>
      <c r="FX178">
        <v>15.5661</v>
      </c>
      <c r="FY178">
        <v>18.6539</v>
      </c>
      <c r="FZ178">
        <v>410</v>
      </c>
      <c r="GA178">
        <v>13.9193</v>
      </c>
      <c r="GB178">
        <v>99.918000000000006</v>
      </c>
      <c r="GC178">
        <v>99.697900000000004</v>
      </c>
    </row>
    <row r="179" spans="1:185" x14ac:dyDescent="0.2">
      <c r="A179">
        <v>164</v>
      </c>
      <c r="B179">
        <v>1771002077.0999999</v>
      </c>
      <c r="C179">
        <v>3454</v>
      </c>
      <c r="D179" t="s">
        <v>629</v>
      </c>
      <c r="E179" t="s">
        <v>630</v>
      </c>
      <c r="F179">
        <v>15</v>
      </c>
      <c r="G179">
        <v>1771002069.03333</v>
      </c>
      <c r="H179">
        <f t="shared" si="26"/>
        <v>1.3363292284573778E-3</v>
      </c>
      <c r="I179">
        <v>0</v>
      </c>
      <c r="J179">
        <f t="shared" si="38"/>
        <v>-2.8109067081552043E-3</v>
      </c>
      <c r="K179">
        <f t="shared" si="27"/>
        <v>-5.0262537550774158E-2</v>
      </c>
      <c r="L179">
        <f t="shared" si="28"/>
        <v>71.241141429981397</v>
      </c>
      <c r="M179">
        <f t="shared" si="29"/>
        <v>1.5682424357994604</v>
      </c>
      <c r="N179">
        <f t="shared" si="30"/>
        <v>2.2013157065160036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26353.748513368275</v>
      </c>
      <c r="T179">
        <f t="shared" si="34"/>
        <v>300.00066666666697</v>
      </c>
      <c r="U179">
        <f t="shared" si="35"/>
        <v>252.9006382001696</v>
      </c>
      <c r="V179">
        <f t="shared" si="36"/>
        <v>0.843000254</v>
      </c>
      <c r="W179">
        <f t="shared" si="37"/>
        <v>0.15870063500000003</v>
      </c>
      <c r="X179">
        <v>1</v>
      </c>
      <c r="Y179">
        <v>1771002069.03333</v>
      </c>
      <c r="Z179">
        <v>409.37880000000001</v>
      </c>
      <c r="AA179">
        <v>409.99979999999999</v>
      </c>
      <c r="AB179">
        <v>15.61124</v>
      </c>
      <c r="AC179">
        <v>13.9669133333333</v>
      </c>
      <c r="AD179">
        <v>410.265533333333</v>
      </c>
      <c r="AE179">
        <v>15.5046533333333</v>
      </c>
      <c r="AF179">
        <v>800.003733333333</v>
      </c>
      <c r="AG179">
        <v>100.3914</v>
      </c>
      <c r="AH179">
        <v>6.4581446666666695E-2</v>
      </c>
      <c r="AI179">
        <v>18.971893333333298</v>
      </c>
      <c r="AJ179">
        <v>999.9</v>
      </c>
      <c r="AK179">
        <v>999.9</v>
      </c>
      <c r="AL179">
        <v>0</v>
      </c>
      <c r="AM179">
        <v>0</v>
      </c>
      <c r="AN179">
        <v>5004.3333333333303</v>
      </c>
      <c r="AO179">
        <v>0</v>
      </c>
      <c r="AP179">
        <v>1.80671</v>
      </c>
      <c r="AQ179">
        <v>-0.62080693333333303</v>
      </c>
      <c r="AR179">
        <v>415.87119999999999</v>
      </c>
      <c r="AS179">
        <v>415.80713333333301</v>
      </c>
      <c r="AT179">
        <v>1.6443386666666699</v>
      </c>
      <c r="AU179">
        <v>409.99979999999999</v>
      </c>
      <c r="AV179">
        <v>13.9669133333333</v>
      </c>
      <c r="AW179">
        <v>1.5672333333333299</v>
      </c>
      <c r="AX179">
        <v>1.40215466666667</v>
      </c>
      <c r="AY179">
        <v>13.64034</v>
      </c>
      <c r="AZ179">
        <v>11.940939999999999</v>
      </c>
      <c r="BA179">
        <v>300.00066666666697</v>
      </c>
      <c r="BB179">
        <v>0.89999153333333304</v>
      </c>
      <c r="BC179">
        <v>0</v>
      </c>
      <c r="BD179">
        <v>0.100008466666667</v>
      </c>
      <c r="BE179">
        <v>0</v>
      </c>
      <c r="BF179">
        <v>24.108886666666699</v>
      </c>
      <c r="BG179">
        <v>4946.63266666667</v>
      </c>
      <c r="BH179">
        <v>1771001804.0999999</v>
      </c>
      <c r="BI179" t="s">
        <v>616</v>
      </c>
      <c r="BJ179">
        <v>1771001782.0999999</v>
      </c>
      <c r="BK179">
        <v>1771001804.0999999</v>
      </c>
      <c r="BL179">
        <v>9</v>
      </c>
      <c r="BM179">
        <v>3.4000000000000002E-2</v>
      </c>
      <c r="BN179">
        <v>6.0000000000000001E-3</v>
      </c>
      <c r="BO179">
        <v>-0.88700000000000001</v>
      </c>
      <c r="BP179">
        <v>0.107</v>
      </c>
      <c r="BQ179">
        <v>410</v>
      </c>
      <c r="BR179">
        <v>15</v>
      </c>
      <c r="BS179">
        <v>0.28999999999999998</v>
      </c>
      <c r="BT179">
        <v>7.0000000000000007E-2</v>
      </c>
      <c r="BU179">
        <v>-0.61293030000000004</v>
      </c>
      <c r="BV179">
        <v>-0.186688511278194</v>
      </c>
      <c r="BW179">
        <v>2.7197502350583599E-2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1.642218</v>
      </c>
      <c r="CD179">
        <v>4.1392781954888103E-2</v>
      </c>
      <c r="CE179">
        <v>8.5084361665349606E-3</v>
      </c>
      <c r="CF179">
        <v>1</v>
      </c>
      <c r="CG179">
        <v>2</v>
      </c>
      <c r="CH179">
        <v>2</v>
      </c>
      <c r="CI179" t="s">
        <v>304</v>
      </c>
      <c r="CJ179">
        <v>3.5325500000000001</v>
      </c>
      <c r="CK179">
        <v>2.7024499999999998</v>
      </c>
      <c r="CL179">
        <v>9.8219699999999993E-2</v>
      </c>
      <c r="CM179">
        <v>9.6969E-2</v>
      </c>
      <c r="CN179">
        <v>8.8132199999999994E-2</v>
      </c>
      <c r="CO179">
        <v>8.0255400000000005E-2</v>
      </c>
      <c r="CP179">
        <v>31640.7</v>
      </c>
      <c r="CQ179">
        <v>27801.5</v>
      </c>
      <c r="CR179">
        <v>32472.6</v>
      </c>
      <c r="CS179">
        <v>30712.2</v>
      </c>
      <c r="CT179">
        <v>40086</v>
      </c>
      <c r="CU179">
        <v>39718.6</v>
      </c>
      <c r="CV179">
        <v>47415.8</v>
      </c>
      <c r="CW179">
        <v>46829.7</v>
      </c>
      <c r="CX179">
        <v>2.6299600000000001</v>
      </c>
      <c r="CY179">
        <v>2.1475</v>
      </c>
      <c r="CZ179">
        <v>0</v>
      </c>
      <c r="DA179">
        <v>0</v>
      </c>
      <c r="DB179">
        <v>999.9</v>
      </c>
      <c r="DC179">
        <v>999.9</v>
      </c>
      <c r="DD179">
        <v>56.134999999999998</v>
      </c>
      <c r="DE179">
        <v>26.364999999999998</v>
      </c>
      <c r="DF179">
        <v>19.2773</v>
      </c>
      <c r="DG179">
        <v>30.3401</v>
      </c>
      <c r="DH179">
        <v>16.406199999999998</v>
      </c>
      <c r="DI179">
        <v>2</v>
      </c>
      <c r="DJ179">
        <v>-0.15418699999999999</v>
      </c>
      <c r="DK179">
        <v>1.4897100000000001</v>
      </c>
      <c r="DL179">
        <v>20.232299999999999</v>
      </c>
      <c r="DM179">
        <v>5.2520300000000004</v>
      </c>
      <c r="DN179">
        <v>12.033899999999999</v>
      </c>
      <c r="DO179">
        <v>4.9674399999999999</v>
      </c>
      <c r="DP179">
        <v>3.2909999999999999</v>
      </c>
      <c r="DQ179">
        <v>9999</v>
      </c>
      <c r="DR179">
        <v>9999</v>
      </c>
      <c r="DS179">
        <v>597.29999999999995</v>
      </c>
      <c r="DT179">
        <v>9999</v>
      </c>
      <c r="DU179">
        <v>1.8710899999999999</v>
      </c>
      <c r="DV179">
        <v>1.87609</v>
      </c>
      <c r="DW179">
        <v>1.8763399999999999</v>
      </c>
      <c r="DX179">
        <v>1.8828100000000001</v>
      </c>
      <c r="DY179">
        <v>1.8755999999999999</v>
      </c>
      <c r="DZ179">
        <v>1.8746799999999999</v>
      </c>
      <c r="EA179">
        <v>1.8708199999999999</v>
      </c>
      <c r="EB179">
        <v>1.87466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-0.88600000000000001</v>
      </c>
      <c r="EQ179">
        <v>0.1066</v>
      </c>
      <c r="ER179">
        <v>-0.88680000000005099</v>
      </c>
      <c r="ES179">
        <v>0</v>
      </c>
      <c r="ET179">
        <v>0</v>
      </c>
      <c r="EU179">
        <v>0</v>
      </c>
      <c r="EV179">
        <v>0.10658999999999701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4.9000000000000004</v>
      </c>
      <c r="FE179">
        <v>4.5</v>
      </c>
      <c r="FF179">
        <v>1.2390099999999999</v>
      </c>
      <c r="FG179">
        <v>2.5964399999999999</v>
      </c>
      <c r="FH179">
        <v>2.19604</v>
      </c>
      <c r="FI179">
        <v>2.5756800000000002</v>
      </c>
      <c r="FJ179">
        <v>2.4462899999999999</v>
      </c>
      <c r="FK179">
        <v>2.2778299999999998</v>
      </c>
      <c r="FL179">
        <v>31.215599999999998</v>
      </c>
      <c r="FM179">
        <v>24.148800000000001</v>
      </c>
      <c r="FN179">
        <v>19</v>
      </c>
      <c r="FO179">
        <v>865.26499999999999</v>
      </c>
      <c r="FP179">
        <v>585.06399999999996</v>
      </c>
      <c r="FQ179">
        <v>18.717500000000001</v>
      </c>
      <c r="FR179">
        <v>25.092400000000001</v>
      </c>
      <c r="FS179">
        <v>30.0002</v>
      </c>
      <c r="FT179">
        <v>25.086500000000001</v>
      </c>
      <c r="FU179">
        <v>25.087499999999999</v>
      </c>
      <c r="FV179">
        <v>24.869299999999999</v>
      </c>
      <c r="FW179">
        <v>31.578099999999999</v>
      </c>
      <c r="FX179">
        <v>15.1896</v>
      </c>
      <c r="FY179">
        <v>18.720700000000001</v>
      </c>
      <c r="FZ179">
        <v>410</v>
      </c>
      <c r="GA179">
        <v>13.820600000000001</v>
      </c>
      <c r="GB179">
        <v>99.918400000000005</v>
      </c>
      <c r="GC179">
        <v>99.696700000000007</v>
      </c>
    </row>
    <row r="180" spans="1:185" x14ac:dyDescent="0.2">
      <c r="A180">
        <v>165</v>
      </c>
      <c r="B180">
        <v>1771002092.0999999</v>
      </c>
      <c r="C180">
        <v>3469</v>
      </c>
      <c r="D180" t="s">
        <v>631</v>
      </c>
      <c r="E180" t="s">
        <v>632</v>
      </c>
      <c r="F180">
        <v>15</v>
      </c>
      <c r="G180">
        <v>1771002084.03333</v>
      </c>
      <c r="H180">
        <f t="shared" si="26"/>
        <v>1.3474678187034793E-3</v>
      </c>
      <c r="I180">
        <v>0</v>
      </c>
      <c r="J180">
        <f t="shared" si="38"/>
        <v>5.2411164440202735E-4</v>
      </c>
      <c r="K180">
        <f t="shared" si="27"/>
        <v>9.3717735743865712E-3</v>
      </c>
      <c r="L180">
        <f t="shared" si="28"/>
        <v>70.771948052657223</v>
      </c>
      <c r="M180">
        <f t="shared" si="29"/>
        <v>1.5605362145588564</v>
      </c>
      <c r="N180">
        <f t="shared" si="30"/>
        <v>2.2050208557177959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26370.420480242588</v>
      </c>
      <c r="T180">
        <f t="shared" si="34"/>
        <v>300.00040000000001</v>
      </c>
      <c r="U180">
        <f t="shared" si="35"/>
        <v>252.9004134001016</v>
      </c>
      <c r="V180">
        <f t="shared" si="36"/>
        <v>0.843000254</v>
      </c>
      <c r="W180">
        <f t="shared" si="37"/>
        <v>0.15870063500000003</v>
      </c>
      <c r="X180">
        <v>1</v>
      </c>
      <c r="Y180">
        <v>1771002084.03333</v>
      </c>
      <c r="Z180">
        <v>409.31446666666699</v>
      </c>
      <c r="AA180">
        <v>410.01560000000001</v>
      </c>
      <c r="AB180">
        <v>15.534546666666699</v>
      </c>
      <c r="AC180">
        <v>13.876386666666701</v>
      </c>
      <c r="AD180">
        <v>410.20119999999997</v>
      </c>
      <c r="AE180">
        <v>15.427953333333299</v>
      </c>
      <c r="AF180">
        <v>800.00453333333303</v>
      </c>
      <c r="AG180">
        <v>100.391533333333</v>
      </c>
      <c r="AH180">
        <v>6.4324699999999999E-2</v>
      </c>
      <c r="AI180">
        <v>18.998840000000001</v>
      </c>
      <c r="AJ180">
        <v>999.9</v>
      </c>
      <c r="AK180">
        <v>999.9</v>
      </c>
      <c r="AL180">
        <v>0</v>
      </c>
      <c r="AM180">
        <v>0</v>
      </c>
      <c r="AN180">
        <v>5007.4666666666699</v>
      </c>
      <c r="AO180">
        <v>0</v>
      </c>
      <c r="AP180">
        <v>1.80671</v>
      </c>
      <c r="AQ180">
        <v>-0.70115973333333304</v>
      </c>
      <c r="AR180">
        <v>415.77333333333303</v>
      </c>
      <c r="AS180">
        <v>415.78513333333302</v>
      </c>
      <c r="AT180">
        <v>1.6581493333333299</v>
      </c>
      <c r="AU180">
        <v>410.01560000000001</v>
      </c>
      <c r="AV180">
        <v>13.876386666666701</v>
      </c>
      <c r="AW180">
        <v>1.5595366666666699</v>
      </c>
      <c r="AX180">
        <v>1.39307133333333</v>
      </c>
      <c r="AY180">
        <v>13.564693333333301</v>
      </c>
      <c r="AZ180">
        <v>11.842413333333299</v>
      </c>
      <c r="BA180">
        <v>300.00040000000001</v>
      </c>
      <c r="BB180">
        <v>0.89999153333333304</v>
      </c>
      <c r="BC180">
        <v>0</v>
      </c>
      <c r="BD180">
        <v>0.100008466666667</v>
      </c>
      <c r="BE180">
        <v>0</v>
      </c>
      <c r="BF180">
        <v>24.631119999999999</v>
      </c>
      <c r="BG180">
        <v>4946.6233333333303</v>
      </c>
      <c r="BH180">
        <v>1771001804.0999999</v>
      </c>
      <c r="BI180" t="s">
        <v>616</v>
      </c>
      <c r="BJ180">
        <v>1771001782.0999999</v>
      </c>
      <c r="BK180">
        <v>1771001804.0999999</v>
      </c>
      <c r="BL180">
        <v>9</v>
      </c>
      <c r="BM180">
        <v>3.4000000000000002E-2</v>
      </c>
      <c r="BN180">
        <v>6.0000000000000001E-3</v>
      </c>
      <c r="BO180">
        <v>-0.88700000000000001</v>
      </c>
      <c r="BP180">
        <v>0.107</v>
      </c>
      <c r="BQ180">
        <v>410</v>
      </c>
      <c r="BR180">
        <v>15</v>
      </c>
      <c r="BS180">
        <v>0.28999999999999998</v>
      </c>
      <c r="BT180">
        <v>7.0000000000000007E-2</v>
      </c>
      <c r="BU180">
        <v>-0.68397161904761905</v>
      </c>
      <c r="BV180">
        <v>-0.29054602597402601</v>
      </c>
      <c r="BW180">
        <v>3.9324999985440201E-2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1.6548114285714299</v>
      </c>
      <c r="CD180">
        <v>4.2156623376624798E-2</v>
      </c>
      <c r="CE180">
        <v>7.9621008747777101E-3</v>
      </c>
      <c r="CF180">
        <v>1</v>
      </c>
      <c r="CG180">
        <v>2</v>
      </c>
      <c r="CH180">
        <v>2</v>
      </c>
      <c r="CI180" t="s">
        <v>304</v>
      </c>
      <c r="CJ180">
        <v>3.5325099999999998</v>
      </c>
      <c r="CK180">
        <v>2.70194</v>
      </c>
      <c r="CL180">
        <v>9.8212099999999997E-2</v>
      </c>
      <c r="CM180">
        <v>9.6959500000000004E-2</v>
      </c>
      <c r="CN180">
        <v>8.7828400000000001E-2</v>
      </c>
      <c r="CO180">
        <v>7.9901799999999995E-2</v>
      </c>
      <c r="CP180">
        <v>31640.1</v>
      </c>
      <c r="CQ180">
        <v>27801.4</v>
      </c>
      <c r="CR180">
        <v>32471.8</v>
      </c>
      <c r="CS180">
        <v>30711.8</v>
      </c>
      <c r="CT180">
        <v>40099.1</v>
      </c>
      <c r="CU180">
        <v>39734</v>
      </c>
      <c r="CV180">
        <v>47414.9</v>
      </c>
      <c r="CW180">
        <v>46829.3</v>
      </c>
      <c r="CX180">
        <v>2.6296400000000002</v>
      </c>
      <c r="CY180">
        <v>2.1469200000000002</v>
      </c>
      <c r="CZ180">
        <v>0</v>
      </c>
      <c r="DA180">
        <v>0</v>
      </c>
      <c r="DB180">
        <v>999.9</v>
      </c>
      <c r="DC180">
        <v>999.9</v>
      </c>
      <c r="DD180">
        <v>56.061999999999998</v>
      </c>
      <c r="DE180">
        <v>26.375</v>
      </c>
      <c r="DF180">
        <v>19.264199999999999</v>
      </c>
      <c r="DG180">
        <v>30.2501</v>
      </c>
      <c r="DH180">
        <v>16.334099999999999</v>
      </c>
      <c r="DI180">
        <v>2</v>
      </c>
      <c r="DJ180">
        <v>-0.152811</v>
      </c>
      <c r="DK180">
        <v>2.4492600000000002</v>
      </c>
      <c r="DL180">
        <v>20.2163</v>
      </c>
      <c r="DM180">
        <v>5.2516699999999998</v>
      </c>
      <c r="DN180">
        <v>12.033899999999999</v>
      </c>
      <c r="DO180">
        <v>4.9674800000000001</v>
      </c>
      <c r="DP180">
        <v>3.2909999999999999</v>
      </c>
      <c r="DQ180">
        <v>9999</v>
      </c>
      <c r="DR180">
        <v>9999</v>
      </c>
      <c r="DS180">
        <v>597.29999999999995</v>
      </c>
      <c r="DT180">
        <v>9999</v>
      </c>
      <c r="DU180">
        <v>1.8710800000000001</v>
      </c>
      <c r="DV180">
        <v>1.8761000000000001</v>
      </c>
      <c r="DW180">
        <v>1.87636</v>
      </c>
      <c r="DX180">
        <v>1.8828199999999999</v>
      </c>
      <c r="DY180">
        <v>1.87561</v>
      </c>
      <c r="DZ180">
        <v>1.8746799999999999</v>
      </c>
      <c r="EA180">
        <v>1.8708499999999999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-0.88700000000000001</v>
      </c>
      <c r="EQ180">
        <v>0.1066</v>
      </c>
      <c r="ER180">
        <v>-0.88680000000005099</v>
      </c>
      <c r="ES180">
        <v>0</v>
      </c>
      <c r="ET180">
        <v>0</v>
      </c>
      <c r="EU180">
        <v>0</v>
      </c>
      <c r="EV180">
        <v>0.10658999999999701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5.2</v>
      </c>
      <c r="FE180">
        <v>4.8</v>
      </c>
      <c r="FF180">
        <v>1.2390099999999999</v>
      </c>
      <c r="FG180">
        <v>2.5915499999999998</v>
      </c>
      <c r="FH180">
        <v>2.19604</v>
      </c>
      <c r="FI180">
        <v>2.5756800000000002</v>
      </c>
      <c r="FJ180">
        <v>2.4462899999999999</v>
      </c>
      <c r="FK180">
        <v>2.2766099999999998</v>
      </c>
      <c r="FL180">
        <v>31.215599999999998</v>
      </c>
      <c r="FM180">
        <v>24.148800000000001</v>
      </c>
      <c r="FN180">
        <v>19</v>
      </c>
      <c r="FO180">
        <v>865.01400000000001</v>
      </c>
      <c r="FP180">
        <v>584.65800000000002</v>
      </c>
      <c r="FQ180">
        <v>18.683599999999998</v>
      </c>
      <c r="FR180">
        <v>25.094999999999999</v>
      </c>
      <c r="FS180">
        <v>30.001100000000001</v>
      </c>
      <c r="FT180">
        <v>25.089400000000001</v>
      </c>
      <c r="FU180">
        <v>25.0913</v>
      </c>
      <c r="FV180">
        <v>24.869299999999999</v>
      </c>
      <c r="FW180">
        <v>31.854700000000001</v>
      </c>
      <c r="FX180">
        <v>14.813499999999999</v>
      </c>
      <c r="FY180">
        <v>18.4131</v>
      </c>
      <c r="FZ180">
        <v>410</v>
      </c>
      <c r="GA180">
        <v>13.766</v>
      </c>
      <c r="GB180">
        <v>99.916300000000007</v>
      </c>
      <c r="GC180">
        <v>99.695700000000002</v>
      </c>
    </row>
    <row r="181" spans="1:185" x14ac:dyDescent="0.2">
      <c r="A181">
        <v>166</v>
      </c>
      <c r="B181">
        <v>1771002107.0999999</v>
      </c>
      <c r="C181">
        <v>3484</v>
      </c>
      <c r="D181" t="s">
        <v>633</v>
      </c>
      <c r="E181" t="s">
        <v>634</v>
      </c>
      <c r="F181">
        <v>15</v>
      </c>
      <c r="G181">
        <v>1771002099.03333</v>
      </c>
      <c r="H181">
        <f t="shared" si="26"/>
        <v>1.3554101018490598E-3</v>
      </c>
      <c r="I181">
        <v>0</v>
      </c>
      <c r="J181">
        <f t="shared" si="38"/>
        <v>2.17387717642754E-3</v>
      </c>
      <c r="K181">
        <f t="shared" si="27"/>
        <v>3.8871650522571195E-2</v>
      </c>
      <c r="L181">
        <f t="shared" si="28"/>
        <v>70.359489282850646</v>
      </c>
      <c r="M181">
        <f t="shared" si="29"/>
        <v>1.5525603042451412</v>
      </c>
      <c r="N181">
        <f t="shared" si="30"/>
        <v>2.2066111054384256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26265.146121860795</v>
      </c>
      <c r="T181">
        <f t="shared" si="34"/>
        <v>299.998066666667</v>
      </c>
      <c r="U181">
        <f t="shared" si="35"/>
        <v>252.89837127999331</v>
      </c>
      <c r="V181">
        <f t="shared" si="36"/>
        <v>0.84300000359999994</v>
      </c>
      <c r="W181">
        <f t="shared" si="37"/>
        <v>0.15869985309599999</v>
      </c>
      <c r="X181">
        <v>1</v>
      </c>
      <c r="Y181">
        <v>1771002099.03333</v>
      </c>
      <c r="Z181">
        <v>409.27266666666702</v>
      </c>
      <c r="AA181">
        <v>410.01466666666698</v>
      </c>
      <c r="AB181">
        <v>15.4550066666667</v>
      </c>
      <c r="AC181">
        <v>13.78694</v>
      </c>
      <c r="AD181">
        <v>410.15946666666702</v>
      </c>
      <c r="AE181">
        <v>15.348413333333299</v>
      </c>
      <c r="AF181">
        <v>800.00533333333306</v>
      </c>
      <c r="AG181">
        <v>100.39253333333301</v>
      </c>
      <c r="AH181">
        <v>6.4253113333333306E-2</v>
      </c>
      <c r="AI181">
        <v>19.010393333333301</v>
      </c>
      <c r="AJ181">
        <v>999.9</v>
      </c>
      <c r="AK181">
        <v>999.9</v>
      </c>
      <c r="AL181">
        <v>0</v>
      </c>
      <c r="AM181">
        <v>0</v>
      </c>
      <c r="AN181">
        <v>4990.3</v>
      </c>
      <c r="AO181">
        <v>0</v>
      </c>
      <c r="AP181">
        <v>1.80671</v>
      </c>
      <c r="AQ181">
        <v>-0.74210613333333297</v>
      </c>
      <c r="AR181">
        <v>415.69733333333301</v>
      </c>
      <c r="AS181">
        <v>415.7466</v>
      </c>
      <c r="AT181">
        <v>1.6680773333333301</v>
      </c>
      <c r="AU181">
        <v>410.01466666666698</v>
      </c>
      <c r="AV181">
        <v>13.78694</v>
      </c>
      <c r="AW181">
        <v>1.551566</v>
      </c>
      <c r="AX181">
        <v>1.3841033333333299</v>
      </c>
      <c r="AY181">
        <v>13.485993333333299</v>
      </c>
      <c r="AZ181">
        <v>11.744593333333301</v>
      </c>
      <c r="BA181">
        <v>299.998066666667</v>
      </c>
      <c r="BB181">
        <v>0.90000219999999997</v>
      </c>
      <c r="BC181">
        <v>0</v>
      </c>
      <c r="BD181">
        <v>9.9997879999999997E-2</v>
      </c>
      <c r="BE181">
        <v>0</v>
      </c>
      <c r="BF181">
        <v>24.666699999999999</v>
      </c>
      <c r="BG181">
        <v>4946.6059999999998</v>
      </c>
      <c r="BH181">
        <v>1771001804.0999999</v>
      </c>
      <c r="BI181" t="s">
        <v>616</v>
      </c>
      <c r="BJ181">
        <v>1771001782.0999999</v>
      </c>
      <c r="BK181">
        <v>1771001804.0999999</v>
      </c>
      <c r="BL181">
        <v>9</v>
      </c>
      <c r="BM181">
        <v>3.4000000000000002E-2</v>
      </c>
      <c r="BN181">
        <v>6.0000000000000001E-3</v>
      </c>
      <c r="BO181">
        <v>-0.88700000000000001</v>
      </c>
      <c r="BP181">
        <v>0.107</v>
      </c>
      <c r="BQ181">
        <v>410</v>
      </c>
      <c r="BR181">
        <v>15</v>
      </c>
      <c r="BS181">
        <v>0.28999999999999998</v>
      </c>
      <c r="BT181">
        <v>7.0000000000000007E-2</v>
      </c>
      <c r="BU181">
        <v>-0.73610540000000002</v>
      </c>
      <c r="BV181">
        <v>-0.17999016541353299</v>
      </c>
      <c r="BW181">
        <v>2.6147435978313399E-2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1.6651345</v>
      </c>
      <c r="CD181">
        <v>-2.0349022556388999E-2</v>
      </c>
      <c r="CE181">
        <v>1.32790735652003E-2</v>
      </c>
      <c r="CF181">
        <v>1</v>
      </c>
      <c r="CG181">
        <v>2</v>
      </c>
      <c r="CH181">
        <v>2</v>
      </c>
      <c r="CI181" t="s">
        <v>304</v>
      </c>
      <c r="CJ181">
        <v>3.5325500000000001</v>
      </c>
      <c r="CK181">
        <v>2.7021099999999998</v>
      </c>
      <c r="CL181">
        <v>9.8210400000000003E-2</v>
      </c>
      <c r="CM181">
        <v>9.6962900000000005E-2</v>
      </c>
      <c r="CN181">
        <v>8.7470500000000007E-2</v>
      </c>
      <c r="CO181">
        <v>7.9667399999999999E-2</v>
      </c>
      <c r="CP181">
        <v>31639.599999999999</v>
      </c>
      <c r="CQ181">
        <v>27801.7</v>
      </c>
      <c r="CR181">
        <v>32471.200000000001</v>
      </c>
      <c r="CS181">
        <v>30712.2</v>
      </c>
      <c r="CT181">
        <v>40114.800000000003</v>
      </c>
      <c r="CU181">
        <v>39745</v>
      </c>
      <c r="CV181">
        <v>47414.2</v>
      </c>
      <c r="CW181">
        <v>46830.1</v>
      </c>
      <c r="CX181">
        <v>2.6295600000000001</v>
      </c>
      <c r="CY181">
        <v>2.14682</v>
      </c>
      <c r="CZ181">
        <v>0</v>
      </c>
      <c r="DA181">
        <v>0</v>
      </c>
      <c r="DB181">
        <v>999.9</v>
      </c>
      <c r="DC181">
        <v>999.9</v>
      </c>
      <c r="DD181">
        <v>55.963999999999999</v>
      </c>
      <c r="DE181">
        <v>26.385000000000002</v>
      </c>
      <c r="DF181">
        <v>19.242100000000001</v>
      </c>
      <c r="DG181">
        <v>30.490100000000002</v>
      </c>
      <c r="DH181">
        <v>16.334099999999999</v>
      </c>
      <c r="DI181">
        <v>2</v>
      </c>
      <c r="DJ181">
        <v>-0.15194299999999999</v>
      </c>
      <c r="DK181">
        <v>2.02224</v>
      </c>
      <c r="DL181">
        <v>20.2254</v>
      </c>
      <c r="DM181">
        <v>5.2472399999999997</v>
      </c>
      <c r="DN181">
        <v>12.033899999999999</v>
      </c>
      <c r="DO181">
        <v>4.9659599999999999</v>
      </c>
      <c r="DP181">
        <v>3.2909999999999999</v>
      </c>
      <c r="DQ181">
        <v>9999</v>
      </c>
      <c r="DR181">
        <v>9999</v>
      </c>
      <c r="DS181">
        <v>597.29999999999995</v>
      </c>
      <c r="DT181">
        <v>9999</v>
      </c>
      <c r="DU181">
        <v>1.87107</v>
      </c>
      <c r="DV181">
        <v>1.87609</v>
      </c>
      <c r="DW181">
        <v>1.8763399999999999</v>
      </c>
      <c r="DX181">
        <v>1.8828</v>
      </c>
      <c r="DY181">
        <v>1.87561</v>
      </c>
      <c r="DZ181">
        <v>1.87466</v>
      </c>
      <c r="EA181">
        <v>1.8708100000000001</v>
      </c>
      <c r="EB181">
        <v>1.87466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-0.88700000000000001</v>
      </c>
      <c r="EQ181">
        <v>0.1066</v>
      </c>
      <c r="ER181">
        <v>-0.88680000000005099</v>
      </c>
      <c r="ES181">
        <v>0</v>
      </c>
      <c r="ET181">
        <v>0</v>
      </c>
      <c r="EU181">
        <v>0</v>
      </c>
      <c r="EV181">
        <v>0.10658999999999701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5.4</v>
      </c>
      <c r="FE181">
        <v>5</v>
      </c>
      <c r="FF181">
        <v>1.2390099999999999</v>
      </c>
      <c r="FG181">
        <v>2.5854499999999998</v>
      </c>
      <c r="FH181">
        <v>2.19604</v>
      </c>
      <c r="FI181">
        <v>2.5756800000000002</v>
      </c>
      <c r="FJ181">
        <v>2.4462899999999999</v>
      </c>
      <c r="FK181">
        <v>2.2961399999999998</v>
      </c>
      <c r="FL181">
        <v>31.215599999999998</v>
      </c>
      <c r="FM181">
        <v>24.157499999999999</v>
      </c>
      <c r="FN181">
        <v>19</v>
      </c>
      <c r="FO181">
        <v>864.98099999999999</v>
      </c>
      <c r="FP181">
        <v>584.61300000000006</v>
      </c>
      <c r="FQ181">
        <v>18.352</v>
      </c>
      <c r="FR181">
        <v>25.097899999999999</v>
      </c>
      <c r="FS181">
        <v>29.9998</v>
      </c>
      <c r="FT181">
        <v>25.091999999999999</v>
      </c>
      <c r="FU181">
        <v>25.094200000000001</v>
      </c>
      <c r="FV181">
        <v>24.866499999999998</v>
      </c>
      <c r="FW181">
        <v>31.854700000000001</v>
      </c>
      <c r="FX181">
        <v>14.813499999999999</v>
      </c>
      <c r="FY181">
        <v>18.378</v>
      </c>
      <c r="FZ181">
        <v>410</v>
      </c>
      <c r="GA181">
        <v>13.7729</v>
      </c>
      <c r="GB181">
        <v>99.9148</v>
      </c>
      <c r="GC181">
        <v>99.697100000000006</v>
      </c>
    </row>
    <row r="182" spans="1:185" x14ac:dyDescent="0.2">
      <c r="A182">
        <v>167</v>
      </c>
      <c r="B182">
        <v>1771002122.0999999</v>
      </c>
      <c r="C182">
        <v>3499</v>
      </c>
      <c r="D182" t="s">
        <v>635</v>
      </c>
      <c r="E182" t="s">
        <v>636</v>
      </c>
      <c r="F182">
        <v>15</v>
      </c>
      <c r="G182">
        <v>1771002114.03333</v>
      </c>
      <c r="H182">
        <f t="shared" si="26"/>
        <v>1.3291676647947028E-3</v>
      </c>
      <c r="I182">
        <v>0</v>
      </c>
      <c r="J182">
        <f t="shared" si="38"/>
        <v>2.7644367979128073E-3</v>
      </c>
      <c r="K182">
        <f t="shared" si="27"/>
        <v>4.9431597270272104E-2</v>
      </c>
      <c r="L182">
        <f t="shared" si="28"/>
        <v>70.196161872508924</v>
      </c>
      <c r="M182">
        <f t="shared" si="29"/>
        <v>1.5473577668262566</v>
      </c>
      <c r="N182">
        <f t="shared" si="30"/>
        <v>2.2043338632054921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26346.321056119188</v>
      </c>
      <c r="T182">
        <f t="shared" si="34"/>
        <v>300.0018</v>
      </c>
      <c r="U182">
        <f t="shared" si="35"/>
        <v>252.90152394003931</v>
      </c>
      <c r="V182">
        <f t="shared" si="36"/>
        <v>0.84300002180000022</v>
      </c>
      <c r="W182">
        <f t="shared" si="37"/>
        <v>0.15870004150800004</v>
      </c>
      <c r="X182">
        <v>1</v>
      </c>
      <c r="Y182">
        <v>1771002114.03333</v>
      </c>
      <c r="Z182">
        <v>409.24886666666703</v>
      </c>
      <c r="AA182">
        <v>409.99059999999997</v>
      </c>
      <c r="AB182">
        <v>15.403119999999999</v>
      </c>
      <c r="AC182">
        <v>13.7672666666667</v>
      </c>
      <c r="AD182">
        <v>410.13560000000001</v>
      </c>
      <c r="AE182">
        <v>15.296526666666701</v>
      </c>
      <c r="AF182">
        <v>800.00713333333294</v>
      </c>
      <c r="AG182">
        <v>100.393066666667</v>
      </c>
      <c r="AH182">
        <v>6.43579866666667E-2</v>
      </c>
      <c r="AI182">
        <v>18.993846666666698</v>
      </c>
      <c r="AJ182">
        <v>999.9</v>
      </c>
      <c r="AK182">
        <v>999.9</v>
      </c>
      <c r="AL182">
        <v>0</v>
      </c>
      <c r="AM182">
        <v>0</v>
      </c>
      <c r="AN182">
        <v>5003.3666666666704</v>
      </c>
      <c r="AO182">
        <v>0</v>
      </c>
      <c r="AP182">
        <v>1.80671</v>
      </c>
      <c r="AQ182">
        <v>-0.741821333333333</v>
      </c>
      <c r="AR182">
        <v>415.65113333333301</v>
      </c>
      <c r="AS182">
        <v>415.71379999999999</v>
      </c>
      <c r="AT182">
        <v>1.63586066666667</v>
      </c>
      <c r="AU182">
        <v>409.99059999999997</v>
      </c>
      <c r="AV182">
        <v>13.7672666666667</v>
      </c>
      <c r="AW182">
        <v>1.546368</v>
      </c>
      <c r="AX182">
        <v>1.3821393333333301</v>
      </c>
      <c r="AY182">
        <v>13.434506666666699</v>
      </c>
      <c r="AZ182">
        <v>11.7230733333333</v>
      </c>
      <c r="BA182">
        <v>300.0018</v>
      </c>
      <c r="BB182">
        <v>0.89999946666666697</v>
      </c>
      <c r="BC182">
        <v>0</v>
      </c>
      <c r="BD182">
        <v>0.10000054</v>
      </c>
      <c r="BE182">
        <v>0</v>
      </c>
      <c r="BF182">
        <v>24.735573333333299</v>
      </c>
      <c r="BG182">
        <v>4946.6639999999998</v>
      </c>
      <c r="BH182">
        <v>1771001804.0999999</v>
      </c>
      <c r="BI182" t="s">
        <v>616</v>
      </c>
      <c r="BJ182">
        <v>1771001782.0999999</v>
      </c>
      <c r="BK182">
        <v>1771001804.0999999</v>
      </c>
      <c r="BL182">
        <v>9</v>
      </c>
      <c r="BM182">
        <v>3.4000000000000002E-2</v>
      </c>
      <c r="BN182">
        <v>6.0000000000000001E-3</v>
      </c>
      <c r="BO182">
        <v>-0.88700000000000001</v>
      </c>
      <c r="BP182">
        <v>0.107</v>
      </c>
      <c r="BQ182">
        <v>410</v>
      </c>
      <c r="BR182">
        <v>15</v>
      </c>
      <c r="BS182">
        <v>0.28999999999999998</v>
      </c>
      <c r="BT182">
        <v>7.0000000000000007E-2</v>
      </c>
      <c r="BU182">
        <v>-0.74913680952380901</v>
      </c>
      <c r="BV182">
        <v>1.1939142857144199E-2</v>
      </c>
      <c r="BW182">
        <v>2.5259861660479801E-2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1.6410233333333299</v>
      </c>
      <c r="CD182">
        <v>-7.7407792207787804E-2</v>
      </c>
      <c r="CE182">
        <v>9.52398292699283E-3</v>
      </c>
      <c r="CF182">
        <v>1</v>
      </c>
      <c r="CG182">
        <v>2</v>
      </c>
      <c r="CH182">
        <v>2</v>
      </c>
      <c r="CI182" t="s">
        <v>304</v>
      </c>
      <c r="CJ182">
        <v>3.5325299999999999</v>
      </c>
      <c r="CK182">
        <v>2.7021099999999998</v>
      </c>
      <c r="CL182">
        <v>9.8200800000000005E-2</v>
      </c>
      <c r="CM182">
        <v>9.6961199999999997E-2</v>
      </c>
      <c r="CN182">
        <v>8.7343100000000007E-2</v>
      </c>
      <c r="CO182">
        <v>7.9581799999999994E-2</v>
      </c>
      <c r="CP182">
        <v>31641</v>
      </c>
      <c r="CQ182">
        <v>27802.400000000001</v>
      </c>
      <c r="CR182">
        <v>32472.3</v>
      </c>
      <c r="CS182">
        <v>30713</v>
      </c>
      <c r="CT182">
        <v>40122</v>
      </c>
      <c r="CU182">
        <v>39749.800000000003</v>
      </c>
      <c r="CV182">
        <v>47415.9</v>
      </c>
      <c r="CW182">
        <v>46831.3</v>
      </c>
      <c r="CX182">
        <v>2.6295000000000002</v>
      </c>
      <c r="CY182">
        <v>2.1465999999999998</v>
      </c>
      <c r="CZ182">
        <v>0</v>
      </c>
      <c r="DA182">
        <v>0</v>
      </c>
      <c r="DB182">
        <v>999.9</v>
      </c>
      <c r="DC182">
        <v>999.9</v>
      </c>
      <c r="DD182">
        <v>55.890999999999998</v>
      </c>
      <c r="DE182">
        <v>26.405000000000001</v>
      </c>
      <c r="DF182">
        <v>19.240200000000002</v>
      </c>
      <c r="DG182">
        <v>30.5501</v>
      </c>
      <c r="DH182">
        <v>16.430299999999999</v>
      </c>
      <c r="DI182">
        <v>2</v>
      </c>
      <c r="DJ182">
        <v>-0.15273999999999999</v>
      </c>
      <c r="DK182">
        <v>1.8715599999999999</v>
      </c>
      <c r="DL182">
        <v>20.227799999999998</v>
      </c>
      <c r="DM182">
        <v>5.2471199999999998</v>
      </c>
      <c r="DN182">
        <v>12.033899999999999</v>
      </c>
      <c r="DO182">
        <v>4.9664799999999998</v>
      </c>
      <c r="DP182">
        <v>3.2910200000000001</v>
      </c>
      <c r="DQ182">
        <v>9999</v>
      </c>
      <c r="DR182">
        <v>9999</v>
      </c>
      <c r="DS182">
        <v>597.29999999999995</v>
      </c>
      <c r="DT182">
        <v>9999</v>
      </c>
      <c r="DU182">
        <v>1.8710800000000001</v>
      </c>
      <c r="DV182">
        <v>1.87609</v>
      </c>
      <c r="DW182">
        <v>1.87632</v>
      </c>
      <c r="DX182">
        <v>1.88279</v>
      </c>
      <c r="DY182">
        <v>1.8755999999999999</v>
      </c>
      <c r="DZ182">
        <v>1.8746700000000001</v>
      </c>
      <c r="EA182">
        <v>1.8708100000000001</v>
      </c>
      <c r="EB182">
        <v>1.8746700000000001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-0.88700000000000001</v>
      </c>
      <c r="EQ182">
        <v>0.1066</v>
      </c>
      <c r="ER182">
        <v>-0.88680000000005099</v>
      </c>
      <c r="ES182">
        <v>0</v>
      </c>
      <c r="ET182">
        <v>0</v>
      </c>
      <c r="EU182">
        <v>0</v>
      </c>
      <c r="EV182">
        <v>0.10658999999999701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5.7</v>
      </c>
      <c r="FE182">
        <v>5.3</v>
      </c>
      <c r="FF182">
        <v>1.2390099999999999</v>
      </c>
      <c r="FG182">
        <v>2.5915499999999998</v>
      </c>
      <c r="FH182">
        <v>2.19604</v>
      </c>
      <c r="FI182">
        <v>2.5756800000000002</v>
      </c>
      <c r="FJ182">
        <v>2.4462899999999999</v>
      </c>
      <c r="FK182">
        <v>2.2753899999999998</v>
      </c>
      <c r="FL182">
        <v>31.237400000000001</v>
      </c>
      <c r="FM182">
        <v>24.157499999999999</v>
      </c>
      <c r="FN182">
        <v>19</v>
      </c>
      <c r="FO182">
        <v>864.98</v>
      </c>
      <c r="FP182">
        <v>584.476</v>
      </c>
      <c r="FQ182">
        <v>18.3841</v>
      </c>
      <c r="FR182">
        <v>25.1008</v>
      </c>
      <c r="FS182">
        <v>29.9999</v>
      </c>
      <c r="FT182">
        <v>25.095300000000002</v>
      </c>
      <c r="FU182">
        <v>25.097200000000001</v>
      </c>
      <c r="FV182">
        <v>24.8674</v>
      </c>
      <c r="FW182">
        <v>31.854700000000001</v>
      </c>
      <c r="FX182">
        <v>14.438499999999999</v>
      </c>
      <c r="FY182">
        <v>18.392900000000001</v>
      </c>
      <c r="FZ182">
        <v>410</v>
      </c>
      <c r="GA182">
        <v>13.7812</v>
      </c>
      <c r="GB182">
        <v>99.918300000000002</v>
      </c>
      <c r="GC182">
        <v>99.699700000000007</v>
      </c>
    </row>
    <row r="183" spans="1:185" x14ac:dyDescent="0.2">
      <c r="A183">
        <v>168</v>
      </c>
      <c r="B183">
        <v>1771002137.0999999</v>
      </c>
      <c r="C183">
        <v>3514</v>
      </c>
      <c r="D183" t="s">
        <v>637</v>
      </c>
      <c r="E183" t="s">
        <v>638</v>
      </c>
      <c r="F183">
        <v>15</v>
      </c>
      <c r="G183">
        <v>1771002129.03333</v>
      </c>
      <c r="H183">
        <f t="shared" si="26"/>
        <v>1.3238874893423001E-3</v>
      </c>
      <c r="I183">
        <v>0</v>
      </c>
      <c r="J183">
        <f t="shared" si="38"/>
        <v>4.7462854900239314E-3</v>
      </c>
      <c r="K183">
        <f t="shared" si="27"/>
        <v>8.4869537639543122E-2</v>
      </c>
      <c r="L183">
        <f t="shared" si="28"/>
        <v>70.125350983010122</v>
      </c>
      <c r="M183">
        <f t="shared" si="29"/>
        <v>1.5453531676859209</v>
      </c>
      <c r="N183">
        <f t="shared" si="30"/>
        <v>2.2037011523269627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26365.012634856714</v>
      </c>
      <c r="T183">
        <f t="shared" si="34"/>
        <v>299.99993333333299</v>
      </c>
      <c r="U183">
        <f t="shared" si="35"/>
        <v>252.89995489999731</v>
      </c>
      <c r="V183">
        <f t="shared" si="36"/>
        <v>0.84300003700000026</v>
      </c>
      <c r="W183">
        <f t="shared" si="37"/>
        <v>0.15870015746000007</v>
      </c>
      <c r="X183">
        <v>1</v>
      </c>
      <c r="Y183">
        <v>1771002129.03333</v>
      </c>
      <c r="Z183">
        <v>409.21140000000003</v>
      </c>
      <c r="AA183">
        <v>409.994666666667</v>
      </c>
      <c r="AB183">
        <v>15.3831466666667</v>
      </c>
      <c r="AC183">
        <v>13.75376</v>
      </c>
      <c r="AD183">
        <v>410.09820000000002</v>
      </c>
      <c r="AE183">
        <v>15.2765533333333</v>
      </c>
      <c r="AF183">
        <v>800.00773333333302</v>
      </c>
      <c r="AG183">
        <v>100.393133333333</v>
      </c>
      <c r="AH183">
        <v>6.4412913333333294E-2</v>
      </c>
      <c r="AI183">
        <v>18.989246666666698</v>
      </c>
      <c r="AJ183">
        <v>999.9</v>
      </c>
      <c r="AK183">
        <v>999.9</v>
      </c>
      <c r="AL183">
        <v>0</v>
      </c>
      <c r="AM183">
        <v>0</v>
      </c>
      <c r="AN183">
        <v>5006.3666666666704</v>
      </c>
      <c r="AO183">
        <v>0</v>
      </c>
      <c r="AP183">
        <v>1.80671</v>
      </c>
      <c r="AQ183">
        <v>-0.78322133333333299</v>
      </c>
      <c r="AR183">
        <v>415.6046</v>
      </c>
      <c r="AS183">
        <v>415.7122</v>
      </c>
      <c r="AT183">
        <v>1.62938133333333</v>
      </c>
      <c r="AU183">
        <v>409.994666666667</v>
      </c>
      <c r="AV183">
        <v>13.75376</v>
      </c>
      <c r="AW183">
        <v>1.5443613333333299</v>
      </c>
      <c r="AX183">
        <v>1.38078266666667</v>
      </c>
      <c r="AY183">
        <v>13.4145866666667</v>
      </c>
      <c r="AZ183">
        <v>11.708220000000001</v>
      </c>
      <c r="BA183">
        <v>299.99993333333299</v>
      </c>
      <c r="BB183">
        <v>0.89999779999999996</v>
      </c>
      <c r="BC183">
        <v>0</v>
      </c>
      <c r="BD183">
        <v>0.100002166666667</v>
      </c>
      <c r="BE183">
        <v>0</v>
      </c>
      <c r="BF183">
        <v>24.9866733333333</v>
      </c>
      <c r="BG183">
        <v>4946.6286666666701</v>
      </c>
      <c r="BH183">
        <v>1771001804.0999999</v>
      </c>
      <c r="BI183" t="s">
        <v>616</v>
      </c>
      <c r="BJ183">
        <v>1771001782.0999999</v>
      </c>
      <c r="BK183">
        <v>1771001804.0999999</v>
      </c>
      <c r="BL183">
        <v>9</v>
      </c>
      <c r="BM183">
        <v>3.4000000000000002E-2</v>
      </c>
      <c r="BN183">
        <v>6.0000000000000001E-3</v>
      </c>
      <c r="BO183">
        <v>-0.88700000000000001</v>
      </c>
      <c r="BP183">
        <v>0.107</v>
      </c>
      <c r="BQ183">
        <v>410</v>
      </c>
      <c r="BR183">
        <v>15</v>
      </c>
      <c r="BS183">
        <v>0.28999999999999998</v>
      </c>
      <c r="BT183">
        <v>7.0000000000000007E-2</v>
      </c>
      <c r="BU183">
        <v>-0.77938845000000001</v>
      </c>
      <c r="BV183">
        <v>-7.9006872180451604E-2</v>
      </c>
      <c r="BW183">
        <v>1.35573652066875E-2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1.6308674999999999</v>
      </c>
      <c r="CD183">
        <v>-2.8498195488723201E-2</v>
      </c>
      <c r="CE183">
        <v>3.1015639200248401E-3</v>
      </c>
      <c r="CF183">
        <v>1</v>
      </c>
      <c r="CG183">
        <v>2</v>
      </c>
      <c r="CH183">
        <v>2</v>
      </c>
      <c r="CI183" t="s">
        <v>304</v>
      </c>
      <c r="CJ183">
        <v>3.53247</v>
      </c>
      <c r="CK183">
        <v>2.70234</v>
      </c>
      <c r="CL183">
        <v>9.81958E-2</v>
      </c>
      <c r="CM183">
        <v>9.6954100000000001E-2</v>
      </c>
      <c r="CN183">
        <v>8.7318999999999994E-2</v>
      </c>
      <c r="CO183">
        <v>7.9548499999999994E-2</v>
      </c>
      <c r="CP183">
        <v>31641.4</v>
      </c>
      <c r="CQ183">
        <v>27802.9</v>
      </c>
      <c r="CR183">
        <v>32472.5</v>
      </c>
      <c r="CS183">
        <v>30713.200000000001</v>
      </c>
      <c r="CT183">
        <v>40123.300000000003</v>
      </c>
      <c r="CU183">
        <v>39751.4</v>
      </c>
      <c r="CV183">
        <v>47416.2</v>
      </c>
      <c r="CW183">
        <v>46831.4</v>
      </c>
      <c r="CX183">
        <v>2.62934</v>
      </c>
      <c r="CY183">
        <v>2.1464400000000001</v>
      </c>
      <c r="CZ183">
        <v>0</v>
      </c>
      <c r="DA183">
        <v>0</v>
      </c>
      <c r="DB183">
        <v>999.9</v>
      </c>
      <c r="DC183">
        <v>999.9</v>
      </c>
      <c r="DD183">
        <v>55.817</v>
      </c>
      <c r="DE183">
        <v>26.405000000000001</v>
      </c>
      <c r="DF183">
        <v>19.2133</v>
      </c>
      <c r="DG183">
        <v>29.950099999999999</v>
      </c>
      <c r="DH183">
        <v>16.430299999999999</v>
      </c>
      <c r="DI183">
        <v>2</v>
      </c>
      <c r="DJ183">
        <v>-0.152535</v>
      </c>
      <c r="DK183">
        <v>1.8550500000000001</v>
      </c>
      <c r="DL183">
        <v>20.228300000000001</v>
      </c>
      <c r="DM183">
        <v>5.2472399999999997</v>
      </c>
      <c r="DN183">
        <v>12.033899999999999</v>
      </c>
      <c r="DO183">
        <v>4.9671599999999998</v>
      </c>
      <c r="DP183">
        <v>3.2909999999999999</v>
      </c>
      <c r="DQ183">
        <v>9999</v>
      </c>
      <c r="DR183">
        <v>9999</v>
      </c>
      <c r="DS183">
        <v>597.29999999999995</v>
      </c>
      <c r="DT183">
        <v>9999</v>
      </c>
      <c r="DU183">
        <v>1.8711199999999999</v>
      </c>
      <c r="DV183">
        <v>1.87609</v>
      </c>
      <c r="DW183">
        <v>1.87635</v>
      </c>
      <c r="DX183">
        <v>1.88279</v>
      </c>
      <c r="DY183">
        <v>1.87561</v>
      </c>
      <c r="DZ183">
        <v>1.8746799999999999</v>
      </c>
      <c r="EA183">
        <v>1.87083</v>
      </c>
      <c r="EB183">
        <v>1.8746799999999999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-0.88700000000000001</v>
      </c>
      <c r="EQ183">
        <v>0.1066</v>
      </c>
      <c r="ER183">
        <v>-0.88680000000005099</v>
      </c>
      <c r="ES183">
        <v>0</v>
      </c>
      <c r="ET183">
        <v>0</v>
      </c>
      <c r="EU183">
        <v>0</v>
      </c>
      <c r="EV183">
        <v>0.10658999999999701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5.9</v>
      </c>
      <c r="FE183">
        <v>5.5</v>
      </c>
      <c r="FF183">
        <v>1.2390099999999999</v>
      </c>
      <c r="FG183">
        <v>2.5854499999999998</v>
      </c>
      <c r="FH183">
        <v>2.19604</v>
      </c>
      <c r="FI183">
        <v>2.5756800000000002</v>
      </c>
      <c r="FJ183">
        <v>2.4462899999999999</v>
      </c>
      <c r="FK183">
        <v>2.2924799999999999</v>
      </c>
      <c r="FL183">
        <v>31.237400000000001</v>
      </c>
      <c r="FM183">
        <v>24.157499999999999</v>
      </c>
      <c r="FN183">
        <v>19</v>
      </c>
      <c r="FO183">
        <v>864.87300000000005</v>
      </c>
      <c r="FP183">
        <v>584.38199999999995</v>
      </c>
      <c r="FQ183">
        <v>18.409099999999999</v>
      </c>
      <c r="FR183">
        <v>25.102900000000002</v>
      </c>
      <c r="FS183">
        <v>30.0001</v>
      </c>
      <c r="FT183">
        <v>25.097799999999999</v>
      </c>
      <c r="FU183">
        <v>25.099699999999999</v>
      </c>
      <c r="FV183">
        <v>24.869299999999999</v>
      </c>
      <c r="FW183">
        <v>31.854700000000001</v>
      </c>
      <c r="FX183">
        <v>14.059799999999999</v>
      </c>
      <c r="FY183">
        <v>18.414300000000001</v>
      </c>
      <c r="FZ183">
        <v>410</v>
      </c>
      <c r="GA183">
        <v>13.7738</v>
      </c>
      <c r="GB183">
        <v>99.918800000000005</v>
      </c>
      <c r="GC183">
        <v>99.700199999999995</v>
      </c>
    </row>
    <row r="184" spans="1:185" x14ac:dyDescent="0.2">
      <c r="A184">
        <v>169</v>
      </c>
      <c r="B184">
        <v>1771002152.0999999</v>
      </c>
      <c r="C184">
        <v>3529</v>
      </c>
      <c r="D184" t="s">
        <v>639</v>
      </c>
      <c r="E184" t="s">
        <v>640</v>
      </c>
      <c r="F184">
        <v>15</v>
      </c>
      <c r="G184">
        <v>1771002144.03333</v>
      </c>
      <c r="H184">
        <f t="shared" si="26"/>
        <v>1.3304675097076857E-3</v>
      </c>
      <c r="I184">
        <v>0</v>
      </c>
      <c r="J184">
        <f t="shared" si="38"/>
        <v>4.6785820703948806E-3</v>
      </c>
      <c r="K184">
        <f t="shared" si="27"/>
        <v>8.3658915578857823E-2</v>
      </c>
      <c r="L184">
        <f t="shared" si="28"/>
        <v>70.108380772606111</v>
      </c>
      <c r="M184">
        <f t="shared" si="29"/>
        <v>1.5447111704481014</v>
      </c>
      <c r="N184">
        <f t="shared" si="30"/>
        <v>2.2033188520760647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26319.612429623725</v>
      </c>
      <c r="T184">
        <f t="shared" si="34"/>
        <v>299.99926666666698</v>
      </c>
      <c r="U184">
        <f t="shared" si="35"/>
        <v>252.89942859988588</v>
      </c>
      <c r="V184">
        <f t="shared" si="36"/>
        <v>0.843000156</v>
      </c>
      <c r="W184">
        <f t="shared" si="37"/>
        <v>0.15870039000000002</v>
      </c>
      <c r="X184">
        <v>1</v>
      </c>
      <c r="Y184">
        <v>1771002144.03333</v>
      </c>
      <c r="Z184">
        <v>409.22059999999999</v>
      </c>
      <c r="AA184">
        <v>410.00573333333301</v>
      </c>
      <c r="AB184">
        <v>15.3767933333333</v>
      </c>
      <c r="AC184">
        <v>13.7393</v>
      </c>
      <c r="AD184">
        <v>410.10719999999998</v>
      </c>
      <c r="AE184">
        <v>15.2701933333333</v>
      </c>
      <c r="AF184">
        <v>800.00886666666702</v>
      </c>
      <c r="AG184">
        <v>100.393133333333</v>
      </c>
      <c r="AH184">
        <v>6.4168586666666694E-2</v>
      </c>
      <c r="AI184">
        <v>18.986466666666701</v>
      </c>
      <c r="AJ184">
        <v>999.9</v>
      </c>
      <c r="AK184">
        <v>999.9</v>
      </c>
      <c r="AL184">
        <v>0</v>
      </c>
      <c r="AM184">
        <v>0</v>
      </c>
      <c r="AN184">
        <v>4998.8666666666704</v>
      </c>
      <c r="AO184">
        <v>0</v>
      </c>
      <c r="AP184">
        <v>1.80671</v>
      </c>
      <c r="AQ184">
        <v>-0.78534153333333301</v>
      </c>
      <c r="AR184">
        <v>415.6112</v>
      </c>
      <c r="AS184">
        <v>415.71733333333299</v>
      </c>
      <c r="AT184">
        <v>1.6374706666666701</v>
      </c>
      <c r="AU184">
        <v>410.00573333333301</v>
      </c>
      <c r="AV184">
        <v>13.7393</v>
      </c>
      <c r="AW184">
        <v>1.5437259999999999</v>
      </c>
      <c r="AX184">
        <v>1.3793346666666699</v>
      </c>
      <c r="AY184">
        <v>13.40826</v>
      </c>
      <c r="AZ184">
        <v>11.69234</v>
      </c>
      <c r="BA184">
        <v>299.99926666666698</v>
      </c>
      <c r="BB184">
        <v>0.89999479999999998</v>
      </c>
      <c r="BC184">
        <v>0</v>
      </c>
      <c r="BD184">
        <v>0.1000052</v>
      </c>
      <c r="BE184">
        <v>0</v>
      </c>
      <c r="BF184">
        <v>25</v>
      </c>
      <c r="BG184">
        <v>4946.616</v>
      </c>
      <c r="BH184">
        <v>1771001804.0999999</v>
      </c>
      <c r="BI184" t="s">
        <v>616</v>
      </c>
      <c r="BJ184">
        <v>1771001782.0999999</v>
      </c>
      <c r="BK184">
        <v>1771001804.0999999</v>
      </c>
      <c r="BL184">
        <v>9</v>
      </c>
      <c r="BM184">
        <v>3.4000000000000002E-2</v>
      </c>
      <c r="BN184">
        <v>6.0000000000000001E-3</v>
      </c>
      <c r="BO184">
        <v>-0.88700000000000001</v>
      </c>
      <c r="BP184">
        <v>0.107</v>
      </c>
      <c r="BQ184">
        <v>410</v>
      </c>
      <c r="BR184">
        <v>15</v>
      </c>
      <c r="BS184">
        <v>0.28999999999999998</v>
      </c>
      <c r="BT184">
        <v>7.0000000000000007E-2</v>
      </c>
      <c r="BU184">
        <v>-0.78561995238095195</v>
      </c>
      <c r="BV184">
        <v>-1.2173766233766901E-2</v>
      </c>
      <c r="BW184">
        <v>1.56556333493462E-2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1.63501095238095</v>
      </c>
      <c r="CD184">
        <v>2.3415584415588098E-2</v>
      </c>
      <c r="CE184">
        <v>5.2779594765238304E-3</v>
      </c>
      <c r="CF184">
        <v>1</v>
      </c>
      <c r="CG184">
        <v>2</v>
      </c>
      <c r="CH184">
        <v>2</v>
      </c>
      <c r="CI184" t="s">
        <v>304</v>
      </c>
      <c r="CJ184">
        <v>3.5325099999999998</v>
      </c>
      <c r="CK184">
        <v>2.7018900000000001</v>
      </c>
      <c r="CL184">
        <v>9.8197400000000004E-2</v>
      </c>
      <c r="CM184">
        <v>9.6956299999999995E-2</v>
      </c>
      <c r="CN184">
        <v>8.7260099999999993E-2</v>
      </c>
      <c r="CO184">
        <v>7.9505599999999996E-2</v>
      </c>
      <c r="CP184">
        <v>31640.5</v>
      </c>
      <c r="CQ184">
        <v>27802.2</v>
      </c>
      <c r="CR184">
        <v>32471.7</v>
      </c>
      <c r="CS184">
        <v>30712.6</v>
      </c>
      <c r="CT184">
        <v>40124.9</v>
      </c>
      <c r="CU184">
        <v>39752.400000000001</v>
      </c>
      <c r="CV184">
        <v>47414.8</v>
      </c>
      <c r="CW184">
        <v>46830.400000000001</v>
      </c>
      <c r="CX184">
        <v>2.6292599999999999</v>
      </c>
      <c r="CY184">
        <v>2.1461999999999999</v>
      </c>
      <c r="CZ184">
        <v>0</v>
      </c>
      <c r="DA184">
        <v>0</v>
      </c>
      <c r="DB184">
        <v>999.9</v>
      </c>
      <c r="DC184">
        <v>999.9</v>
      </c>
      <c r="DD184">
        <v>55.744</v>
      </c>
      <c r="DE184">
        <v>26.414999999999999</v>
      </c>
      <c r="DF184">
        <v>19.200399999999998</v>
      </c>
      <c r="DG184">
        <v>30.310099999999998</v>
      </c>
      <c r="DH184">
        <v>16.506399999999999</v>
      </c>
      <c r="DI184">
        <v>2</v>
      </c>
      <c r="DJ184">
        <v>-0.15251200000000001</v>
      </c>
      <c r="DK184">
        <v>1.8222499999999999</v>
      </c>
      <c r="DL184">
        <v>20.2287</v>
      </c>
      <c r="DM184">
        <v>5.2472399999999997</v>
      </c>
      <c r="DN184">
        <v>12.033899999999999</v>
      </c>
      <c r="DO184">
        <v>4.96732</v>
      </c>
      <c r="DP184">
        <v>3.2909999999999999</v>
      </c>
      <c r="DQ184">
        <v>9999</v>
      </c>
      <c r="DR184">
        <v>9999</v>
      </c>
      <c r="DS184">
        <v>597.29999999999995</v>
      </c>
      <c r="DT184">
        <v>9999</v>
      </c>
      <c r="DU184">
        <v>1.87107</v>
      </c>
      <c r="DV184">
        <v>1.87608</v>
      </c>
      <c r="DW184">
        <v>1.8763399999999999</v>
      </c>
      <c r="DX184">
        <v>1.88279</v>
      </c>
      <c r="DY184">
        <v>1.8755999999999999</v>
      </c>
      <c r="DZ184">
        <v>1.8746499999999999</v>
      </c>
      <c r="EA184">
        <v>1.8708199999999999</v>
      </c>
      <c r="EB184">
        <v>1.87463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-0.88700000000000001</v>
      </c>
      <c r="EQ184">
        <v>0.1066</v>
      </c>
      <c r="ER184">
        <v>-0.88680000000005099</v>
      </c>
      <c r="ES184">
        <v>0</v>
      </c>
      <c r="ET184">
        <v>0</v>
      </c>
      <c r="EU184">
        <v>0</v>
      </c>
      <c r="EV184">
        <v>0.10658999999999701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6.2</v>
      </c>
      <c r="FE184">
        <v>5.8</v>
      </c>
      <c r="FF184">
        <v>1.2390099999999999</v>
      </c>
      <c r="FG184">
        <v>2.5878899999999998</v>
      </c>
      <c r="FH184">
        <v>2.19604</v>
      </c>
      <c r="FI184">
        <v>2.5756800000000002</v>
      </c>
      <c r="FJ184">
        <v>2.4462899999999999</v>
      </c>
      <c r="FK184">
        <v>2.2656200000000002</v>
      </c>
      <c r="FL184">
        <v>31.237400000000001</v>
      </c>
      <c r="FM184">
        <v>24.148800000000001</v>
      </c>
      <c r="FN184">
        <v>19</v>
      </c>
      <c r="FO184">
        <v>864.846</v>
      </c>
      <c r="FP184">
        <v>584.23299999999995</v>
      </c>
      <c r="FQ184">
        <v>18.4374</v>
      </c>
      <c r="FR184">
        <v>25.105899999999998</v>
      </c>
      <c r="FS184">
        <v>30.0002</v>
      </c>
      <c r="FT184">
        <v>25.1008</v>
      </c>
      <c r="FU184">
        <v>25.103000000000002</v>
      </c>
      <c r="FV184">
        <v>24.868600000000001</v>
      </c>
      <c r="FW184">
        <v>31.854700000000001</v>
      </c>
      <c r="FX184">
        <v>14.059799999999999</v>
      </c>
      <c r="FY184">
        <v>18.443000000000001</v>
      </c>
      <c r="FZ184">
        <v>410</v>
      </c>
      <c r="GA184">
        <v>13.778700000000001</v>
      </c>
      <c r="GB184">
        <v>99.9161</v>
      </c>
      <c r="GC184">
        <v>99.698099999999997</v>
      </c>
    </row>
    <row r="185" spans="1:185" x14ac:dyDescent="0.2">
      <c r="A185">
        <v>170</v>
      </c>
      <c r="B185">
        <v>1771002167.0999999</v>
      </c>
      <c r="C185">
        <v>3544</v>
      </c>
      <c r="D185" t="s">
        <v>641</v>
      </c>
      <c r="E185" t="s">
        <v>642</v>
      </c>
      <c r="F185">
        <v>15</v>
      </c>
      <c r="G185">
        <v>1771002159.03333</v>
      </c>
      <c r="H185">
        <f t="shared" si="26"/>
        <v>1.327039948989653E-3</v>
      </c>
      <c r="I185">
        <v>0</v>
      </c>
      <c r="J185">
        <f t="shared" si="38"/>
        <v>3.7627745968493317E-3</v>
      </c>
      <c r="K185">
        <f t="shared" si="27"/>
        <v>6.728312929081956E-2</v>
      </c>
      <c r="L185">
        <f t="shared" si="28"/>
        <v>70.030590067574508</v>
      </c>
      <c r="M185">
        <f t="shared" si="29"/>
        <v>1.5433291295012128</v>
      </c>
      <c r="N185">
        <f t="shared" si="30"/>
        <v>2.2037928396890711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26334.918687818885</v>
      </c>
      <c r="T185">
        <f t="shared" si="34"/>
        <v>300.00006666666701</v>
      </c>
      <c r="U185">
        <f t="shared" si="35"/>
        <v>252.90004383999744</v>
      </c>
      <c r="V185">
        <f t="shared" si="36"/>
        <v>0.84299995879999967</v>
      </c>
      <c r="W185">
        <f t="shared" si="37"/>
        <v>0.15869981904799996</v>
      </c>
      <c r="X185">
        <v>1</v>
      </c>
      <c r="Y185">
        <v>1771002159.03333</v>
      </c>
      <c r="Z185">
        <v>409.23360000000002</v>
      </c>
      <c r="AA185">
        <v>409.99653333333299</v>
      </c>
      <c r="AB185">
        <v>15.3631666666667</v>
      </c>
      <c r="AC185">
        <v>13.7298666666667</v>
      </c>
      <c r="AD185">
        <v>410.12040000000002</v>
      </c>
      <c r="AE185">
        <v>15.25658</v>
      </c>
      <c r="AF185">
        <v>800.00760000000002</v>
      </c>
      <c r="AG185">
        <v>100.392333333333</v>
      </c>
      <c r="AH185">
        <v>6.4113113333333305E-2</v>
      </c>
      <c r="AI185">
        <v>18.989913333333298</v>
      </c>
      <c r="AJ185">
        <v>999.9</v>
      </c>
      <c r="AK185">
        <v>999.9</v>
      </c>
      <c r="AL185">
        <v>0</v>
      </c>
      <c r="AM185">
        <v>0</v>
      </c>
      <c r="AN185">
        <v>5001.4666666666699</v>
      </c>
      <c r="AO185">
        <v>0</v>
      </c>
      <c r="AP185">
        <v>1.80671</v>
      </c>
      <c r="AQ185">
        <v>-0.76278693333333303</v>
      </c>
      <c r="AR185">
        <v>415.61886666666697</v>
      </c>
      <c r="AS185">
        <v>415.703933333333</v>
      </c>
      <c r="AT185">
        <v>1.63329533333333</v>
      </c>
      <c r="AU185">
        <v>409.99653333333299</v>
      </c>
      <c r="AV185">
        <v>13.7298666666667</v>
      </c>
      <c r="AW185">
        <v>1.5423433333333301</v>
      </c>
      <c r="AX185">
        <v>1.378374</v>
      </c>
      <c r="AY185">
        <v>13.394500000000001</v>
      </c>
      <c r="AZ185">
        <v>11.681786666666699</v>
      </c>
      <c r="BA185">
        <v>300.00006666666701</v>
      </c>
      <c r="BB185">
        <v>0.90000253333333302</v>
      </c>
      <c r="BC185">
        <v>0</v>
      </c>
      <c r="BD185">
        <v>9.9997506666666694E-2</v>
      </c>
      <c r="BE185">
        <v>0</v>
      </c>
      <c r="BF185">
        <v>25</v>
      </c>
      <c r="BG185">
        <v>4946.63533333333</v>
      </c>
      <c r="BH185">
        <v>1771001804.0999999</v>
      </c>
      <c r="BI185" t="s">
        <v>616</v>
      </c>
      <c r="BJ185">
        <v>1771001782.0999999</v>
      </c>
      <c r="BK185">
        <v>1771001804.0999999</v>
      </c>
      <c r="BL185">
        <v>9</v>
      </c>
      <c r="BM185">
        <v>3.4000000000000002E-2</v>
      </c>
      <c r="BN185">
        <v>6.0000000000000001E-3</v>
      </c>
      <c r="BO185">
        <v>-0.88700000000000001</v>
      </c>
      <c r="BP185">
        <v>0.107</v>
      </c>
      <c r="BQ185">
        <v>410</v>
      </c>
      <c r="BR185">
        <v>15</v>
      </c>
      <c r="BS185">
        <v>0.28999999999999998</v>
      </c>
      <c r="BT185">
        <v>7.0000000000000007E-2</v>
      </c>
      <c r="BU185">
        <v>-0.77022714999999997</v>
      </c>
      <c r="BV185">
        <v>0.15616975939849601</v>
      </c>
      <c r="BW185">
        <v>1.9187011281788999E-2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1.6334010000000001</v>
      </c>
      <c r="CD185">
        <v>1.6775639097746198E-2</v>
      </c>
      <c r="CE185">
        <v>4.0873021664663001E-3</v>
      </c>
      <c r="CF185">
        <v>1</v>
      </c>
      <c r="CG185">
        <v>2</v>
      </c>
      <c r="CH185">
        <v>2</v>
      </c>
      <c r="CI185" t="s">
        <v>304</v>
      </c>
      <c r="CJ185">
        <v>3.5325799999999998</v>
      </c>
      <c r="CK185">
        <v>2.7022200000000001</v>
      </c>
      <c r="CL185">
        <v>9.8198800000000003E-2</v>
      </c>
      <c r="CM185">
        <v>9.6957199999999993E-2</v>
      </c>
      <c r="CN185">
        <v>8.7200299999999994E-2</v>
      </c>
      <c r="CO185">
        <v>7.9438700000000001E-2</v>
      </c>
      <c r="CP185">
        <v>31639.7</v>
      </c>
      <c r="CQ185">
        <v>27802.1</v>
      </c>
      <c r="CR185">
        <v>32470.9</v>
      </c>
      <c r="CS185">
        <v>30712.5</v>
      </c>
      <c r="CT185">
        <v>40126.5</v>
      </c>
      <c r="CU185">
        <v>39755.5</v>
      </c>
      <c r="CV185">
        <v>47413.599999999999</v>
      </c>
      <c r="CW185">
        <v>46830.5</v>
      </c>
      <c r="CX185">
        <v>2.6293199999999999</v>
      </c>
      <c r="CY185">
        <v>2.1459199999999998</v>
      </c>
      <c r="CZ185">
        <v>0</v>
      </c>
      <c r="DA185">
        <v>0</v>
      </c>
      <c r="DB185">
        <v>999.9</v>
      </c>
      <c r="DC185">
        <v>999.9</v>
      </c>
      <c r="DD185">
        <v>55.677</v>
      </c>
      <c r="DE185">
        <v>26.445</v>
      </c>
      <c r="DF185">
        <v>19.2118</v>
      </c>
      <c r="DG185">
        <v>30.040099999999999</v>
      </c>
      <c r="DH185">
        <v>16.398199999999999</v>
      </c>
      <c r="DI185">
        <v>2</v>
      </c>
      <c r="DJ185">
        <v>-0.15226600000000001</v>
      </c>
      <c r="DK185">
        <v>1.8125100000000001</v>
      </c>
      <c r="DL185">
        <v>20.2286</v>
      </c>
      <c r="DM185">
        <v>5.2471199999999998</v>
      </c>
      <c r="DN185">
        <v>12.033899999999999</v>
      </c>
      <c r="DO185">
        <v>4.9671200000000004</v>
      </c>
      <c r="DP185">
        <v>3.2909999999999999</v>
      </c>
      <c r="DQ185">
        <v>9999</v>
      </c>
      <c r="DR185">
        <v>9999</v>
      </c>
      <c r="DS185">
        <v>597.29999999999995</v>
      </c>
      <c r="DT185">
        <v>9999</v>
      </c>
      <c r="DU185">
        <v>1.87107</v>
      </c>
      <c r="DV185">
        <v>1.8761099999999999</v>
      </c>
      <c r="DW185">
        <v>1.87632</v>
      </c>
      <c r="DX185">
        <v>1.8828100000000001</v>
      </c>
      <c r="DY185">
        <v>1.87561</v>
      </c>
      <c r="DZ185">
        <v>1.8746700000000001</v>
      </c>
      <c r="EA185">
        <v>1.8708499999999999</v>
      </c>
      <c r="EB185">
        <v>1.87466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-0.88700000000000001</v>
      </c>
      <c r="EQ185">
        <v>0.1066</v>
      </c>
      <c r="ER185">
        <v>-0.88680000000005099</v>
      </c>
      <c r="ES185">
        <v>0</v>
      </c>
      <c r="ET185">
        <v>0</v>
      </c>
      <c r="EU185">
        <v>0</v>
      </c>
      <c r="EV185">
        <v>0.10658999999999701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6.4</v>
      </c>
      <c r="FE185">
        <v>6</v>
      </c>
      <c r="FF185">
        <v>1.2390099999999999</v>
      </c>
      <c r="FG185">
        <v>2.5964399999999999</v>
      </c>
      <c r="FH185">
        <v>2.19604</v>
      </c>
      <c r="FI185">
        <v>2.5756800000000002</v>
      </c>
      <c r="FJ185">
        <v>2.4462899999999999</v>
      </c>
      <c r="FK185">
        <v>2.2534200000000002</v>
      </c>
      <c r="FL185">
        <v>31.2591</v>
      </c>
      <c r="FM185">
        <v>24.148800000000001</v>
      </c>
      <c r="FN185">
        <v>19</v>
      </c>
      <c r="FO185">
        <v>864.95699999999999</v>
      </c>
      <c r="FP185">
        <v>584.05200000000002</v>
      </c>
      <c r="FQ185">
        <v>18.462199999999999</v>
      </c>
      <c r="FR185">
        <v>25.109300000000001</v>
      </c>
      <c r="FS185">
        <v>30.0001</v>
      </c>
      <c r="FT185">
        <v>25.104199999999999</v>
      </c>
      <c r="FU185">
        <v>25.106000000000002</v>
      </c>
      <c r="FV185">
        <v>24.867999999999999</v>
      </c>
      <c r="FW185">
        <v>31.854700000000001</v>
      </c>
      <c r="FX185">
        <v>13.689299999999999</v>
      </c>
      <c r="FY185">
        <v>18.465299999999999</v>
      </c>
      <c r="FZ185">
        <v>410</v>
      </c>
      <c r="GA185">
        <v>13.778700000000001</v>
      </c>
      <c r="GB185">
        <v>99.913600000000002</v>
      </c>
      <c r="GC185">
        <v>99.698099999999997</v>
      </c>
    </row>
    <row r="186" spans="1:185" x14ac:dyDescent="0.2">
      <c r="A186">
        <v>171</v>
      </c>
      <c r="B186">
        <v>1771002182.0999999</v>
      </c>
      <c r="C186">
        <v>3559</v>
      </c>
      <c r="D186" t="s">
        <v>643</v>
      </c>
      <c r="E186" t="s">
        <v>644</v>
      </c>
      <c r="F186">
        <v>15</v>
      </c>
      <c r="G186">
        <v>1771002174.03333</v>
      </c>
      <c r="H186">
        <f t="shared" si="26"/>
        <v>1.3212084558929E-3</v>
      </c>
      <c r="I186">
        <v>0</v>
      </c>
      <c r="J186">
        <f t="shared" si="38"/>
        <v>4.565579349863169E-3</v>
      </c>
      <c r="K186">
        <f t="shared" si="27"/>
        <v>8.1638285200913888E-2</v>
      </c>
      <c r="L186">
        <f t="shared" si="28"/>
        <v>69.93899238731872</v>
      </c>
      <c r="M186">
        <f t="shared" si="29"/>
        <v>1.5417517512866268</v>
      </c>
      <c r="N186">
        <f t="shared" si="30"/>
        <v>2.2044237394048816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26340.483334997782</v>
      </c>
      <c r="T186">
        <f t="shared" si="34"/>
        <v>299.99933333333303</v>
      </c>
      <c r="U186">
        <f t="shared" si="35"/>
        <v>252.89936900015309</v>
      </c>
      <c r="V186">
        <f t="shared" si="36"/>
        <v>0.84299977000000004</v>
      </c>
      <c r="W186">
        <f t="shared" si="37"/>
        <v>0.15869968484000002</v>
      </c>
      <c r="X186">
        <v>1</v>
      </c>
      <c r="Y186">
        <v>1771002174.03333</v>
      </c>
      <c r="Z186">
        <v>409.21766666666701</v>
      </c>
      <c r="AA186">
        <v>409.99553333333301</v>
      </c>
      <c r="AB186">
        <v>15.347253333333301</v>
      </c>
      <c r="AC186">
        <v>13.721106666666699</v>
      </c>
      <c r="AD186">
        <v>410.1046</v>
      </c>
      <c r="AE186">
        <v>15.2406666666667</v>
      </c>
      <c r="AF186">
        <v>800.008733333333</v>
      </c>
      <c r="AG186">
        <v>100.393466666667</v>
      </c>
      <c r="AH186">
        <v>6.4362353333333303E-2</v>
      </c>
      <c r="AI186">
        <v>18.994499999999999</v>
      </c>
      <c r="AJ186">
        <v>999.9</v>
      </c>
      <c r="AK186">
        <v>999.9</v>
      </c>
      <c r="AL186">
        <v>0</v>
      </c>
      <c r="AM186">
        <v>0</v>
      </c>
      <c r="AN186">
        <v>5002.3999999999996</v>
      </c>
      <c r="AO186">
        <v>0</v>
      </c>
      <c r="AP186">
        <v>1.80671</v>
      </c>
      <c r="AQ186">
        <v>-0.77795206666666705</v>
      </c>
      <c r="AR186">
        <v>415.59586666666701</v>
      </c>
      <c r="AS186">
        <v>415.69946666666698</v>
      </c>
      <c r="AT186">
        <v>1.62615</v>
      </c>
      <c r="AU186">
        <v>409.99553333333301</v>
      </c>
      <c r="AV186">
        <v>13.721106666666699</v>
      </c>
      <c r="AW186">
        <v>1.5407633333333299</v>
      </c>
      <c r="AX186">
        <v>1.377508</v>
      </c>
      <c r="AY186">
        <v>13.3788</v>
      </c>
      <c r="AZ186">
        <v>11.6722933333333</v>
      </c>
      <c r="BA186">
        <v>299.99933333333303</v>
      </c>
      <c r="BB186">
        <v>0.90000380000000002</v>
      </c>
      <c r="BC186">
        <v>0</v>
      </c>
      <c r="BD186">
        <v>9.9996066666666703E-2</v>
      </c>
      <c r="BE186">
        <v>0</v>
      </c>
      <c r="BF186">
        <v>25</v>
      </c>
      <c r="BG186">
        <v>4946.6279999999997</v>
      </c>
      <c r="BH186">
        <v>1771001804.0999999</v>
      </c>
      <c r="BI186" t="s">
        <v>616</v>
      </c>
      <c r="BJ186">
        <v>1771001782.0999999</v>
      </c>
      <c r="BK186">
        <v>1771001804.0999999</v>
      </c>
      <c r="BL186">
        <v>9</v>
      </c>
      <c r="BM186">
        <v>3.4000000000000002E-2</v>
      </c>
      <c r="BN186">
        <v>6.0000000000000001E-3</v>
      </c>
      <c r="BO186">
        <v>-0.88700000000000001</v>
      </c>
      <c r="BP186">
        <v>0.107</v>
      </c>
      <c r="BQ186">
        <v>410</v>
      </c>
      <c r="BR186">
        <v>15</v>
      </c>
      <c r="BS186">
        <v>0.28999999999999998</v>
      </c>
      <c r="BT186">
        <v>7.0000000000000007E-2</v>
      </c>
      <c r="BU186">
        <v>-0.77238385714285696</v>
      </c>
      <c r="BV186">
        <v>-8.6032207792207799E-2</v>
      </c>
      <c r="BW186">
        <v>1.41812693745951E-2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1.62910333333333</v>
      </c>
      <c r="CD186">
        <v>-5.0834805194804697E-2</v>
      </c>
      <c r="CE186">
        <v>6.2632825208917301E-3</v>
      </c>
      <c r="CF186">
        <v>1</v>
      </c>
      <c r="CG186">
        <v>2</v>
      </c>
      <c r="CH186">
        <v>2</v>
      </c>
      <c r="CI186" t="s">
        <v>304</v>
      </c>
      <c r="CJ186">
        <v>3.5325299999999999</v>
      </c>
      <c r="CK186">
        <v>2.70208</v>
      </c>
      <c r="CL186">
        <v>9.8187200000000002E-2</v>
      </c>
      <c r="CM186">
        <v>9.6952899999999995E-2</v>
      </c>
      <c r="CN186">
        <v>8.7128399999999995E-2</v>
      </c>
      <c r="CO186">
        <v>7.9383499999999996E-2</v>
      </c>
      <c r="CP186">
        <v>31640.1</v>
      </c>
      <c r="CQ186">
        <v>27802.5</v>
      </c>
      <c r="CR186">
        <v>32470.9</v>
      </c>
      <c r="CS186">
        <v>30712.799999999999</v>
      </c>
      <c r="CT186">
        <v>40130</v>
      </c>
      <c r="CU186">
        <v>39758.6</v>
      </c>
      <c r="CV186">
        <v>47413.8</v>
      </c>
      <c r="CW186">
        <v>46831.3</v>
      </c>
      <c r="CX186">
        <v>2.6292399999999998</v>
      </c>
      <c r="CY186">
        <v>2.1459000000000001</v>
      </c>
      <c r="CZ186">
        <v>0</v>
      </c>
      <c r="DA186">
        <v>0</v>
      </c>
      <c r="DB186">
        <v>999.9</v>
      </c>
      <c r="DC186">
        <v>999.9</v>
      </c>
      <c r="DD186">
        <v>55.579000000000001</v>
      </c>
      <c r="DE186">
        <v>26.454999999999998</v>
      </c>
      <c r="DF186">
        <v>19.188500000000001</v>
      </c>
      <c r="DG186">
        <v>30.0701</v>
      </c>
      <c r="DH186">
        <v>16.362200000000001</v>
      </c>
      <c r="DI186">
        <v>2</v>
      </c>
      <c r="DJ186">
        <v>-0.15203</v>
      </c>
      <c r="DK186">
        <v>1.8139000000000001</v>
      </c>
      <c r="DL186">
        <v>20.2286</v>
      </c>
      <c r="DM186">
        <v>5.2472399999999997</v>
      </c>
      <c r="DN186">
        <v>12.033899999999999</v>
      </c>
      <c r="DO186">
        <v>4.9673999999999996</v>
      </c>
      <c r="DP186">
        <v>3.2909999999999999</v>
      </c>
      <c r="DQ186">
        <v>9999</v>
      </c>
      <c r="DR186">
        <v>9999</v>
      </c>
      <c r="DS186">
        <v>597.29999999999995</v>
      </c>
      <c r="DT186">
        <v>9999</v>
      </c>
      <c r="DU186">
        <v>1.8711199999999999</v>
      </c>
      <c r="DV186">
        <v>1.87615</v>
      </c>
      <c r="DW186">
        <v>1.8763700000000001</v>
      </c>
      <c r="DX186">
        <v>1.8828499999999999</v>
      </c>
      <c r="DY186">
        <v>1.87561</v>
      </c>
      <c r="DZ186">
        <v>1.8746799999999999</v>
      </c>
      <c r="EA186">
        <v>1.87087</v>
      </c>
      <c r="EB186">
        <v>1.8746700000000001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-0.88700000000000001</v>
      </c>
      <c r="EQ186">
        <v>0.1066</v>
      </c>
      <c r="ER186">
        <v>-0.88680000000005099</v>
      </c>
      <c r="ES186">
        <v>0</v>
      </c>
      <c r="ET186">
        <v>0</v>
      </c>
      <c r="EU186">
        <v>0</v>
      </c>
      <c r="EV186">
        <v>0.10658999999999701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6.7</v>
      </c>
      <c r="FE186">
        <v>6.3</v>
      </c>
      <c r="FF186">
        <v>1.2390099999999999</v>
      </c>
      <c r="FG186">
        <v>2.5891099999999998</v>
      </c>
      <c r="FH186">
        <v>2.19604</v>
      </c>
      <c r="FI186">
        <v>2.5756800000000002</v>
      </c>
      <c r="FJ186">
        <v>2.4462899999999999</v>
      </c>
      <c r="FK186">
        <v>2.2729499999999998</v>
      </c>
      <c r="FL186">
        <v>31.2591</v>
      </c>
      <c r="FM186">
        <v>24.157499999999999</v>
      </c>
      <c r="FN186">
        <v>19</v>
      </c>
      <c r="FO186">
        <v>864.91600000000005</v>
      </c>
      <c r="FP186">
        <v>584.05999999999995</v>
      </c>
      <c r="FQ186">
        <v>18.4773</v>
      </c>
      <c r="FR186">
        <v>25.1114</v>
      </c>
      <c r="FS186">
        <v>30.0002</v>
      </c>
      <c r="FT186">
        <v>25.106200000000001</v>
      </c>
      <c r="FU186">
        <v>25.1081</v>
      </c>
      <c r="FV186">
        <v>24.8703</v>
      </c>
      <c r="FW186">
        <v>31.854700000000001</v>
      </c>
      <c r="FX186">
        <v>13.3188</v>
      </c>
      <c r="FY186">
        <v>18.478100000000001</v>
      </c>
      <c r="FZ186">
        <v>410</v>
      </c>
      <c r="GA186">
        <v>13.778700000000001</v>
      </c>
      <c r="GB186">
        <v>99.913899999999998</v>
      </c>
      <c r="GC186">
        <v>99.6995</v>
      </c>
    </row>
    <row r="187" spans="1:185" x14ac:dyDescent="0.2">
      <c r="A187">
        <v>172</v>
      </c>
      <c r="B187">
        <v>1771002197.0999999</v>
      </c>
      <c r="C187">
        <v>3574</v>
      </c>
      <c r="D187" t="s">
        <v>645</v>
      </c>
      <c r="E187" t="s">
        <v>646</v>
      </c>
      <c r="F187">
        <v>15</v>
      </c>
      <c r="G187">
        <v>1771002189.03333</v>
      </c>
      <c r="H187">
        <f t="shared" si="26"/>
        <v>1.3069150116173584E-3</v>
      </c>
      <c r="I187">
        <v>0</v>
      </c>
      <c r="J187">
        <f t="shared" si="38"/>
        <v>6.2390239125823289E-3</v>
      </c>
      <c r="K187">
        <f t="shared" si="27"/>
        <v>0.11156157291757132</v>
      </c>
      <c r="L187">
        <f t="shared" si="28"/>
        <v>69.848879546176718</v>
      </c>
      <c r="M187">
        <f t="shared" si="29"/>
        <v>1.5402784766819728</v>
      </c>
      <c r="N187">
        <f t="shared" si="30"/>
        <v>2.2051584602208303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26310.063354583814</v>
      </c>
      <c r="T187">
        <f t="shared" si="34"/>
        <v>299.99926666666698</v>
      </c>
      <c r="U187">
        <f t="shared" si="35"/>
        <v>252.89931466016429</v>
      </c>
      <c r="V187">
        <f t="shared" si="36"/>
        <v>0.84299977619999966</v>
      </c>
      <c r="W187">
        <f t="shared" si="37"/>
        <v>0.15869958341199994</v>
      </c>
      <c r="X187">
        <v>1</v>
      </c>
      <c r="Y187">
        <v>1771002189.03333</v>
      </c>
      <c r="Z187">
        <v>409.19513333333299</v>
      </c>
      <c r="AA187">
        <v>410.003066666667</v>
      </c>
      <c r="AB187">
        <v>15.332793333333299</v>
      </c>
      <c r="AC187">
        <v>13.7241933333333</v>
      </c>
      <c r="AD187">
        <v>410.08199999999999</v>
      </c>
      <c r="AE187">
        <v>15.2262</v>
      </c>
      <c r="AF187">
        <v>799.99773333333303</v>
      </c>
      <c r="AG187">
        <v>100.392266666667</v>
      </c>
      <c r="AH187">
        <v>6.421528E-2</v>
      </c>
      <c r="AI187">
        <v>18.999839999999999</v>
      </c>
      <c r="AJ187">
        <v>999.9</v>
      </c>
      <c r="AK187">
        <v>999.9</v>
      </c>
      <c r="AL187">
        <v>0</v>
      </c>
      <c r="AM187">
        <v>0</v>
      </c>
      <c r="AN187">
        <v>4997.5333333333301</v>
      </c>
      <c r="AO187">
        <v>0</v>
      </c>
      <c r="AP187">
        <v>1.80671</v>
      </c>
      <c r="AQ187">
        <v>-0.80800993333333304</v>
      </c>
      <c r="AR187">
        <v>415.567133333333</v>
      </c>
      <c r="AS187">
        <v>415.70859999999999</v>
      </c>
      <c r="AT187">
        <v>1.6086053333333299</v>
      </c>
      <c r="AU187">
        <v>410.003066666667</v>
      </c>
      <c r="AV187">
        <v>13.7241933333333</v>
      </c>
      <c r="AW187">
        <v>1.53929466666667</v>
      </c>
      <c r="AX187">
        <v>1.3778026666666701</v>
      </c>
      <c r="AY187">
        <v>13.36416</v>
      </c>
      <c r="AZ187">
        <v>11.675513333333299</v>
      </c>
      <c r="BA187">
        <v>299.99926666666698</v>
      </c>
      <c r="BB187">
        <v>0.90000533333333299</v>
      </c>
      <c r="BC187">
        <v>0</v>
      </c>
      <c r="BD187">
        <v>9.9994593333333298E-2</v>
      </c>
      <c r="BE187">
        <v>0</v>
      </c>
      <c r="BF187">
        <v>25</v>
      </c>
      <c r="BG187">
        <v>4946.63</v>
      </c>
      <c r="BH187">
        <v>1771001804.0999999</v>
      </c>
      <c r="BI187" t="s">
        <v>616</v>
      </c>
      <c r="BJ187">
        <v>1771001782.0999999</v>
      </c>
      <c r="BK187">
        <v>1771001804.0999999</v>
      </c>
      <c r="BL187">
        <v>9</v>
      </c>
      <c r="BM187">
        <v>3.4000000000000002E-2</v>
      </c>
      <c r="BN187">
        <v>6.0000000000000001E-3</v>
      </c>
      <c r="BO187">
        <v>-0.88700000000000001</v>
      </c>
      <c r="BP187">
        <v>0.107</v>
      </c>
      <c r="BQ187">
        <v>410</v>
      </c>
      <c r="BR187">
        <v>15</v>
      </c>
      <c r="BS187">
        <v>0.28999999999999998</v>
      </c>
      <c r="BT187">
        <v>7.0000000000000007E-2</v>
      </c>
      <c r="BU187">
        <v>-0.80150765000000002</v>
      </c>
      <c r="BV187">
        <v>-2.63783909774437E-2</v>
      </c>
      <c r="BW187">
        <v>2.1079466583087399E-2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1.6126514999999999</v>
      </c>
      <c r="CD187">
        <v>-0.109088571428574</v>
      </c>
      <c r="CE187">
        <v>1.2091868042200899E-2</v>
      </c>
      <c r="CF187">
        <v>0</v>
      </c>
      <c r="CG187">
        <v>1</v>
      </c>
      <c r="CH187">
        <v>2</v>
      </c>
      <c r="CI187" t="s">
        <v>290</v>
      </c>
      <c r="CJ187">
        <v>3.5325500000000001</v>
      </c>
      <c r="CK187">
        <v>2.70207</v>
      </c>
      <c r="CL187">
        <v>9.8186300000000004E-2</v>
      </c>
      <c r="CM187">
        <v>9.6952999999999998E-2</v>
      </c>
      <c r="CN187">
        <v>8.7129499999999999E-2</v>
      </c>
      <c r="CO187">
        <v>7.9488199999999995E-2</v>
      </c>
      <c r="CP187">
        <v>31639.9</v>
      </c>
      <c r="CQ187">
        <v>27802.7</v>
      </c>
      <c r="CR187">
        <v>32470.7</v>
      </c>
      <c r="CS187">
        <v>30713</v>
      </c>
      <c r="CT187">
        <v>40129.800000000003</v>
      </c>
      <c r="CU187">
        <v>39753.9</v>
      </c>
      <c r="CV187">
        <v>47413.599999999999</v>
      </c>
      <c r="CW187">
        <v>46831.1</v>
      </c>
      <c r="CX187">
        <v>2.6294</v>
      </c>
      <c r="CY187">
        <v>2.1454800000000001</v>
      </c>
      <c r="CZ187">
        <v>0</v>
      </c>
      <c r="DA187">
        <v>0</v>
      </c>
      <c r="DB187">
        <v>999.9</v>
      </c>
      <c r="DC187">
        <v>999.9</v>
      </c>
      <c r="DD187">
        <v>55.518000000000001</v>
      </c>
      <c r="DE187">
        <v>26.475000000000001</v>
      </c>
      <c r="DF187">
        <v>19.193300000000001</v>
      </c>
      <c r="DG187">
        <v>30.310099999999998</v>
      </c>
      <c r="DH187">
        <v>16.3582</v>
      </c>
      <c r="DI187">
        <v>2</v>
      </c>
      <c r="DJ187">
        <v>-0.151675</v>
      </c>
      <c r="DK187">
        <v>1.95747</v>
      </c>
      <c r="DL187">
        <v>20.226500000000001</v>
      </c>
      <c r="DM187">
        <v>5.2484400000000004</v>
      </c>
      <c r="DN187">
        <v>12.033899999999999</v>
      </c>
      <c r="DO187">
        <v>4.9670399999999999</v>
      </c>
      <c r="DP187">
        <v>3.2909999999999999</v>
      </c>
      <c r="DQ187">
        <v>9999</v>
      </c>
      <c r="DR187">
        <v>9999</v>
      </c>
      <c r="DS187">
        <v>597.29999999999995</v>
      </c>
      <c r="DT187">
        <v>9999</v>
      </c>
      <c r="DU187">
        <v>1.8711100000000001</v>
      </c>
      <c r="DV187">
        <v>1.87616</v>
      </c>
      <c r="DW187">
        <v>1.8763700000000001</v>
      </c>
      <c r="DX187">
        <v>1.8828800000000001</v>
      </c>
      <c r="DY187">
        <v>1.87561</v>
      </c>
      <c r="DZ187">
        <v>1.87469</v>
      </c>
      <c r="EA187">
        <v>1.8708800000000001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-0.88700000000000001</v>
      </c>
      <c r="EQ187">
        <v>0.1066</v>
      </c>
      <c r="ER187">
        <v>-0.88680000000005099</v>
      </c>
      <c r="ES187">
        <v>0</v>
      </c>
      <c r="ET187">
        <v>0</v>
      </c>
      <c r="EU187">
        <v>0</v>
      </c>
      <c r="EV187">
        <v>0.10658999999999701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6.9</v>
      </c>
      <c r="FE187">
        <v>6.5</v>
      </c>
      <c r="FF187">
        <v>1.2390099999999999</v>
      </c>
      <c r="FG187">
        <v>2.5891099999999998</v>
      </c>
      <c r="FH187">
        <v>2.19604</v>
      </c>
      <c r="FI187">
        <v>2.5756800000000002</v>
      </c>
      <c r="FJ187">
        <v>2.4462899999999999</v>
      </c>
      <c r="FK187">
        <v>2.3278799999999999</v>
      </c>
      <c r="FL187">
        <v>31.2591</v>
      </c>
      <c r="FM187">
        <v>24.157499999999999</v>
      </c>
      <c r="FN187">
        <v>19</v>
      </c>
      <c r="FO187">
        <v>865.11199999999997</v>
      </c>
      <c r="FP187">
        <v>583.77700000000004</v>
      </c>
      <c r="FQ187">
        <v>18.472300000000001</v>
      </c>
      <c r="FR187">
        <v>25.113499999999998</v>
      </c>
      <c r="FS187">
        <v>30.0001</v>
      </c>
      <c r="FT187">
        <v>25.109200000000001</v>
      </c>
      <c r="FU187">
        <v>25.111899999999999</v>
      </c>
      <c r="FV187">
        <v>24.867899999999999</v>
      </c>
      <c r="FW187">
        <v>31.581399999999999</v>
      </c>
      <c r="FX187">
        <v>12.941599999999999</v>
      </c>
      <c r="FY187">
        <v>18.431799999999999</v>
      </c>
      <c r="FZ187">
        <v>410</v>
      </c>
      <c r="GA187">
        <v>13.778700000000001</v>
      </c>
      <c r="GB187">
        <v>99.913300000000007</v>
      </c>
      <c r="GC187">
        <v>99.699600000000004</v>
      </c>
    </row>
    <row r="188" spans="1:185" x14ac:dyDescent="0.2">
      <c r="A188">
        <v>173</v>
      </c>
      <c r="B188">
        <v>1771002212.0999999</v>
      </c>
      <c r="C188">
        <v>3589</v>
      </c>
      <c r="D188" t="s">
        <v>647</v>
      </c>
      <c r="E188" t="s">
        <v>648</v>
      </c>
      <c r="F188">
        <v>15</v>
      </c>
      <c r="G188">
        <v>1771002204.03333</v>
      </c>
      <c r="H188">
        <f t="shared" si="26"/>
        <v>1.3104817066145595E-3</v>
      </c>
      <c r="I188">
        <v>0</v>
      </c>
      <c r="J188">
        <f t="shared" si="38"/>
        <v>5.540752795253151E-3</v>
      </c>
      <c r="K188">
        <f t="shared" si="27"/>
        <v>9.9075609525917929E-2</v>
      </c>
      <c r="L188">
        <f t="shared" si="28"/>
        <v>69.854060208111051</v>
      </c>
      <c r="M188">
        <f t="shared" si="29"/>
        <v>1.5406298427256826</v>
      </c>
      <c r="N188">
        <f t="shared" si="30"/>
        <v>2.2054979168509288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26318.723504361529</v>
      </c>
      <c r="T188">
        <f t="shared" si="34"/>
        <v>300.00053333333301</v>
      </c>
      <c r="U188">
        <f t="shared" si="35"/>
        <v>252.90035923983896</v>
      </c>
      <c r="V188">
        <f t="shared" si="36"/>
        <v>0.84299969879999959</v>
      </c>
      <c r="W188">
        <f t="shared" si="37"/>
        <v>0.15869903912799993</v>
      </c>
      <c r="X188">
        <v>1</v>
      </c>
      <c r="Y188">
        <v>1771002204.03333</v>
      </c>
      <c r="Z188">
        <v>409.19220000000001</v>
      </c>
      <c r="AA188">
        <v>409.98633333333299</v>
      </c>
      <c r="AB188">
        <v>15.3361866666667</v>
      </c>
      <c r="AC188">
        <v>13.723226666666701</v>
      </c>
      <c r="AD188">
        <v>410.07900000000001</v>
      </c>
      <c r="AE188">
        <v>15.2295933333333</v>
      </c>
      <c r="AF188">
        <v>800.00986666666699</v>
      </c>
      <c r="AG188">
        <v>100.392866666667</v>
      </c>
      <c r="AH188">
        <v>6.4298873333333298E-2</v>
      </c>
      <c r="AI188">
        <v>19.002306666666701</v>
      </c>
      <c r="AJ188">
        <v>999.9</v>
      </c>
      <c r="AK188">
        <v>999.9</v>
      </c>
      <c r="AL188">
        <v>0</v>
      </c>
      <c r="AM188">
        <v>0</v>
      </c>
      <c r="AN188">
        <v>4998.9666666666699</v>
      </c>
      <c r="AO188">
        <v>0</v>
      </c>
      <c r="AP188">
        <v>1.80671</v>
      </c>
      <c r="AQ188">
        <v>-0.79426073333333302</v>
      </c>
      <c r="AR188">
        <v>415.56553333333301</v>
      </c>
      <c r="AS188">
        <v>415.69099999999997</v>
      </c>
      <c r="AT188">
        <v>1.6129646666666699</v>
      </c>
      <c r="AU188">
        <v>409.98633333333299</v>
      </c>
      <c r="AV188">
        <v>13.723226666666701</v>
      </c>
      <c r="AW188">
        <v>1.539642</v>
      </c>
      <c r="AX188">
        <v>1.3777126666666699</v>
      </c>
      <c r="AY188">
        <v>13.3676266666667</v>
      </c>
      <c r="AZ188">
        <v>11.6745133333333</v>
      </c>
      <c r="BA188">
        <v>300.00053333333301</v>
      </c>
      <c r="BB188">
        <v>0.90001313333333299</v>
      </c>
      <c r="BC188">
        <v>0</v>
      </c>
      <c r="BD188">
        <v>9.9986973333333298E-2</v>
      </c>
      <c r="BE188">
        <v>0</v>
      </c>
      <c r="BF188">
        <v>25</v>
      </c>
      <c r="BG188">
        <v>4946.6646666666702</v>
      </c>
      <c r="BH188">
        <v>1771001804.0999999</v>
      </c>
      <c r="BI188" t="s">
        <v>616</v>
      </c>
      <c r="BJ188">
        <v>1771001782.0999999</v>
      </c>
      <c r="BK188">
        <v>1771001804.0999999</v>
      </c>
      <c r="BL188">
        <v>9</v>
      </c>
      <c r="BM188">
        <v>3.4000000000000002E-2</v>
      </c>
      <c r="BN188">
        <v>6.0000000000000001E-3</v>
      </c>
      <c r="BO188">
        <v>-0.88700000000000001</v>
      </c>
      <c r="BP188">
        <v>0.107</v>
      </c>
      <c r="BQ188">
        <v>410</v>
      </c>
      <c r="BR188">
        <v>15</v>
      </c>
      <c r="BS188">
        <v>0.28999999999999998</v>
      </c>
      <c r="BT188">
        <v>7.0000000000000007E-2</v>
      </c>
      <c r="BU188">
        <v>-0.79336552380952396</v>
      </c>
      <c r="BV188">
        <v>-9.1501558441557992E-3</v>
      </c>
      <c r="BW188">
        <v>1.2180072947701801E-2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1.60933333333333</v>
      </c>
      <c r="CD188">
        <v>6.05400000000011E-2</v>
      </c>
      <c r="CE188">
        <v>6.8005723381921604E-3</v>
      </c>
      <c r="CF188">
        <v>1</v>
      </c>
      <c r="CG188">
        <v>2</v>
      </c>
      <c r="CH188">
        <v>2</v>
      </c>
      <c r="CI188" t="s">
        <v>304</v>
      </c>
      <c r="CJ188">
        <v>3.53247</v>
      </c>
      <c r="CK188">
        <v>2.70187</v>
      </c>
      <c r="CL188">
        <v>9.8188899999999996E-2</v>
      </c>
      <c r="CM188">
        <v>9.6948800000000002E-2</v>
      </c>
      <c r="CN188">
        <v>8.7092600000000006E-2</v>
      </c>
      <c r="CO188">
        <v>7.9422999999999994E-2</v>
      </c>
      <c r="CP188">
        <v>31639.5</v>
      </c>
      <c r="CQ188">
        <v>27802.9</v>
      </c>
      <c r="CR188">
        <v>32470.400000000001</v>
      </c>
      <c r="CS188">
        <v>30713.1</v>
      </c>
      <c r="CT188">
        <v>40131.199999999997</v>
      </c>
      <c r="CU188">
        <v>39757.300000000003</v>
      </c>
      <c r="CV188">
        <v>47413.3</v>
      </c>
      <c r="CW188">
        <v>46831.8</v>
      </c>
      <c r="CX188">
        <v>2.62906</v>
      </c>
      <c r="CY188">
        <v>2.1456200000000001</v>
      </c>
      <c r="CZ188">
        <v>0</v>
      </c>
      <c r="DA188">
        <v>0</v>
      </c>
      <c r="DB188">
        <v>999.9</v>
      </c>
      <c r="DC188">
        <v>999.9</v>
      </c>
      <c r="DD188">
        <v>55.427</v>
      </c>
      <c r="DE188">
        <v>26.484999999999999</v>
      </c>
      <c r="DF188">
        <v>19.171199999999999</v>
      </c>
      <c r="DG188">
        <v>30.370100000000001</v>
      </c>
      <c r="DH188">
        <v>16.4543</v>
      </c>
      <c r="DI188">
        <v>2</v>
      </c>
      <c r="DJ188">
        <v>-0.15143699999999999</v>
      </c>
      <c r="DK188">
        <v>1.90296</v>
      </c>
      <c r="DL188">
        <v>20.227</v>
      </c>
      <c r="DM188">
        <v>5.24892</v>
      </c>
      <c r="DN188">
        <v>12.033899999999999</v>
      </c>
      <c r="DO188">
        <v>4.9669999999999996</v>
      </c>
      <c r="DP188">
        <v>3.2909999999999999</v>
      </c>
      <c r="DQ188">
        <v>9999</v>
      </c>
      <c r="DR188">
        <v>9999</v>
      </c>
      <c r="DS188">
        <v>597.29999999999995</v>
      </c>
      <c r="DT188">
        <v>9999</v>
      </c>
      <c r="DU188">
        <v>1.8711199999999999</v>
      </c>
      <c r="DV188">
        <v>1.8761099999999999</v>
      </c>
      <c r="DW188">
        <v>1.8763700000000001</v>
      </c>
      <c r="DX188">
        <v>1.88283</v>
      </c>
      <c r="DY188">
        <v>1.87561</v>
      </c>
      <c r="DZ188">
        <v>1.87469</v>
      </c>
      <c r="EA188">
        <v>1.87087</v>
      </c>
      <c r="EB188">
        <v>1.8746799999999999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-0.88700000000000001</v>
      </c>
      <c r="EQ188">
        <v>0.1066</v>
      </c>
      <c r="ER188">
        <v>-0.88680000000005099</v>
      </c>
      <c r="ES188">
        <v>0</v>
      </c>
      <c r="ET188">
        <v>0</v>
      </c>
      <c r="EU188">
        <v>0</v>
      </c>
      <c r="EV188">
        <v>0.10658999999999701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7.2</v>
      </c>
      <c r="FE188">
        <v>6.8</v>
      </c>
      <c r="FF188">
        <v>1.2390099999999999</v>
      </c>
      <c r="FG188">
        <v>2.5891099999999998</v>
      </c>
      <c r="FH188">
        <v>2.19604</v>
      </c>
      <c r="FI188">
        <v>2.5756800000000002</v>
      </c>
      <c r="FJ188">
        <v>2.4462899999999999</v>
      </c>
      <c r="FK188">
        <v>2.2900399999999999</v>
      </c>
      <c r="FL188">
        <v>31.280899999999999</v>
      </c>
      <c r="FM188">
        <v>24.157499999999999</v>
      </c>
      <c r="FN188">
        <v>19</v>
      </c>
      <c r="FO188">
        <v>864.851</v>
      </c>
      <c r="FP188">
        <v>583.91499999999996</v>
      </c>
      <c r="FQ188">
        <v>18.422899999999998</v>
      </c>
      <c r="FR188">
        <v>25.115600000000001</v>
      </c>
      <c r="FS188">
        <v>30.0001</v>
      </c>
      <c r="FT188">
        <v>25.1126</v>
      </c>
      <c r="FU188">
        <v>25.1145</v>
      </c>
      <c r="FV188">
        <v>24.871300000000002</v>
      </c>
      <c r="FW188">
        <v>31.581399999999999</v>
      </c>
      <c r="FX188">
        <v>12.941599999999999</v>
      </c>
      <c r="FY188">
        <v>18.4254</v>
      </c>
      <c r="FZ188">
        <v>410</v>
      </c>
      <c r="GA188">
        <v>13.778700000000001</v>
      </c>
      <c r="GB188">
        <v>99.912599999999998</v>
      </c>
      <c r="GC188">
        <v>99.700599999999994</v>
      </c>
    </row>
    <row r="189" spans="1:185" x14ac:dyDescent="0.2">
      <c r="A189">
        <v>174</v>
      </c>
      <c r="B189">
        <v>1771002227.0999999</v>
      </c>
      <c r="C189">
        <v>3604</v>
      </c>
      <c r="D189" t="s">
        <v>649</v>
      </c>
      <c r="E189" t="s">
        <v>650</v>
      </c>
      <c r="F189">
        <v>15</v>
      </c>
      <c r="G189">
        <v>1771002219.03333</v>
      </c>
      <c r="H189">
        <f t="shared" si="26"/>
        <v>1.3071415039878833E-3</v>
      </c>
      <c r="I189">
        <v>0</v>
      </c>
      <c r="J189">
        <f t="shared" si="38"/>
        <v>5.5863762941429987E-3</v>
      </c>
      <c r="K189">
        <f t="shared" si="27"/>
        <v>9.9891414909816165E-2</v>
      </c>
      <c r="L189">
        <f t="shared" si="28"/>
        <v>69.828056284154613</v>
      </c>
      <c r="M189">
        <f t="shared" si="29"/>
        <v>1.5400242929678303</v>
      </c>
      <c r="N189">
        <f t="shared" si="30"/>
        <v>2.2054520416563457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26317.941921282989</v>
      </c>
      <c r="T189">
        <f t="shared" si="34"/>
        <v>300.00020000000001</v>
      </c>
      <c r="U189">
        <f t="shared" si="35"/>
        <v>252.90011459996398</v>
      </c>
      <c r="V189">
        <f t="shared" si="36"/>
        <v>0.84299981999999996</v>
      </c>
      <c r="W189">
        <f t="shared" si="37"/>
        <v>0.15869954999999999</v>
      </c>
      <c r="X189">
        <v>1</v>
      </c>
      <c r="Y189">
        <v>1771002219.03333</v>
      </c>
      <c r="Z189">
        <v>409.20326666666699</v>
      </c>
      <c r="AA189">
        <v>409.996733333333</v>
      </c>
      <c r="AB189">
        <v>15.3301933333333</v>
      </c>
      <c r="AC189">
        <v>13.7213266666667</v>
      </c>
      <c r="AD189">
        <v>410.08993333333302</v>
      </c>
      <c r="AE189">
        <v>15.223613333333301</v>
      </c>
      <c r="AF189">
        <v>800.00586666666698</v>
      </c>
      <c r="AG189">
        <v>100.392866666667</v>
      </c>
      <c r="AH189">
        <v>6.4072100000000007E-2</v>
      </c>
      <c r="AI189">
        <v>19.0019733333333</v>
      </c>
      <c r="AJ189">
        <v>999.9</v>
      </c>
      <c r="AK189">
        <v>999.9</v>
      </c>
      <c r="AL189">
        <v>0</v>
      </c>
      <c r="AM189">
        <v>0</v>
      </c>
      <c r="AN189">
        <v>4998.8333333333303</v>
      </c>
      <c r="AO189">
        <v>0</v>
      </c>
      <c r="AP189">
        <v>1.80671</v>
      </c>
      <c r="AQ189">
        <v>-0.79345706666666704</v>
      </c>
      <c r="AR189">
        <v>415.57406666666702</v>
      </c>
      <c r="AS189">
        <v>415.700533333333</v>
      </c>
      <c r="AT189">
        <v>1.6088693333333299</v>
      </c>
      <c r="AU189">
        <v>409.996733333333</v>
      </c>
      <c r="AV189">
        <v>13.7213266666667</v>
      </c>
      <c r="AW189">
        <v>1.5390446666666699</v>
      </c>
      <c r="AX189">
        <v>1.377524</v>
      </c>
      <c r="AY189">
        <v>13.361660000000001</v>
      </c>
      <c r="AZ189">
        <v>11.672459999999999</v>
      </c>
      <c r="BA189">
        <v>300.00020000000001</v>
      </c>
      <c r="BB189">
        <v>0.90000599999999997</v>
      </c>
      <c r="BC189">
        <v>0</v>
      </c>
      <c r="BD189">
        <v>9.9994E-2</v>
      </c>
      <c r="BE189">
        <v>0</v>
      </c>
      <c r="BF189">
        <v>25</v>
      </c>
      <c r="BG189">
        <v>4946.6506666666701</v>
      </c>
      <c r="BH189">
        <v>1771001804.0999999</v>
      </c>
      <c r="BI189" t="s">
        <v>616</v>
      </c>
      <c r="BJ189">
        <v>1771001782.0999999</v>
      </c>
      <c r="BK189">
        <v>1771001804.0999999</v>
      </c>
      <c r="BL189">
        <v>9</v>
      </c>
      <c r="BM189">
        <v>3.4000000000000002E-2</v>
      </c>
      <c r="BN189">
        <v>6.0000000000000001E-3</v>
      </c>
      <c r="BO189">
        <v>-0.88700000000000001</v>
      </c>
      <c r="BP189">
        <v>0.107</v>
      </c>
      <c r="BQ189">
        <v>410</v>
      </c>
      <c r="BR189">
        <v>15</v>
      </c>
      <c r="BS189">
        <v>0.28999999999999998</v>
      </c>
      <c r="BT189">
        <v>7.0000000000000007E-2</v>
      </c>
      <c r="BU189">
        <v>-0.79365090000000005</v>
      </c>
      <c r="BV189">
        <v>4.6612962406014501E-2</v>
      </c>
      <c r="BW189">
        <v>2.9823517959657299E-2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1.6102825000000001</v>
      </c>
      <c r="CD189">
        <v>-3.3421804511277298E-2</v>
      </c>
      <c r="CE189">
        <v>6.9002672955473E-3</v>
      </c>
      <c r="CF189">
        <v>1</v>
      </c>
      <c r="CG189">
        <v>2</v>
      </c>
      <c r="CH189">
        <v>2</v>
      </c>
      <c r="CI189" t="s">
        <v>304</v>
      </c>
      <c r="CJ189">
        <v>3.53254</v>
      </c>
      <c r="CK189">
        <v>2.7018</v>
      </c>
      <c r="CL189">
        <v>9.8185499999999995E-2</v>
      </c>
      <c r="CM189">
        <v>9.6953899999999996E-2</v>
      </c>
      <c r="CN189">
        <v>8.7082599999999996E-2</v>
      </c>
      <c r="CO189">
        <v>7.9571799999999998E-2</v>
      </c>
      <c r="CP189">
        <v>31639.5</v>
      </c>
      <c r="CQ189">
        <v>27802.799999999999</v>
      </c>
      <c r="CR189">
        <v>32470.3</v>
      </c>
      <c r="CS189">
        <v>30713.200000000001</v>
      </c>
      <c r="CT189">
        <v>40131.300000000003</v>
      </c>
      <c r="CU189">
        <v>39750.9</v>
      </c>
      <c r="CV189">
        <v>47412.9</v>
      </c>
      <c r="CW189">
        <v>46832</v>
      </c>
      <c r="CX189">
        <v>2.6292599999999999</v>
      </c>
      <c r="CY189">
        <v>2.1453799999999998</v>
      </c>
      <c r="CZ189">
        <v>0</v>
      </c>
      <c r="DA189">
        <v>0</v>
      </c>
      <c r="DB189">
        <v>999.9</v>
      </c>
      <c r="DC189">
        <v>999.9</v>
      </c>
      <c r="DD189">
        <v>55.353000000000002</v>
      </c>
      <c r="DE189">
        <v>26.484999999999999</v>
      </c>
      <c r="DF189">
        <v>19.144500000000001</v>
      </c>
      <c r="DG189">
        <v>30.040099999999999</v>
      </c>
      <c r="DH189">
        <v>16.526399999999999</v>
      </c>
      <c r="DI189">
        <v>2</v>
      </c>
      <c r="DJ189">
        <v>-0.151065</v>
      </c>
      <c r="DK189">
        <v>1.9037900000000001</v>
      </c>
      <c r="DL189">
        <v>20.2271</v>
      </c>
      <c r="DM189">
        <v>5.2496400000000003</v>
      </c>
      <c r="DN189">
        <v>12.033899999999999</v>
      </c>
      <c r="DO189">
        <v>4.9675200000000004</v>
      </c>
      <c r="DP189">
        <v>3.2909999999999999</v>
      </c>
      <c r="DQ189">
        <v>9999</v>
      </c>
      <c r="DR189">
        <v>9999</v>
      </c>
      <c r="DS189">
        <v>597.29999999999995</v>
      </c>
      <c r="DT189">
        <v>9999</v>
      </c>
      <c r="DU189">
        <v>1.87114</v>
      </c>
      <c r="DV189">
        <v>1.8761399999999999</v>
      </c>
      <c r="DW189">
        <v>1.87636</v>
      </c>
      <c r="DX189">
        <v>1.8828199999999999</v>
      </c>
      <c r="DY189">
        <v>1.87561</v>
      </c>
      <c r="DZ189">
        <v>1.87469</v>
      </c>
      <c r="EA189">
        <v>1.8708800000000001</v>
      </c>
      <c r="EB189">
        <v>1.8746799999999999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-0.88700000000000001</v>
      </c>
      <c r="EQ189">
        <v>0.1066</v>
      </c>
      <c r="ER189">
        <v>-0.88680000000005099</v>
      </c>
      <c r="ES189">
        <v>0</v>
      </c>
      <c r="ET189">
        <v>0</v>
      </c>
      <c r="EU189">
        <v>0</v>
      </c>
      <c r="EV189">
        <v>0.10658999999999701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7.4</v>
      </c>
      <c r="FE189">
        <v>7</v>
      </c>
      <c r="FF189">
        <v>1.2390099999999999</v>
      </c>
      <c r="FG189">
        <v>2.5903299999999998</v>
      </c>
      <c r="FH189">
        <v>2.19604</v>
      </c>
      <c r="FI189">
        <v>2.5756800000000002</v>
      </c>
      <c r="FJ189">
        <v>2.4462899999999999</v>
      </c>
      <c r="FK189">
        <v>2.2790499999999998</v>
      </c>
      <c r="FL189">
        <v>31.280899999999999</v>
      </c>
      <c r="FM189">
        <v>24.148800000000001</v>
      </c>
      <c r="FN189">
        <v>19</v>
      </c>
      <c r="FO189">
        <v>865.07100000000003</v>
      </c>
      <c r="FP189">
        <v>583.77099999999996</v>
      </c>
      <c r="FQ189">
        <v>18.421299999999999</v>
      </c>
      <c r="FR189">
        <v>25.119800000000001</v>
      </c>
      <c r="FS189">
        <v>30.0001</v>
      </c>
      <c r="FT189">
        <v>25.114699999999999</v>
      </c>
      <c r="FU189">
        <v>25.118200000000002</v>
      </c>
      <c r="FV189">
        <v>24.870200000000001</v>
      </c>
      <c r="FW189">
        <v>31.310300000000002</v>
      </c>
      <c r="FX189">
        <v>12.566800000000001</v>
      </c>
      <c r="FY189">
        <v>18.419699999999999</v>
      </c>
      <c r="FZ189">
        <v>410</v>
      </c>
      <c r="GA189">
        <v>13.778700000000001</v>
      </c>
      <c r="GB189">
        <v>99.912000000000006</v>
      </c>
      <c r="GC189">
        <v>99.700999999999993</v>
      </c>
    </row>
    <row r="190" spans="1:185" x14ac:dyDescent="0.2">
      <c r="A190">
        <v>175</v>
      </c>
      <c r="B190">
        <v>1771002242.0999999</v>
      </c>
      <c r="C190">
        <v>3619</v>
      </c>
      <c r="D190" t="s">
        <v>651</v>
      </c>
      <c r="E190" t="s">
        <v>652</v>
      </c>
      <c r="F190">
        <v>15</v>
      </c>
      <c r="G190">
        <v>1771002234.03333</v>
      </c>
      <c r="H190">
        <f t="shared" si="26"/>
        <v>1.2772131130688678E-3</v>
      </c>
      <c r="I190">
        <v>0</v>
      </c>
      <c r="J190">
        <f t="shared" si="38"/>
        <v>5.7126819033135488E-3</v>
      </c>
      <c r="K190">
        <f t="shared" si="27"/>
        <v>0.10214991762190889</v>
      </c>
      <c r="L190">
        <f t="shared" si="28"/>
        <v>69.853126147099474</v>
      </c>
      <c r="M190">
        <f t="shared" si="29"/>
        <v>1.540532975276256</v>
      </c>
      <c r="N190">
        <f t="shared" si="30"/>
        <v>2.2053887352616699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26341.200913852721</v>
      </c>
      <c r="T190">
        <f t="shared" si="34"/>
        <v>299.99919999999997</v>
      </c>
      <c r="U190">
        <f t="shared" si="35"/>
        <v>252.89915844044566</v>
      </c>
      <c r="V190">
        <f t="shared" si="36"/>
        <v>0.84299944279999972</v>
      </c>
      <c r="W190">
        <f t="shared" si="37"/>
        <v>0.15869891880799997</v>
      </c>
      <c r="X190">
        <v>1</v>
      </c>
      <c r="Y190">
        <v>1771002234.03333</v>
      </c>
      <c r="Z190">
        <v>409.21553333333298</v>
      </c>
      <c r="AA190">
        <v>409.99653333333299</v>
      </c>
      <c r="AB190">
        <v>15.3352</v>
      </c>
      <c r="AC190">
        <v>13.76318</v>
      </c>
      <c r="AD190">
        <v>410.10233333333298</v>
      </c>
      <c r="AE190">
        <v>15.2286066666667</v>
      </c>
      <c r="AF190">
        <v>800.00686666666695</v>
      </c>
      <c r="AG190">
        <v>100.39319999999999</v>
      </c>
      <c r="AH190">
        <v>6.4112279999999994E-2</v>
      </c>
      <c r="AI190">
        <v>19.0015133333333</v>
      </c>
      <c r="AJ190">
        <v>999.9</v>
      </c>
      <c r="AK190">
        <v>999.9</v>
      </c>
      <c r="AL190">
        <v>0</v>
      </c>
      <c r="AM190">
        <v>0</v>
      </c>
      <c r="AN190">
        <v>5002.6333333333296</v>
      </c>
      <c r="AO190">
        <v>0</v>
      </c>
      <c r="AP190">
        <v>1.80671</v>
      </c>
      <c r="AQ190">
        <v>-0.781036333333333</v>
      </c>
      <c r="AR190">
        <v>415.58859999999999</v>
      </c>
      <c r="AS190">
        <v>415.71806666666703</v>
      </c>
      <c r="AT190">
        <v>1.572004</v>
      </c>
      <c r="AU190">
        <v>409.99653333333299</v>
      </c>
      <c r="AV190">
        <v>13.76318</v>
      </c>
      <c r="AW190">
        <v>1.53954866666667</v>
      </c>
      <c r="AX190">
        <v>1.3817286666666699</v>
      </c>
      <c r="AY190">
        <v>13.3666866666667</v>
      </c>
      <c r="AZ190">
        <v>11.718593333333301</v>
      </c>
      <c r="BA190">
        <v>299.99919999999997</v>
      </c>
      <c r="BB190">
        <v>0.90001393333333302</v>
      </c>
      <c r="BC190">
        <v>0</v>
      </c>
      <c r="BD190">
        <v>9.9985906666666693E-2</v>
      </c>
      <c r="BE190">
        <v>0</v>
      </c>
      <c r="BF190">
        <v>25</v>
      </c>
      <c r="BG190">
        <v>4946.6440000000002</v>
      </c>
      <c r="BH190">
        <v>1771001804.0999999</v>
      </c>
      <c r="BI190" t="s">
        <v>616</v>
      </c>
      <c r="BJ190">
        <v>1771001782.0999999</v>
      </c>
      <c r="BK190">
        <v>1771001804.0999999</v>
      </c>
      <c r="BL190">
        <v>9</v>
      </c>
      <c r="BM190">
        <v>3.4000000000000002E-2</v>
      </c>
      <c r="BN190">
        <v>6.0000000000000001E-3</v>
      </c>
      <c r="BO190">
        <v>-0.88700000000000001</v>
      </c>
      <c r="BP190">
        <v>0.107</v>
      </c>
      <c r="BQ190">
        <v>410</v>
      </c>
      <c r="BR190">
        <v>15</v>
      </c>
      <c r="BS190">
        <v>0.28999999999999998</v>
      </c>
      <c r="BT190">
        <v>7.0000000000000007E-2</v>
      </c>
      <c r="BU190">
        <v>-0.78003357142857099</v>
      </c>
      <c r="BV190">
        <v>-1.8833766233766602E-2</v>
      </c>
      <c r="BW190">
        <v>1.57180196243536E-2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1.5817404761904801</v>
      </c>
      <c r="CD190">
        <v>-0.12614337662337599</v>
      </c>
      <c r="CE190">
        <v>1.8092194180072099E-2</v>
      </c>
      <c r="CF190">
        <v>0</v>
      </c>
      <c r="CG190">
        <v>1</v>
      </c>
      <c r="CH190">
        <v>2</v>
      </c>
      <c r="CI190" t="s">
        <v>290</v>
      </c>
      <c r="CJ190">
        <v>3.5325199999999999</v>
      </c>
      <c r="CK190">
        <v>2.70234</v>
      </c>
      <c r="CL190">
        <v>9.8187999999999998E-2</v>
      </c>
      <c r="CM190">
        <v>9.6955299999999994E-2</v>
      </c>
      <c r="CN190">
        <v>8.7146799999999996E-2</v>
      </c>
      <c r="CO190">
        <v>7.9615400000000003E-2</v>
      </c>
      <c r="CP190">
        <v>31639.7</v>
      </c>
      <c r="CQ190">
        <v>27801.8</v>
      </c>
      <c r="CR190">
        <v>32470.6</v>
      </c>
      <c r="CS190">
        <v>30712.1</v>
      </c>
      <c r="CT190">
        <v>40129</v>
      </c>
      <c r="CU190">
        <v>39747.699999999997</v>
      </c>
      <c r="CV190">
        <v>47413.5</v>
      </c>
      <c r="CW190">
        <v>46830.6</v>
      </c>
      <c r="CX190">
        <v>2.6291600000000002</v>
      </c>
      <c r="CY190">
        <v>2.1452</v>
      </c>
      <c r="CZ190">
        <v>0</v>
      </c>
      <c r="DA190">
        <v>0</v>
      </c>
      <c r="DB190">
        <v>999.9</v>
      </c>
      <c r="DC190">
        <v>999.9</v>
      </c>
      <c r="DD190">
        <v>55.28</v>
      </c>
      <c r="DE190">
        <v>26.515999999999998</v>
      </c>
      <c r="DF190">
        <v>19.155100000000001</v>
      </c>
      <c r="DG190">
        <v>30.3401</v>
      </c>
      <c r="DH190">
        <v>16.442299999999999</v>
      </c>
      <c r="DI190">
        <v>2</v>
      </c>
      <c r="DJ190">
        <v>-0.15084400000000001</v>
      </c>
      <c r="DK190">
        <v>1.9117900000000001</v>
      </c>
      <c r="DL190">
        <v>20.227</v>
      </c>
      <c r="DM190">
        <v>5.25047</v>
      </c>
      <c r="DN190">
        <v>12.033899999999999</v>
      </c>
      <c r="DO190">
        <v>4.9674800000000001</v>
      </c>
      <c r="DP190">
        <v>3.2909999999999999</v>
      </c>
      <c r="DQ190">
        <v>9999</v>
      </c>
      <c r="DR190">
        <v>9999</v>
      </c>
      <c r="DS190">
        <v>597.29999999999995</v>
      </c>
      <c r="DT190">
        <v>9999</v>
      </c>
      <c r="DU190">
        <v>1.8711500000000001</v>
      </c>
      <c r="DV190">
        <v>1.87616</v>
      </c>
      <c r="DW190">
        <v>1.87636</v>
      </c>
      <c r="DX190">
        <v>1.88286</v>
      </c>
      <c r="DY190">
        <v>1.87561</v>
      </c>
      <c r="DZ190">
        <v>1.87469</v>
      </c>
      <c r="EA190">
        <v>1.8708800000000001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-0.88600000000000001</v>
      </c>
      <c r="EQ190">
        <v>0.1066</v>
      </c>
      <c r="ER190">
        <v>-0.88680000000005099</v>
      </c>
      <c r="ES190">
        <v>0</v>
      </c>
      <c r="ET190">
        <v>0</v>
      </c>
      <c r="EU190">
        <v>0</v>
      </c>
      <c r="EV190">
        <v>0.10658999999999701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7.7</v>
      </c>
      <c r="FE190">
        <v>7.3</v>
      </c>
      <c r="FF190">
        <v>1.2390099999999999</v>
      </c>
      <c r="FG190">
        <v>2.5915499999999998</v>
      </c>
      <c r="FH190">
        <v>2.19604</v>
      </c>
      <c r="FI190">
        <v>2.5756800000000002</v>
      </c>
      <c r="FJ190">
        <v>2.4462899999999999</v>
      </c>
      <c r="FK190">
        <v>2.2644000000000002</v>
      </c>
      <c r="FL190">
        <v>31.302600000000002</v>
      </c>
      <c r="FM190">
        <v>24.148800000000001</v>
      </c>
      <c r="FN190">
        <v>19</v>
      </c>
      <c r="FO190">
        <v>865.04600000000005</v>
      </c>
      <c r="FP190">
        <v>583.66200000000003</v>
      </c>
      <c r="FQ190">
        <v>18.415800000000001</v>
      </c>
      <c r="FR190">
        <v>25.122</v>
      </c>
      <c r="FS190">
        <v>30.0002</v>
      </c>
      <c r="FT190">
        <v>25.1189</v>
      </c>
      <c r="FU190">
        <v>25.120799999999999</v>
      </c>
      <c r="FV190">
        <v>24.870699999999999</v>
      </c>
      <c r="FW190">
        <v>31.310300000000002</v>
      </c>
      <c r="FX190">
        <v>12.193199999999999</v>
      </c>
      <c r="FY190">
        <v>18.414999999999999</v>
      </c>
      <c r="FZ190">
        <v>410</v>
      </c>
      <c r="GA190">
        <v>13.778700000000001</v>
      </c>
      <c r="GB190">
        <v>99.9131</v>
      </c>
      <c r="GC190">
        <v>99.697800000000001</v>
      </c>
    </row>
    <row r="191" spans="1:185" x14ac:dyDescent="0.2">
      <c r="A191">
        <v>176</v>
      </c>
      <c r="B191">
        <v>1771002257.0999999</v>
      </c>
      <c r="C191">
        <v>3634</v>
      </c>
      <c r="D191" t="s">
        <v>653</v>
      </c>
      <c r="E191" t="s">
        <v>654</v>
      </c>
      <c r="F191">
        <v>15</v>
      </c>
      <c r="G191">
        <v>1771002249.03333</v>
      </c>
      <c r="H191">
        <f t="shared" si="26"/>
        <v>1.2895410417128378E-3</v>
      </c>
      <c r="I191">
        <v>0</v>
      </c>
      <c r="J191">
        <f t="shared" si="38"/>
        <v>5.8162493119043607E-3</v>
      </c>
      <c r="K191">
        <f t="shared" si="27"/>
        <v>0.10400183278801145</v>
      </c>
      <c r="L191">
        <f t="shared" si="28"/>
        <v>69.867693498093857</v>
      </c>
      <c r="M191">
        <f t="shared" si="29"/>
        <v>1.5408869341564757</v>
      </c>
      <c r="N191">
        <f t="shared" si="30"/>
        <v>2.2054355267910974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26341.981775782944</v>
      </c>
      <c r="T191">
        <f t="shared" si="34"/>
        <v>299.999866666667</v>
      </c>
      <c r="U191">
        <f t="shared" si="35"/>
        <v>252.89976844005324</v>
      </c>
      <c r="V191">
        <f t="shared" si="36"/>
        <v>0.84299960279999997</v>
      </c>
      <c r="W191">
        <f t="shared" si="37"/>
        <v>0.15869892904799998</v>
      </c>
      <c r="X191">
        <v>1</v>
      </c>
      <c r="Y191">
        <v>1771002249.03333</v>
      </c>
      <c r="Z191">
        <v>409.20299999999997</v>
      </c>
      <c r="AA191">
        <v>409.99259999999998</v>
      </c>
      <c r="AB191">
        <v>15.33868</v>
      </c>
      <c r="AC191">
        <v>13.7514933333333</v>
      </c>
      <c r="AD191">
        <v>410.08980000000003</v>
      </c>
      <c r="AE191">
        <v>15.232086666666699</v>
      </c>
      <c r="AF191">
        <v>800.00746666666703</v>
      </c>
      <c r="AG191">
        <v>100.39319999999999</v>
      </c>
      <c r="AH191">
        <v>6.4397013333333294E-2</v>
      </c>
      <c r="AI191">
        <v>19.001853333333301</v>
      </c>
      <c r="AJ191">
        <v>999.9</v>
      </c>
      <c r="AK191">
        <v>999.9</v>
      </c>
      <c r="AL191">
        <v>0</v>
      </c>
      <c r="AM191">
        <v>0</v>
      </c>
      <c r="AN191">
        <v>5002.7666666666701</v>
      </c>
      <c r="AO191">
        <v>0</v>
      </c>
      <c r="AP191">
        <v>1.80671</v>
      </c>
      <c r="AQ191">
        <v>-0.78947333333333303</v>
      </c>
      <c r="AR191">
        <v>415.57746666666702</v>
      </c>
      <c r="AS191">
        <v>415.709</v>
      </c>
      <c r="AT191">
        <v>1.58718733333333</v>
      </c>
      <c r="AU191">
        <v>409.99259999999998</v>
      </c>
      <c r="AV191">
        <v>13.7514933333333</v>
      </c>
      <c r="AW191">
        <v>1.53989933333333</v>
      </c>
      <c r="AX191">
        <v>1.3805559999999999</v>
      </c>
      <c r="AY191">
        <v>13.370186666666701</v>
      </c>
      <c r="AZ191">
        <v>11.705733333333299</v>
      </c>
      <c r="BA191">
        <v>299.999866666667</v>
      </c>
      <c r="BB191">
        <v>0.90001439999999999</v>
      </c>
      <c r="BC191">
        <v>0</v>
      </c>
      <c r="BD191">
        <v>9.9985640000000001E-2</v>
      </c>
      <c r="BE191">
        <v>0</v>
      </c>
      <c r="BF191">
        <v>25</v>
      </c>
      <c r="BG191">
        <v>4946.6506666666701</v>
      </c>
      <c r="BH191">
        <v>1771001804.0999999</v>
      </c>
      <c r="BI191" t="s">
        <v>616</v>
      </c>
      <c r="BJ191">
        <v>1771001782.0999999</v>
      </c>
      <c r="BK191">
        <v>1771001804.0999999</v>
      </c>
      <c r="BL191">
        <v>9</v>
      </c>
      <c r="BM191">
        <v>3.4000000000000002E-2</v>
      </c>
      <c r="BN191">
        <v>6.0000000000000001E-3</v>
      </c>
      <c r="BO191">
        <v>-0.88700000000000001</v>
      </c>
      <c r="BP191">
        <v>0.107</v>
      </c>
      <c r="BQ191">
        <v>410</v>
      </c>
      <c r="BR191">
        <v>15</v>
      </c>
      <c r="BS191">
        <v>0.28999999999999998</v>
      </c>
      <c r="BT191">
        <v>7.0000000000000007E-2</v>
      </c>
      <c r="BU191">
        <v>-0.78858934999999997</v>
      </c>
      <c r="BV191">
        <v>8.4765879699249799E-2</v>
      </c>
      <c r="BW191">
        <v>2.5177524237452301E-2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1.5841959999999999</v>
      </c>
      <c r="CD191">
        <v>5.9399999999998801E-2</v>
      </c>
      <c r="CE191">
        <v>6.2078888520977803E-3</v>
      </c>
      <c r="CF191">
        <v>1</v>
      </c>
      <c r="CG191">
        <v>2</v>
      </c>
      <c r="CH191">
        <v>2</v>
      </c>
      <c r="CI191" t="s">
        <v>304</v>
      </c>
      <c r="CJ191">
        <v>3.5325700000000002</v>
      </c>
      <c r="CK191">
        <v>2.7023700000000002</v>
      </c>
      <c r="CL191">
        <v>9.8184199999999999E-2</v>
      </c>
      <c r="CM191">
        <v>9.6952899999999995E-2</v>
      </c>
      <c r="CN191">
        <v>8.7137199999999998E-2</v>
      </c>
      <c r="CO191">
        <v>7.9550300000000004E-2</v>
      </c>
      <c r="CP191">
        <v>31639.5</v>
      </c>
      <c r="CQ191">
        <v>27802.3</v>
      </c>
      <c r="CR191">
        <v>32470.3</v>
      </c>
      <c r="CS191">
        <v>30712.7</v>
      </c>
      <c r="CT191">
        <v>40129.1</v>
      </c>
      <c r="CU191">
        <v>39751.300000000003</v>
      </c>
      <c r="CV191">
        <v>47413.2</v>
      </c>
      <c r="CW191">
        <v>46831.4</v>
      </c>
      <c r="CX191">
        <v>2.6289799999999999</v>
      </c>
      <c r="CY191">
        <v>2.145</v>
      </c>
      <c r="CZ191">
        <v>0</v>
      </c>
      <c r="DA191">
        <v>0</v>
      </c>
      <c r="DB191">
        <v>999.9</v>
      </c>
      <c r="DC191">
        <v>999.9</v>
      </c>
      <c r="DD191">
        <v>55.183</v>
      </c>
      <c r="DE191">
        <v>26.515999999999998</v>
      </c>
      <c r="DF191">
        <v>19.121400000000001</v>
      </c>
      <c r="DG191">
        <v>30.0701</v>
      </c>
      <c r="DH191">
        <v>16.330100000000002</v>
      </c>
      <c r="DI191">
        <v>2</v>
      </c>
      <c r="DJ191">
        <v>-0.15051600000000001</v>
      </c>
      <c r="DK191">
        <v>1.91706</v>
      </c>
      <c r="DL191">
        <v>20.2272</v>
      </c>
      <c r="DM191">
        <v>5.2511900000000002</v>
      </c>
      <c r="DN191">
        <v>12.033899999999999</v>
      </c>
      <c r="DO191">
        <v>4.9674399999999999</v>
      </c>
      <c r="DP191">
        <v>3.2909999999999999</v>
      </c>
      <c r="DQ191">
        <v>9999</v>
      </c>
      <c r="DR191">
        <v>9999</v>
      </c>
      <c r="DS191">
        <v>597.29999999999995</v>
      </c>
      <c r="DT191">
        <v>9999</v>
      </c>
      <c r="DU191">
        <v>1.8711</v>
      </c>
      <c r="DV191">
        <v>1.87615</v>
      </c>
      <c r="DW191">
        <v>1.8763700000000001</v>
      </c>
      <c r="DX191">
        <v>1.88283</v>
      </c>
      <c r="DY191">
        <v>1.87561</v>
      </c>
      <c r="DZ191">
        <v>1.87469</v>
      </c>
      <c r="EA191">
        <v>1.87087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-0.88700000000000001</v>
      </c>
      <c r="EQ191">
        <v>0.1066</v>
      </c>
      <c r="ER191">
        <v>-0.88680000000005099</v>
      </c>
      <c r="ES191">
        <v>0</v>
      </c>
      <c r="ET191">
        <v>0</v>
      </c>
      <c r="EU191">
        <v>0</v>
      </c>
      <c r="EV191">
        <v>0.10658999999999701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7.9</v>
      </c>
      <c r="FE191">
        <v>7.5</v>
      </c>
      <c r="FF191">
        <v>1.2390099999999999</v>
      </c>
      <c r="FG191">
        <v>2.5903299999999998</v>
      </c>
      <c r="FH191">
        <v>2.19604</v>
      </c>
      <c r="FI191">
        <v>2.5756800000000002</v>
      </c>
      <c r="FJ191">
        <v>2.4462899999999999</v>
      </c>
      <c r="FK191">
        <v>2.3010299999999999</v>
      </c>
      <c r="FL191">
        <v>31.324400000000001</v>
      </c>
      <c r="FM191">
        <v>24.157499999999999</v>
      </c>
      <c r="FN191">
        <v>19</v>
      </c>
      <c r="FO191">
        <v>864.91300000000001</v>
      </c>
      <c r="FP191">
        <v>583.54499999999996</v>
      </c>
      <c r="FQ191">
        <v>18.4087</v>
      </c>
      <c r="FR191">
        <v>25.126200000000001</v>
      </c>
      <c r="FS191">
        <v>30</v>
      </c>
      <c r="FT191">
        <v>25.121099999999998</v>
      </c>
      <c r="FU191">
        <v>25.124099999999999</v>
      </c>
      <c r="FV191">
        <v>24.869299999999999</v>
      </c>
      <c r="FW191">
        <v>31.310300000000002</v>
      </c>
      <c r="FX191">
        <v>12.193199999999999</v>
      </c>
      <c r="FY191">
        <v>18.4084</v>
      </c>
      <c r="FZ191">
        <v>410</v>
      </c>
      <c r="GA191">
        <v>13.778700000000001</v>
      </c>
      <c r="GB191">
        <v>99.912300000000002</v>
      </c>
      <c r="GC191">
        <v>99.6995</v>
      </c>
    </row>
    <row r="192" spans="1:185" x14ac:dyDescent="0.2">
      <c r="A192">
        <v>177</v>
      </c>
      <c r="B192">
        <v>1771002272.0999999</v>
      </c>
      <c r="C192">
        <v>3649</v>
      </c>
      <c r="D192" t="s">
        <v>655</v>
      </c>
      <c r="E192" t="s">
        <v>656</v>
      </c>
      <c r="F192">
        <v>15</v>
      </c>
      <c r="G192">
        <v>1771002264.03333</v>
      </c>
      <c r="H192">
        <f t="shared" si="26"/>
        <v>1.2951483175565894E-3</v>
      </c>
      <c r="I192">
        <v>0</v>
      </c>
      <c r="J192">
        <f t="shared" si="38"/>
        <v>6.1377634907332458E-3</v>
      </c>
      <c r="K192">
        <f t="shared" si="27"/>
        <v>0.10975090956797297</v>
      </c>
      <c r="L192">
        <f t="shared" si="28"/>
        <v>69.868280233992252</v>
      </c>
      <c r="M192">
        <f t="shared" si="29"/>
        <v>1.5406216874411371</v>
      </c>
      <c r="N192">
        <f t="shared" si="30"/>
        <v>2.2050373678606667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26290.738089943465</v>
      </c>
      <c r="T192">
        <f t="shared" si="34"/>
        <v>299.99973333333298</v>
      </c>
      <c r="U192">
        <f t="shared" si="35"/>
        <v>252.89961800013953</v>
      </c>
      <c r="V192">
        <f t="shared" si="36"/>
        <v>0.84299947600000025</v>
      </c>
      <c r="W192">
        <f t="shared" si="37"/>
        <v>0.15869869000000006</v>
      </c>
      <c r="X192">
        <v>1</v>
      </c>
      <c r="Y192">
        <v>1771002264.03333</v>
      </c>
      <c r="Z192">
        <v>409.21033333333298</v>
      </c>
      <c r="AA192">
        <v>410.01</v>
      </c>
      <c r="AB192">
        <v>15.335993333333301</v>
      </c>
      <c r="AC192">
        <v>13.741899999999999</v>
      </c>
      <c r="AD192">
        <v>410.09706666666699</v>
      </c>
      <c r="AE192">
        <v>15.2294066666667</v>
      </c>
      <c r="AF192">
        <v>800.00706666666701</v>
      </c>
      <c r="AG192">
        <v>100.393333333333</v>
      </c>
      <c r="AH192">
        <v>6.4566846666666705E-2</v>
      </c>
      <c r="AI192">
        <v>18.99896</v>
      </c>
      <c r="AJ192">
        <v>999.9</v>
      </c>
      <c r="AK192">
        <v>999.9</v>
      </c>
      <c r="AL192">
        <v>0</v>
      </c>
      <c r="AM192">
        <v>0</v>
      </c>
      <c r="AN192">
        <v>4994.3</v>
      </c>
      <c r="AO192">
        <v>0</v>
      </c>
      <c r="AP192">
        <v>1.80671</v>
      </c>
      <c r="AQ192">
        <v>-0.799578866666667</v>
      </c>
      <c r="AR192">
        <v>415.58373333333299</v>
      </c>
      <c r="AS192">
        <v>415.7226</v>
      </c>
      <c r="AT192">
        <v>1.5940939999999999</v>
      </c>
      <c r="AU192">
        <v>410.01</v>
      </c>
      <c r="AV192">
        <v>13.741899999999999</v>
      </c>
      <c r="AW192">
        <v>1.5396306666666699</v>
      </c>
      <c r="AX192">
        <v>1.37959533333333</v>
      </c>
      <c r="AY192">
        <v>13.367506666666699</v>
      </c>
      <c r="AZ192">
        <v>11.695166666666699</v>
      </c>
      <c r="BA192">
        <v>299.99973333333298</v>
      </c>
      <c r="BB192">
        <v>0.90001746666666704</v>
      </c>
      <c r="BC192">
        <v>0</v>
      </c>
      <c r="BD192">
        <v>9.9982533333333304E-2</v>
      </c>
      <c r="BE192">
        <v>0</v>
      </c>
      <c r="BF192">
        <v>25</v>
      </c>
      <c r="BG192">
        <v>4946.6559999999999</v>
      </c>
      <c r="BH192">
        <v>1771001804.0999999</v>
      </c>
      <c r="BI192" t="s">
        <v>616</v>
      </c>
      <c r="BJ192">
        <v>1771001782.0999999</v>
      </c>
      <c r="BK192">
        <v>1771001804.0999999</v>
      </c>
      <c r="BL192">
        <v>9</v>
      </c>
      <c r="BM192">
        <v>3.4000000000000002E-2</v>
      </c>
      <c r="BN192">
        <v>6.0000000000000001E-3</v>
      </c>
      <c r="BO192">
        <v>-0.88700000000000001</v>
      </c>
      <c r="BP192">
        <v>0.107</v>
      </c>
      <c r="BQ192">
        <v>410</v>
      </c>
      <c r="BR192">
        <v>15</v>
      </c>
      <c r="BS192">
        <v>0.28999999999999998</v>
      </c>
      <c r="BT192">
        <v>7.0000000000000007E-2</v>
      </c>
      <c r="BU192">
        <v>-0.79045176190476196</v>
      </c>
      <c r="BV192">
        <v>-3.8402883116883599E-2</v>
      </c>
      <c r="BW192">
        <v>3.2426539594692598E-2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1.59288619047619</v>
      </c>
      <c r="CD192">
        <v>3.3637402597400702E-2</v>
      </c>
      <c r="CE192">
        <v>4.4386543179430801E-3</v>
      </c>
      <c r="CF192">
        <v>1</v>
      </c>
      <c r="CG192">
        <v>2</v>
      </c>
      <c r="CH192">
        <v>2</v>
      </c>
      <c r="CI192" t="s">
        <v>304</v>
      </c>
      <c r="CJ192">
        <v>3.5325099999999998</v>
      </c>
      <c r="CK192">
        <v>2.70248</v>
      </c>
      <c r="CL192">
        <v>9.8189700000000005E-2</v>
      </c>
      <c r="CM192">
        <v>9.6944600000000006E-2</v>
      </c>
      <c r="CN192">
        <v>8.70972E-2</v>
      </c>
      <c r="CO192">
        <v>7.9465400000000005E-2</v>
      </c>
      <c r="CP192">
        <v>31638.9</v>
      </c>
      <c r="CQ192">
        <v>27802.9</v>
      </c>
      <c r="CR192">
        <v>32469.8</v>
      </c>
      <c r="CS192">
        <v>30713.1</v>
      </c>
      <c r="CT192">
        <v>40130.300000000003</v>
      </c>
      <c r="CU192">
        <v>39755.4</v>
      </c>
      <c r="CV192">
        <v>47412.4</v>
      </c>
      <c r="CW192">
        <v>46831.8</v>
      </c>
      <c r="CX192">
        <v>2.6289600000000002</v>
      </c>
      <c r="CY192">
        <v>2.1449600000000002</v>
      </c>
      <c r="CZ192">
        <v>0</v>
      </c>
      <c r="DA192">
        <v>0</v>
      </c>
      <c r="DB192">
        <v>999.9</v>
      </c>
      <c r="DC192">
        <v>999.9</v>
      </c>
      <c r="DD192">
        <v>55.115000000000002</v>
      </c>
      <c r="DE192">
        <v>26.526</v>
      </c>
      <c r="DF192">
        <v>19.109500000000001</v>
      </c>
      <c r="DG192">
        <v>30.220099999999999</v>
      </c>
      <c r="DH192">
        <v>16.4543</v>
      </c>
      <c r="DI192">
        <v>2</v>
      </c>
      <c r="DJ192">
        <v>-0.150528</v>
      </c>
      <c r="DK192">
        <v>1.8854299999999999</v>
      </c>
      <c r="DL192">
        <v>20.227699999999999</v>
      </c>
      <c r="DM192">
        <v>5.2501199999999999</v>
      </c>
      <c r="DN192">
        <v>12.033899999999999</v>
      </c>
      <c r="DO192">
        <v>4.9672799999999997</v>
      </c>
      <c r="DP192">
        <v>3.2909999999999999</v>
      </c>
      <c r="DQ192">
        <v>9999</v>
      </c>
      <c r="DR192">
        <v>9999</v>
      </c>
      <c r="DS192">
        <v>597.29999999999995</v>
      </c>
      <c r="DT192">
        <v>9999</v>
      </c>
      <c r="DU192">
        <v>1.8710899999999999</v>
      </c>
      <c r="DV192">
        <v>1.8761099999999999</v>
      </c>
      <c r="DW192">
        <v>1.87635</v>
      </c>
      <c r="DX192">
        <v>1.8828199999999999</v>
      </c>
      <c r="DY192">
        <v>1.87561</v>
      </c>
      <c r="DZ192">
        <v>1.8746799999999999</v>
      </c>
      <c r="EA192">
        <v>1.8708499999999999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-0.88700000000000001</v>
      </c>
      <c r="EQ192">
        <v>0.1065</v>
      </c>
      <c r="ER192">
        <v>-0.88680000000005099</v>
      </c>
      <c r="ES192">
        <v>0</v>
      </c>
      <c r="ET192">
        <v>0</v>
      </c>
      <c r="EU192">
        <v>0</v>
      </c>
      <c r="EV192">
        <v>0.10658999999999701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8.1999999999999993</v>
      </c>
      <c r="FE192">
        <v>7.8</v>
      </c>
      <c r="FF192">
        <v>1.2390099999999999</v>
      </c>
      <c r="FG192">
        <v>2.5866699999999998</v>
      </c>
      <c r="FH192">
        <v>2.19604</v>
      </c>
      <c r="FI192">
        <v>2.5756800000000002</v>
      </c>
      <c r="FJ192">
        <v>2.4462899999999999</v>
      </c>
      <c r="FK192">
        <v>2.32544</v>
      </c>
      <c r="FL192">
        <v>31.324400000000001</v>
      </c>
      <c r="FM192">
        <v>24.157499999999999</v>
      </c>
      <c r="FN192">
        <v>19</v>
      </c>
      <c r="FO192">
        <v>864.95</v>
      </c>
      <c r="FP192">
        <v>583.548</v>
      </c>
      <c r="FQ192">
        <v>18.421800000000001</v>
      </c>
      <c r="FR192">
        <v>25.128299999999999</v>
      </c>
      <c r="FS192">
        <v>30.0002</v>
      </c>
      <c r="FT192">
        <v>25.124500000000001</v>
      </c>
      <c r="FU192">
        <v>25.126999999999999</v>
      </c>
      <c r="FV192">
        <v>24.871700000000001</v>
      </c>
      <c r="FW192">
        <v>31.310300000000002</v>
      </c>
      <c r="FX192">
        <v>11.819599999999999</v>
      </c>
      <c r="FY192">
        <v>18.421299999999999</v>
      </c>
      <c r="FZ192">
        <v>410</v>
      </c>
      <c r="GA192">
        <v>13.778700000000001</v>
      </c>
      <c r="GB192">
        <v>99.910799999999995</v>
      </c>
      <c r="GC192">
        <v>99.700599999999994</v>
      </c>
    </row>
    <row r="193" spans="1:185" x14ac:dyDescent="0.2">
      <c r="A193">
        <v>178</v>
      </c>
      <c r="B193">
        <v>1771002287.0999999</v>
      </c>
      <c r="C193">
        <v>3664</v>
      </c>
      <c r="D193" t="s">
        <v>657</v>
      </c>
      <c r="E193" t="s">
        <v>658</v>
      </c>
      <c r="F193">
        <v>15</v>
      </c>
      <c r="G193">
        <v>1771002279.03333</v>
      </c>
      <c r="H193">
        <f t="shared" si="26"/>
        <v>1.3029792275171806E-3</v>
      </c>
      <c r="I193">
        <v>0</v>
      </c>
      <c r="J193">
        <f t="shared" si="38"/>
        <v>5.4482489879302768E-3</v>
      </c>
      <c r="K193">
        <f t="shared" si="27"/>
        <v>9.7421525427122985E-2</v>
      </c>
      <c r="L193">
        <f t="shared" si="28"/>
        <v>69.853699485154493</v>
      </c>
      <c r="M193">
        <f t="shared" si="29"/>
        <v>1.5403700249512404</v>
      </c>
      <c r="N193">
        <f t="shared" si="30"/>
        <v>2.2051373603750282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26287.678764944299</v>
      </c>
      <c r="T193">
        <f t="shared" si="34"/>
        <v>299.99959999999999</v>
      </c>
      <c r="U193">
        <f t="shared" si="35"/>
        <v>252.89947068025617</v>
      </c>
      <c r="V193">
        <f t="shared" si="36"/>
        <v>0.84299935960000005</v>
      </c>
      <c r="W193">
        <f t="shared" si="37"/>
        <v>0.15869850293599999</v>
      </c>
      <c r="X193">
        <v>1</v>
      </c>
      <c r="Y193">
        <v>1771002279.03333</v>
      </c>
      <c r="Z193">
        <v>409.2106</v>
      </c>
      <c r="AA193">
        <v>409.99886666666703</v>
      </c>
      <c r="AB193">
        <v>15.333819999999999</v>
      </c>
      <c r="AC193">
        <v>13.7300733333333</v>
      </c>
      <c r="AD193">
        <v>410.09739999999999</v>
      </c>
      <c r="AE193">
        <v>15.2272266666667</v>
      </c>
      <c r="AF193">
        <v>800.00139999999999</v>
      </c>
      <c r="AG193">
        <v>100.3912</v>
      </c>
      <c r="AH193">
        <v>6.4526293333333304E-2</v>
      </c>
      <c r="AI193">
        <v>18.999686666666701</v>
      </c>
      <c r="AJ193">
        <v>999.9</v>
      </c>
      <c r="AK193">
        <v>999.9</v>
      </c>
      <c r="AL193">
        <v>0</v>
      </c>
      <c r="AM193">
        <v>0</v>
      </c>
      <c r="AN193">
        <v>4993.8999999999996</v>
      </c>
      <c r="AO193">
        <v>0</v>
      </c>
      <c r="AP193">
        <v>1.80671</v>
      </c>
      <c r="AQ193">
        <v>-0.78828739999999997</v>
      </c>
      <c r="AR193">
        <v>415.58306666666698</v>
      </c>
      <c r="AS193">
        <v>415.70646666666698</v>
      </c>
      <c r="AT193">
        <v>1.603748</v>
      </c>
      <c r="AU193">
        <v>409.99886666666703</v>
      </c>
      <c r="AV193">
        <v>13.7300733333333</v>
      </c>
      <c r="AW193">
        <v>1.5393840000000001</v>
      </c>
      <c r="AX193">
        <v>1.3783799999999999</v>
      </c>
      <c r="AY193">
        <v>13.3650466666667</v>
      </c>
      <c r="AZ193">
        <v>11.68186</v>
      </c>
      <c r="BA193">
        <v>299.99959999999999</v>
      </c>
      <c r="BB193">
        <v>0.90001980000000004</v>
      </c>
      <c r="BC193">
        <v>0</v>
      </c>
      <c r="BD193">
        <v>9.99801466666667E-2</v>
      </c>
      <c r="BE193">
        <v>0</v>
      </c>
      <c r="BF193">
        <v>25</v>
      </c>
      <c r="BG193">
        <v>4946.6606666666703</v>
      </c>
      <c r="BH193">
        <v>1771001804.0999999</v>
      </c>
      <c r="BI193" t="s">
        <v>616</v>
      </c>
      <c r="BJ193">
        <v>1771001782.0999999</v>
      </c>
      <c r="BK193">
        <v>1771001804.0999999</v>
      </c>
      <c r="BL193">
        <v>9</v>
      </c>
      <c r="BM193">
        <v>3.4000000000000002E-2</v>
      </c>
      <c r="BN193">
        <v>6.0000000000000001E-3</v>
      </c>
      <c r="BO193">
        <v>-0.88700000000000001</v>
      </c>
      <c r="BP193">
        <v>0.107</v>
      </c>
      <c r="BQ193">
        <v>410</v>
      </c>
      <c r="BR193">
        <v>15</v>
      </c>
      <c r="BS193">
        <v>0.28999999999999998</v>
      </c>
      <c r="BT193">
        <v>7.0000000000000007E-2</v>
      </c>
      <c r="BU193">
        <v>-0.78603829999999997</v>
      </c>
      <c r="BV193">
        <v>-7.0739007518795902E-2</v>
      </c>
      <c r="BW193">
        <v>2.08869903459067E-2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1.6028880000000001</v>
      </c>
      <c r="CD193">
        <v>5.2384962405987402E-3</v>
      </c>
      <c r="CE193">
        <v>2.8904975350275098E-3</v>
      </c>
      <c r="CF193">
        <v>1</v>
      </c>
      <c r="CG193">
        <v>2</v>
      </c>
      <c r="CH193">
        <v>2</v>
      </c>
      <c r="CI193" t="s">
        <v>304</v>
      </c>
      <c r="CJ193">
        <v>3.5325199999999999</v>
      </c>
      <c r="CK193">
        <v>2.7021799999999998</v>
      </c>
      <c r="CL193">
        <v>9.8177799999999996E-2</v>
      </c>
      <c r="CM193">
        <v>9.6946599999999994E-2</v>
      </c>
      <c r="CN193">
        <v>8.7100700000000003E-2</v>
      </c>
      <c r="CO193">
        <v>7.9447199999999996E-2</v>
      </c>
      <c r="CP193">
        <v>31639.5</v>
      </c>
      <c r="CQ193">
        <v>27802.1</v>
      </c>
      <c r="CR193">
        <v>32470.1</v>
      </c>
      <c r="CS193">
        <v>30712.3</v>
      </c>
      <c r="CT193">
        <v>40130.5</v>
      </c>
      <c r="CU193">
        <v>39755.4</v>
      </c>
      <c r="CV193">
        <v>47412.9</v>
      </c>
      <c r="CW193">
        <v>46830.9</v>
      </c>
      <c r="CX193">
        <v>2.6290399999999998</v>
      </c>
      <c r="CY193">
        <v>2.1446999999999998</v>
      </c>
      <c r="CZ193">
        <v>0</v>
      </c>
      <c r="DA193">
        <v>0</v>
      </c>
      <c r="DB193">
        <v>999.9</v>
      </c>
      <c r="DC193">
        <v>999.9</v>
      </c>
      <c r="DD193">
        <v>55.042000000000002</v>
      </c>
      <c r="DE193">
        <v>26.545999999999999</v>
      </c>
      <c r="DF193">
        <v>19.1065</v>
      </c>
      <c r="DG193">
        <v>30.1601</v>
      </c>
      <c r="DH193">
        <v>16.538499999999999</v>
      </c>
      <c r="DI193">
        <v>2</v>
      </c>
      <c r="DJ193">
        <v>-0.15023</v>
      </c>
      <c r="DK193">
        <v>1.89757</v>
      </c>
      <c r="DL193">
        <v>20.227499999999999</v>
      </c>
      <c r="DM193">
        <v>5.2507099999999998</v>
      </c>
      <c r="DN193">
        <v>12.033899999999999</v>
      </c>
      <c r="DO193">
        <v>4.9674800000000001</v>
      </c>
      <c r="DP193">
        <v>3.2909999999999999</v>
      </c>
      <c r="DQ193">
        <v>9999</v>
      </c>
      <c r="DR193">
        <v>9999</v>
      </c>
      <c r="DS193">
        <v>597.29999999999995</v>
      </c>
      <c r="DT193">
        <v>9999</v>
      </c>
      <c r="DU193">
        <v>1.8711</v>
      </c>
      <c r="DV193">
        <v>1.8761099999999999</v>
      </c>
      <c r="DW193">
        <v>1.8763399999999999</v>
      </c>
      <c r="DX193">
        <v>1.8828</v>
      </c>
      <c r="DY193">
        <v>1.87561</v>
      </c>
      <c r="DZ193">
        <v>1.8746799999999999</v>
      </c>
      <c r="EA193">
        <v>1.8708400000000001</v>
      </c>
      <c r="EB193">
        <v>1.8746799999999999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-0.88700000000000001</v>
      </c>
      <c r="EQ193">
        <v>0.1066</v>
      </c>
      <c r="ER193">
        <v>-0.88680000000005099</v>
      </c>
      <c r="ES193">
        <v>0</v>
      </c>
      <c r="ET193">
        <v>0</v>
      </c>
      <c r="EU193">
        <v>0</v>
      </c>
      <c r="EV193">
        <v>0.10658999999999701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8.4</v>
      </c>
      <c r="FE193">
        <v>8.1</v>
      </c>
      <c r="FF193">
        <v>1.2390099999999999</v>
      </c>
      <c r="FG193">
        <v>2.5915499999999998</v>
      </c>
      <c r="FH193">
        <v>2.19604</v>
      </c>
      <c r="FI193">
        <v>2.5756800000000002</v>
      </c>
      <c r="FJ193">
        <v>2.4462899999999999</v>
      </c>
      <c r="FK193">
        <v>2.2680699999999998</v>
      </c>
      <c r="FL193">
        <v>31.324400000000001</v>
      </c>
      <c r="FM193">
        <v>24.148800000000001</v>
      </c>
      <c r="FN193">
        <v>19</v>
      </c>
      <c r="FO193">
        <v>865.07100000000003</v>
      </c>
      <c r="FP193">
        <v>583.37099999999998</v>
      </c>
      <c r="FQ193">
        <v>18.4223</v>
      </c>
      <c r="FR193">
        <v>25.132100000000001</v>
      </c>
      <c r="FS193">
        <v>30.0002</v>
      </c>
      <c r="FT193">
        <v>25.127400000000002</v>
      </c>
      <c r="FU193">
        <v>25.129200000000001</v>
      </c>
      <c r="FV193">
        <v>24.870899999999999</v>
      </c>
      <c r="FW193">
        <v>31.310300000000002</v>
      </c>
      <c r="FX193">
        <v>11.449299999999999</v>
      </c>
      <c r="FY193">
        <v>18.421099999999999</v>
      </c>
      <c r="FZ193">
        <v>410</v>
      </c>
      <c r="GA193">
        <v>13.778700000000001</v>
      </c>
      <c r="GB193">
        <v>99.911699999999996</v>
      </c>
      <c r="GC193">
        <v>99.698300000000003</v>
      </c>
    </row>
    <row r="194" spans="1:185" x14ac:dyDescent="0.2">
      <c r="A194">
        <v>179</v>
      </c>
      <c r="B194">
        <v>1771002302.0999999</v>
      </c>
      <c r="C194">
        <v>3679</v>
      </c>
      <c r="D194" t="s">
        <v>659</v>
      </c>
      <c r="E194" t="s">
        <v>660</v>
      </c>
      <c r="F194">
        <v>15</v>
      </c>
      <c r="G194">
        <v>1771002294.03333</v>
      </c>
      <c r="H194">
        <f t="shared" si="26"/>
        <v>1.3120557100000387E-3</v>
      </c>
      <c r="I194">
        <v>0</v>
      </c>
      <c r="J194">
        <f t="shared" si="38"/>
        <v>5.7848018440484952E-3</v>
      </c>
      <c r="K194">
        <f t="shared" si="27"/>
        <v>0.10343951261943511</v>
      </c>
      <c r="L194">
        <f t="shared" si="28"/>
        <v>69.834887115925184</v>
      </c>
      <c r="M194">
        <f t="shared" si="29"/>
        <v>1.5401076681185022</v>
      </c>
      <c r="N194">
        <f t="shared" si="30"/>
        <v>2.2053557064708067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26368.763262996963</v>
      </c>
      <c r="T194">
        <f t="shared" si="34"/>
        <v>300.00066666666697</v>
      </c>
      <c r="U194">
        <f t="shared" si="35"/>
        <v>252.90035487954006</v>
      </c>
      <c r="V194">
        <f t="shared" si="36"/>
        <v>0.84299930960000025</v>
      </c>
      <c r="W194">
        <f t="shared" si="37"/>
        <v>0.15869837793600006</v>
      </c>
      <c r="X194">
        <v>1</v>
      </c>
      <c r="Y194">
        <v>1771002294.03333</v>
      </c>
      <c r="Z194">
        <v>409.19799999999998</v>
      </c>
      <c r="AA194">
        <v>409.9984</v>
      </c>
      <c r="AB194">
        <v>15.33118</v>
      </c>
      <c r="AC194">
        <v>13.716279999999999</v>
      </c>
      <c r="AD194">
        <v>410.08479999999997</v>
      </c>
      <c r="AE194">
        <v>15.22458</v>
      </c>
      <c r="AF194">
        <v>800.01260000000002</v>
      </c>
      <c r="AG194">
        <v>100.391466666667</v>
      </c>
      <c r="AH194">
        <v>6.4445279999999994E-2</v>
      </c>
      <c r="AI194">
        <v>19.001273333333302</v>
      </c>
      <c r="AJ194">
        <v>999.9</v>
      </c>
      <c r="AK194">
        <v>999.9</v>
      </c>
      <c r="AL194">
        <v>0</v>
      </c>
      <c r="AM194">
        <v>0</v>
      </c>
      <c r="AN194">
        <v>5007.2333333333299</v>
      </c>
      <c r="AO194">
        <v>0</v>
      </c>
      <c r="AP194">
        <v>1.80671</v>
      </c>
      <c r="AQ194">
        <v>-0.80036220000000002</v>
      </c>
      <c r="AR194">
        <v>415.56906666666703</v>
      </c>
      <c r="AS194">
        <v>415.7002</v>
      </c>
      <c r="AT194">
        <v>1.6149006666666701</v>
      </c>
      <c r="AU194">
        <v>409.9984</v>
      </c>
      <c r="AV194">
        <v>13.716279999999999</v>
      </c>
      <c r="AW194">
        <v>1.5391206666666699</v>
      </c>
      <c r="AX194">
        <v>1.3769973333333301</v>
      </c>
      <c r="AY194">
        <v>13.362413333333301</v>
      </c>
      <c r="AZ194">
        <v>11.666646666666701</v>
      </c>
      <c r="BA194">
        <v>300.00066666666697</v>
      </c>
      <c r="BB194">
        <v>0.90002146666666705</v>
      </c>
      <c r="BC194">
        <v>0</v>
      </c>
      <c r="BD194">
        <v>9.9978479999999995E-2</v>
      </c>
      <c r="BE194">
        <v>0</v>
      </c>
      <c r="BF194">
        <v>25</v>
      </c>
      <c r="BG194">
        <v>4946.6793333333299</v>
      </c>
      <c r="BH194">
        <v>1771001804.0999999</v>
      </c>
      <c r="BI194" t="s">
        <v>616</v>
      </c>
      <c r="BJ194">
        <v>1771001782.0999999</v>
      </c>
      <c r="BK194">
        <v>1771001804.0999999</v>
      </c>
      <c r="BL194">
        <v>9</v>
      </c>
      <c r="BM194">
        <v>3.4000000000000002E-2</v>
      </c>
      <c r="BN194">
        <v>6.0000000000000001E-3</v>
      </c>
      <c r="BO194">
        <v>-0.88700000000000001</v>
      </c>
      <c r="BP194">
        <v>0.107</v>
      </c>
      <c r="BQ194">
        <v>410</v>
      </c>
      <c r="BR194">
        <v>15</v>
      </c>
      <c r="BS194">
        <v>0.28999999999999998</v>
      </c>
      <c r="BT194">
        <v>7.0000000000000007E-2</v>
      </c>
      <c r="BU194">
        <v>-0.79754352380952398</v>
      </c>
      <c r="BV194">
        <v>-3.7083116883127699E-4</v>
      </c>
      <c r="BW194">
        <v>1.3280917304159E-2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1.61128571428571</v>
      </c>
      <c r="CD194">
        <v>4.3588831168831499E-2</v>
      </c>
      <c r="CE194">
        <v>7.1580567803523603E-3</v>
      </c>
      <c r="CF194">
        <v>1</v>
      </c>
      <c r="CG194">
        <v>2</v>
      </c>
      <c r="CH194">
        <v>2</v>
      </c>
      <c r="CI194" t="s">
        <v>304</v>
      </c>
      <c r="CJ194">
        <v>3.5324800000000001</v>
      </c>
      <c r="CK194">
        <v>2.7023199999999998</v>
      </c>
      <c r="CL194">
        <v>9.8187300000000005E-2</v>
      </c>
      <c r="CM194">
        <v>9.6950300000000003E-2</v>
      </c>
      <c r="CN194">
        <v>8.7052199999999996E-2</v>
      </c>
      <c r="CO194">
        <v>7.9400399999999996E-2</v>
      </c>
      <c r="CP194">
        <v>31639.4</v>
      </c>
      <c r="CQ194">
        <v>27802.6</v>
      </c>
      <c r="CR194">
        <v>32470.3</v>
      </c>
      <c r="CS194">
        <v>30713</v>
      </c>
      <c r="CT194">
        <v>40133.1</v>
      </c>
      <c r="CU194">
        <v>39758.300000000003</v>
      </c>
      <c r="CV194">
        <v>47413.3</v>
      </c>
      <c r="CW194">
        <v>46831.8</v>
      </c>
      <c r="CX194">
        <v>2.6288800000000001</v>
      </c>
      <c r="CY194">
        <v>2.1446800000000001</v>
      </c>
      <c r="CZ194">
        <v>0</v>
      </c>
      <c r="DA194">
        <v>0</v>
      </c>
      <c r="DB194">
        <v>999.9</v>
      </c>
      <c r="DC194">
        <v>999.9</v>
      </c>
      <c r="DD194">
        <v>54.944000000000003</v>
      </c>
      <c r="DE194">
        <v>26.556000000000001</v>
      </c>
      <c r="DF194">
        <v>19.084299999999999</v>
      </c>
      <c r="DG194">
        <v>30.2501</v>
      </c>
      <c r="DH194">
        <v>16.430299999999999</v>
      </c>
      <c r="DI194">
        <v>2</v>
      </c>
      <c r="DJ194">
        <v>-0.149868</v>
      </c>
      <c r="DK194">
        <v>1.9101399999999999</v>
      </c>
      <c r="DL194">
        <v>20.227399999999999</v>
      </c>
      <c r="DM194">
        <v>5.2503500000000001</v>
      </c>
      <c r="DN194">
        <v>12.033899999999999</v>
      </c>
      <c r="DO194">
        <v>4.9674800000000001</v>
      </c>
      <c r="DP194">
        <v>3.2909999999999999</v>
      </c>
      <c r="DQ194">
        <v>9999</v>
      </c>
      <c r="DR194">
        <v>9999</v>
      </c>
      <c r="DS194">
        <v>597.29999999999995</v>
      </c>
      <c r="DT194">
        <v>9999</v>
      </c>
      <c r="DU194">
        <v>1.8710899999999999</v>
      </c>
      <c r="DV194">
        <v>1.87608</v>
      </c>
      <c r="DW194">
        <v>1.87636</v>
      </c>
      <c r="DX194">
        <v>1.8828100000000001</v>
      </c>
      <c r="DY194">
        <v>1.87561</v>
      </c>
      <c r="DZ194">
        <v>1.8746799999999999</v>
      </c>
      <c r="EA194">
        <v>1.8708199999999999</v>
      </c>
      <c r="EB194">
        <v>1.8746700000000001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-0.88600000000000001</v>
      </c>
      <c r="EQ194">
        <v>0.1066</v>
      </c>
      <c r="ER194">
        <v>-0.88680000000005099</v>
      </c>
      <c r="ES194">
        <v>0</v>
      </c>
      <c r="ET194">
        <v>0</v>
      </c>
      <c r="EU194">
        <v>0</v>
      </c>
      <c r="EV194">
        <v>0.10658999999999701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8.6999999999999993</v>
      </c>
      <c r="FE194">
        <v>8.3000000000000007</v>
      </c>
      <c r="FF194">
        <v>1.2390099999999999</v>
      </c>
      <c r="FG194">
        <v>2.5952099999999998</v>
      </c>
      <c r="FH194">
        <v>2.19604</v>
      </c>
      <c r="FI194">
        <v>2.5756800000000002</v>
      </c>
      <c r="FJ194">
        <v>2.4462899999999999</v>
      </c>
      <c r="FK194">
        <v>2.2546400000000002</v>
      </c>
      <c r="FL194">
        <v>31.3462</v>
      </c>
      <c r="FM194">
        <v>24.122499999999999</v>
      </c>
      <c r="FN194">
        <v>19</v>
      </c>
      <c r="FO194">
        <v>864.971</v>
      </c>
      <c r="FP194">
        <v>583.404</v>
      </c>
      <c r="FQ194">
        <v>18.4223</v>
      </c>
      <c r="FR194">
        <v>25.134599999999999</v>
      </c>
      <c r="FS194">
        <v>30.0002</v>
      </c>
      <c r="FT194">
        <v>25.130400000000002</v>
      </c>
      <c r="FU194">
        <v>25.133400000000002</v>
      </c>
      <c r="FV194">
        <v>24.870799999999999</v>
      </c>
      <c r="FW194">
        <v>31.0382</v>
      </c>
      <c r="FX194">
        <v>11.449299999999999</v>
      </c>
      <c r="FY194">
        <v>18.420100000000001</v>
      </c>
      <c r="FZ194">
        <v>410</v>
      </c>
      <c r="GA194">
        <v>13.781599999999999</v>
      </c>
      <c r="GB194">
        <v>99.912499999999994</v>
      </c>
      <c r="GC194">
        <v>99.700400000000002</v>
      </c>
    </row>
    <row r="195" spans="1:185" x14ac:dyDescent="0.2">
      <c r="A195">
        <v>180</v>
      </c>
      <c r="B195">
        <v>1771002317.0999999</v>
      </c>
      <c r="C195">
        <v>3694</v>
      </c>
      <c r="D195" t="s">
        <v>661</v>
      </c>
      <c r="E195" t="s">
        <v>662</v>
      </c>
      <c r="F195">
        <v>15</v>
      </c>
      <c r="G195">
        <v>1771002309.03333</v>
      </c>
      <c r="H195">
        <f t="shared" si="26"/>
        <v>1.2941851728054572E-3</v>
      </c>
      <c r="I195">
        <v>0</v>
      </c>
      <c r="J195">
        <f t="shared" si="38"/>
        <v>5.9426559640481259E-3</v>
      </c>
      <c r="K195">
        <f t="shared" si="27"/>
        <v>0.10626214227519946</v>
      </c>
      <c r="L195">
        <f t="shared" si="28"/>
        <v>69.782567592136019</v>
      </c>
      <c r="M195">
        <f t="shared" si="29"/>
        <v>1.5393412168396219</v>
      </c>
      <c r="N195">
        <f t="shared" si="30"/>
        <v>2.2059108312504887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26350.642166333062</v>
      </c>
      <c r="T195">
        <f t="shared" si="34"/>
        <v>299.99959999999999</v>
      </c>
      <c r="U195">
        <f t="shared" si="35"/>
        <v>252.89949468022411</v>
      </c>
      <c r="V195">
        <f t="shared" si="36"/>
        <v>0.8429994395999999</v>
      </c>
      <c r="W195">
        <f t="shared" si="37"/>
        <v>0.15869844309599998</v>
      </c>
      <c r="X195">
        <v>1</v>
      </c>
      <c r="Y195">
        <v>1771002309.03333</v>
      </c>
      <c r="Z195">
        <v>409.20273333333301</v>
      </c>
      <c r="AA195">
        <v>409.99753333333302</v>
      </c>
      <c r="AB195">
        <v>15.3233933333333</v>
      </c>
      <c r="AC195">
        <v>13.7304666666667</v>
      </c>
      <c r="AD195">
        <v>410.08966666666697</v>
      </c>
      <c r="AE195">
        <v>15.2167933333333</v>
      </c>
      <c r="AF195">
        <v>800.00786666666704</v>
      </c>
      <c r="AG195">
        <v>100.3926</v>
      </c>
      <c r="AH195">
        <v>6.4340793333333299E-2</v>
      </c>
      <c r="AI195">
        <v>19.005306666666701</v>
      </c>
      <c r="AJ195">
        <v>999.9</v>
      </c>
      <c r="AK195">
        <v>999.9</v>
      </c>
      <c r="AL195">
        <v>0</v>
      </c>
      <c r="AM195">
        <v>0</v>
      </c>
      <c r="AN195">
        <v>5004.2666666666701</v>
      </c>
      <c r="AO195">
        <v>0</v>
      </c>
      <c r="AP195">
        <v>1.80671</v>
      </c>
      <c r="AQ195">
        <v>-0.79459433333333296</v>
      </c>
      <c r="AR195">
        <v>415.57086666666697</v>
      </c>
      <c r="AS195">
        <v>415.70519999999999</v>
      </c>
      <c r="AT195">
        <v>1.5929279999999999</v>
      </c>
      <c r="AU195">
        <v>409.99753333333302</v>
      </c>
      <c r="AV195">
        <v>13.7304666666667</v>
      </c>
      <c r="AW195">
        <v>1.5383546666666701</v>
      </c>
      <c r="AX195">
        <v>1.378436</v>
      </c>
      <c r="AY195">
        <v>13.354799999999999</v>
      </c>
      <c r="AZ195">
        <v>11.6824666666667</v>
      </c>
      <c r="BA195">
        <v>299.99959999999999</v>
      </c>
      <c r="BB195">
        <v>0.90002099999999996</v>
      </c>
      <c r="BC195">
        <v>0</v>
      </c>
      <c r="BD195">
        <v>9.9979079999999998E-2</v>
      </c>
      <c r="BE195">
        <v>0</v>
      </c>
      <c r="BF195">
        <v>25</v>
      </c>
      <c r="BG195">
        <v>4946.6606666666703</v>
      </c>
      <c r="BH195">
        <v>1771001804.0999999</v>
      </c>
      <c r="BI195" t="s">
        <v>616</v>
      </c>
      <c r="BJ195">
        <v>1771001782.0999999</v>
      </c>
      <c r="BK195">
        <v>1771001804.0999999</v>
      </c>
      <c r="BL195">
        <v>9</v>
      </c>
      <c r="BM195">
        <v>3.4000000000000002E-2</v>
      </c>
      <c r="BN195">
        <v>6.0000000000000001E-3</v>
      </c>
      <c r="BO195">
        <v>-0.88700000000000001</v>
      </c>
      <c r="BP195">
        <v>0.107</v>
      </c>
      <c r="BQ195">
        <v>410</v>
      </c>
      <c r="BR195">
        <v>15</v>
      </c>
      <c r="BS195">
        <v>0.28999999999999998</v>
      </c>
      <c r="BT195">
        <v>7.0000000000000007E-2</v>
      </c>
      <c r="BU195">
        <v>-0.79299470000000005</v>
      </c>
      <c r="BV195">
        <v>-0.141099879699248</v>
      </c>
      <c r="BW195">
        <v>2.3953984487136998E-2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1.597669</v>
      </c>
      <c r="CD195">
        <v>-8.0271879699248594E-2</v>
      </c>
      <c r="CE195">
        <v>1.06552728261645E-2</v>
      </c>
      <c r="CF195">
        <v>1</v>
      </c>
      <c r="CG195">
        <v>2</v>
      </c>
      <c r="CH195">
        <v>2</v>
      </c>
      <c r="CI195" t="s">
        <v>304</v>
      </c>
      <c r="CJ195">
        <v>3.5324900000000001</v>
      </c>
      <c r="CK195">
        <v>2.7020599999999999</v>
      </c>
      <c r="CL195">
        <v>9.8181400000000002E-2</v>
      </c>
      <c r="CM195">
        <v>9.6956299999999995E-2</v>
      </c>
      <c r="CN195">
        <v>8.7064699999999995E-2</v>
      </c>
      <c r="CO195">
        <v>7.9478400000000005E-2</v>
      </c>
      <c r="CP195">
        <v>31639.200000000001</v>
      </c>
      <c r="CQ195">
        <v>27801.599999999999</v>
      </c>
      <c r="CR195">
        <v>32469.9</v>
      </c>
      <c r="CS195">
        <v>30712.1</v>
      </c>
      <c r="CT195">
        <v>40132.400000000001</v>
      </c>
      <c r="CU195">
        <v>39753.800000000003</v>
      </c>
      <c r="CV195">
        <v>47413.2</v>
      </c>
      <c r="CW195">
        <v>46830.6</v>
      </c>
      <c r="CX195">
        <v>2.6286999999999998</v>
      </c>
      <c r="CY195">
        <v>2.14432</v>
      </c>
      <c r="CZ195">
        <v>0</v>
      </c>
      <c r="DA195">
        <v>0</v>
      </c>
      <c r="DB195">
        <v>999.9</v>
      </c>
      <c r="DC195">
        <v>999.9</v>
      </c>
      <c r="DD195">
        <v>54.871000000000002</v>
      </c>
      <c r="DE195">
        <v>26.556000000000001</v>
      </c>
      <c r="DF195">
        <v>19.059699999999999</v>
      </c>
      <c r="DG195">
        <v>30.1601</v>
      </c>
      <c r="DH195">
        <v>16.330100000000002</v>
      </c>
      <c r="DI195">
        <v>2</v>
      </c>
      <c r="DJ195">
        <v>-0.149504</v>
      </c>
      <c r="DK195">
        <v>1.95783</v>
      </c>
      <c r="DL195">
        <v>20.226600000000001</v>
      </c>
      <c r="DM195">
        <v>5.2511900000000002</v>
      </c>
      <c r="DN195">
        <v>12.033899999999999</v>
      </c>
      <c r="DO195">
        <v>4.9675200000000004</v>
      </c>
      <c r="DP195">
        <v>3.2909999999999999</v>
      </c>
      <c r="DQ195">
        <v>9999</v>
      </c>
      <c r="DR195">
        <v>9999</v>
      </c>
      <c r="DS195">
        <v>597.29999999999995</v>
      </c>
      <c r="DT195">
        <v>9999</v>
      </c>
      <c r="DU195">
        <v>1.87107</v>
      </c>
      <c r="DV195">
        <v>1.8761099999999999</v>
      </c>
      <c r="DW195">
        <v>1.8763300000000001</v>
      </c>
      <c r="DX195">
        <v>1.88279</v>
      </c>
      <c r="DY195">
        <v>1.8755999999999999</v>
      </c>
      <c r="DZ195">
        <v>1.8746799999999999</v>
      </c>
      <c r="EA195">
        <v>1.87083</v>
      </c>
      <c r="EB195">
        <v>1.8746799999999999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-0.88700000000000001</v>
      </c>
      <c r="EQ195">
        <v>0.1066</v>
      </c>
      <c r="ER195">
        <v>-0.88680000000005099</v>
      </c>
      <c r="ES195">
        <v>0</v>
      </c>
      <c r="ET195">
        <v>0</v>
      </c>
      <c r="EU195">
        <v>0</v>
      </c>
      <c r="EV195">
        <v>0.10658999999999701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8.9</v>
      </c>
      <c r="FE195">
        <v>8.6</v>
      </c>
      <c r="FF195">
        <v>1.2390099999999999</v>
      </c>
      <c r="FG195">
        <v>2.5939899999999998</v>
      </c>
      <c r="FH195">
        <v>2.19604</v>
      </c>
      <c r="FI195">
        <v>2.5756800000000002</v>
      </c>
      <c r="FJ195">
        <v>2.4462899999999999</v>
      </c>
      <c r="FK195">
        <v>2.2827099999999998</v>
      </c>
      <c r="FL195">
        <v>31.3462</v>
      </c>
      <c r="FM195">
        <v>24.157499999999999</v>
      </c>
      <c r="FN195">
        <v>19</v>
      </c>
      <c r="FO195">
        <v>864.87900000000002</v>
      </c>
      <c r="FP195">
        <v>583.173</v>
      </c>
      <c r="FQ195">
        <v>18.4115</v>
      </c>
      <c r="FR195">
        <v>25.1389</v>
      </c>
      <c r="FS195">
        <v>30.000299999999999</v>
      </c>
      <c r="FT195">
        <v>25.135000000000002</v>
      </c>
      <c r="FU195">
        <v>25.137599999999999</v>
      </c>
      <c r="FV195">
        <v>24.869</v>
      </c>
      <c r="FW195">
        <v>31.0382</v>
      </c>
      <c r="FX195">
        <v>11.0784</v>
      </c>
      <c r="FY195">
        <v>18.406199999999998</v>
      </c>
      <c r="FZ195">
        <v>410</v>
      </c>
      <c r="GA195">
        <v>13.779199999999999</v>
      </c>
      <c r="GB195">
        <v>99.911799999999999</v>
      </c>
      <c r="GC195">
        <v>99.697699999999998</v>
      </c>
    </row>
    <row r="196" spans="1:185" x14ac:dyDescent="0.2">
      <c r="A196">
        <v>181</v>
      </c>
      <c r="B196">
        <v>1771002332.0999999</v>
      </c>
      <c r="C196">
        <v>3709</v>
      </c>
      <c r="D196" t="s">
        <v>663</v>
      </c>
      <c r="E196" t="s">
        <v>664</v>
      </c>
      <c r="F196">
        <v>15</v>
      </c>
      <c r="G196">
        <v>1771002324.03333</v>
      </c>
      <c r="H196">
        <f t="shared" si="26"/>
        <v>1.2901079365826812E-3</v>
      </c>
      <c r="I196">
        <v>0</v>
      </c>
      <c r="J196">
        <f t="shared" si="38"/>
        <v>5.5734584276747835E-3</v>
      </c>
      <c r="K196">
        <f t="shared" si="27"/>
        <v>9.9660427254996173E-2</v>
      </c>
      <c r="L196">
        <f t="shared" si="28"/>
        <v>69.769410499736566</v>
      </c>
      <c r="M196">
        <f t="shared" si="29"/>
        <v>1.5391412603975181</v>
      </c>
      <c r="N196">
        <f t="shared" si="30"/>
        <v>2.206040225040069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26286.444494899741</v>
      </c>
      <c r="T196">
        <f t="shared" si="34"/>
        <v>299.99919999999997</v>
      </c>
      <c r="U196">
        <f t="shared" si="35"/>
        <v>252.89919972033556</v>
      </c>
      <c r="V196">
        <f t="shared" si="36"/>
        <v>0.84299958039999967</v>
      </c>
      <c r="W196">
        <f t="shared" si="37"/>
        <v>0.15869884706399995</v>
      </c>
      <c r="X196">
        <v>1</v>
      </c>
      <c r="Y196">
        <v>1771002324.03333</v>
      </c>
      <c r="Z196">
        <v>409.20466666666698</v>
      </c>
      <c r="AA196">
        <v>409.98913333333297</v>
      </c>
      <c r="AB196">
        <v>15.3216466666667</v>
      </c>
      <c r="AC196">
        <v>13.7337333333333</v>
      </c>
      <c r="AD196">
        <v>410.09160000000003</v>
      </c>
      <c r="AE196">
        <v>15.215059999999999</v>
      </c>
      <c r="AF196">
        <v>800.00673333333395</v>
      </c>
      <c r="AG196">
        <v>100.391066666667</v>
      </c>
      <c r="AH196">
        <v>6.4275626666666696E-2</v>
      </c>
      <c r="AI196">
        <v>19.006246666666701</v>
      </c>
      <c r="AJ196">
        <v>999.9</v>
      </c>
      <c r="AK196">
        <v>999.9</v>
      </c>
      <c r="AL196">
        <v>0</v>
      </c>
      <c r="AM196">
        <v>0</v>
      </c>
      <c r="AN196">
        <v>4993.8</v>
      </c>
      <c r="AO196">
        <v>0</v>
      </c>
      <c r="AP196">
        <v>1.80671</v>
      </c>
      <c r="AQ196">
        <v>-0.78434246666666696</v>
      </c>
      <c r="AR196">
        <v>415.572</v>
      </c>
      <c r="AS196">
        <v>415.69806666666699</v>
      </c>
      <c r="AT196">
        <v>1.5879099999999999</v>
      </c>
      <c r="AU196">
        <v>409.98913333333297</v>
      </c>
      <c r="AV196">
        <v>13.7337333333333</v>
      </c>
      <c r="AW196">
        <v>1.53815733333333</v>
      </c>
      <c r="AX196">
        <v>1.3787446666666701</v>
      </c>
      <c r="AY196">
        <v>13.3528133333333</v>
      </c>
      <c r="AZ196">
        <v>11.68586</v>
      </c>
      <c r="BA196">
        <v>299.99919999999997</v>
      </c>
      <c r="BB196">
        <v>0.90001553333333295</v>
      </c>
      <c r="BC196">
        <v>0</v>
      </c>
      <c r="BD196">
        <v>9.9984519999999993E-2</v>
      </c>
      <c r="BE196">
        <v>0</v>
      </c>
      <c r="BF196">
        <v>25</v>
      </c>
      <c r="BG196">
        <v>4946.6433333333298</v>
      </c>
      <c r="BH196">
        <v>1771001804.0999999</v>
      </c>
      <c r="BI196" t="s">
        <v>616</v>
      </c>
      <c r="BJ196">
        <v>1771001782.0999999</v>
      </c>
      <c r="BK196">
        <v>1771001804.0999999</v>
      </c>
      <c r="BL196">
        <v>9</v>
      </c>
      <c r="BM196">
        <v>3.4000000000000002E-2</v>
      </c>
      <c r="BN196">
        <v>6.0000000000000001E-3</v>
      </c>
      <c r="BO196">
        <v>-0.88700000000000001</v>
      </c>
      <c r="BP196">
        <v>0.107</v>
      </c>
      <c r="BQ196">
        <v>410</v>
      </c>
      <c r="BR196">
        <v>15</v>
      </c>
      <c r="BS196">
        <v>0.28999999999999998</v>
      </c>
      <c r="BT196">
        <v>7.0000000000000007E-2</v>
      </c>
      <c r="BU196">
        <v>-0.80033109999999996</v>
      </c>
      <c r="BV196">
        <v>0.272812240601505</v>
      </c>
      <c r="BW196">
        <v>3.2887318432642101E-2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1.5898315000000001</v>
      </c>
      <c r="CD196">
        <v>-4.3536992481202998E-2</v>
      </c>
      <c r="CE196">
        <v>4.8348622265789497E-3</v>
      </c>
      <c r="CF196">
        <v>1</v>
      </c>
      <c r="CG196">
        <v>2</v>
      </c>
      <c r="CH196">
        <v>2</v>
      </c>
      <c r="CI196" t="s">
        <v>304</v>
      </c>
      <c r="CJ196">
        <v>3.5324599999999999</v>
      </c>
      <c r="CK196">
        <v>2.7019700000000002</v>
      </c>
      <c r="CL196">
        <v>9.8184499999999994E-2</v>
      </c>
      <c r="CM196">
        <v>9.6939600000000001E-2</v>
      </c>
      <c r="CN196">
        <v>8.7029499999999996E-2</v>
      </c>
      <c r="CO196">
        <v>7.9460500000000003E-2</v>
      </c>
      <c r="CP196">
        <v>31638.799999999999</v>
      </c>
      <c r="CQ196">
        <v>27801.9</v>
      </c>
      <c r="CR196">
        <v>32469.599999999999</v>
      </c>
      <c r="CS196">
        <v>30711.8</v>
      </c>
      <c r="CT196">
        <v>40133.4</v>
      </c>
      <c r="CU196">
        <v>39754.400000000001</v>
      </c>
      <c r="CV196">
        <v>47412.4</v>
      </c>
      <c r="CW196">
        <v>46830.400000000001</v>
      </c>
      <c r="CX196">
        <v>2.6286800000000001</v>
      </c>
      <c r="CY196">
        <v>2.14418</v>
      </c>
      <c r="CZ196">
        <v>0</v>
      </c>
      <c r="DA196">
        <v>0</v>
      </c>
      <c r="DB196">
        <v>999.9</v>
      </c>
      <c r="DC196">
        <v>999.9</v>
      </c>
      <c r="DD196">
        <v>54.81</v>
      </c>
      <c r="DE196">
        <v>26.565999999999999</v>
      </c>
      <c r="DF196">
        <v>19.048300000000001</v>
      </c>
      <c r="DG196">
        <v>30.310099999999998</v>
      </c>
      <c r="DH196">
        <v>16.450299999999999</v>
      </c>
      <c r="DI196">
        <v>2</v>
      </c>
      <c r="DJ196">
        <v>-0.148953</v>
      </c>
      <c r="DK196">
        <v>1.9839</v>
      </c>
      <c r="DL196">
        <v>20.226199999999999</v>
      </c>
      <c r="DM196">
        <v>5.2509499999999996</v>
      </c>
      <c r="DN196">
        <v>12.033899999999999</v>
      </c>
      <c r="DO196">
        <v>4.9673600000000002</v>
      </c>
      <c r="DP196">
        <v>3.2909999999999999</v>
      </c>
      <c r="DQ196">
        <v>9999</v>
      </c>
      <c r="DR196">
        <v>9999</v>
      </c>
      <c r="DS196">
        <v>597.4</v>
      </c>
      <c r="DT196">
        <v>9999</v>
      </c>
      <c r="DU196">
        <v>1.8711</v>
      </c>
      <c r="DV196">
        <v>1.87615</v>
      </c>
      <c r="DW196">
        <v>1.87636</v>
      </c>
      <c r="DX196">
        <v>1.8828199999999999</v>
      </c>
      <c r="DY196">
        <v>1.87561</v>
      </c>
      <c r="DZ196">
        <v>1.87469</v>
      </c>
      <c r="EA196">
        <v>1.87087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-0.88600000000000001</v>
      </c>
      <c r="EQ196">
        <v>0.1066</v>
      </c>
      <c r="ER196">
        <v>-0.88680000000005099</v>
      </c>
      <c r="ES196">
        <v>0</v>
      </c>
      <c r="ET196">
        <v>0</v>
      </c>
      <c r="EU196">
        <v>0</v>
      </c>
      <c r="EV196">
        <v>0.10658999999999701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9.1999999999999993</v>
      </c>
      <c r="FE196">
        <v>8.8000000000000007</v>
      </c>
      <c r="FF196">
        <v>1.2390099999999999</v>
      </c>
      <c r="FG196">
        <v>2.5915499999999998</v>
      </c>
      <c r="FH196">
        <v>2.19604</v>
      </c>
      <c r="FI196">
        <v>2.5756800000000002</v>
      </c>
      <c r="FJ196">
        <v>2.4462899999999999</v>
      </c>
      <c r="FK196">
        <v>2.3046899999999999</v>
      </c>
      <c r="FL196">
        <v>31.367999999999999</v>
      </c>
      <c r="FM196">
        <v>24.157499999999999</v>
      </c>
      <c r="FN196">
        <v>19</v>
      </c>
      <c r="FO196">
        <v>864.91499999999996</v>
      </c>
      <c r="FP196">
        <v>583.11199999999997</v>
      </c>
      <c r="FQ196">
        <v>18.3901</v>
      </c>
      <c r="FR196">
        <v>25.1431</v>
      </c>
      <c r="FS196">
        <v>30.000299999999999</v>
      </c>
      <c r="FT196">
        <v>25.138400000000001</v>
      </c>
      <c r="FU196">
        <v>25.1418</v>
      </c>
      <c r="FV196">
        <v>24.873100000000001</v>
      </c>
      <c r="FW196">
        <v>31.0382</v>
      </c>
      <c r="FX196">
        <v>10.7066</v>
      </c>
      <c r="FY196">
        <v>18.386700000000001</v>
      </c>
      <c r="FZ196">
        <v>410</v>
      </c>
      <c r="GA196">
        <v>13.7828</v>
      </c>
      <c r="GB196">
        <v>99.910499999999999</v>
      </c>
      <c r="GC196">
        <v>99.697100000000006</v>
      </c>
    </row>
    <row r="197" spans="1:185" x14ac:dyDescent="0.2">
      <c r="A197">
        <v>182</v>
      </c>
      <c r="B197">
        <v>1771002347.0999999</v>
      </c>
      <c r="C197">
        <v>3724</v>
      </c>
      <c r="D197" t="s">
        <v>665</v>
      </c>
      <c r="E197" t="s">
        <v>666</v>
      </c>
      <c r="F197">
        <v>15</v>
      </c>
      <c r="G197">
        <v>1771002339.03333</v>
      </c>
      <c r="H197">
        <f t="shared" si="26"/>
        <v>1.2988279190084917E-3</v>
      </c>
      <c r="I197">
        <v>0</v>
      </c>
      <c r="J197">
        <f t="shared" si="38"/>
        <v>5.6522307845834983E-3</v>
      </c>
      <c r="K197">
        <f t="shared" si="27"/>
        <v>0.10106897579757151</v>
      </c>
      <c r="L197">
        <f t="shared" si="28"/>
        <v>69.779154602305098</v>
      </c>
      <c r="M197">
        <f t="shared" si="29"/>
        <v>1.5391039314436494</v>
      </c>
      <c r="N197">
        <f t="shared" si="30"/>
        <v>2.2056786732592579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26295.389477843812</v>
      </c>
      <c r="T197">
        <f t="shared" si="34"/>
        <v>300.00066666666697</v>
      </c>
      <c r="U197">
        <f t="shared" si="35"/>
        <v>252.90030207942277</v>
      </c>
      <c r="V197">
        <f t="shared" si="36"/>
        <v>0.84299913360000034</v>
      </c>
      <c r="W197">
        <f t="shared" si="37"/>
        <v>0.15869819777600006</v>
      </c>
      <c r="X197">
        <v>1</v>
      </c>
      <c r="Y197">
        <v>1771002339.03333</v>
      </c>
      <c r="Z197">
        <v>409.1918</v>
      </c>
      <c r="AA197">
        <v>409.98246666666699</v>
      </c>
      <c r="AB197">
        <v>15.321286666666699</v>
      </c>
      <c r="AC197">
        <v>13.72264</v>
      </c>
      <c r="AD197">
        <v>410.07859999999999</v>
      </c>
      <c r="AE197">
        <v>15.214693333333299</v>
      </c>
      <c r="AF197">
        <v>800.0068</v>
      </c>
      <c r="AG197">
        <v>100.39100000000001</v>
      </c>
      <c r="AH197">
        <v>6.4266253333333301E-2</v>
      </c>
      <c r="AI197">
        <v>19.003620000000002</v>
      </c>
      <c r="AJ197">
        <v>999.9</v>
      </c>
      <c r="AK197">
        <v>999.9</v>
      </c>
      <c r="AL197">
        <v>0</v>
      </c>
      <c r="AM197">
        <v>0</v>
      </c>
      <c r="AN197">
        <v>4995.2333333333299</v>
      </c>
      <c r="AO197">
        <v>0</v>
      </c>
      <c r="AP197">
        <v>1.80671</v>
      </c>
      <c r="AQ197">
        <v>-0.7906048</v>
      </c>
      <c r="AR197">
        <v>415.55886666666697</v>
      </c>
      <c r="AS197">
        <v>415.686733333333</v>
      </c>
      <c r="AT197">
        <v>1.5986466666666701</v>
      </c>
      <c r="AU197">
        <v>409.98246666666699</v>
      </c>
      <c r="AV197">
        <v>13.72264</v>
      </c>
      <c r="AW197">
        <v>1.5381199999999999</v>
      </c>
      <c r="AX197">
        <v>1.37763066666667</v>
      </c>
      <c r="AY197">
        <v>13.3524666666667</v>
      </c>
      <c r="AZ197">
        <v>11.67362</v>
      </c>
      <c r="BA197">
        <v>300.00066666666697</v>
      </c>
      <c r="BB197">
        <v>0.90002346666666699</v>
      </c>
      <c r="BC197">
        <v>0</v>
      </c>
      <c r="BD197">
        <v>9.9976346666666702E-2</v>
      </c>
      <c r="BE197">
        <v>0</v>
      </c>
      <c r="BF197">
        <v>25</v>
      </c>
      <c r="BG197">
        <v>4946.6779999999999</v>
      </c>
      <c r="BH197">
        <v>1771001804.0999999</v>
      </c>
      <c r="BI197" t="s">
        <v>616</v>
      </c>
      <c r="BJ197">
        <v>1771001782.0999999</v>
      </c>
      <c r="BK197">
        <v>1771001804.0999999</v>
      </c>
      <c r="BL197">
        <v>9</v>
      </c>
      <c r="BM197">
        <v>3.4000000000000002E-2</v>
      </c>
      <c r="BN197">
        <v>6.0000000000000001E-3</v>
      </c>
      <c r="BO197">
        <v>-0.88700000000000001</v>
      </c>
      <c r="BP197">
        <v>0.107</v>
      </c>
      <c r="BQ197">
        <v>410</v>
      </c>
      <c r="BR197">
        <v>15</v>
      </c>
      <c r="BS197">
        <v>0.28999999999999998</v>
      </c>
      <c r="BT197">
        <v>7.0000000000000007E-2</v>
      </c>
      <c r="BU197">
        <v>-0.78223580000000004</v>
      </c>
      <c r="BV197">
        <v>-0.164776330827069</v>
      </c>
      <c r="BW197">
        <v>3.0861255984810501E-2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1.5949665</v>
      </c>
      <c r="CD197">
        <v>7.5256691729320799E-2</v>
      </c>
      <c r="CE197">
        <v>7.7299523122720502E-3</v>
      </c>
      <c r="CF197">
        <v>1</v>
      </c>
      <c r="CG197">
        <v>2</v>
      </c>
      <c r="CH197">
        <v>2</v>
      </c>
      <c r="CI197" t="s">
        <v>304</v>
      </c>
      <c r="CJ197">
        <v>3.5325099999999998</v>
      </c>
      <c r="CK197">
        <v>2.7021700000000002</v>
      </c>
      <c r="CL197">
        <v>9.8174899999999996E-2</v>
      </c>
      <c r="CM197">
        <v>9.69473E-2</v>
      </c>
      <c r="CN197">
        <v>8.7053800000000001E-2</v>
      </c>
      <c r="CO197">
        <v>7.9431000000000002E-2</v>
      </c>
      <c r="CP197">
        <v>31639.200000000001</v>
      </c>
      <c r="CQ197">
        <v>27802.400000000001</v>
      </c>
      <c r="CR197">
        <v>32469.7</v>
      </c>
      <c r="CS197">
        <v>30712.7</v>
      </c>
      <c r="CT197">
        <v>40132.6</v>
      </c>
      <c r="CU197">
        <v>39756.699999999997</v>
      </c>
      <c r="CV197">
        <v>47412.7</v>
      </c>
      <c r="CW197">
        <v>46831.5</v>
      </c>
      <c r="CX197">
        <v>2.6287799999999999</v>
      </c>
      <c r="CY197">
        <v>2.1440199999999998</v>
      </c>
      <c r="CZ197">
        <v>0</v>
      </c>
      <c r="DA197">
        <v>0</v>
      </c>
      <c r="DB197">
        <v>999.9</v>
      </c>
      <c r="DC197">
        <v>999.9</v>
      </c>
      <c r="DD197">
        <v>54.737000000000002</v>
      </c>
      <c r="DE197">
        <v>26.596</v>
      </c>
      <c r="DF197">
        <v>19.058299999999999</v>
      </c>
      <c r="DG197">
        <v>30.3401</v>
      </c>
      <c r="DH197">
        <v>16.502400000000002</v>
      </c>
      <c r="DI197">
        <v>2</v>
      </c>
      <c r="DJ197">
        <v>-0.148587</v>
      </c>
      <c r="DK197">
        <v>1.98027</v>
      </c>
      <c r="DL197">
        <v>20.226500000000001</v>
      </c>
      <c r="DM197">
        <v>5.25143</v>
      </c>
      <c r="DN197">
        <v>12.033899999999999</v>
      </c>
      <c r="DO197">
        <v>4.9674800000000001</v>
      </c>
      <c r="DP197">
        <v>3.2909999999999999</v>
      </c>
      <c r="DQ197">
        <v>9999</v>
      </c>
      <c r="DR197">
        <v>9999</v>
      </c>
      <c r="DS197">
        <v>597.4</v>
      </c>
      <c r="DT197">
        <v>9999</v>
      </c>
      <c r="DU197">
        <v>1.87107</v>
      </c>
      <c r="DV197">
        <v>1.87609</v>
      </c>
      <c r="DW197">
        <v>1.8763300000000001</v>
      </c>
      <c r="DX197">
        <v>1.88279</v>
      </c>
      <c r="DY197">
        <v>1.87561</v>
      </c>
      <c r="DZ197">
        <v>1.8746799999999999</v>
      </c>
      <c r="EA197">
        <v>1.87083</v>
      </c>
      <c r="EB197">
        <v>1.8746799999999999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-0.88700000000000001</v>
      </c>
      <c r="EQ197">
        <v>0.1066</v>
      </c>
      <c r="ER197">
        <v>-0.88680000000005099</v>
      </c>
      <c r="ES197">
        <v>0</v>
      </c>
      <c r="ET197">
        <v>0</v>
      </c>
      <c r="EU197">
        <v>0</v>
      </c>
      <c r="EV197">
        <v>0.10658999999999701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9.4</v>
      </c>
      <c r="FE197">
        <v>9.1</v>
      </c>
      <c r="FF197">
        <v>1.2390099999999999</v>
      </c>
      <c r="FG197">
        <v>2.5915499999999998</v>
      </c>
      <c r="FH197">
        <v>2.19604</v>
      </c>
      <c r="FI197">
        <v>2.5756800000000002</v>
      </c>
      <c r="FJ197">
        <v>2.4462899999999999</v>
      </c>
      <c r="FK197">
        <v>2.2741699999999998</v>
      </c>
      <c r="FL197">
        <v>31.367999999999999</v>
      </c>
      <c r="FM197">
        <v>24.148800000000001</v>
      </c>
      <c r="FN197">
        <v>19</v>
      </c>
      <c r="FO197">
        <v>865.06899999999996</v>
      </c>
      <c r="FP197">
        <v>583.03099999999995</v>
      </c>
      <c r="FQ197">
        <v>18.373200000000001</v>
      </c>
      <c r="FR197">
        <v>25.147400000000001</v>
      </c>
      <c r="FS197">
        <v>30.0001</v>
      </c>
      <c r="FT197">
        <v>25.142199999999999</v>
      </c>
      <c r="FU197">
        <v>25.145600000000002</v>
      </c>
      <c r="FV197">
        <v>24.873999999999999</v>
      </c>
      <c r="FW197">
        <v>31.0382</v>
      </c>
      <c r="FX197">
        <v>10.7066</v>
      </c>
      <c r="FY197">
        <v>18.3733</v>
      </c>
      <c r="FZ197">
        <v>410</v>
      </c>
      <c r="GA197">
        <v>13.7798</v>
      </c>
      <c r="GB197">
        <v>99.911000000000001</v>
      </c>
      <c r="GC197">
        <v>99.699600000000004</v>
      </c>
    </row>
    <row r="198" spans="1:185" x14ac:dyDescent="0.2">
      <c r="A198">
        <v>183</v>
      </c>
      <c r="B198">
        <v>1771002362.0999999</v>
      </c>
      <c r="C198">
        <v>3739</v>
      </c>
      <c r="D198" t="s">
        <v>667</v>
      </c>
      <c r="E198" t="s">
        <v>668</v>
      </c>
      <c r="F198">
        <v>15</v>
      </c>
      <c r="G198">
        <v>1771002354.03333</v>
      </c>
      <c r="H198">
        <f t="shared" si="26"/>
        <v>1.2948915697696725E-3</v>
      </c>
      <c r="I198">
        <v>0</v>
      </c>
      <c r="J198">
        <f t="shared" si="38"/>
        <v>6.4557152253523946E-3</v>
      </c>
      <c r="K198">
        <f t="shared" si="27"/>
        <v>0.11543628537723172</v>
      </c>
      <c r="L198">
        <f t="shared" si="28"/>
        <v>69.784491479872685</v>
      </c>
      <c r="M198">
        <f t="shared" si="29"/>
        <v>1.5388797443481321</v>
      </c>
      <c r="N198">
        <f t="shared" si="30"/>
        <v>2.2051887342218115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26357.348078748964</v>
      </c>
      <c r="T198">
        <f t="shared" si="34"/>
        <v>299.99973333333298</v>
      </c>
      <c r="U198">
        <f t="shared" si="35"/>
        <v>252.8995907001638</v>
      </c>
      <c r="V198">
        <f t="shared" si="36"/>
        <v>0.84299938500000027</v>
      </c>
      <c r="W198">
        <f t="shared" si="37"/>
        <v>0.15869839754000006</v>
      </c>
      <c r="X198">
        <v>1</v>
      </c>
      <c r="Y198">
        <v>1771002354.03333</v>
      </c>
      <c r="Z198">
        <v>409.18579999999997</v>
      </c>
      <c r="AA198">
        <v>409.99239999999998</v>
      </c>
      <c r="AB198">
        <v>15.319193333333301</v>
      </c>
      <c r="AC198">
        <v>13.725393333333299</v>
      </c>
      <c r="AD198">
        <v>410.07253333333301</v>
      </c>
      <c r="AE198">
        <v>15.2126</v>
      </c>
      <c r="AF198">
        <v>800.00933333333296</v>
      </c>
      <c r="AG198">
        <v>100.390066666667</v>
      </c>
      <c r="AH198">
        <v>6.4292180000000004E-2</v>
      </c>
      <c r="AI198">
        <v>19.000060000000001</v>
      </c>
      <c r="AJ198">
        <v>999.9</v>
      </c>
      <c r="AK198">
        <v>999.9</v>
      </c>
      <c r="AL198">
        <v>0</v>
      </c>
      <c r="AM198">
        <v>0</v>
      </c>
      <c r="AN198">
        <v>5005.3999999999996</v>
      </c>
      <c r="AO198">
        <v>0</v>
      </c>
      <c r="AP198">
        <v>1.80671</v>
      </c>
      <c r="AQ198">
        <v>-0.80676680000000001</v>
      </c>
      <c r="AR198">
        <v>415.55166666666702</v>
      </c>
      <c r="AS198">
        <v>415.69813333333298</v>
      </c>
      <c r="AT198">
        <v>1.5937920000000001</v>
      </c>
      <c r="AU198">
        <v>409.99239999999998</v>
      </c>
      <c r="AV198">
        <v>13.725393333333299</v>
      </c>
      <c r="AW198">
        <v>1.53789466666667</v>
      </c>
      <c r="AX198">
        <v>1.37789466666667</v>
      </c>
      <c r="AY198">
        <v>13.350199999999999</v>
      </c>
      <c r="AZ198">
        <v>11.676500000000001</v>
      </c>
      <c r="BA198">
        <v>299.99973333333298</v>
      </c>
      <c r="BB198">
        <v>0.90002146666666705</v>
      </c>
      <c r="BC198">
        <v>0</v>
      </c>
      <c r="BD198">
        <v>9.9978566666666699E-2</v>
      </c>
      <c r="BE198">
        <v>0</v>
      </c>
      <c r="BF198">
        <v>25</v>
      </c>
      <c r="BG198">
        <v>4946.6613333333298</v>
      </c>
      <c r="BH198">
        <v>1771001804.0999999</v>
      </c>
      <c r="BI198" t="s">
        <v>616</v>
      </c>
      <c r="BJ198">
        <v>1771001782.0999999</v>
      </c>
      <c r="BK198">
        <v>1771001804.0999999</v>
      </c>
      <c r="BL198">
        <v>9</v>
      </c>
      <c r="BM198">
        <v>3.4000000000000002E-2</v>
      </c>
      <c r="BN198">
        <v>6.0000000000000001E-3</v>
      </c>
      <c r="BO198">
        <v>-0.88700000000000001</v>
      </c>
      <c r="BP198">
        <v>0.107</v>
      </c>
      <c r="BQ198">
        <v>410</v>
      </c>
      <c r="BR198">
        <v>15</v>
      </c>
      <c r="BS198">
        <v>0.28999999999999998</v>
      </c>
      <c r="BT198">
        <v>7.0000000000000007E-2</v>
      </c>
      <c r="BU198">
        <v>-0.80232757142857103</v>
      </c>
      <c r="BV198">
        <v>1.10467012987018E-2</v>
      </c>
      <c r="BW198">
        <v>2.49311482947039E-2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1.59617428571429</v>
      </c>
      <c r="CD198">
        <v>-6.4991688311688403E-2</v>
      </c>
      <c r="CE198">
        <v>1.1396601235802399E-2</v>
      </c>
      <c r="CF198">
        <v>1</v>
      </c>
      <c r="CG198">
        <v>2</v>
      </c>
      <c r="CH198">
        <v>2</v>
      </c>
      <c r="CI198" t="s">
        <v>304</v>
      </c>
      <c r="CJ198">
        <v>3.53254</v>
      </c>
      <c r="CK198">
        <v>2.70201</v>
      </c>
      <c r="CL198">
        <v>9.8175499999999999E-2</v>
      </c>
      <c r="CM198">
        <v>9.6939999999999998E-2</v>
      </c>
      <c r="CN198">
        <v>8.7034100000000003E-2</v>
      </c>
      <c r="CO198">
        <v>7.9634700000000003E-2</v>
      </c>
      <c r="CP198">
        <v>31638.2</v>
      </c>
      <c r="CQ198">
        <v>27802.3</v>
      </c>
      <c r="CR198">
        <v>32468.799999999999</v>
      </c>
      <c r="CS198">
        <v>30712.3</v>
      </c>
      <c r="CT198">
        <v>40132.300000000003</v>
      </c>
      <c r="CU198">
        <v>39747.300000000003</v>
      </c>
      <c r="CV198">
        <v>47411.3</v>
      </c>
      <c r="CW198">
        <v>46831.1</v>
      </c>
      <c r="CX198">
        <v>2.6286999999999998</v>
      </c>
      <c r="CY198">
        <v>2.1437400000000002</v>
      </c>
      <c r="CZ198">
        <v>0</v>
      </c>
      <c r="DA198">
        <v>0</v>
      </c>
      <c r="DB198">
        <v>999.9</v>
      </c>
      <c r="DC198">
        <v>999.9</v>
      </c>
      <c r="DD198">
        <v>54.664000000000001</v>
      </c>
      <c r="DE198">
        <v>26.596</v>
      </c>
      <c r="DF198">
        <v>19.0321</v>
      </c>
      <c r="DG198">
        <v>30.220099999999999</v>
      </c>
      <c r="DH198">
        <v>16.398199999999999</v>
      </c>
      <c r="DI198">
        <v>2</v>
      </c>
      <c r="DJ198">
        <v>-0.14841499999999999</v>
      </c>
      <c r="DK198">
        <v>1.8969499999999999</v>
      </c>
      <c r="DL198">
        <v>20.227699999999999</v>
      </c>
      <c r="DM198">
        <v>5.25143</v>
      </c>
      <c r="DN198">
        <v>12.033899999999999</v>
      </c>
      <c r="DO198">
        <v>4.9675599999999998</v>
      </c>
      <c r="DP198">
        <v>3.2909999999999999</v>
      </c>
      <c r="DQ198">
        <v>9999</v>
      </c>
      <c r="DR198">
        <v>9999</v>
      </c>
      <c r="DS198">
        <v>597.4</v>
      </c>
      <c r="DT198">
        <v>9999</v>
      </c>
      <c r="DU198">
        <v>1.8710500000000001</v>
      </c>
      <c r="DV198">
        <v>1.87609</v>
      </c>
      <c r="DW198">
        <v>1.8763300000000001</v>
      </c>
      <c r="DX198">
        <v>1.88279</v>
      </c>
      <c r="DY198">
        <v>1.87561</v>
      </c>
      <c r="DZ198">
        <v>1.87469</v>
      </c>
      <c r="EA198">
        <v>1.8708400000000001</v>
      </c>
      <c r="EB198">
        <v>1.8746499999999999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-0.88700000000000001</v>
      </c>
      <c r="EQ198">
        <v>0.1066</v>
      </c>
      <c r="ER198">
        <v>-0.88680000000005099</v>
      </c>
      <c r="ES198">
        <v>0</v>
      </c>
      <c r="ET198">
        <v>0</v>
      </c>
      <c r="EU198">
        <v>0</v>
      </c>
      <c r="EV198">
        <v>0.10658999999999701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9.6999999999999993</v>
      </c>
      <c r="FE198">
        <v>9.3000000000000007</v>
      </c>
      <c r="FF198">
        <v>1.2390099999999999</v>
      </c>
      <c r="FG198">
        <v>2.5939899999999998</v>
      </c>
      <c r="FH198">
        <v>2.19604</v>
      </c>
      <c r="FI198">
        <v>2.5756800000000002</v>
      </c>
      <c r="FJ198">
        <v>2.4462899999999999</v>
      </c>
      <c r="FK198">
        <v>2.2607400000000002</v>
      </c>
      <c r="FL198">
        <v>31.367999999999999</v>
      </c>
      <c r="FM198">
        <v>24.148800000000001</v>
      </c>
      <c r="FN198">
        <v>19</v>
      </c>
      <c r="FO198">
        <v>865.06399999999996</v>
      </c>
      <c r="FP198">
        <v>582.85799999999995</v>
      </c>
      <c r="FQ198">
        <v>18.375900000000001</v>
      </c>
      <c r="FR198">
        <v>25.151599999999998</v>
      </c>
      <c r="FS198">
        <v>30.0002</v>
      </c>
      <c r="FT198">
        <v>25.1464</v>
      </c>
      <c r="FU198">
        <v>25.1494</v>
      </c>
      <c r="FV198">
        <v>24.875900000000001</v>
      </c>
      <c r="FW198">
        <v>30.765799999999999</v>
      </c>
      <c r="FX198">
        <v>10.3345</v>
      </c>
      <c r="FY198">
        <v>18.396599999999999</v>
      </c>
      <c r="FZ198">
        <v>410</v>
      </c>
      <c r="GA198">
        <v>13.780099999999999</v>
      </c>
      <c r="GB198">
        <v>99.908100000000005</v>
      </c>
      <c r="GC198">
        <v>99.698700000000002</v>
      </c>
    </row>
    <row r="199" spans="1:185" x14ac:dyDescent="0.2">
      <c r="A199">
        <v>184</v>
      </c>
      <c r="B199">
        <v>1771002377.0999999</v>
      </c>
      <c r="C199">
        <v>3754</v>
      </c>
      <c r="D199" t="s">
        <v>669</v>
      </c>
      <c r="E199" t="s">
        <v>670</v>
      </c>
      <c r="F199">
        <v>15</v>
      </c>
      <c r="G199">
        <v>1771002369.03333</v>
      </c>
      <c r="H199">
        <f t="shared" si="26"/>
        <v>1.2612927038657417E-3</v>
      </c>
      <c r="I199">
        <v>0</v>
      </c>
      <c r="J199">
        <f t="shared" si="38"/>
        <v>7.1918511011037547E-3</v>
      </c>
      <c r="K199">
        <f t="shared" si="27"/>
        <v>0.12859931814174061</v>
      </c>
      <c r="L199">
        <f t="shared" si="28"/>
        <v>69.836896555024097</v>
      </c>
      <c r="M199">
        <f t="shared" si="29"/>
        <v>1.5399905279007313</v>
      </c>
      <c r="N199">
        <f t="shared" si="30"/>
        <v>2.2051245170772753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26289.507028646665</v>
      </c>
      <c r="T199">
        <f t="shared" si="34"/>
        <v>300.00053333333301</v>
      </c>
      <c r="U199">
        <f t="shared" si="35"/>
        <v>252.90024019962755</v>
      </c>
      <c r="V199">
        <f t="shared" si="36"/>
        <v>0.84299930200000028</v>
      </c>
      <c r="W199">
        <f t="shared" si="37"/>
        <v>0.15869825500000007</v>
      </c>
      <c r="X199">
        <v>1</v>
      </c>
      <c r="Y199">
        <v>1771002369.03333</v>
      </c>
      <c r="Z199">
        <v>409.18279999999999</v>
      </c>
      <c r="AA199">
        <v>409.98866666666697</v>
      </c>
      <c r="AB199">
        <v>15.330220000000001</v>
      </c>
      <c r="AC199">
        <v>13.777786666666699</v>
      </c>
      <c r="AD199">
        <v>410.06959999999998</v>
      </c>
      <c r="AE199">
        <v>15.223653333333299</v>
      </c>
      <c r="AF199">
        <v>800.00653333333298</v>
      </c>
      <c r="AG199">
        <v>100.3904</v>
      </c>
      <c r="AH199">
        <v>6.4161506666666701E-2</v>
      </c>
      <c r="AI199">
        <v>18.999593333333301</v>
      </c>
      <c r="AJ199">
        <v>999.9</v>
      </c>
      <c r="AK199">
        <v>999.9</v>
      </c>
      <c r="AL199">
        <v>0</v>
      </c>
      <c r="AM199">
        <v>0</v>
      </c>
      <c r="AN199">
        <v>4994.2333333333299</v>
      </c>
      <c r="AO199">
        <v>0</v>
      </c>
      <c r="AP199">
        <v>1.80671</v>
      </c>
      <c r="AQ199">
        <v>-0.805834933333333</v>
      </c>
      <c r="AR199">
        <v>415.55326666666701</v>
      </c>
      <c r="AS199">
        <v>415.71620000000001</v>
      </c>
      <c r="AT199">
        <v>1.5524406666666699</v>
      </c>
      <c r="AU199">
        <v>409.98866666666697</v>
      </c>
      <c r="AV199">
        <v>13.777786666666699</v>
      </c>
      <c r="AW199">
        <v>1.5390073333333301</v>
      </c>
      <c r="AX199">
        <v>1.38315733333333</v>
      </c>
      <c r="AY199">
        <v>13.3613066666667</v>
      </c>
      <c r="AZ199">
        <v>11.7342333333333</v>
      </c>
      <c r="BA199">
        <v>300.00053333333301</v>
      </c>
      <c r="BB199">
        <v>0.90002326666666699</v>
      </c>
      <c r="BC199">
        <v>0</v>
      </c>
      <c r="BD199">
        <v>9.9976733333333304E-2</v>
      </c>
      <c r="BE199">
        <v>0</v>
      </c>
      <c r="BF199">
        <v>25</v>
      </c>
      <c r="BG199">
        <v>4946.6753333333299</v>
      </c>
      <c r="BH199">
        <v>1771001804.0999999</v>
      </c>
      <c r="BI199" t="s">
        <v>616</v>
      </c>
      <c r="BJ199">
        <v>1771001782.0999999</v>
      </c>
      <c r="BK199">
        <v>1771001804.0999999</v>
      </c>
      <c r="BL199">
        <v>9</v>
      </c>
      <c r="BM199">
        <v>3.4000000000000002E-2</v>
      </c>
      <c r="BN199">
        <v>6.0000000000000001E-3</v>
      </c>
      <c r="BO199">
        <v>-0.88700000000000001</v>
      </c>
      <c r="BP199">
        <v>0.107</v>
      </c>
      <c r="BQ199">
        <v>410</v>
      </c>
      <c r="BR199">
        <v>15</v>
      </c>
      <c r="BS199">
        <v>0.28999999999999998</v>
      </c>
      <c r="BT199">
        <v>7.0000000000000007E-2</v>
      </c>
      <c r="BU199">
        <v>-0.80049130000000002</v>
      </c>
      <c r="BV199">
        <v>-8.0549954887218903E-2</v>
      </c>
      <c r="BW199">
        <v>1.8334181290965802E-2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1.5597015000000001</v>
      </c>
      <c r="CD199">
        <v>-0.100648872180449</v>
      </c>
      <c r="CE199">
        <v>1.6436382897401701E-2</v>
      </c>
      <c r="CF199">
        <v>0</v>
      </c>
      <c r="CG199">
        <v>1</v>
      </c>
      <c r="CH199">
        <v>2</v>
      </c>
      <c r="CI199" t="s">
        <v>290</v>
      </c>
      <c r="CJ199">
        <v>3.5325199999999999</v>
      </c>
      <c r="CK199">
        <v>2.7022200000000001</v>
      </c>
      <c r="CL199">
        <v>9.8172400000000007E-2</v>
      </c>
      <c r="CM199">
        <v>9.6936400000000006E-2</v>
      </c>
      <c r="CN199">
        <v>8.7134199999999995E-2</v>
      </c>
      <c r="CO199">
        <v>7.9661399999999993E-2</v>
      </c>
      <c r="CP199">
        <v>31638.5</v>
      </c>
      <c r="CQ199">
        <v>27802.799999999999</v>
      </c>
      <c r="CR199">
        <v>32468.9</v>
      </c>
      <c r="CS199">
        <v>30712.7</v>
      </c>
      <c r="CT199">
        <v>40128.1</v>
      </c>
      <c r="CU199">
        <v>39746.699999999997</v>
      </c>
      <c r="CV199">
        <v>47411.7</v>
      </c>
      <c r="CW199">
        <v>46831.8</v>
      </c>
      <c r="CX199">
        <v>2.62846</v>
      </c>
      <c r="CY199">
        <v>2.1438799999999998</v>
      </c>
      <c r="CZ199">
        <v>0</v>
      </c>
      <c r="DA199">
        <v>0</v>
      </c>
      <c r="DB199">
        <v>999.9</v>
      </c>
      <c r="DC199">
        <v>999.9</v>
      </c>
      <c r="DD199">
        <v>54.615000000000002</v>
      </c>
      <c r="DE199">
        <v>26.616</v>
      </c>
      <c r="DF199">
        <v>19.037500000000001</v>
      </c>
      <c r="DG199">
        <v>30.400099999999998</v>
      </c>
      <c r="DH199">
        <v>16.414300000000001</v>
      </c>
      <c r="DI199">
        <v>2</v>
      </c>
      <c r="DJ199">
        <v>-0.14797399999999999</v>
      </c>
      <c r="DK199">
        <v>1.9393100000000001</v>
      </c>
      <c r="DL199">
        <v>20.2272</v>
      </c>
      <c r="DM199">
        <v>5.2509499999999996</v>
      </c>
      <c r="DN199">
        <v>12.033899999999999</v>
      </c>
      <c r="DO199">
        <v>4.9675599999999998</v>
      </c>
      <c r="DP199">
        <v>3.2909999999999999</v>
      </c>
      <c r="DQ199">
        <v>9999</v>
      </c>
      <c r="DR199">
        <v>9999</v>
      </c>
      <c r="DS199">
        <v>597.4</v>
      </c>
      <c r="DT199">
        <v>9999</v>
      </c>
      <c r="DU199">
        <v>1.8711</v>
      </c>
      <c r="DV199">
        <v>1.87609</v>
      </c>
      <c r="DW199">
        <v>1.8763399999999999</v>
      </c>
      <c r="DX199">
        <v>1.8828</v>
      </c>
      <c r="DY199">
        <v>1.87561</v>
      </c>
      <c r="DZ199">
        <v>1.87469</v>
      </c>
      <c r="EA199">
        <v>1.8708499999999999</v>
      </c>
      <c r="EB199">
        <v>1.8746799999999999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-0.88600000000000001</v>
      </c>
      <c r="EQ199">
        <v>0.1066</v>
      </c>
      <c r="ER199">
        <v>-0.88680000000005099</v>
      </c>
      <c r="ES199">
        <v>0</v>
      </c>
      <c r="ET199">
        <v>0</v>
      </c>
      <c r="EU199">
        <v>0</v>
      </c>
      <c r="EV199">
        <v>0.10658999999999701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9.9</v>
      </c>
      <c r="FE199">
        <v>9.6</v>
      </c>
      <c r="FF199">
        <v>1.2390099999999999</v>
      </c>
      <c r="FG199">
        <v>2.5878899999999998</v>
      </c>
      <c r="FH199">
        <v>2.19604</v>
      </c>
      <c r="FI199">
        <v>2.5756800000000002</v>
      </c>
      <c r="FJ199">
        <v>2.4462899999999999</v>
      </c>
      <c r="FK199">
        <v>2.3107899999999999</v>
      </c>
      <c r="FL199">
        <v>31.389800000000001</v>
      </c>
      <c r="FM199">
        <v>24.157499999999999</v>
      </c>
      <c r="FN199">
        <v>19</v>
      </c>
      <c r="FO199">
        <v>864.90200000000004</v>
      </c>
      <c r="FP199">
        <v>583.00400000000002</v>
      </c>
      <c r="FQ199">
        <v>18.393599999999999</v>
      </c>
      <c r="FR199">
        <v>25.155799999999999</v>
      </c>
      <c r="FS199">
        <v>30.0001</v>
      </c>
      <c r="FT199">
        <v>25.150200000000002</v>
      </c>
      <c r="FU199">
        <v>25.152699999999999</v>
      </c>
      <c r="FV199">
        <v>24.878499999999999</v>
      </c>
      <c r="FW199">
        <v>30.765799999999999</v>
      </c>
      <c r="FX199">
        <v>9.9629300000000001</v>
      </c>
      <c r="FY199">
        <v>18.392299999999999</v>
      </c>
      <c r="FZ199">
        <v>410</v>
      </c>
      <c r="GA199">
        <v>13.780099999999999</v>
      </c>
      <c r="GB199">
        <v>99.908699999999996</v>
      </c>
      <c r="GC199">
        <v>99.700100000000006</v>
      </c>
    </row>
    <row r="200" spans="1:185" x14ac:dyDescent="0.2">
      <c r="A200">
        <v>185</v>
      </c>
      <c r="B200">
        <v>1771002392.0999999</v>
      </c>
      <c r="C200">
        <v>3769</v>
      </c>
      <c r="D200" t="s">
        <v>671</v>
      </c>
      <c r="E200" t="s">
        <v>672</v>
      </c>
      <c r="F200">
        <v>15</v>
      </c>
      <c r="G200">
        <v>1771002384.03333</v>
      </c>
      <c r="H200">
        <f t="shared" si="26"/>
        <v>1.279909605473899E-3</v>
      </c>
      <c r="I200">
        <v>0</v>
      </c>
      <c r="J200">
        <f t="shared" si="38"/>
        <v>7.4070369153476255E-3</v>
      </c>
      <c r="K200">
        <f t="shared" si="27"/>
        <v>0.13244711039946547</v>
      </c>
      <c r="L200">
        <f t="shared" si="28"/>
        <v>69.909835325291866</v>
      </c>
      <c r="M200">
        <f t="shared" si="29"/>
        <v>1.5416072559954106</v>
      </c>
      <c r="N200">
        <f t="shared" si="30"/>
        <v>2.2051364429944385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26334.23036150794</v>
      </c>
      <c r="T200">
        <f t="shared" si="34"/>
        <v>299.99973333333298</v>
      </c>
      <c r="U200">
        <f t="shared" si="35"/>
        <v>252.89951642022967</v>
      </c>
      <c r="V200">
        <f t="shared" si="36"/>
        <v>0.84299913739999977</v>
      </c>
      <c r="W200">
        <f t="shared" si="37"/>
        <v>0.15869819428399998</v>
      </c>
      <c r="X200">
        <v>1</v>
      </c>
      <c r="Y200">
        <v>1771002384.03333</v>
      </c>
      <c r="Z200">
        <v>409.179933333333</v>
      </c>
      <c r="AA200">
        <v>410.000133333333</v>
      </c>
      <c r="AB200">
        <v>15.3464733333333</v>
      </c>
      <c r="AC200">
        <v>13.771140000000001</v>
      </c>
      <c r="AD200">
        <v>410.08893333333299</v>
      </c>
      <c r="AE200">
        <v>15.239879999999999</v>
      </c>
      <c r="AF200">
        <v>800.00053333333301</v>
      </c>
      <c r="AG200">
        <v>100.3892</v>
      </c>
      <c r="AH200">
        <v>6.4319353333333301E-2</v>
      </c>
      <c r="AI200">
        <v>18.999680000000001</v>
      </c>
      <c r="AJ200">
        <v>999.9</v>
      </c>
      <c r="AK200">
        <v>999.9</v>
      </c>
      <c r="AL200">
        <v>0</v>
      </c>
      <c r="AM200">
        <v>0</v>
      </c>
      <c r="AN200">
        <v>5001.6333333333296</v>
      </c>
      <c r="AO200">
        <v>0</v>
      </c>
      <c r="AP200">
        <v>1.80671</v>
      </c>
      <c r="AQ200">
        <v>-0.79789220000000005</v>
      </c>
      <c r="AR200">
        <v>415.57973333333302</v>
      </c>
      <c r="AS200">
        <v>415.72493333333301</v>
      </c>
      <c r="AT200">
        <v>1.5753366666666699</v>
      </c>
      <c r="AU200">
        <v>410.000133333333</v>
      </c>
      <c r="AV200">
        <v>13.771140000000001</v>
      </c>
      <c r="AW200">
        <v>1.5406200000000001</v>
      </c>
      <c r="AX200">
        <v>1.3824733333333299</v>
      </c>
      <c r="AY200">
        <v>13.37738</v>
      </c>
      <c r="AZ200">
        <v>11.726739999999999</v>
      </c>
      <c r="BA200">
        <v>299.99973333333298</v>
      </c>
      <c r="BB200">
        <v>0.90002353333333296</v>
      </c>
      <c r="BC200">
        <v>0</v>
      </c>
      <c r="BD200">
        <v>9.9976286666666705E-2</v>
      </c>
      <c r="BE200">
        <v>0</v>
      </c>
      <c r="BF200">
        <v>25</v>
      </c>
      <c r="BG200">
        <v>4946.6620000000003</v>
      </c>
      <c r="BH200">
        <v>1771002412.0999999</v>
      </c>
      <c r="BI200" t="s">
        <v>673</v>
      </c>
      <c r="BJ200">
        <v>1771002412.0999999</v>
      </c>
      <c r="BK200">
        <v>1771001804.0999999</v>
      </c>
      <c r="BL200">
        <v>10</v>
      </c>
      <c r="BM200">
        <v>-2.1999999999999999E-2</v>
      </c>
      <c r="BN200">
        <v>6.0000000000000001E-3</v>
      </c>
      <c r="BO200">
        <v>-0.90900000000000003</v>
      </c>
      <c r="BP200">
        <v>0.107</v>
      </c>
      <c r="BQ200">
        <v>410</v>
      </c>
      <c r="BR200">
        <v>15</v>
      </c>
      <c r="BS200">
        <v>0.35</v>
      </c>
      <c r="BT200">
        <v>7.0000000000000007E-2</v>
      </c>
      <c r="BU200">
        <v>-0.79848076190476203</v>
      </c>
      <c r="BV200">
        <v>-9.6425454545469406E-3</v>
      </c>
      <c r="BW200">
        <v>2.2641010498029499E-2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1.5696933333333301</v>
      </c>
      <c r="CD200">
        <v>9.3917142857141298E-2</v>
      </c>
      <c r="CE200">
        <v>1.03103661813561E-2</v>
      </c>
      <c r="CF200">
        <v>1</v>
      </c>
      <c r="CG200">
        <v>2</v>
      </c>
      <c r="CH200">
        <v>2</v>
      </c>
      <c r="CI200" t="s">
        <v>304</v>
      </c>
      <c r="CJ200">
        <v>3.5325000000000002</v>
      </c>
      <c r="CK200">
        <v>2.7021099999999998</v>
      </c>
      <c r="CL200">
        <v>9.8174499999999998E-2</v>
      </c>
      <c r="CM200">
        <v>9.6942500000000001E-2</v>
      </c>
      <c r="CN200">
        <v>8.7183499999999997E-2</v>
      </c>
      <c r="CO200">
        <v>7.9639600000000005E-2</v>
      </c>
      <c r="CP200">
        <v>31638.2</v>
      </c>
      <c r="CQ200">
        <v>27801.599999999999</v>
      </c>
      <c r="CR200">
        <v>32468.799999999999</v>
      </c>
      <c r="CS200">
        <v>30711.7</v>
      </c>
      <c r="CT200">
        <v>40125.800000000003</v>
      </c>
      <c r="CU200">
        <v>39746.1</v>
      </c>
      <c r="CV200">
        <v>47411.6</v>
      </c>
      <c r="CW200">
        <v>46829.9</v>
      </c>
      <c r="CX200">
        <v>2.6283799999999999</v>
      </c>
      <c r="CY200">
        <v>2.1435200000000001</v>
      </c>
      <c r="CZ200">
        <v>0</v>
      </c>
      <c r="DA200">
        <v>0</v>
      </c>
      <c r="DB200">
        <v>999.9</v>
      </c>
      <c r="DC200">
        <v>999.9</v>
      </c>
      <c r="DD200">
        <v>54.534999999999997</v>
      </c>
      <c r="DE200">
        <v>26.637</v>
      </c>
      <c r="DF200">
        <v>19.0322</v>
      </c>
      <c r="DG200">
        <v>30.0701</v>
      </c>
      <c r="DH200">
        <v>16.534500000000001</v>
      </c>
      <c r="DI200">
        <v>2</v>
      </c>
      <c r="DJ200">
        <v>-0.147701</v>
      </c>
      <c r="DK200">
        <v>1.9436899999999999</v>
      </c>
      <c r="DL200">
        <v>20.2271</v>
      </c>
      <c r="DM200">
        <v>5.2516699999999998</v>
      </c>
      <c r="DN200">
        <v>12.033899999999999</v>
      </c>
      <c r="DO200">
        <v>4.9674399999999999</v>
      </c>
      <c r="DP200">
        <v>3.2909999999999999</v>
      </c>
      <c r="DQ200">
        <v>9999</v>
      </c>
      <c r="DR200">
        <v>9999</v>
      </c>
      <c r="DS200">
        <v>597.4</v>
      </c>
      <c r="DT200">
        <v>9999</v>
      </c>
      <c r="DU200">
        <v>1.8711199999999999</v>
      </c>
      <c r="DV200">
        <v>1.8761099999999999</v>
      </c>
      <c r="DW200">
        <v>1.87636</v>
      </c>
      <c r="DX200">
        <v>1.8828</v>
      </c>
      <c r="DY200">
        <v>1.87561</v>
      </c>
      <c r="DZ200">
        <v>1.87469</v>
      </c>
      <c r="EA200">
        <v>1.87086</v>
      </c>
      <c r="EB200">
        <v>1.8746799999999999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-0.90900000000000003</v>
      </c>
      <c r="EQ200">
        <v>0.1066</v>
      </c>
      <c r="ER200">
        <v>-0.88680000000005099</v>
      </c>
      <c r="ES200">
        <v>0</v>
      </c>
      <c r="ET200">
        <v>0</v>
      </c>
      <c r="EU200">
        <v>0</v>
      </c>
      <c r="EV200">
        <v>0.10658999999999701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10.199999999999999</v>
      </c>
      <c r="FE200">
        <v>9.8000000000000007</v>
      </c>
      <c r="FF200">
        <v>1.2390099999999999</v>
      </c>
      <c r="FG200">
        <v>2.5915499999999998</v>
      </c>
      <c r="FH200">
        <v>2.19604</v>
      </c>
      <c r="FI200">
        <v>2.5756800000000002</v>
      </c>
      <c r="FJ200">
        <v>2.4462899999999999</v>
      </c>
      <c r="FK200">
        <v>2.2827099999999998</v>
      </c>
      <c r="FL200">
        <v>31.389800000000001</v>
      </c>
      <c r="FM200">
        <v>24.157499999999999</v>
      </c>
      <c r="FN200">
        <v>19</v>
      </c>
      <c r="FO200">
        <v>864.88900000000001</v>
      </c>
      <c r="FP200">
        <v>582.77</v>
      </c>
      <c r="FQ200">
        <v>18.393000000000001</v>
      </c>
      <c r="FR200">
        <v>25.16</v>
      </c>
      <c r="FS200">
        <v>30.000299999999999</v>
      </c>
      <c r="FT200">
        <v>25.154</v>
      </c>
      <c r="FU200">
        <v>25.156600000000001</v>
      </c>
      <c r="FV200">
        <v>24.875900000000001</v>
      </c>
      <c r="FW200">
        <v>30.765799999999999</v>
      </c>
      <c r="FX200">
        <v>9.9629300000000001</v>
      </c>
      <c r="FY200">
        <v>18.3931</v>
      </c>
      <c r="FZ200">
        <v>410</v>
      </c>
      <c r="GA200">
        <v>13.780099999999999</v>
      </c>
      <c r="GB200">
        <v>99.9084</v>
      </c>
      <c r="GC200">
        <v>99.696399999999997</v>
      </c>
    </row>
    <row r="201" spans="1:185" x14ac:dyDescent="0.2">
      <c r="A201">
        <v>186</v>
      </c>
      <c r="B201">
        <v>1771002414.0999999</v>
      </c>
      <c r="C201">
        <v>3791</v>
      </c>
      <c r="D201" t="s">
        <v>674</v>
      </c>
      <c r="E201" t="s">
        <v>675</v>
      </c>
      <c r="F201">
        <v>15</v>
      </c>
      <c r="G201">
        <v>1771002413.0999999</v>
      </c>
      <c r="H201">
        <f t="shared" si="26"/>
        <v>1.3547318997269974E-5</v>
      </c>
      <c r="I201">
        <v>0</v>
      </c>
      <c r="J201">
        <f t="shared" si="38"/>
        <v>-3.8004569494725447E-3</v>
      </c>
      <c r="K201">
        <f t="shared" si="27"/>
        <v>-6.7956937019205105E-2</v>
      </c>
      <c r="L201">
        <f t="shared" si="28"/>
        <v>62.833749653806507</v>
      </c>
      <c r="M201">
        <f t="shared" si="29"/>
        <v>1.3856494607009999</v>
      </c>
      <c r="N201">
        <f t="shared" si="30"/>
        <v>2.205263044678182</v>
      </c>
      <c r="O201">
        <v>471</v>
      </c>
      <c r="P201">
        <v>59</v>
      </c>
      <c r="Q201">
        <f t="shared" si="31"/>
        <v>1</v>
      </c>
      <c r="R201">
        <f t="shared" si="32"/>
        <v>0</v>
      </c>
      <c r="S201">
        <f t="shared" si="33"/>
        <v>26375.884192830072</v>
      </c>
      <c r="T201">
        <f t="shared" si="34"/>
        <v>299.99200000000002</v>
      </c>
      <c r="U201">
        <f t="shared" si="35"/>
        <v>252.89313810314405</v>
      </c>
      <c r="V201">
        <f t="shared" si="36"/>
        <v>0.8429996070000001</v>
      </c>
      <c r="W201">
        <f t="shared" si="37"/>
        <v>0.15869882262000001</v>
      </c>
      <c r="X201">
        <v>1</v>
      </c>
      <c r="Y201">
        <v>1771002413.0999999</v>
      </c>
      <c r="Z201">
        <v>410.02600000000001</v>
      </c>
      <c r="AA201">
        <v>409.94799999999998</v>
      </c>
      <c r="AB201">
        <v>13.7925</v>
      </c>
      <c r="AC201">
        <v>13.7758</v>
      </c>
      <c r="AD201">
        <v>410.935</v>
      </c>
      <c r="AE201">
        <v>13.6965</v>
      </c>
      <c r="AF201">
        <v>800.02800000000002</v>
      </c>
      <c r="AG201">
        <v>100.389</v>
      </c>
      <c r="AH201">
        <v>7.4981199999999998E-2</v>
      </c>
      <c r="AI201">
        <v>19.000599999999999</v>
      </c>
      <c r="AJ201">
        <v>999.9</v>
      </c>
      <c r="AK201">
        <v>999.9</v>
      </c>
      <c r="AL201">
        <v>0</v>
      </c>
      <c r="AM201">
        <v>0</v>
      </c>
      <c r="AN201">
        <v>5008.5</v>
      </c>
      <c r="AO201">
        <v>0</v>
      </c>
      <c r="AP201">
        <v>1.80671</v>
      </c>
      <c r="AQ201">
        <v>7.7545199999999995E-2</v>
      </c>
      <c r="AR201">
        <v>415.76499999999999</v>
      </c>
      <c r="AS201">
        <v>415.67500000000001</v>
      </c>
      <c r="AT201">
        <v>2.7277900000000001E-2</v>
      </c>
      <c r="AU201">
        <v>409.94799999999998</v>
      </c>
      <c r="AV201">
        <v>13.7758</v>
      </c>
      <c r="AW201">
        <v>1.38567</v>
      </c>
      <c r="AX201">
        <v>1.38293</v>
      </c>
      <c r="AY201">
        <v>11.761699999999999</v>
      </c>
      <c r="AZ201">
        <v>11.7318</v>
      </c>
      <c r="BA201">
        <v>299.99200000000002</v>
      </c>
      <c r="BB201">
        <v>0.90001600000000004</v>
      </c>
      <c r="BC201">
        <v>0</v>
      </c>
      <c r="BD201">
        <v>9.9984100000000006E-2</v>
      </c>
      <c r="BE201">
        <v>0</v>
      </c>
      <c r="BF201">
        <v>25</v>
      </c>
      <c r="BG201">
        <v>4946.53</v>
      </c>
      <c r="BH201">
        <v>1771002434.0999999</v>
      </c>
      <c r="BI201" t="s">
        <v>676</v>
      </c>
      <c r="BJ201">
        <v>1771002412.0999999</v>
      </c>
      <c r="BK201">
        <v>1771002434.0999999</v>
      </c>
      <c r="BL201">
        <v>11</v>
      </c>
      <c r="BM201">
        <v>-2.1999999999999999E-2</v>
      </c>
      <c r="BN201">
        <v>-0.01</v>
      </c>
      <c r="BO201">
        <v>-0.90900000000000003</v>
      </c>
      <c r="BP201">
        <v>9.6000000000000002E-2</v>
      </c>
      <c r="BQ201">
        <v>410</v>
      </c>
      <c r="BR201">
        <v>14</v>
      </c>
      <c r="BS201">
        <v>0.35</v>
      </c>
      <c r="BT201">
        <v>0.16</v>
      </c>
      <c r="BU201">
        <v>-0.135076618571429</v>
      </c>
      <c r="BV201">
        <v>2.1513610184415599</v>
      </c>
      <c r="BW201">
        <v>0.27197298395882002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0.32953616666666702</v>
      </c>
      <c r="CD201">
        <v>-4.0169820545454504</v>
      </c>
      <c r="CE201">
        <v>0.52329339591285595</v>
      </c>
      <c r="CF201">
        <v>0</v>
      </c>
      <c r="CG201">
        <v>0</v>
      </c>
      <c r="CH201">
        <v>2</v>
      </c>
      <c r="CI201" t="s">
        <v>299</v>
      </c>
      <c r="CJ201">
        <v>3.5340699999999998</v>
      </c>
      <c r="CK201">
        <v>2.7115399999999998</v>
      </c>
      <c r="CL201">
        <v>9.8294999999999993E-2</v>
      </c>
      <c r="CM201">
        <v>9.6926399999999996E-2</v>
      </c>
      <c r="CN201">
        <v>8.0737900000000001E-2</v>
      </c>
      <c r="CO201">
        <v>7.9651E-2</v>
      </c>
      <c r="CP201">
        <v>31634.6</v>
      </c>
      <c r="CQ201">
        <v>27802.7</v>
      </c>
      <c r="CR201">
        <v>32469.5</v>
      </c>
      <c r="CS201">
        <v>30712.400000000001</v>
      </c>
      <c r="CT201">
        <v>40418.800000000003</v>
      </c>
      <c r="CU201">
        <v>39746.699999999997</v>
      </c>
      <c r="CV201">
        <v>47412.5</v>
      </c>
      <c r="CW201">
        <v>46831.3</v>
      </c>
      <c r="CX201">
        <v>1.70434</v>
      </c>
      <c r="CY201">
        <v>1.6129599999999999</v>
      </c>
      <c r="CZ201">
        <v>0</v>
      </c>
      <c r="DA201">
        <v>0</v>
      </c>
      <c r="DB201">
        <v>999.9</v>
      </c>
      <c r="DC201">
        <v>999.9</v>
      </c>
      <c r="DD201">
        <v>54.468000000000004</v>
      </c>
      <c r="DE201">
        <v>26.657</v>
      </c>
      <c r="DF201">
        <v>19.031199999999998</v>
      </c>
      <c r="DG201">
        <v>30.440100000000001</v>
      </c>
      <c r="DH201">
        <v>16.6066</v>
      </c>
      <c r="DI201">
        <v>2</v>
      </c>
      <c r="DJ201">
        <v>-0.147199</v>
      </c>
      <c r="DK201">
        <v>1.9457500000000001</v>
      </c>
      <c r="DL201">
        <v>20.225000000000001</v>
      </c>
      <c r="DM201">
        <v>5.2429300000000003</v>
      </c>
      <c r="DN201">
        <v>12.033899999999999</v>
      </c>
      <c r="DO201">
        <v>4.9656799999999999</v>
      </c>
      <c r="DP201">
        <v>3.2897400000000001</v>
      </c>
      <c r="DQ201">
        <v>9999</v>
      </c>
      <c r="DR201">
        <v>9999</v>
      </c>
      <c r="DS201">
        <v>597.4</v>
      </c>
      <c r="DT201">
        <v>9999</v>
      </c>
      <c r="DU201">
        <v>1.8711500000000001</v>
      </c>
      <c r="DV201">
        <v>1.87612</v>
      </c>
      <c r="DW201">
        <v>1.87636</v>
      </c>
      <c r="DX201">
        <v>1.8828100000000001</v>
      </c>
      <c r="DY201">
        <v>1.8756200000000001</v>
      </c>
      <c r="DZ201">
        <v>1.87469</v>
      </c>
      <c r="EA201">
        <v>1.87087</v>
      </c>
      <c r="EB201">
        <v>1.8746799999999999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-0.90800000000000003</v>
      </c>
      <c r="EQ201">
        <v>9.6000000000000002E-2</v>
      </c>
      <c r="ER201">
        <v>-0.90870000000001006</v>
      </c>
      <c r="ES201">
        <v>0</v>
      </c>
      <c r="ET201">
        <v>0</v>
      </c>
      <c r="EU201">
        <v>0</v>
      </c>
      <c r="EV201">
        <v>0.10658999999999701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0</v>
      </c>
      <c r="FE201">
        <v>10.199999999999999</v>
      </c>
      <c r="FF201">
        <v>1.2390099999999999</v>
      </c>
      <c r="FG201">
        <v>2.5878899999999998</v>
      </c>
      <c r="FH201">
        <v>2.19604</v>
      </c>
      <c r="FI201">
        <v>2.5756800000000002</v>
      </c>
      <c r="FJ201">
        <v>2.4462899999999999</v>
      </c>
      <c r="FK201">
        <v>2.2900399999999999</v>
      </c>
      <c r="FL201">
        <v>31.389800000000001</v>
      </c>
      <c r="FM201">
        <v>24.122499999999999</v>
      </c>
      <c r="FN201">
        <v>19</v>
      </c>
      <c r="FO201">
        <v>303.63400000000001</v>
      </c>
      <c r="FP201">
        <v>280.95</v>
      </c>
      <c r="FQ201">
        <v>18.3918</v>
      </c>
      <c r="FR201">
        <v>25.166399999999999</v>
      </c>
      <c r="FS201">
        <v>30.0002</v>
      </c>
      <c r="FT201">
        <v>25.174299999999999</v>
      </c>
      <c r="FU201">
        <v>25.176400000000001</v>
      </c>
      <c r="FV201">
        <v>24.878</v>
      </c>
      <c r="FW201">
        <v>28.3188</v>
      </c>
      <c r="FX201">
        <v>9.9629300000000001</v>
      </c>
      <c r="FY201">
        <v>18.391999999999999</v>
      </c>
      <c r="FZ201">
        <v>410</v>
      </c>
      <c r="GA201">
        <v>14.331</v>
      </c>
      <c r="GB201">
        <v>99.910399999999996</v>
      </c>
      <c r="GC201">
        <v>99.698999999999998</v>
      </c>
    </row>
    <row r="202" spans="1:185" x14ac:dyDescent="0.2">
      <c r="A202">
        <v>187</v>
      </c>
      <c r="B202">
        <v>1771002436.0999999</v>
      </c>
      <c r="C202">
        <v>3813</v>
      </c>
      <c r="D202" t="s">
        <v>677</v>
      </c>
      <c r="E202" t="s">
        <v>678</v>
      </c>
      <c r="F202">
        <v>15</v>
      </c>
      <c r="G202">
        <v>1771002435.0999999</v>
      </c>
      <c r="H202">
        <f t="shared" si="26"/>
        <v>2.4349444283699665E-7</v>
      </c>
      <c r="I202">
        <v>0</v>
      </c>
      <c r="J202">
        <f t="shared" si="38"/>
        <v>1.2471833069657848E-3</v>
      </c>
      <c r="K202">
        <f t="shared" si="27"/>
        <v>2.2301201821175919E-2</v>
      </c>
      <c r="L202">
        <f t="shared" si="28"/>
        <v>65.168206884352088</v>
      </c>
      <c r="M202">
        <f t="shared" si="29"/>
        <v>1.43742635589443</v>
      </c>
      <c r="N202">
        <f t="shared" si="30"/>
        <v>2.2057172118381221</v>
      </c>
      <c r="O202">
        <v>474</v>
      </c>
      <c r="P202">
        <v>59</v>
      </c>
      <c r="Q202">
        <f t="shared" si="31"/>
        <v>1</v>
      </c>
      <c r="R202">
        <f t="shared" si="32"/>
        <v>0</v>
      </c>
      <c r="S202">
        <f t="shared" si="33"/>
        <v>26250.278540143139</v>
      </c>
      <c r="T202">
        <f t="shared" si="34"/>
        <v>300.00400000000002</v>
      </c>
      <c r="U202">
        <f t="shared" si="35"/>
        <v>252.90321809794804</v>
      </c>
      <c r="V202">
        <f t="shared" si="36"/>
        <v>0.84299948700000005</v>
      </c>
      <c r="W202">
        <f t="shared" si="37"/>
        <v>0.15869852262</v>
      </c>
      <c r="X202">
        <v>1</v>
      </c>
      <c r="Y202">
        <v>1771002435.0999999</v>
      </c>
      <c r="Z202">
        <v>409.77600000000001</v>
      </c>
      <c r="AA202">
        <v>409.80399999999997</v>
      </c>
      <c r="AB202">
        <v>14.3081</v>
      </c>
      <c r="AC202">
        <v>14.3078</v>
      </c>
      <c r="AD202">
        <v>410.685</v>
      </c>
      <c r="AE202">
        <v>14.2118</v>
      </c>
      <c r="AF202">
        <v>800.03499999999997</v>
      </c>
      <c r="AG202">
        <v>100.387</v>
      </c>
      <c r="AH202">
        <v>7.5420299999999996E-2</v>
      </c>
      <c r="AI202">
        <v>19.003900000000002</v>
      </c>
      <c r="AJ202">
        <v>999.9</v>
      </c>
      <c r="AK202">
        <v>999.9</v>
      </c>
      <c r="AL202">
        <v>0</v>
      </c>
      <c r="AM202">
        <v>0</v>
      </c>
      <c r="AN202">
        <v>4988</v>
      </c>
      <c r="AO202">
        <v>0</v>
      </c>
      <c r="AP202">
        <v>1.80671</v>
      </c>
      <c r="AQ202">
        <v>-2.7648900000000001E-2</v>
      </c>
      <c r="AR202">
        <v>415.72399999999999</v>
      </c>
      <c r="AS202">
        <v>415.75200000000001</v>
      </c>
      <c r="AT202">
        <v>3.2710999999999998E-4</v>
      </c>
      <c r="AU202">
        <v>409.80399999999997</v>
      </c>
      <c r="AV202">
        <v>14.3078</v>
      </c>
      <c r="AW202">
        <v>1.4363600000000001</v>
      </c>
      <c r="AX202">
        <v>1.43632</v>
      </c>
      <c r="AY202">
        <v>12.307</v>
      </c>
      <c r="AZ202">
        <v>12.3066</v>
      </c>
      <c r="BA202">
        <v>300.00400000000002</v>
      </c>
      <c r="BB202">
        <v>0.90002000000000004</v>
      </c>
      <c r="BC202">
        <v>0</v>
      </c>
      <c r="BD202">
        <v>9.9980100000000002E-2</v>
      </c>
      <c r="BE202">
        <v>0</v>
      </c>
      <c r="BF202">
        <v>25</v>
      </c>
      <c r="BG202">
        <v>4946.7299999999996</v>
      </c>
      <c r="BH202">
        <v>1771002434.0999999</v>
      </c>
      <c r="BI202" t="s">
        <v>676</v>
      </c>
      <c r="BJ202">
        <v>1771002412.0999999</v>
      </c>
      <c r="BK202">
        <v>1771002434.0999999</v>
      </c>
      <c r="BL202">
        <v>11</v>
      </c>
      <c r="BM202">
        <v>-2.1999999999999999E-2</v>
      </c>
      <c r="BN202">
        <v>-0.01</v>
      </c>
      <c r="BO202">
        <v>-0.90900000000000003</v>
      </c>
      <c r="BP202">
        <v>9.6000000000000002E-2</v>
      </c>
      <c r="BQ202">
        <v>410</v>
      </c>
      <c r="BR202">
        <v>14</v>
      </c>
      <c r="BS202">
        <v>0.35</v>
      </c>
      <c r="BT202">
        <v>0.16</v>
      </c>
      <c r="BU202">
        <v>-5.5255693809523797E-2</v>
      </c>
      <c r="BV202">
        <v>0.262230918701298</v>
      </c>
      <c r="BW202">
        <v>8.1737848211513905E-2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0.15005552809523801</v>
      </c>
      <c r="CD202">
        <v>-1.76100743376623</v>
      </c>
      <c r="CE202">
        <v>0.23041705280606101</v>
      </c>
      <c r="CF202">
        <v>0</v>
      </c>
      <c r="CG202">
        <v>1</v>
      </c>
      <c r="CH202">
        <v>2</v>
      </c>
      <c r="CI202" t="s">
        <v>290</v>
      </c>
      <c r="CJ202">
        <v>3.5337800000000001</v>
      </c>
      <c r="CK202">
        <v>2.7119900000000001</v>
      </c>
      <c r="CL202">
        <v>9.8260500000000001E-2</v>
      </c>
      <c r="CM202">
        <v>9.6904400000000002E-2</v>
      </c>
      <c r="CN202">
        <v>8.2971100000000006E-2</v>
      </c>
      <c r="CO202">
        <v>8.1926700000000005E-2</v>
      </c>
      <c r="CP202">
        <v>31635.4</v>
      </c>
      <c r="CQ202">
        <v>27802.799999999999</v>
      </c>
      <c r="CR202">
        <v>32469.1</v>
      </c>
      <c r="CS202">
        <v>30711.7</v>
      </c>
      <c r="CT202">
        <v>40317.199999999997</v>
      </c>
      <c r="CU202">
        <v>39644.800000000003</v>
      </c>
      <c r="CV202">
        <v>47412</v>
      </c>
      <c r="CW202">
        <v>46830.400000000001</v>
      </c>
      <c r="CX202">
        <v>1.69658</v>
      </c>
      <c r="CY202">
        <v>1.61778</v>
      </c>
      <c r="CZ202">
        <v>0</v>
      </c>
      <c r="DA202">
        <v>0</v>
      </c>
      <c r="DB202">
        <v>999.9</v>
      </c>
      <c r="DC202">
        <v>999.9</v>
      </c>
      <c r="DD202">
        <v>54.395000000000003</v>
      </c>
      <c r="DE202">
        <v>26.667000000000002</v>
      </c>
      <c r="DF202">
        <v>19.017900000000001</v>
      </c>
      <c r="DG202">
        <v>29.850100000000001</v>
      </c>
      <c r="DH202">
        <v>16.758800000000001</v>
      </c>
      <c r="DI202">
        <v>2</v>
      </c>
      <c r="DJ202">
        <v>-0.14671500000000001</v>
      </c>
      <c r="DK202">
        <v>1.9720899999999999</v>
      </c>
      <c r="DL202">
        <v>20.225000000000001</v>
      </c>
      <c r="DM202">
        <v>5.2460399999999998</v>
      </c>
      <c r="DN202">
        <v>12.033899999999999</v>
      </c>
      <c r="DO202">
        <v>4.9662800000000002</v>
      </c>
      <c r="DP202">
        <v>3.2902399999999998</v>
      </c>
      <c r="DQ202">
        <v>9999</v>
      </c>
      <c r="DR202">
        <v>9999</v>
      </c>
      <c r="DS202">
        <v>597.4</v>
      </c>
      <c r="DT202">
        <v>9999</v>
      </c>
      <c r="DU202">
        <v>1.87114</v>
      </c>
      <c r="DV202">
        <v>1.8761099999999999</v>
      </c>
      <c r="DW202">
        <v>1.87635</v>
      </c>
      <c r="DX202">
        <v>1.8828199999999999</v>
      </c>
      <c r="DY202">
        <v>1.87561</v>
      </c>
      <c r="DZ202">
        <v>1.87469</v>
      </c>
      <c r="EA202">
        <v>1.87087</v>
      </c>
      <c r="EB202">
        <v>1.8746799999999999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-0.90900000000000003</v>
      </c>
      <c r="EQ202">
        <v>9.6299999999999997E-2</v>
      </c>
      <c r="ER202">
        <v>-0.90870000000001006</v>
      </c>
      <c r="ES202">
        <v>0</v>
      </c>
      <c r="ET202">
        <v>0</v>
      </c>
      <c r="EU202">
        <v>0</v>
      </c>
      <c r="EV202">
        <v>9.6329999999998306E-2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0.4</v>
      </c>
      <c r="FE202">
        <v>0</v>
      </c>
      <c r="FF202">
        <v>1.2390099999999999</v>
      </c>
      <c r="FG202">
        <v>2.5854499999999998</v>
      </c>
      <c r="FH202">
        <v>2.19604</v>
      </c>
      <c r="FI202">
        <v>2.5756800000000002</v>
      </c>
      <c r="FJ202">
        <v>2.4462899999999999</v>
      </c>
      <c r="FK202">
        <v>2.3010299999999999</v>
      </c>
      <c r="FL202">
        <v>31.4115</v>
      </c>
      <c r="FM202">
        <v>24.122499999999999</v>
      </c>
      <c r="FN202">
        <v>19</v>
      </c>
      <c r="FO202">
        <v>300.84399999999999</v>
      </c>
      <c r="FP202">
        <v>282.73899999999998</v>
      </c>
      <c r="FQ202">
        <v>18.389900000000001</v>
      </c>
      <c r="FR202">
        <v>25.173200000000001</v>
      </c>
      <c r="FS202">
        <v>30.0002</v>
      </c>
      <c r="FT202">
        <v>25.183700000000002</v>
      </c>
      <c r="FU202">
        <v>25.183499999999999</v>
      </c>
      <c r="FV202">
        <v>24.881499999999999</v>
      </c>
      <c r="FW202">
        <v>29.500499999999999</v>
      </c>
      <c r="FX202">
        <v>9.9629300000000001</v>
      </c>
      <c r="FY202">
        <v>18.384899999999998</v>
      </c>
      <c r="FZ202">
        <v>410</v>
      </c>
      <c r="GA202">
        <v>14.125999999999999</v>
      </c>
      <c r="GB202">
        <v>99.909300000000002</v>
      </c>
      <c r="GC202">
        <v>99.696899999999999</v>
      </c>
    </row>
    <row r="203" spans="1:185" x14ac:dyDescent="0.2">
      <c r="A203">
        <v>188</v>
      </c>
      <c r="B203">
        <v>1771002451.0999999</v>
      </c>
      <c r="C203">
        <v>3828</v>
      </c>
      <c r="D203" t="s">
        <v>679</v>
      </c>
      <c r="E203" t="s">
        <v>680</v>
      </c>
      <c r="F203">
        <v>15</v>
      </c>
      <c r="G203">
        <v>1771002443.03333</v>
      </c>
      <c r="H203">
        <f t="shared" si="26"/>
        <v>1.0920576810439727E-3</v>
      </c>
      <c r="I203">
        <v>0</v>
      </c>
      <c r="J203">
        <f t="shared" si="38"/>
        <v>7.5491874226526132E-3</v>
      </c>
      <c r="K203">
        <f t="shared" si="27"/>
        <v>0.13498893976383014</v>
      </c>
      <c r="L203">
        <f t="shared" si="28"/>
        <v>69.81860155412339</v>
      </c>
      <c r="M203">
        <f t="shared" si="29"/>
        <v>1.5396780535838921</v>
      </c>
      <c r="N203">
        <f t="shared" si="30"/>
        <v>2.205254787852394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26290.682896559814</v>
      </c>
      <c r="T203">
        <f t="shared" si="34"/>
        <v>299.99900000000002</v>
      </c>
      <c r="U203">
        <f t="shared" si="35"/>
        <v>252.89896020065603</v>
      </c>
      <c r="V203">
        <f t="shared" si="36"/>
        <v>0.84299934400000009</v>
      </c>
      <c r="W203">
        <f t="shared" si="37"/>
        <v>0.15869823008000003</v>
      </c>
      <c r="X203">
        <v>1</v>
      </c>
      <c r="Y203">
        <v>1771002443.03333</v>
      </c>
      <c r="Z203">
        <v>409.253266666667</v>
      </c>
      <c r="AA203">
        <v>409.98033333333302</v>
      </c>
      <c r="AB203">
        <v>15.327253333333299</v>
      </c>
      <c r="AC203">
        <v>13.9837133333333</v>
      </c>
      <c r="AD203">
        <v>410.16199999999998</v>
      </c>
      <c r="AE203">
        <v>15.2309466666667</v>
      </c>
      <c r="AF203">
        <v>800.36279999999999</v>
      </c>
      <c r="AG203">
        <v>100.387466666667</v>
      </c>
      <c r="AH203">
        <v>6.6151479999999999E-2</v>
      </c>
      <c r="AI203">
        <v>19.000540000000001</v>
      </c>
      <c r="AJ203">
        <v>999.9</v>
      </c>
      <c r="AK203">
        <v>999.9</v>
      </c>
      <c r="AL203">
        <v>0</v>
      </c>
      <c r="AM203">
        <v>0</v>
      </c>
      <c r="AN203">
        <v>4994.5666666666702</v>
      </c>
      <c r="AO203">
        <v>0</v>
      </c>
      <c r="AP203">
        <v>1.80671</v>
      </c>
      <c r="AQ203">
        <v>-0.72703252666666696</v>
      </c>
      <c r="AR203">
        <v>415.623533333333</v>
      </c>
      <c r="AS203">
        <v>415.79466666666701</v>
      </c>
      <c r="AT203">
        <v>1.3435483406666699</v>
      </c>
      <c r="AU203">
        <v>409.98033333333302</v>
      </c>
      <c r="AV203">
        <v>13.9837133333333</v>
      </c>
      <c r="AW203">
        <v>1.53866533333333</v>
      </c>
      <c r="AX203">
        <v>1.40378933333333</v>
      </c>
      <c r="AY203">
        <v>13.353526666666699</v>
      </c>
      <c r="AZ203">
        <v>11.95716</v>
      </c>
      <c r="BA203">
        <v>299.99900000000002</v>
      </c>
      <c r="BB203">
        <v>0.90002380000000004</v>
      </c>
      <c r="BC203">
        <v>0</v>
      </c>
      <c r="BD203">
        <v>9.9976266666666702E-2</v>
      </c>
      <c r="BE203">
        <v>0</v>
      </c>
      <c r="BF203">
        <v>25</v>
      </c>
      <c r="BG203">
        <v>4946.6540000000005</v>
      </c>
      <c r="BH203">
        <v>1771002434.0999999</v>
      </c>
      <c r="BI203" t="s">
        <v>676</v>
      </c>
      <c r="BJ203">
        <v>1771002412.0999999</v>
      </c>
      <c r="BK203">
        <v>1771002434.0999999</v>
      </c>
      <c r="BL203">
        <v>11</v>
      </c>
      <c r="BM203">
        <v>-2.1999999999999999E-2</v>
      </c>
      <c r="BN203">
        <v>-0.01</v>
      </c>
      <c r="BO203">
        <v>-0.90900000000000003</v>
      </c>
      <c r="BP203">
        <v>9.6000000000000002E-2</v>
      </c>
      <c r="BQ203">
        <v>410</v>
      </c>
      <c r="BR203">
        <v>14</v>
      </c>
      <c r="BS203">
        <v>0.35</v>
      </c>
      <c r="BT203">
        <v>0.16</v>
      </c>
      <c r="BU203">
        <v>-0.55855562749999998</v>
      </c>
      <c r="BV203">
        <v>-3.4287653706766901</v>
      </c>
      <c r="BW203">
        <v>0.37831701667109102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1.0133557824999999</v>
      </c>
      <c r="CD203">
        <v>7.2616581839097698</v>
      </c>
      <c r="CE203">
        <v>0.75495936189628199</v>
      </c>
      <c r="CF203">
        <v>0</v>
      </c>
      <c r="CG203">
        <v>0</v>
      </c>
      <c r="CH203">
        <v>2</v>
      </c>
      <c r="CI203" t="s">
        <v>299</v>
      </c>
      <c r="CJ203">
        <v>3.5325299999999999</v>
      </c>
      <c r="CK203">
        <v>2.7022699999999999</v>
      </c>
      <c r="CL203">
        <v>9.8170900000000005E-2</v>
      </c>
      <c r="CM203">
        <v>9.6930299999999997E-2</v>
      </c>
      <c r="CN203">
        <v>8.7773400000000001E-2</v>
      </c>
      <c r="CO203">
        <v>7.9732800000000006E-2</v>
      </c>
      <c r="CP203">
        <v>31637.7</v>
      </c>
      <c r="CQ203">
        <v>27801.8</v>
      </c>
      <c r="CR203">
        <v>32468.2</v>
      </c>
      <c r="CS203">
        <v>30711.5</v>
      </c>
      <c r="CT203">
        <v>40098</v>
      </c>
      <c r="CU203">
        <v>39741.9</v>
      </c>
      <c r="CV203">
        <v>47410.400000000001</v>
      </c>
      <c r="CW203">
        <v>46830</v>
      </c>
      <c r="CX203">
        <v>2.6247400000000001</v>
      </c>
      <c r="CY203">
        <v>2.14168</v>
      </c>
      <c r="CZ203">
        <v>0</v>
      </c>
      <c r="DA203">
        <v>0</v>
      </c>
      <c r="DB203">
        <v>999.9</v>
      </c>
      <c r="DC203">
        <v>999.9</v>
      </c>
      <c r="DD203">
        <v>54.345999999999997</v>
      </c>
      <c r="DE203">
        <v>26.687000000000001</v>
      </c>
      <c r="DF203">
        <v>19.0229</v>
      </c>
      <c r="DG203">
        <v>30.240100000000002</v>
      </c>
      <c r="DH203">
        <v>16.3782</v>
      </c>
      <c r="DI203">
        <v>2</v>
      </c>
      <c r="DJ203">
        <v>-0.14621999999999999</v>
      </c>
      <c r="DK203">
        <v>1.9629300000000001</v>
      </c>
      <c r="DL203">
        <v>20.226500000000001</v>
      </c>
      <c r="DM203">
        <v>5.2501199999999999</v>
      </c>
      <c r="DN203">
        <v>12.033899999999999</v>
      </c>
      <c r="DO203">
        <v>4.9672799999999997</v>
      </c>
      <c r="DP203">
        <v>3.2909999999999999</v>
      </c>
      <c r="DQ203">
        <v>9999</v>
      </c>
      <c r="DR203">
        <v>9999</v>
      </c>
      <c r="DS203">
        <v>597.4</v>
      </c>
      <c r="DT203">
        <v>9999</v>
      </c>
      <c r="DU203">
        <v>1.8711</v>
      </c>
      <c r="DV203">
        <v>1.87608</v>
      </c>
      <c r="DW203">
        <v>1.8763000000000001</v>
      </c>
      <c r="DX203">
        <v>1.8827799999999999</v>
      </c>
      <c r="DY203">
        <v>1.8755999999999999</v>
      </c>
      <c r="DZ203">
        <v>1.8746499999999999</v>
      </c>
      <c r="EA203">
        <v>1.8708400000000001</v>
      </c>
      <c r="EB203">
        <v>1.87466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-0.90900000000000003</v>
      </c>
      <c r="EQ203">
        <v>9.64E-2</v>
      </c>
      <c r="ER203">
        <v>-0.90870000000001006</v>
      </c>
      <c r="ES203">
        <v>0</v>
      </c>
      <c r="ET203">
        <v>0</v>
      </c>
      <c r="EU203">
        <v>0</v>
      </c>
      <c r="EV203">
        <v>9.6329999999998306E-2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0.7</v>
      </c>
      <c r="FE203">
        <v>0.3</v>
      </c>
      <c r="FF203">
        <v>1.2390099999999999</v>
      </c>
      <c r="FG203">
        <v>2.5927699999999998</v>
      </c>
      <c r="FH203">
        <v>2.19604</v>
      </c>
      <c r="FI203">
        <v>2.5756800000000002</v>
      </c>
      <c r="FJ203">
        <v>2.4462899999999999</v>
      </c>
      <c r="FK203">
        <v>2.3022499999999999</v>
      </c>
      <c r="FL203">
        <v>31.4115</v>
      </c>
      <c r="FM203">
        <v>24.157499999999999</v>
      </c>
      <c r="FN203">
        <v>19</v>
      </c>
      <c r="FO203">
        <v>861.8</v>
      </c>
      <c r="FP203">
        <v>581.51700000000005</v>
      </c>
      <c r="FQ203">
        <v>18.382300000000001</v>
      </c>
      <c r="FR203">
        <v>25.178699999999999</v>
      </c>
      <c r="FS203">
        <v>30.0001</v>
      </c>
      <c r="FT203">
        <v>25.171800000000001</v>
      </c>
      <c r="FU203">
        <v>25.171399999999998</v>
      </c>
      <c r="FV203">
        <v>24.878499999999999</v>
      </c>
      <c r="FW203">
        <v>30.599499999999999</v>
      </c>
      <c r="FX203">
        <v>9.5849799999999998</v>
      </c>
      <c r="FY203">
        <v>18.3873</v>
      </c>
      <c r="FZ203">
        <v>410</v>
      </c>
      <c r="GA203">
        <v>13.7712</v>
      </c>
      <c r="GB203">
        <v>99.906199999999998</v>
      </c>
      <c r="GC203">
        <v>99.696200000000005</v>
      </c>
    </row>
    <row r="204" spans="1:185" x14ac:dyDescent="0.2">
      <c r="A204">
        <v>189</v>
      </c>
      <c r="B204">
        <v>1771002466.0999999</v>
      </c>
      <c r="C204">
        <v>3843</v>
      </c>
      <c r="D204" t="s">
        <v>681</v>
      </c>
      <c r="E204" t="s">
        <v>682</v>
      </c>
      <c r="F204">
        <v>15</v>
      </c>
      <c r="G204">
        <v>1771002458.03333</v>
      </c>
      <c r="H204">
        <f t="shared" si="26"/>
        <v>1.3355470195601214E-3</v>
      </c>
      <c r="I204">
        <v>0</v>
      </c>
      <c r="J204">
        <f t="shared" si="38"/>
        <v>5.3239563468430191E-3</v>
      </c>
      <c r="K204">
        <f t="shared" si="27"/>
        <v>9.5199017109145675E-2</v>
      </c>
      <c r="L204">
        <f t="shared" si="28"/>
        <v>70.302699613995443</v>
      </c>
      <c r="M204">
        <f t="shared" si="29"/>
        <v>1.5503659037669382</v>
      </c>
      <c r="N204">
        <f t="shared" si="30"/>
        <v>2.2052722189608498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26281.070496765245</v>
      </c>
      <c r="T204">
        <f t="shared" si="34"/>
        <v>299.99866666666702</v>
      </c>
      <c r="U204">
        <f t="shared" si="35"/>
        <v>252.89855320143488</v>
      </c>
      <c r="V204">
        <f t="shared" si="36"/>
        <v>0.84299892399999976</v>
      </c>
      <c r="W204">
        <f t="shared" si="37"/>
        <v>0.15869743991999996</v>
      </c>
      <c r="X204">
        <v>1</v>
      </c>
      <c r="Y204">
        <v>1771002458.03333</v>
      </c>
      <c r="Z204">
        <v>409.167666666667</v>
      </c>
      <c r="AA204">
        <v>409.96973333333301</v>
      </c>
      <c r="AB204">
        <v>15.433820000000001</v>
      </c>
      <c r="AC204">
        <v>13.7901733333333</v>
      </c>
      <c r="AD204">
        <v>410.07646666666699</v>
      </c>
      <c r="AE204">
        <v>15.337493333333301</v>
      </c>
      <c r="AF204">
        <v>800.0104</v>
      </c>
      <c r="AG204">
        <v>100.38800000000001</v>
      </c>
      <c r="AH204">
        <v>6.4506493333333303E-2</v>
      </c>
      <c r="AI204">
        <v>19.000666666666699</v>
      </c>
      <c r="AJ204">
        <v>999.9</v>
      </c>
      <c r="AK204">
        <v>999.9</v>
      </c>
      <c r="AL204">
        <v>0</v>
      </c>
      <c r="AM204">
        <v>0</v>
      </c>
      <c r="AN204">
        <v>4992.9666666666699</v>
      </c>
      <c r="AO204">
        <v>0</v>
      </c>
      <c r="AP204">
        <v>1.80671</v>
      </c>
      <c r="AQ204">
        <v>-0.80207933333333303</v>
      </c>
      <c r="AR204">
        <v>415.58179999999999</v>
      </c>
      <c r="AS204">
        <v>415.70240000000001</v>
      </c>
      <c r="AT204">
        <v>1.6436533333333301</v>
      </c>
      <c r="AU204">
        <v>409.96973333333301</v>
      </c>
      <c r="AV204">
        <v>13.7901733333333</v>
      </c>
      <c r="AW204">
        <v>1.54937066666667</v>
      </c>
      <c r="AX204">
        <v>1.384368</v>
      </c>
      <c r="AY204">
        <v>13.464273333333299</v>
      </c>
      <c r="AZ204">
        <v>11.747479999999999</v>
      </c>
      <c r="BA204">
        <v>299.99866666666702</v>
      </c>
      <c r="BB204">
        <v>0.90003393333333304</v>
      </c>
      <c r="BC204">
        <v>0</v>
      </c>
      <c r="BD204">
        <v>9.9965999999999999E-2</v>
      </c>
      <c r="BE204">
        <v>0</v>
      </c>
      <c r="BF204">
        <v>25</v>
      </c>
      <c r="BG204">
        <v>4946.6613333333298</v>
      </c>
      <c r="BH204">
        <v>1771002434.0999999</v>
      </c>
      <c r="BI204" t="s">
        <v>676</v>
      </c>
      <c r="BJ204">
        <v>1771002412.0999999</v>
      </c>
      <c r="BK204">
        <v>1771002434.0999999</v>
      </c>
      <c r="BL204">
        <v>11</v>
      </c>
      <c r="BM204">
        <v>-2.1999999999999999E-2</v>
      </c>
      <c r="BN204">
        <v>-0.01</v>
      </c>
      <c r="BO204">
        <v>-0.90900000000000003</v>
      </c>
      <c r="BP204">
        <v>9.6000000000000002E-2</v>
      </c>
      <c r="BQ204">
        <v>410</v>
      </c>
      <c r="BR204">
        <v>14</v>
      </c>
      <c r="BS204">
        <v>0.35</v>
      </c>
      <c r="BT204">
        <v>0.16</v>
      </c>
      <c r="BU204">
        <v>-0.81588314285714303</v>
      </c>
      <c r="BV204">
        <v>0.139854467532467</v>
      </c>
      <c r="BW204">
        <v>3.3346477638340699E-2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1.66599095238095</v>
      </c>
      <c r="CD204">
        <v>-0.39676519480519101</v>
      </c>
      <c r="CE204">
        <v>4.1684856437750002E-2</v>
      </c>
      <c r="CF204">
        <v>0</v>
      </c>
      <c r="CG204">
        <v>1</v>
      </c>
      <c r="CH204">
        <v>2</v>
      </c>
      <c r="CI204" t="s">
        <v>290</v>
      </c>
      <c r="CJ204">
        <v>3.53247</v>
      </c>
      <c r="CK204">
        <v>2.7021000000000002</v>
      </c>
      <c r="CL204">
        <v>9.81654E-2</v>
      </c>
      <c r="CM204">
        <v>9.6939899999999996E-2</v>
      </c>
      <c r="CN204">
        <v>8.7432700000000002E-2</v>
      </c>
      <c r="CO204">
        <v>7.9673300000000002E-2</v>
      </c>
      <c r="CP204">
        <v>31637.9</v>
      </c>
      <c r="CQ204">
        <v>27801.3</v>
      </c>
      <c r="CR204">
        <v>32468.2</v>
      </c>
      <c r="CS204">
        <v>30711.3</v>
      </c>
      <c r="CT204">
        <v>40114.199999999997</v>
      </c>
      <c r="CU204">
        <v>39744.9</v>
      </c>
      <c r="CV204">
        <v>47411.199999999997</v>
      </c>
      <c r="CW204">
        <v>46830.400000000001</v>
      </c>
      <c r="CX204">
        <v>2.6269</v>
      </c>
      <c r="CY204">
        <v>2.1424400000000001</v>
      </c>
      <c r="CZ204">
        <v>0</v>
      </c>
      <c r="DA204">
        <v>0</v>
      </c>
      <c r="DB204">
        <v>999.9</v>
      </c>
      <c r="DC204">
        <v>999.9</v>
      </c>
      <c r="DD204">
        <v>54.296999999999997</v>
      </c>
      <c r="DE204">
        <v>26.696999999999999</v>
      </c>
      <c r="DF204">
        <v>19.017499999999998</v>
      </c>
      <c r="DG204">
        <v>30.540099999999999</v>
      </c>
      <c r="DH204">
        <v>16.5184</v>
      </c>
      <c r="DI204">
        <v>2</v>
      </c>
      <c r="DJ204">
        <v>-0.14596500000000001</v>
      </c>
      <c r="DK204">
        <v>1.97167</v>
      </c>
      <c r="DL204">
        <v>20.225999999999999</v>
      </c>
      <c r="DM204">
        <v>5.2480799999999999</v>
      </c>
      <c r="DN204">
        <v>12.033899999999999</v>
      </c>
      <c r="DO204">
        <v>4.9668400000000004</v>
      </c>
      <c r="DP204">
        <v>3.2906599999999999</v>
      </c>
      <c r="DQ204">
        <v>9999</v>
      </c>
      <c r="DR204">
        <v>9999</v>
      </c>
      <c r="DS204">
        <v>597.4</v>
      </c>
      <c r="DT204">
        <v>9999</v>
      </c>
      <c r="DU204">
        <v>1.8710899999999999</v>
      </c>
      <c r="DV204">
        <v>1.87608</v>
      </c>
      <c r="DW204">
        <v>1.8763399999999999</v>
      </c>
      <c r="DX204">
        <v>1.88279</v>
      </c>
      <c r="DY204">
        <v>1.87561</v>
      </c>
      <c r="DZ204">
        <v>1.8746700000000001</v>
      </c>
      <c r="EA204">
        <v>1.87083</v>
      </c>
      <c r="EB204">
        <v>1.8746799999999999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-0.90900000000000003</v>
      </c>
      <c r="EQ204">
        <v>9.64E-2</v>
      </c>
      <c r="ER204">
        <v>-0.90870000000001006</v>
      </c>
      <c r="ES204">
        <v>0</v>
      </c>
      <c r="ET204">
        <v>0</v>
      </c>
      <c r="EU204">
        <v>0</v>
      </c>
      <c r="EV204">
        <v>9.6329999999998306E-2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0.9</v>
      </c>
      <c r="FE204">
        <v>0.5</v>
      </c>
      <c r="FF204">
        <v>1.2390099999999999</v>
      </c>
      <c r="FG204">
        <v>2.5891099999999998</v>
      </c>
      <c r="FH204">
        <v>2.19604</v>
      </c>
      <c r="FI204">
        <v>2.5756800000000002</v>
      </c>
      <c r="FJ204">
        <v>2.4462899999999999</v>
      </c>
      <c r="FK204">
        <v>2.2936999999999999</v>
      </c>
      <c r="FL204">
        <v>31.433299999999999</v>
      </c>
      <c r="FM204">
        <v>24.148800000000001</v>
      </c>
      <c r="FN204">
        <v>19</v>
      </c>
      <c r="FO204">
        <v>863.83699999999999</v>
      </c>
      <c r="FP204">
        <v>582.15099999999995</v>
      </c>
      <c r="FQ204">
        <v>18.387899999999998</v>
      </c>
      <c r="FR204">
        <v>25.183299999999999</v>
      </c>
      <c r="FS204">
        <v>30.0002</v>
      </c>
      <c r="FT204">
        <v>25.173999999999999</v>
      </c>
      <c r="FU204">
        <v>25.175599999999999</v>
      </c>
      <c r="FV204">
        <v>24.8795</v>
      </c>
      <c r="FW204">
        <v>30.599499999999999</v>
      </c>
      <c r="FX204">
        <v>9.2102500000000003</v>
      </c>
      <c r="FY204">
        <v>18.385400000000001</v>
      </c>
      <c r="FZ204">
        <v>410</v>
      </c>
      <c r="GA204">
        <v>13.800700000000001</v>
      </c>
      <c r="GB204">
        <v>99.907200000000003</v>
      </c>
      <c r="GC204">
        <v>99.6965</v>
      </c>
    </row>
    <row r="205" spans="1:185" x14ac:dyDescent="0.2">
      <c r="A205">
        <v>190</v>
      </c>
      <c r="B205">
        <v>1771002481.0999999</v>
      </c>
      <c r="C205">
        <v>3858</v>
      </c>
      <c r="D205" t="s">
        <v>683</v>
      </c>
      <c r="E205" t="s">
        <v>684</v>
      </c>
      <c r="F205">
        <v>15</v>
      </c>
      <c r="G205">
        <v>1771002473.03333</v>
      </c>
      <c r="H205">
        <f t="shared" si="26"/>
        <v>1.3127874708980475E-3</v>
      </c>
      <c r="I205">
        <v>0</v>
      </c>
      <c r="J205">
        <f t="shared" si="38"/>
        <v>8.0680821418586523E-3</v>
      </c>
      <c r="K205">
        <f t="shared" si="27"/>
        <v>0.14426742817232979</v>
      </c>
      <c r="L205">
        <f t="shared" si="28"/>
        <v>70.113966321399985</v>
      </c>
      <c r="M205">
        <f t="shared" si="29"/>
        <v>1.5464328315254188</v>
      </c>
      <c r="N205">
        <f t="shared" si="30"/>
        <v>2.2055988452238235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26308.733497775025</v>
      </c>
      <c r="T205">
        <f t="shared" si="34"/>
        <v>300.00119999999998</v>
      </c>
      <c r="U205">
        <f t="shared" si="35"/>
        <v>252.90065669858032</v>
      </c>
      <c r="V205">
        <f t="shared" si="36"/>
        <v>0.84299881699999979</v>
      </c>
      <c r="W205">
        <f t="shared" si="37"/>
        <v>0.15869723737999997</v>
      </c>
      <c r="X205">
        <v>1</v>
      </c>
      <c r="Y205">
        <v>1771002473.03333</v>
      </c>
      <c r="Z205">
        <v>409.14906666666701</v>
      </c>
      <c r="AA205">
        <v>410.00080000000003</v>
      </c>
      <c r="AB205">
        <v>15.3945333333333</v>
      </c>
      <c r="AC205">
        <v>13.778826666666699</v>
      </c>
      <c r="AD205">
        <v>410.05779999999999</v>
      </c>
      <c r="AE205">
        <v>15.2982</v>
      </c>
      <c r="AF205">
        <v>800.00766666666698</v>
      </c>
      <c r="AG205">
        <v>100.38906666666701</v>
      </c>
      <c r="AH205">
        <v>6.4308439999999994E-2</v>
      </c>
      <c r="AI205">
        <v>19.003039999999999</v>
      </c>
      <c r="AJ205">
        <v>999.9</v>
      </c>
      <c r="AK205">
        <v>999.9</v>
      </c>
      <c r="AL205">
        <v>0</v>
      </c>
      <c r="AM205">
        <v>0</v>
      </c>
      <c r="AN205">
        <v>4997.5</v>
      </c>
      <c r="AO205">
        <v>0</v>
      </c>
      <c r="AP205">
        <v>1.77660066666667</v>
      </c>
      <c r="AQ205">
        <v>-0.85159093333333302</v>
      </c>
      <c r="AR205">
        <v>415.5462</v>
      </c>
      <c r="AS205">
        <v>415.72906666666699</v>
      </c>
      <c r="AT205">
        <v>1.615702</v>
      </c>
      <c r="AU205">
        <v>410.00080000000003</v>
      </c>
      <c r="AV205">
        <v>13.778826666666699</v>
      </c>
      <c r="AW205">
        <v>1.54544066666667</v>
      </c>
      <c r="AX205">
        <v>1.38324466666667</v>
      </c>
      <c r="AY205">
        <v>13.425319999999999</v>
      </c>
      <c r="AZ205">
        <v>11.73518</v>
      </c>
      <c r="BA205">
        <v>300.00119999999998</v>
      </c>
      <c r="BB205">
        <v>0.900036533333333</v>
      </c>
      <c r="BC205">
        <v>0</v>
      </c>
      <c r="BD205">
        <v>9.9963366666666706E-2</v>
      </c>
      <c r="BE205">
        <v>0</v>
      </c>
      <c r="BF205">
        <v>25</v>
      </c>
      <c r="BG205">
        <v>4946.7046666666702</v>
      </c>
      <c r="BH205">
        <v>1771002434.0999999</v>
      </c>
      <c r="BI205" t="s">
        <v>676</v>
      </c>
      <c r="BJ205">
        <v>1771002412.0999999</v>
      </c>
      <c r="BK205">
        <v>1771002434.0999999</v>
      </c>
      <c r="BL205">
        <v>11</v>
      </c>
      <c r="BM205">
        <v>-2.1999999999999999E-2</v>
      </c>
      <c r="BN205">
        <v>-0.01</v>
      </c>
      <c r="BO205">
        <v>-0.90900000000000003</v>
      </c>
      <c r="BP205">
        <v>9.6000000000000002E-2</v>
      </c>
      <c r="BQ205">
        <v>410</v>
      </c>
      <c r="BR205">
        <v>14</v>
      </c>
      <c r="BS205">
        <v>0.35</v>
      </c>
      <c r="BT205">
        <v>0.16</v>
      </c>
      <c r="BU205">
        <v>-0.84588160000000001</v>
      </c>
      <c r="BV205">
        <v>-3.6526105263158401E-2</v>
      </c>
      <c r="BW205">
        <v>3.2875434160479201E-2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1.6176655</v>
      </c>
      <c r="CD205">
        <v>-4.5115037593984102E-2</v>
      </c>
      <c r="CE205">
        <v>4.7018341899730696E-3</v>
      </c>
      <c r="CF205">
        <v>1</v>
      </c>
      <c r="CG205">
        <v>2</v>
      </c>
      <c r="CH205">
        <v>2</v>
      </c>
      <c r="CI205" t="s">
        <v>304</v>
      </c>
      <c r="CJ205">
        <v>3.5325099999999998</v>
      </c>
      <c r="CK205">
        <v>2.70207</v>
      </c>
      <c r="CL205">
        <v>9.8175299999999993E-2</v>
      </c>
      <c r="CM205">
        <v>9.6931000000000003E-2</v>
      </c>
      <c r="CN205">
        <v>8.7359999999999993E-2</v>
      </c>
      <c r="CO205">
        <v>7.9666000000000001E-2</v>
      </c>
      <c r="CP205">
        <v>31638</v>
      </c>
      <c r="CQ205">
        <v>27801.8</v>
      </c>
      <c r="CR205">
        <v>32468.6</v>
      </c>
      <c r="CS205">
        <v>30711.599999999999</v>
      </c>
      <c r="CT205">
        <v>40117.9</v>
      </c>
      <c r="CU205">
        <v>39745.5</v>
      </c>
      <c r="CV205">
        <v>47411.6</v>
      </c>
      <c r="CW205">
        <v>46830.7</v>
      </c>
      <c r="CX205">
        <v>2.6275599999999999</v>
      </c>
      <c r="CY205">
        <v>2.1426599999999998</v>
      </c>
      <c r="CZ205">
        <v>0</v>
      </c>
      <c r="DA205">
        <v>0</v>
      </c>
      <c r="DB205">
        <v>999.9</v>
      </c>
      <c r="DC205">
        <v>999.9</v>
      </c>
      <c r="DD205">
        <v>54.223999999999997</v>
      </c>
      <c r="DE205">
        <v>26.696999999999999</v>
      </c>
      <c r="DF205">
        <v>18.9909</v>
      </c>
      <c r="DG205">
        <v>30.600100000000001</v>
      </c>
      <c r="DH205">
        <v>16.406199999999998</v>
      </c>
      <c r="DI205">
        <v>2</v>
      </c>
      <c r="DJ205">
        <v>-0.14552399999999999</v>
      </c>
      <c r="DK205">
        <v>1.9904900000000001</v>
      </c>
      <c r="DL205">
        <v>20.226099999999999</v>
      </c>
      <c r="DM205">
        <v>5.2509499999999996</v>
      </c>
      <c r="DN205">
        <v>12.033899999999999</v>
      </c>
      <c r="DO205">
        <v>4.96732</v>
      </c>
      <c r="DP205">
        <v>3.2910200000000001</v>
      </c>
      <c r="DQ205">
        <v>9999</v>
      </c>
      <c r="DR205">
        <v>9999</v>
      </c>
      <c r="DS205">
        <v>597.4</v>
      </c>
      <c r="DT205">
        <v>9999</v>
      </c>
      <c r="DU205">
        <v>1.8710800000000001</v>
      </c>
      <c r="DV205">
        <v>1.87609</v>
      </c>
      <c r="DW205">
        <v>1.87636</v>
      </c>
      <c r="DX205">
        <v>1.8827799999999999</v>
      </c>
      <c r="DY205">
        <v>1.87561</v>
      </c>
      <c r="DZ205">
        <v>1.8746799999999999</v>
      </c>
      <c r="EA205">
        <v>1.8708400000000001</v>
      </c>
      <c r="EB205">
        <v>1.8746700000000001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-0.90900000000000003</v>
      </c>
      <c r="EQ205">
        <v>9.6299999999999997E-2</v>
      </c>
      <c r="ER205">
        <v>-0.90870000000001006</v>
      </c>
      <c r="ES205">
        <v>0</v>
      </c>
      <c r="ET205">
        <v>0</v>
      </c>
      <c r="EU205">
        <v>0</v>
      </c>
      <c r="EV205">
        <v>9.6329999999998306E-2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1.1000000000000001</v>
      </c>
      <c r="FE205">
        <v>0.8</v>
      </c>
      <c r="FF205">
        <v>1.2390099999999999</v>
      </c>
      <c r="FG205">
        <v>2.5903299999999998</v>
      </c>
      <c r="FH205">
        <v>2.19604</v>
      </c>
      <c r="FI205">
        <v>2.5756800000000002</v>
      </c>
      <c r="FJ205">
        <v>2.4462899999999999</v>
      </c>
      <c r="FK205">
        <v>2.2607400000000002</v>
      </c>
      <c r="FL205">
        <v>31.433299999999999</v>
      </c>
      <c r="FM205">
        <v>24.148800000000001</v>
      </c>
      <c r="FN205">
        <v>19</v>
      </c>
      <c r="FO205">
        <v>864.51700000000005</v>
      </c>
      <c r="FP205">
        <v>582.36900000000003</v>
      </c>
      <c r="FQ205">
        <v>18.38</v>
      </c>
      <c r="FR205">
        <v>25.1875</v>
      </c>
      <c r="FS205">
        <v>30.0002</v>
      </c>
      <c r="FT205">
        <v>25.178100000000001</v>
      </c>
      <c r="FU205">
        <v>25.1798</v>
      </c>
      <c r="FV205">
        <v>24.881499999999999</v>
      </c>
      <c r="FW205">
        <v>30.599499999999999</v>
      </c>
      <c r="FX205">
        <v>9.2102500000000003</v>
      </c>
      <c r="FY205">
        <v>18.376799999999999</v>
      </c>
      <c r="FZ205">
        <v>410</v>
      </c>
      <c r="GA205">
        <v>13.800700000000001</v>
      </c>
      <c r="GB205">
        <v>99.908299999999997</v>
      </c>
      <c r="GC205">
        <v>99.697199999999995</v>
      </c>
    </row>
    <row r="206" spans="1:185" x14ac:dyDescent="0.2">
      <c r="A206">
        <v>191</v>
      </c>
      <c r="B206">
        <v>1771002586.0999999</v>
      </c>
      <c r="C206">
        <v>3963</v>
      </c>
      <c r="D206" t="s">
        <v>685</v>
      </c>
      <c r="E206" t="s">
        <v>686</v>
      </c>
      <c r="F206">
        <v>15</v>
      </c>
      <c r="G206">
        <v>1771002577.5999999</v>
      </c>
      <c r="H206">
        <f t="shared" si="26"/>
        <v>-3.8793174169545949E-4</v>
      </c>
      <c r="I206">
        <v>0</v>
      </c>
      <c r="J206">
        <f t="shared" si="38"/>
        <v>-0.45054314353107888</v>
      </c>
      <c r="K206">
        <f t="shared" si="27"/>
        <v>-8.0562765047570242</v>
      </c>
      <c r="L206">
        <f t="shared" si="28"/>
        <v>70.774632891978314</v>
      </c>
      <c r="M206">
        <f t="shared" si="29"/>
        <v>1.5589111846606354</v>
      </c>
      <c r="N206">
        <f t="shared" si="30"/>
        <v>2.2026411455075512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26331.359077071389</v>
      </c>
      <c r="T206">
        <f t="shared" si="34"/>
        <v>499.9980625</v>
      </c>
      <c r="U206">
        <f t="shared" si="35"/>
        <v>421.49802131383831</v>
      </c>
      <c r="V206">
        <f t="shared" si="36"/>
        <v>0.84299930925</v>
      </c>
      <c r="W206">
        <f t="shared" si="37"/>
        <v>0.15869846800500001</v>
      </c>
      <c r="X206">
        <v>1</v>
      </c>
      <c r="Y206">
        <v>1771002577.5999999</v>
      </c>
      <c r="Z206">
        <v>420.31537500000002</v>
      </c>
      <c r="AA206">
        <v>410.04124999999999</v>
      </c>
      <c r="AB206">
        <v>15.519068750000001</v>
      </c>
      <c r="AC206">
        <v>15.99645625</v>
      </c>
      <c r="AD206">
        <v>421.22412500000002</v>
      </c>
      <c r="AE206">
        <v>15.4227375</v>
      </c>
      <c r="AF206">
        <v>800.00293750000003</v>
      </c>
      <c r="AG206">
        <v>100.3874375</v>
      </c>
      <c r="AH206">
        <v>6.3898193749999999E-2</v>
      </c>
      <c r="AI206">
        <v>18.981537500000002</v>
      </c>
      <c r="AJ206">
        <v>999.9</v>
      </c>
      <c r="AK206">
        <v>999.9</v>
      </c>
      <c r="AL206">
        <v>0</v>
      </c>
      <c r="AM206">
        <v>0</v>
      </c>
      <c r="AN206">
        <v>5000.96875</v>
      </c>
      <c r="AO206">
        <v>0</v>
      </c>
      <c r="AP206">
        <v>1.7544875</v>
      </c>
      <c r="AQ206">
        <v>10.274004375000001</v>
      </c>
      <c r="AR206">
        <v>426.93962499999998</v>
      </c>
      <c r="AS206">
        <v>416.70712500000002</v>
      </c>
      <c r="AT206">
        <v>-0.47738733124999999</v>
      </c>
      <c r="AU206">
        <v>410.04124999999999</v>
      </c>
      <c r="AV206">
        <v>15.99645625</v>
      </c>
      <c r="AW206">
        <v>1.5579168750000001</v>
      </c>
      <c r="AX206">
        <v>1.6058418750000001</v>
      </c>
      <c r="AY206">
        <v>13.5451625</v>
      </c>
      <c r="AZ206">
        <v>14.01465</v>
      </c>
      <c r="BA206">
        <v>499.9980625</v>
      </c>
      <c r="BB206">
        <v>0.90002012499999995</v>
      </c>
      <c r="BC206">
        <v>0</v>
      </c>
      <c r="BD206">
        <v>9.9979775000000007E-2</v>
      </c>
      <c r="BE206">
        <v>0</v>
      </c>
      <c r="BF206">
        <v>25</v>
      </c>
      <c r="BG206">
        <v>8244.4093749999993</v>
      </c>
      <c r="BH206">
        <v>1771002434.0999999</v>
      </c>
      <c r="BI206" t="s">
        <v>676</v>
      </c>
      <c r="BJ206">
        <v>1771002412.0999999</v>
      </c>
      <c r="BK206">
        <v>1771002434.0999999</v>
      </c>
      <c r="BL206">
        <v>11</v>
      </c>
      <c r="BM206">
        <v>-2.1999999999999999E-2</v>
      </c>
      <c r="BN206">
        <v>-0.01</v>
      </c>
      <c r="BO206">
        <v>-0.90900000000000003</v>
      </c>
      <c r="BP206">
        <v>9.6000000000000002E-2</v>
      </c>
      <c r="BQ206">
        <v>410</v>
      </c>
      <c r="BR206">
        <v>14</v>
      </c>
      <c r="BS206">
        <v>0.35</v>
      </c>
      <c r="BT206">
        <v>0.16</v>
      </c>
      <c r="BU206">
        <v>13.704898999999999</v>
      </c>
      <c r="BV206">
        <v>-65.664513383458598</v>
      </c>
      <c r="BW206">
        <v>6.4302201073858303</v>
      </c>
      <c r="BX206">
        <v>0</v>
      </c>
      <c r="BY206">
        <v>0</v>
      </c>
      <c r="BZ206">
        <v>0</v>
      </c>
      <c r="CA206">
        <v>0</v>
      </c>
      <c r="CB206">
        <v>-1</v>
      </c>
      <c r="CC206">
        <v>-0.77439986500000002</v>
      </c>
      <c r="CD206">
        <v>5.87775339699248</v>
      </c>
      <c r="CE206">
        <v>0.56828115474614704</v>
      </c>
      <c r="CF206">
        <v>0</v>
      </c>
      <c r="CG206">
        <v>0</v>
      </c>
      <c r="CH206">
        <v>2</v>
      </c>
      <c r="CI206" t="s">
        <v>299</v>
      </c>
      <c r="CJ206">
        <v>3.53254</v>
      </c>
      <c r="CK206">
        <v>2.7015400000000001</v>
      </c>
      <c r="CL206">
        <v>9.9171899999999993E-2</v>
      </c>
      <c r="CM206">
        <v>9.6966899999999995E-2</v>
      </c>
      <c r="CN206">
        <v>8.9993500000000004E-2</v>
      </c>
      <c r="CO206">
        <v>8.7764700000000001E-2</v>
      </c>
      <c r="CP206">
        <v>31600.6</v>
      </c>
      <c r="CQ206">
        <v>27799.599999999999</v>
      </c>
      <c r="CR206">
        <v>32466.3</v>
      </c>
      <c r="CS206">
        <v>30710.400000000001</v>
      </c>
      <c r="CT206">
        <v>39996</v>
      </c>
      <c r="CU206">
        <v>39383.5</v>
      </c>
      <c r="CV206">
        <v>47408.7</v>
      </c>
      <c r="CW206">
        <v>46828.6</v>
      </c>
      <c r="CX206">
        <v>2.6257199999999998</v>
      </c>
      <c r="CY206">
        <v>2.1452800000000001</v>
      </c>
      <c r="CZ206">
        <v>0</v>
      </c>
      <c r="DA206">
        <v>0</v>
      </c>
      <c r="DB206">
        <v>999.9</v>
      </c>
      <c r="DC206">
        <v>999.9</v>
      </c>
      <c r="DD206">
        <v>53.991999999999997</v>
      </c>
      <c r="DE206">
        <v>26.797999999999998</v>
      </c>
      <c r="DF206">
        <v>19.025500000000001</v>
      </c>
      <c r="DG206">
        <v>30.240100000000002</v>
      </c>
      <c r="DH206">
        <v>16.4543</v>
      </c>
      <c r="DI206">
        <v>2</v>
      </c>
      <c r="DJ206">
        <v>-0.14197399999999999</v>
      </c>
      <c r="DK206">
        <v>2.15761</v>
      </c>
      <c r="DL206">
        <v>20.2089</v>
      </c>
      <c r="DM206">
        <v>5.25143</v>
      </c>
      <c r="DN206">
        <v>12.033899999999999</v>
      </c>
      <c r="DO206">
        <v>4.9674800000000001</v>
      </c>
      <c r="DP206">
        <v>3.2909999999999999</v>
      </c>
      <c r="DQ206">
        <v>9999</v>
      </c>
      <c r="DR206">
        <v>9999</v>
      </c>
      <c r="DS206">
        <v>597.4</v>
      </c>
      <c r="DT206">
        <v>9999</v>
      </c>
      <c r="DU206">
        <v>1.8711100000000001</v>
      </c>
      <c r="DV206">
        <v>1.8761099999999999</v>
      </c>
      <c r="DW206">
        <v>1.87636</v>
      </c>
      <c r="DX206">
        <v>1.88279</v>
      </c>
      <c r="DY206">
        <v>1.87561</v>
      </c>
      <c r="DZ206">
        <v>1.8746799999999999</v>
      </c>
      <c r="EA206">
        <v>1.8708400000000001</v>
      </c>
      <c r="EB206">
        <v>1.8746700000000001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-0.90800000000000003</v>
      </c>
      <c r="EQ206">
        <v>9.64E-2</v>
      </c>
      <c r="ER206">
        <v>-0.90870000000001006</v>
      </c>
      <c r="ES206">
        <v>0</v>
      </c>
      <c r="ET206">
        <v>0</v>
      </c>
      <c r="EU206">
        <v>0</v>
      </c>
      <c r="EV206">
        <v>9.6329999999998306E-2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2.9</v>
      </c>
      <c r="FE206">
        <v>2.5</v>
      </c>
      <c r="FF206">
        <v>1.24146</v>
      </c>
      <c r="FG206">
        <v>2.5903299999999998</v>
      </c>
      <c r="FH206">
        <v>2.19604</v>
      </c>
      <c r="FI206">
        <v>2.5744600000000002</v>
      </c>
      <c r="FJ206">
        <v>2.4462899999999999</v>
      </c>
      <c r="FK206">
        <v>2.2936999999999999</v>
      </c>
      <c r="FL206">
        <v>31.477</v>
      </c>
      <c r="FM206">
        <v>24.113800000000001</v>
      </c>
      <c r="FN206">
        <v>19</v>
      </c>
      <c r="FO206">
        <v>863.37099999999998</v>
      </c>
      <c r="FP206">
        <v>584.755</v>
      </c>
      <c r="FQ206">
        <v>17.860199999999999</v>
      </c>
      <c r="FR206">
        <v>25.226199999999999</v>
      </c>
      <c r="FS206">
        <v>29.999300000000002</v>
      </c>
      <c r="FT206">
        <v>25.212900000000001</v>
      </c>
      <c r="FU206">
        <v>25.211500000000001</v>
      </c>
      <c r="FV206">
        <v>24.9071</v>
      </c>
      <c r="FW206">
        <v>22.614799999999999</v>
      </c>
      <c r="FX206">
        <v>9.4668899999999994</v>
      </c>
      <c r="FY206">
        <v>17.9161</v>
      </c>
      <c r="FZ206">
        <v>410</v>
      </c>
      <c r="GA206">
        <v>15.310700000000001</v>
      </c>
      <c r="GB206">
        <v>99.901700000000005</v>
      </c>
      <c r="GC206">
        <v>99.692899999999995</v>
      </c>
    </row>
    <row r="207" spans="1:185" x14ac:dyDescent="0.2">
      <c r="A207">
        <v>192</v>
      </c>
      <c r="B207">
        <v>1771002601.0999999</v>
      </c>
      <c r="C207">
        <v>3978</v>
      </c>
      <c r="D207" t="s">
        <v>687</v>
      </c>
      <c r="E207" t="s">
        <v>688</v>
      </c>
      <c r="F207">
        <v>15</v>
      </c>
      <c r="G207">
        <v>1771002593.03333</v>
      </c>
      <c r="H207">
        <f t="shared" si="26"/>
        <v>5.9851323527452789E-4</v>
      </c>
      <c r="I207">
        <v>0</v>
      </c>
      <c r="J207">
        <f t="shared" si="38"/>
        <v>-0.1321483731856791</v>
      </c>
      <c r="K207">
        <f t="shared" si="27"/>
        <v>-2.3629786610307408</v>
      </c>
      <c r="L207">
        <f t="shared" si="28"/>
        <v>73.642364720166896</v>
      </c>
      <c r="M207">
        <f t="shared" si="29"/>
        <v>1.6174080767611496</v>
      </c>
      <c r="N207">
        <f t="shared" si="30"/>
        <v>2.1963011140491306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26339.164774432302</v>
      </c>
      <c r="T207">
        <f t="shared" si="34"/>
        <v>500.00020000000001</v>
      </c>
      <c r="U207">
        <f t="shared" si="35"/>
        <v>421.50014099998901</v>
      </c>
      <c r="V207">
        <f t="shared" si="36"/>
        <v>0.84299994480000007</v>
      </c>
      <c r="W207">
        <f t="shared" si="37"/>
        <v>0.158699784048</v>
      </c>
      <c r="X207">
        <v>1</v>
      </c>
      <c r="Y207">
        <v>1771002593.03333</v>
      </c>
      <c r="Z207">
        <v>412.76513333333298</v>
      </c>
      <c r="AA207">
        <v>410.12020000000001</v>
      </c>
      <c r="AB207">
        <v>16.101506666666701</v>
      </c>
      <c r="AC207">
        <v>15.365406666666701</v>
      </c>
      <c r="AD207">
        <v>413.67393333333303</v>
      </c>
      <c r="AE207">
        <v>16.0051666666667</v>
      </c>
      <c r="AF207">
        <v>799.99493333333305</v>
      </c>
      <c r="AG207">
        <v>100.386666666667</v>
      </c>
      <c r="AH207">
        <v>6.4061966666666706E-2</v>
      </c>
      <c r="AI207">
        <v>18.935359999999999</v>
      </c>
      <c r="AJ207">
        <v>999.9</v>
      </c>
      <c r="AK207">
        <v>999.9</v>
      </c>
      <c r="AL207">
        <v>0</v>
      </c>
      <c r="AM207">
        <v>0</v>
      </c>
      <c r="AN207">
        <v>5001.6000000000004</v>
      </c>
      <c r="AO207">
        <v>0</v>
      </c>
      <c r="AP207">
        <v>1.8006886666666699</v>
      </c>
      <c r="AQ207">
        <v>2.64506</v>
      </c>
      <c r="AR207">
        <v>419.52</v>
      </c>
      <c r="AS207">
        <v>416.52006666666699</v>
      </c>
      <c r="AT207">
        <v>0.73610386666666705</v>
      </c>
      <c r="AU207">
        <v>410.12020000000001</v>
      </c>
      <c r="AV207">
        <v>15.365406666666701</v>
      </c>
      <c r="AW207">
        <v>1.6163766666666699</v>
      </c>
      <c r="AX207">
        <v>1.5424819999999999</v>
      </c>
      <c r="AY207">
        <v>14.1157533333333</v>
      </c>
      <c r="AZ207">
        <v>13.3944666666667</v>
      </c>
      <c r="BA207">
        <v>500.00020000000001</v>
      </c>
      <c r="BB207">
        <v>0.900003</v>
      </c>
      <c r="BC207">
        <v>0</v>
      </c>
      <c r="BD207">
        <v>9.9997039999999995E-2</v>
      </c>
      <c r="BE207">
        <v>0</v>
      </c>
      <c r="BF207">
        <v>25</v>
      </c>
      <c r="BG207">
        <v>8244.4046666666709</v>
      </c>
      <c r="BH207">
        <v>1771002434.0999999</v>
      </c>
      <c r="BI207" t="s">
        <v>676</v>
      </c>
      <c r="BJ207">
        <v>1771002412.0999999</v>
      </c>
      <c r="BK207">
        <v>1771002434.0999999</v>
      </c>
      <c r="BL207">
        <v>11</v>
      </c>
      <c r="BM207">
        <v>-2.1999999999999999E-2</v>
      </c>
      <c r="BN207">
        <v>-0.01</v>
      </c>
      <c r="BO207">
        <v>-0.90900000000000003</v>
      </c>
      <c r="BP207">
        <v>9.6000000000000002E-2</v>
      </c>
      <c r="BQ207">
        <v>410</v>
      </c>
      <c r="BR207">
        <v>14</v>
      </c>
      <c r="BS207">
        <v>0.35</v>
      </c>
      <c r="BT207">
        <v>0.16</v>
      </c>
      <c r="BU207">
        <v>3.4551440000000002</v>
      </c>
      <c r="BV207">
        <v>-17.708526315789499</v>
      </c>
      <c r="BW207">
        <v>1.7371663550000001</v>
      </c>
      <c r="BX207">
        <v>0</v>
      </c>
      <c r="BY207">
        <v>0</v>
      </c>
      <c r="BZ207">
        <v>0</v>
      </c>
      <c r="CA207">
        <v>0</v>
      </c>
      <c r="CB207">
        <v>-1</v>
      </c>
      <c r="CC207">
        <v>0.56568563500000002</v>
      </c>
      <c r="CD207">
        <v>3.94125256691729</v>
      </c>
      <c r="CE207">
        <v>0.38133392122217402</v>
      </c>
      <c r="CF207">
        <v>0</v>
      </c>
      <c r="CG207">
        <v>0</v>
      </c>
      <c r="CH207">
        <v>2</v>
      </c>
      <c r="CI207" t="s">
        <v>299</v>
      </c>
      <c r="CJ207">
        <v>3.53247</v>
      </c>
      <c r="CK207">
        <v>2.7021199999999999</v>
      </c>
      <c r="CL207">
        <v>9.8519700000000002E-2</v>
      </c>
      <c r="CM207">
        <v>9.6941899999999998E-2</v>
      </c>
      <c r="CN207">
        <v>9.0492500000000003E-2</v>
      </c>
      <c r="CO207">
        <v>8.4767200000000001E-2</v>
      </c>
      <c r="CP207">
        <v>31624.6</v>
      </c>
      <c r="CQ207">
        <v>27800.5</v>
      </c>
      <c r="CR207">
        <v>32467.4</v>
      </c>
      <c r="CS207">
        <v>30710.6</v>
      </c>
      <c r="CT207">
        <v>39974.6</v>
      </c>
      <c r="CU207">
        <v>39517.599999999999</v>
      </c>
      <c r="CV207">
        <v>47410.2</v>
      </c>
      <c r="CW207">
        <v>46829.4</v>
      </c>
      <c r="CX207">
        <v>2.6265200000000002</v>
      </c>
      <c r="CY207">
        <v>2.1438999999999999</v>
      </c>
      <c r="CZ207">
        <v>0</v>
      </c>
      <c r="DA207">
        <v>0</v>
      </c>
      <c r="DB207">
        <v>999.9</v>
      </c>
      <c r="DC207">
        <v>999.9</v>
      </c>
      <c r="DD207">
        <v>53.973999999999997</v>
      </c>
      <c r="DE207">
        <v>26.797999999999998</v>
      </c>
      <c r="DF207">
        <v>19.017700000000001</v>
      </c>
      <c r="DG207">
        <v>30.3901</v>
      </c>
      <c r="DH207">
        <v>16.446300000000001</v>
      </c>
      <c r="DI207">
        <v>2</v>
      </c>
      <c r="DJ207">
        <v>-0.14202799999999999</v>
      </c>
      <c r="DK207">
        <v>2.0834199999999998</v>
      </c>
      <c r="DL207">
        <v>20.2103</v>
      </c>
      <c r="DM207">
        <v>5.2519099999999996</v>
      </c>
      <c r="DN207">
        <v>12.033899999999999</v>
      </c>
      <c r="DO207">
        <v>4.9673999999999996</v>
      </c>
      <c r="DP207">
        <v>3.2909999999999999</v>
      </c>
      <c r="DQ207">
        <v>9999</v>
      </c>
      <c r="DR207">
        <v>9999</v>
      </c>
      <c r="DS207">
        <v>597.4</v>
      </c>
      <c r="DT207">
        <v>9999</v>
      </c>
      <c r="DU207">
        <v>1.8710800000000001</v>
      </c>
      <c r="DV207">
        <v>1.8761099999999999</v>
      </c>
      <c r="DW207">
        <v>1.87636</v>
      </c>
      <c r="DX207">
        <v>1.88279</v>
      </c>
      <c r="DY207">
        <v>1.87561</v>
      </c>
      <c r="DZ207">
        <v>1.8746799999999999</v>
      </c>
      <c r="EA207">
        <v>1.87086</v>
      </c>
      <c r="EB207">
        <v>1.8746799999999999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-0.90900000000000003</v>
      </c>
      <c r="EQ207">
        <v>9.6299999999999997E-2</v>
      </c>
      <c r="ER207">
        <v>-0.90870000000001006</v>
      </c>
      <c r="ES207">
        <v>0</v>
      </c>
      <c r="ET207">
        <v>0</v>
      </c>
      <c r="EU207">
        <v>0</v>
      </c>
      <c r="EV207">
        <v>9.6329999999998306E-2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3.1</v>
      </c>
      <c r="FE207">
        <v>2.8</v>
      </c>
      <c r="FF207">
        <v>1.2402299999999999</v>
      </c>
      <c r="FG207">
        <v>2.5915499999999998</v>
      </c>
      <c r="FH207">
        <v>2.19604</v>
      </c>
      <c r="FI207">
        <v>2.5744600000000002</v>
      </c>
      <c r="FJ207">
        <v>2.4462899999999999</v>
      </c>
      <c r="FK207">
        <v>2.31934</v>
      </c>
      <c r="FL207">
        <v>31.498799999999999</v>
      </c>
      <c r="FM207">
        <v>24.148800000000001</v>
      </c>
      <c r="FN207">
        <v>19</v>
      </c>
      <c r="FO207">
        <v>864.16600000000005</v>
      </c>
      <c r="FP207">
        <v>583.72900000000004</v>
      </c>
      <c r="FQ207">
        <v>18.0077</v>
      </c>
      <c r="FR207">
        <v>25.233000000000001</v>
      </c>
      <c r="FS207">
        <v>30</v>
      </c>
      <c r="FT207">
        <v>25.216200000000001</v>
      </c>
      <c r="FU207">
        <v>25.215299999999999</v>
      </c>
      <c r="FV207">
        <v>24.897600000000001</v>
      </c>
      <c r="FW207">
        <v>26.137599999999999</v>
      </c>
      <c r="FX207">
        <v>9.0907800000000005</v>
      </c>
      <c r="FY207">
        <v>18.0489</v>
      </c>
      <c r="FZ207">
        <v>410</v>
      </c>
      <c r="GA207">
        <v>14.661</v>
      </c>
      <c r="GB207">
        <v>99.905000000000001</v>
      </c>
      <c r="GC207">
        <v>99.694299999999998</v>
      </c>
    </row>
    <row r="208" spans="1:185" x14ac:dyDescent="0.2">
      <c r="A208">
        <v>193</v>
      </c>
      <c r="B208">
        <v>1771002616.0999999</v>
      </c>
      <c r="C208">
        <v>3993</v>
      </c>
      <c r="D208" t="s">
        <v>689</v>
      </c>
      <c r="E208" t="s">
        <v>690</v>
      </c>
      <c r="F208">
        <v>15</v>
      </c>
      <c r="G208">
        <v>1771002608.03333</v>
      </c>
      <c r="H208">
        <f t="shared" ref="H208:H271" si="39">AF208*Q208*(AB208-AC208)/(1000*X208*(1000-Q208*AB208))</f>
        <v>1.0809558016364792E-3</v>
      </c>
      <c r="I208">
        <v>0</v>
      </c>
      <c r="J208">
        <f t="shared" si="38"/>
        <v>-4.3799702836783055E-2</v>
      </c>
      <c r="K208">
        <f t="shared" ref="K208:K271" si="40">AF208*Q208*(AA208-Z208*(1000-Q208*AC208)/(1000-Q208*AB208))/(1000*X208)</f>
        <v>-0.78319362295427797</v>
      </c>
      <c r="L208">
        <f t="shared" ref="L208:L271" si="41">(M208/N208*100)</f>
        <v>73.542809602378611</v>
      </c>
      <c r="M208">
        <f t="shared" ref="M208:M271" si="42">AB208*(AG208+AH208)/1000</f>
        <v>1.6142510058058652</v>
      </c>
      <c r="N208">
        <f t="shared" ref="N208:N271" si="43">0.61365*EXP(17.502*AI208/(240.97+AI208))</f>
        <v>2.1949814190314196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26327.706673703833</v>
      </c>
      <c r="T208">
        <f t="shared" ref="T208:T271" si="47">$B$11*AO208+$C$11*AP208+$D$11*BA208</f>
        <v>499.998533333333</v>
      </c>
      <c r="U208">
        <f t="shared" ref="U208:U271" si="48">T208*V208</f>
        <v>421.49916859881171</v>
      </c>
      <c r="V208">
        <f t="shared" ref="V208:V271" si="49">($B$11*$D$9+$C$11*$D$9+$D$11*(BB208*$E$9+BC208*$F$9+BD208*$G$9+BE208*$H$9))/($B$11+$C$11+$D$11)</f>
        <v>0.84300080999999993</v>
      </c>
      <c r="W208">
        <f t="shared" ref="W208:W271" si="50">($B$11*$L$9+$C$11*$L$9+$D$11*(BB208*$M$9+BC208*$N$9+BD208*$O$9+BE208*$P$9))/($B$11+$C$11+$D$11)</f>
        <v>0.15870202500000002</v>
      </c>
      <c r="X208">
        <v>1</v>
      </c>
      <c r="Y208">
        <v>1771002608.03333</v>
      </c>
      <c r="Z208">
        <v>410.447</v>
      </c>
      <c r="AA208">
        <v>410.02260000000001</v>
      </c>
      <c r="AB208">
        <v>16.070026666666699</v>
      </c>
      <c r="AC208">
        <v>14.740539999999999</v>
      </c>
      <c r="AD208">
        <v>411.35553333333303</v>
      </c>
      <c r="AE208">
        <v>15.973699999999999</v>
      </c>
      <c r="AF208">
        <v>799.99659999999994</v>
      </c>
      <c r="AG208">
        <v>100.386866666667</v>
      </c>
      <c r="AH208">
        <v>6.4180446666666696E-2</v>
      </c>
      <c r="AI208">
        <v>18.925733333333302</v>
      </c>
      <c r="AJ208">
        <v>999.9</v>
      </c>
      <c r="AK208">
        <v>999.9</v>
      </c>
      <c r="AL208">
        <v>0</v>
      </c>
      <c r="AM208">
        <v>0</v>
      </c>
      <c r="AN208">
        <v>4999.5666666666702</v>
      </c>
      <c r="AO208">
        <v>0</v>
      </c>
      <c r="AP208">
        <v>1.80671</v>
      </c>
      <c r="AQ208">
        <v>0.42437909666666701</v>
      </c>
      <c r="AR208">
        <v>417.15053333333299</v>
      </c>
      <c r="AS208">
        <v>416.15686666666699</v>
      </c>
      <c r="AT208">
        <v>1.329494</v>
      </c>
      <c r="AU208">
        <v>410.02260000000001</v>
      </c>
      <c r="AV208">
        <v>14.740539999999999</v>
      </c>
      <c r="AW208">
        <v>1.6132200000000001</v>
      </c>
      <c r="AX208">
        <v>1.4797560000000001</v>
      </c>
      <c r="AY208">
        <v>14.0856266666667</v>
      </c>
      <c r="AZ208">
        <v>12.75986</v>
      </c>
      <c r="BA208">
        <v>499.998533333333</v>
      </c>
      <c r="BB208">
        <v>0.89997300000000002</v>
      </c>
      <c r="BC208">
        <v>0</v>
      </c>
      <c r="BD208">
        <v>0.100027</v>
      </c>
      <c r="BE208">
        <v>0</v>
      </c>
      <c r="BF208">
        <v>25</v>
      </c>
      <c r="BG208">
        <v>8244.3026666666592</v>
      </c>
      <c r="BH208">
        <v>1771002434.0999999</v>
      </c>
      <c r="BI208" t="s">
        <v>676</v>
      </c>
      <c r="BJ208">
        <v>1771002412.0999999</v>
      </c>
      <c r="BK208">
        <v>1771002434.0999999</v>
      </c>
      <c r="BL208">
        <v>11</v>
      </c>
      <c r="BM208">
        <v>-2.1999999999999999E-2</v>
      </c>
      <c r="BN208">
        <v>-0.01</v>
      </c>
      <c r="BO208">
        <v>-0.90900000000000003</v>
      </c>
      <c r="BP208">
        <v>9.6000000000000002E-2</v>
      </c>
      <c r="BQ208">
        <v>410</v>
      </c>
      <c r="BR208">
        <v>14</v>
      </c>
      <c r="BS208">
        <v>0.35</v>
      </c>
      <c r="BT208">
        <v>0.16</v>
      </c>
      <c r="BU208">
        <v>0.75755744999999997</v>
      </c>
      <c r="BV208">
        <v>-6.3167509324675297</v>
      </c>
      <c r="BW208">
        <v>0.64620172621588201</v>
      </c>
      <c r="BX208">
        <v>0</v>
      </c>
      <c r="BY208">
        <v>0</v>
      </c>
      <c r="BZ208">
        <v>0</v>
      </c>
      <c r="CA208">
        <v>0</v>
      </c>
      <c r="CB208">
        <v>-1</v>
      </c>
      <c r="CC208">
        <v>1.23670452380952</v>
      </c>
      <c r="CD208">
        <v>1.78421166233766</v>
      </c>
      <c r="CE208">
        <v>0.18154388749349101</v>
      </c>
      <c r="CF208">
        <v>0</v>
      </c>
      <c r="CG208">
        <v>0</v>
      </c>
      <c r="CH208">
        <v>2</v>
      </c>
      <c r="CI208" t="s">
        <v>299</v>
      </c>
      <c r="CJ208">
        <v>3.5325500000000001</v>
      </c>
      <c r="CK208">
        <v>2.70166</v>
      </c>
      <c r="CL208">
        <v>9.8293800000000001E-2</v>
      </c>
      <c r="CM208">
        <v>9.6934599999999996E-2</v>
      </c>
      <c r="CN208">
        <v>8.9938299999999999E-2</v>
      </c>
      <c r="CO208">
        <v>8.2636600000000004E-2</v>
      </c>
      <c r="CP208">
        <v>31631.4</v>
      </c>
      <c r="CQ208">
        <v>27800.1</v>
      </c>
      <c r="CR208">
        <v>32466.3</v>
      </c>
      <c r="CS208">
        <v>30710</v>
      </c>
      <c r="CT208">
        <v>39998.5</v>
      </c>
      <c r="CU208">
        <v>39611.9</v>
      </c>
      <c r="CV208">
        <v>47408.7</v>
      </c>
      <c r="CW208">
        <v>46828.800000000003</v>
      </c>
      <c r="CX208">
        <v>2.6269</v>
      </c>
      <c r="CY208">
        <v>2.1425800000000002</v>
      </c>
      <c r="CZ208">
        <v>0</v>
      </c>
      <c r="DA208">
        <v>0</v>
      </c>
      <c r="DB208">
        <v>999.9</v>
      </c>
      <c r="DC208">
        <v>999.9</v>
      </c>
      <c r="DD208">
        <v>53.924999999999997</v>
      </c>
      <c r="DE208">
        <v>26.808</v>
      </c>
      <c r="DF208">
        <v>19.010300000000001</v>
      </c>
      <c r="DG208">
        <v>30.540099999999999</v>
      </c>
      <c r="DH208">
        <v>16.366199999999999</v>
      </c>
      <c r="DI208">
        <v>2</v>
      </c>
      <c r="DJ208">
        <v>-0.14200199999999999</v>
      </c>
      <c r="DK208">
        <v>1.9208499999999999</v>
      </c>
      <c r="DL208">
        <v>20.212299999999999</v>
      </c>
      <c r="DM208">
        <v>5.2509499999999996</v>
      </c>
      <c r="DN208">
        <v>12.033899999999999</v>
      </c>
      <c r="DO208">
        <v>4.9671599999999998</v>
      </c>
      <c r="DP208">
        <v>3.2909999999999999</v>
      </c>
      <c r="DQ208">
        <v>9999</v>
      </c>
      <c r="DR208">
        <v>9999</v>
      </c>
      <c r="DS208">
        <v>597.4</v>
      </c>
      <c r="DT208">
        <v>9999</v>
      </c>
      <c r="DU208">
        <v>1.87107</v>
      </c>
      <c r="DV208">
        <v>1.87609</v>
      </c>
      <c r="DW208">
        <v>1.87636</v>
      </c>
      <c r="DX208">
        <v>1.8828</v>
      </c>
      <c r="DY208">
        <v>1.87561</v>
      </c>
      <c r="DZ208">
        <v>1.8746799999999999</v>
      </c>
      <c r="EA208">
        <v>1.87086</v>
      </c>
      <c r="EB208">
        <v>1.8746700000000001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-0.90900000000000003</v>
      </c>
      <c r="EQ208">
        <v>9.6299999999999997E-2</v>
      </c>
      <c r="ER208">
        <v>-0.90870000000001006</v>
      </c>
      <c r="ES208">
        <v>0</v>
      </c>
      <c r="ET208">
        <v>0</v>
      </c>
      <c r="EU208">
        <v>0</v>
      </c>
      <c r="EV208">
        <v>9.6329999999998306E-2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3.4</v>
      </c>
      <c r="FE208">
        <v>3</v>
      </c>
      <c r="FF208">
        <v>1.2402299999999999</v>
      </c>
      <c r="FG208">
        <v>2.5939899999999998</v>
      </c>
      <c r="FH208">
        <v>2.19604</v>
      </c>
      <c r="FI208">
        <v>2.5744600000000002</v>
      </c>
      <c r="FJ208">
        <v>2.4462899999999999</v>
      </c>
      <c r="FK208">
        <v>2.2741699999999998</v>
      </c>
      <c r="FL208">
        <v>31.498799999999999</v>
      </c>
      <c r="FM208">
        <v>24.148800000000001</v>
      </c>
      <c r="FN208">
        <v>19</v>
      </c>
      <c r="FO208">
        <v>864.58799999999997</v>
      </c>
      <c r="FP208">
        <v>582.76099999999997</v>
      </c>
      <c r="FQ208">
        <v>18.163399999999999</v>
      </c>
      <c r="FR208">
        <v>25.2393</v>
      </c>
      <c r="FS208">
        <v>30.0001</v>
      </c>
      <c r="FT208">
        <v>25.220500000000001</v>
      </c>
      <c r="FU208">
        <v>25.219899999999999</v>
      </c>
      <c r="FV208">
        <v>24.893999999999998</v>
      </c>
      <c r="FW208">
        <v>28.642499999999998</v>
      </c>
      <c r="FX208">
        <v>9.0907800000000005</v>
      </c>
      <c r="FY208">
        <v>18.204999999999998</v>
      </c>
      <c r="FZ208">
        <v>410</v>
      </c>
      <c r="GA208">
        <v>14.2561</v>
      </c>
      <c r="GB208">
        <v>99.901700000000005</v>
      </c>
      <c r="GC208">
        <v>99.692700000000002</v>
      </c>
    </row>
    <row r="209" spans="1:185" x14ac:dyDescent="0.2">
      <c r="A209">
        <v>194</v>
      </c>
      <c r="B209">
        <v>1771002631.0999999</v>
      </c>
      <c r="C209">
        <v>4008</v>
      </c>
      <c r="D209" t="s">
        <v>691</v>
      </c>
      <c r="E209" t="s">
        <v>692</v>
      </c>
      <c r="F209">
        <v>15</v>
      </c>
      <c r="G209">
        <v>1771002623.03333</v>
      </c>
      <c r="H209">
        <f t="shared" si="39"/>
        <v>1.3010647343151937E-3</v>
      </c>
      <c r="I209">
        <v>0</v>
      </c>
      <c r="J209">
        <f t="shared" ref="J209:J272" si="51">K209*(0.0007335/0.0131159)</f>
        <v>-1.3188386040240686E-2</v>
      </c>
      <c r="K209">
        <f t="shared" si="40"/>
        <v>-0.23582488406979249</v>
      </c>
      <c r="L209">
        <f t="shared" si="41"/>
        <v>72.778611637827595</v>
      </c>
      <c r="M209">
        <f t="shared" si="42"/>
        <v>1.5985033251502554</v>
      </c>
      <c r="N209">
        <f t="shared" si="43"/>
        <v>2.1963916172308697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26349.78312190931</v>
      </c>
      <c r="T209">
        <f t="shared" si="47"/>
        <v>499.99886666666703</v>
      </c>
      <c r="U209">
        <f t="shared" si="48"/>
        <v>421.49945259907548</v>
      </c>
      <c r="V209">
        <f t="shared" si="49"/>
        <v>0.84300081599999999</v>
      </c>
      <c r="W209">
        <f t="shared" si="50"/>
        <v>0.15870204000000002</v>
      </c>
      <c r="X209">
        <v>1</v>
      </c>
      <c r="Y209">
        <v>1771002623.03333</v>
      </c>
      <c r="Z209">
        <v>409.66186666666698</v>
      </c>
      <c r="AA209">
        <v>410.03333333333302</v>
      </c>
      <c r="AB209">
        <v>15.9128666666667</v>
      </c>
      <c r="AC209">
        <v>14.3124066666667</v>
      </c>
      <c r="AD209">
        <v>410.57040000000001</v>
      </c>
      <c r="AE209">
        <v>15.816506666666699</v>
      </c>
      <c r="AF209">
        <v>799.99566666666703</v>
      </c>
      <c r="AG209">
        <v>100.389466666667</v>
      </c>
      <c r="AH209">
        <v>6.4044233333333297E-2</v>
      </c>
      <c r="AI209">
        <v>18.936019999999999</v>
      </c>
      <c r="AJ209">
        <v>999.9</v>
      </c>
      <c r="AK209">
        <v>999.9</v>
      </c>
      <c r="AL209">
        <v>0</v>
      </c>
      <c r="AM209">
        <v>0</v>
      </c>
      <c r="AN209">
        <v>5003.2333333333299</v>
      </c>
      <c r="AO209">
        <v>0</v>
      </c>
      <c r="AP209">
        <v>1.80671</v>
      </c>
      <c r="AQ209">
        <v>-0.371730646666667</v>
      </c>
      <c r="AR209">
        <v>416.28606666666701</v>
      </c>
      <c r="AS209">
        <v>415.98733333333303</v>
      </c>
      <c r="AT209">
        <v>1.60045666666667</v>
      </c>
      <c r="AU209">
        <v>410.03333333333302</v>
      </c>
      <c r="AV209">
        <v>14.3124066666667</v>
      </c>
      <c r="AW209">
        <v>1.5974806666666701</v>
      </c>
      <c r="AX209">
        <v>1.4368126666666701</v>
      </c>
      <c r="AY209">
        <v>13.9344533333333</v>
      </c>
      <c r="AZ209">
        <v>12.3114666666667</v>
      </c>
      <c r="BA209">
        <v>499.99886666666703</v>
      </c>
      <c r="BB209">
        <v>0.89997280000000002</v>
      </c>
      <c r="BC209">
        <v>0</v>
      </c>
      <c r="BD209">
        <v>0.1000272</v>
      </c>
      <c r="BE209">
        <v>0</v>
      </c>
      <c r="BF209">
        <v>25</v>
      </c>
      <c r="BG209">
        <v>8244.3073333333305</v>
      </c>
      <c r="BH209">
        <v>1771002434.0999999</v>
      </c>
      <c r="BI209" t="s">
        <v>676</v>
      </c>
      <c r="BJ209">
        <v>1771002412.0999999</v>
      </c>
      <c r="BK209">
        <v>1771002434.0999999</v>
      </c>
      <c r="BL209">
        <v>11</v>
      </c>
      <c r="BM209">
        <v>-2.1999999999999999E-2</v>
      </c>
      <c r="BN209">
        <v>-0.01</v>
      </c>
      <c r="BO209">
        <v>-0.90900000000000003</v>
      </c>
      <c r="BP209">
        <v>9.6000000000000002E-2</v>
      </c>
      <c r="BQ209">
        <v>410</v>
      </c>
      <c r="BR209">
        <v>14</v>
      </c>
      <c r="BS209">
        <v>0.35</v>
      </c>
      <c r="BT209">
        <v>0.16</v>
      </c>
      <c r="BU209">
        <v>-0.27985392749999999</v>
      </c>
      <c r="BV209">
        <v>-2.1385579646616502</v>
      </c>
      <c r="BW209">
        <v>0.20665739004668501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1.5646070000000001</v>
      </c>
      <c r="CD209">
        <v>0.81458706766917099</v>
      </c>
      <c r="CE209">
        <v>7.9210908156642099E-2</v>
      </c>
      <c r="CF209">
        <v>0</v>
      </c>
      <c r="CG209">
        <v>0</v>
      </c>
      <c r="CH209">
        <v>2</v>
      </c>
      <c r="CI209" t="s">
        <v>299</v>
      </c>
      <c r="CJ209">
        <v>3.5325899999999999</v>
      </c>
      <c r="CK209">
        <v>2.7019099999999998</v>
      </c>
      <c r="CL209">
        <v>9.8207600000000006E-2</v>
      </c>
      <c r="CM209">
        <v>9.6935099999999996E-2</v>
      </c>
      <c r="CN209">
        <v>8.9238999999999999E-2</v>
      </c>
      <c r="CO209">
        <v>8.1246200000000005E-2</v>
      </c>
      <c r="CP209">
        <v>31634.400000000001</v>
      </c>
      <c r="CQ209">
        <v>27800.3</v>
      </c>
      <c r="CR209">
        <v>32466.400000000001</v>
      </c>
      <c r="CS209">
        <v>30710.3</v>
      </c>
      <c r="CT209">
        <v>40030.5</v>
      </c>
      <c r="CU209">
        <v>39673.699999999997</v>
      </c>
      <c r="CV209">
        <v>47409</v>
      </c>
      <c r="CW209">
        <v>46828.800000000003</v>
      </c>
      <c r="CX209">
        <v>2.62744</v>
      </c>
      <c r="CY209">
        <v>2.1416400000000002</v>
      </c>
      <c r="CZ209">
        <v>0</v>
      </c>
      <c r="DA209">
        <v>0</v>
      </c>
      <c r="DB209">
        <v>999.9</v>
      </c>
      <c r="DC209">
        <v>999.9</v>
      </c>
      <c r="DD209">
        <v>53.875999999999998</v>
      </c>
      <c r="DE209">
        <v>26.827999999999999</v>
      </c>
      <c r="DF209">
        <v>19.015899999999998</v>
      </c>
      <c r="DG209">
        <v>30.510100000000001</v>
      </c>
      <c r="DH209">
        <v>16.558499999999999</v>
      </c>
      <c r="DI209">
        <v>2</v>
      </c>
      <c r="DJ209">
        <v>-0.14158699999999999</v>
      </c>
      <c r="DK209">
        <v>1.84734</v>
      </c>
      <c r="DL209">
        <v>20.2136</v>
      </c>
      <c r="DM209">
        <v>5.2511900000000002</v>
      </c>
      <c r="DN209">
        <v>12.033899999999999</v>
      </c>
      <c r="DO209">
        <v>4.9674800000000001</v>
      </c>
      <c r="DP209">
        <v>3.2909999999999999</v>
      </c>
      <c r="DQ209">
        <v>9999</v>
      </c>
      <c r="DR209">
        <v>9999</v>
      </c>
      <c r="DS209">
        <v>597.4</v>
      </c>
      <c r="DT209">
        <v>9999</v>
      </c>
      <c r="DU209">
        <v>1.8710899999999999</v>
      </c>
      <c r="DV209">
        <v>1.8761099999999999</v>
      </c>
      <c r="DW209">
        <v>1.87636</v>
      </c>
      <c r="DX209">
        <v>1.88279</v>
      </c>
      <c r="DY209">
        <v>1.8755999999999999</v>
      </c>
      <c r="DZ209">
        <v>1.8746700000000001</v>
      </c>
      <c r="EA209">
        <v>1.87086</v>
      </c>
      <c r="EB209">
        <v>1.8746799999999999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-0.90900000000000003</v>
      </c>
      <c r="EQ209">
        <v>9.64E-2</v>
      </c>
      <c r="ER209">
        <v>-0.90870000000001006</v>
      </c>
      <c r="ES209">
        <v>0</v>
      </c>
      <c r="ET209">
        <v>0</v>
      </c>
      <c r="EU209">
        <v>0</v>
      </c>
      <c r="EV209">
        <v>9.6329999999998306E-2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3.6</v>
      </c>
      <c r="FE209">
        <v>3.3</v>
      </c>
      <c r="FF209">
        <v>1.2402299999999999</v>
      </c>
      <c r="FG209">
        <v>2.5891099999999998</v>
      </c>
      <c r="FH209">
        <v>2.19604</v>
      </c>
      <c r="FI209">
        <v>2.5756800000000002</v>
      </c>
      <c r="FJ209">
        <v>2.4462899999999999</v>
      </c>
      <c r="FK209">
        <v>2.2778299999999998</v>
      </c>
      <c r="FL209">
        <v>31.498799999999999</v>
      </c>
      <c r="FM209">
        <v>24.148800000000001</v>
      </c>
      <c r="FN209">
        <v>19</v>
      </c>
      <c r="FO209">
        <v>865.17899999999997</v>
      </c>
      <c r="FP209">
        <v>582.11099999999999</v>
      </c>
      <c r="FQ209">
        <v>18.3141</v>
      </c>
      <c r="FR209">
        <v>25.246600000000001</v>
      </c>
      <c r="FS209">
        <v>30.000299999999999</v>
      </c>
      <c r="FT209">
        <v>25.226099999999999</v>
      </c>
      <c r="FU209">
        <v>25.226700000000001</v>
      </c>
      <c r="FV209">
        <v>24.889299999999999</v>
      </c>
      <c r="FW209">
        <v>29.8019</v>
      </c>
      <c r="FX209">
        <v>8.7172999999999998</v>
      </c>
      <c r="FY209">
        <v>18.342099999999999</v>
      </c>
      <c r="FZ209">
        <v>410</v>
      </c>
      <c r="GA209">
        <v>13.9762</v>
      </c>
      <c r="GB209">
        <v>99.902100000000004</v>
      </c>
      <c r="GC209">
        <v>99.693200000000004</v>
      </c>
    </row>
    <row r="210" spans="1:185" x14ac:dyDescent="0.2">
      <c r="A210">
        <v>195</v>
      </c>
      <c r="B210">
        <v>1771002646.0999999</v>
      </c>
      <c r="C210">
        <v>4023</v>
      </c>
      <c r="D210" t="s">
        <v>693</v>
      </c>
      <c r="E210" t="s">
        <v>694</v>
      </c>
      <c r="F210">
        <v>15</v>
      </c>
      <c r="G210">
        <v>1771002638.03333</v>
      </c>
      <c r="H210">
        <f t="shared" si="39"/>
        <v>1.4043321012547486E-3</v>
      </c>
      <c r="I210">
        <v>0</v>
      </c>
      <c r="J210">
        <f t="shared" si="51"/>
        <v>-2.2567096160500694E-3</v>
      </c>
      <c r="K210">
        <f t="shared" si="40"/>
        <v>-4.0352798436470487E-2</v>
      </c>
      <c r="L210">
        <f t="shared" si="41"/>
        <v>71.952568725328561</v>
      </c>
      <c r="M210">
        <f t="shared" si="42"/>
        <v>1.5827534750326959</v>
      </c>
      <c r="N210">
        <f t="shared" si="43"/>
        <v>2.1997178183793444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26301.539692032551</v>
      </c>
      <c r="T210">
        <f t="shared" si="47"/>
        <v>499.99959999999999</v>
      </c>
      <c r="U210">
        <f t="shared" si="48"/>
        <v>421.50016279959999</v>
      </c>
      <c r="V210">
        <f t="shared" si="49"/>
        <v>0.843001</v>
      </c>
      <c r="W210">
        <f t="shared" si="50"/>
        <v>0.15870249999999997</v>
      </c>
      <c r="X210">
        <v>1</v>
      </c>
      <c r="Y210">
        <v>1771002638.03333</v>
      </c>
      <c r="Z210">
        <v>409.34926666666701</v>
      </c>
      <c r="AA210">
        <v>410.01740000000001</v>
      </c>
      <c r="AB210">
        <v>15.7565266666667</v>
      </c>
      <c r="AC210">
        <v>14.028779999999999</v>
      </c>
      <c r="AD210">
        <v>410.25786666666698</v>
      </c>
      <c r="AE210">
        <v>15.6601866666667</v>
      </c>
      <c r="AF210">
        <v>800.00426666666704</v>
      </c>
      <c r="AG210">
        <v>100.38639999999999</v>
      </c>
      <c r="AH210">
        <v>6.4258226666666696E-2</v>
      </c>
      <c r="AI210">
        <v>18.960260000000002</v>
      </c>
      <c r="AJ210">
        <v>999.9</v>
      </c>
      <c r="AK210">
        <v>999.9</v>
      </c>
      <c r="AL210">
        <v>0</v>
      </c>
      <c r="AM210">
        <v>0</v>
      </c>
      <c r="AN210">
        <v>4995.8</v>
      </c>
      <c r="AO210">
        <v>0</v>
      </c>
      <c r="AP210">
        <v>1.80671</v>
      </c>
      <c r="AQ210">
        <v>-0.66806239999999995</v>
      </c>
      <c r="AR210">
        <v>415.9024</v>
      </c>
      <c r="AS210">
        <v>415.85126666666702</v>
      </c>
      <c r="AT210">
        <v>1.72775866666667</v>
      </c>
      <c r="AU210">
        <v>410.01740000000001</v>
      </c>
      <c r="AV210">
        <v>14.028779999999999</v>
      </c>
      <c r="AW210">
        <v>1.5817380000000001</v>
      </c>
      <c r="AX210">
        <v>1.4082953333333299</v>
      </c>
      <c r="AY210">
        <v>13.7819933333333</v>
      </c>
      <c r="AZ210">
        <v>12.007073333333301</v>
      </c>
      <c r="BA210">
        <v>499.99959999999999</v>
      </c>
      <c r="BB210">
        <v>0.89996666666666703</v>
      </c>
      <c r="BC210">
        <v>0</v>
      </c>
      <c r="BD210">
        <v>0.100033333333333</v>
      </c>
      <c r="BE210">
        <v>0</v>
      </c>
      <c r="BF210">
        <v>25</v>
      </c>
      <c r="BG210">
        <v>8244.3066666666691</v>
      </c>
      <c r="BH210">
        <v>1771002434.0999999</v>
      </c>
      <c r="BI210" t="s">
        <v>676</v>
      </c>
      <c r="BJ210">
        <v>1771002412.0999999</v>
      </c>
      <c r="BK210">
        <v>1771002434.0999999</v>
      </c>
      <c r="BL210">
        <v>11</v>
      </c>
      <c r="BM210">
        <v>-2.1999999999999999E-2</v>
      </c>
      <c r="BN210">
        <v>-0.01</v>
      </c>
      <c r="BO210">
        <v>-0.90900000000000003</v>
      </c>
      <c r="BP210">
        <v>9.6000000000000002E-2</v>
      </c>
      <c r="BQ210">
        <v>410</v>
      </c>
      <c r="BR210">
        <v>14</v>
      </c>
      <c r="BS210">
        <v>0.35</v>
      </c>
      <c r="BT210">
        <v>0.16</v>
      </c>
      <c r="BU210">
        <v>-0.62798061904761904</v>
      </c>
      <c r="BV210">
        <v>-0.71322397402597504</v>
      </c>
      <c r="BW210">
        <v>7.5659436205920402E-2</v>
      </c>
      <c r="BX210">
        <v>0</v>
      </c>
      <c r="BY210">
        <v>0</v>
      </c>
      <c r="BZ210">
        <v>0</v>
      </c>
      <c r="CA210">
        <v>0</v>
      </c>
      <c r="CB210">
        <v>-1</v>
      </c>
      <c r="CC210">
        <v>1.70672904761905</v>
      </c>
      <c r="CD210">
        <v>0.39218571428571602</v>
      </c>
      <c r="CE210">
        <v>4.0581501639089801E-2</v>
      </c>
      <c r="CF210">
        <v>0</v>
      </c>
      <c r="CG210">
        <v>0</v>
      </c>
      <c r="CH210">
        <v>2</v>
      </c>
      <c r="CI210" t="s">
        <v>299</v>
      </c>
      <c r="CJ210">
        <v>3.53254</v>
      </c>
      <c r="CK210">
        <v>2.7021999999999999</v>
      </c>
      <c r="CL210">
        <v>9.8170800000000003E-2</v>
      </c>
      <c r="CM210">
        <v>9.6923099999999998E-2</v>
      </c>
      <c r="CN210">
        <v>8.8584599999999999E-2</v>
      </c>
      <c r="CO210">
        <v>8.0253199999999997E-2</v>
      </c>
      <c r="CP210">
        <v>31634.799999999999</v>
      </c>
      <c r="CQ210">
        <v>27800</v>
      </c>
      <c r="CR210">
        <v>32465.4</v>
      </c>
      <c r="CS210">
        <v>30709.7</v>
      </c>
      <c r="CT210">
        <v>40058.9</v>
      </c>
      <c r="CU210">
        <v>39717.199999999997</v>
      </c>
      <c r="CV210">
        <v>47407.4</v>
      </c>
      <c r="CW210">
        <v>46828.2</v>
      </c>
      <c r="CX210">
        <v>2.6271200000000001</v>
      </c>
      <c r="CY210">
        <v>2.1408200000000002</v>
      </c>
      <c r="CZ210">
        <v>0</v>
      </c>
      <c r="DA210">
        <v>0</v>
      </c>
      <c r="DB210">
        <v>999.9</v>
      </c>
      <c r="DC210">
        <v>999.9</v>
      </c>
      <c r="DD210">
        <v>53.826999999999998</v>
      </c>
      <c r="DE210">
        <v>26.838000000000001</v>
      </c>
      <c r="DF210">
        <v>19.010400000000001</v>
      </c>
      <c r="DG210">
        <v>30.330100000000002</v>
      </c>
      <c r="DH210">
        <v>16.426300000000001</v>
      </c>
      <c r="DI210">
        <v>2</v>
      </c>
      <c r="DJ210">
        <v>-0.14047599999999999</v>
      </c>
      <c r="DK210">
        <v>1.8570899999999999</v>
      </c>
      <c r="DL210">
        <v>20.2134</v>
      </c>
      <c r="DM210">
        <v>5.2515499999999999</v>
      </c>
      <c r="DN210">
        <v>12.033899999999999</v>
      </c>
      <c r="DO210">
        <v>4.9674399999999999</v>
      </c>
      <c r="DP210">
        <v>3.2909999999999999</v>
      </c>
      <c r="DQ210">
        <v>9999</v>
      </c>
      <c r="DR210">
        <v>9999</v>
      </c>
      <c r="DS210">
        <v>597.4</v>
      </c>
      <c r="DT210">
        <v>9999</v>
      </c>
      <c r="DU210">
        <v>1.8711500000000001</v>
      </c>
      <c r="DV210">
        <v>1.8761300000000001</v>
      </c>
      <c r="DW210">
        <v>1.8763700000000001</v>
      </c>
      <c r="DX210">
        <v>1.8828</v>
      </c>
      <c r="DY210">
        <v>1.87561</v>
      </c>
      <c r="DZ210">
        <v>1.87469</v>
      </c>
      <c r="EA210">
        <v>1.87087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-0.90800000000000003</v>
      </c>
      <c r="EQ210">
        <v>9.6299999999999997E-2</v>
      </c>
      <c r="ER210">
        <v>-0.90870000000001006</v>
      </c>
      <c r="ES210">
        <v>0</v>
      </c>
      <c r="ET210">
        <v>0</v>
      </c>
      <c r="EU210">
        <v>0</v>
      </c>
      <c r="EV210">
        <v>9.6329999999998306E-2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3.9</v>
      </c>
      <c r="FE210">
        <v>3.5</v>
      </c>
      <c r="FF210">
        <v>1.2402299999999999</v>
      </c>
      <c r="FG210">
        <v>2.5952099999999998</v>
      </c>
      <c r="FH210">
        <v>2.19604</v>
      </c>
      <c r="FI210">
        <v>2.5744600000000002</v>
      </c>
      <c r="FJ210">
        <v>2.4462899999999999</v>
      </c>
      <c r="FK210">
        <v>2.2912599999999999</v>
      </c>
      <c r="FL210">
        <v>31.520600000000002</v>
      </c>
      <c r="FM210">
        <v>24.122499999999999</v>
      </c>
      <c r="FN210">
        <v>19</v>
      </c>
      <c r="FO210">
        <v>864.99199999999996</v>
      </c>
      <c r="FP210">
        <v>581.57399999999996</v>
      </c>
      <c r="FQ210">
        <v>18.4178</v>
      </c>
      <c r="FR210">
        <v>25.255199999999999</v>
      </c>
      <c r="FS210">
        <v>30.000499999999999</v>
      </c>
      <c r="FT210">
        <v>25.233000000000001</v>
      </c>
      <c r="FU210">
        <v>25.235199999999999</v>
      </c>
      <c r="FV210">
        <v>24.8886</v>
      </c>
      <c r="FW210">
        <v>30.691400000000002</v>
      </c>
      <c r="FX210">
        <v>8.3406400000000005</v>
      </c>
      <c r="FY210">
        <v>18.429200000000002</v>
      </c>
      <c r="FZ210">
        <v>410</v>
      </c>
      <c r="GA210">
        <v>13.8142</v>
      </c>
      <c r="GB210">
        <v>99.899000000000001</v>
      </c>
      <c r="GC210">
        <v>99.691500000000005</v>
      </c>
    </row>
    <row r="211" spans="1:185" x14ac:dyDescent="0.2">
      <c r="A211">
        <v>196</v>
      </c>
      <c r="B211">
        <v>1771002661.0999999</v>
      </c>
      <c r="C211">
        <v>4038</v>
      </c>
      <c r="D211" t="s">
        <v>695</v>
      </c>
      <c r="E211" t="s">
        <v>696</v>
      </c>
      <c r="F211">
        <v>15</v>
      </c>
      <c r="G211">
        <v>1771002653.03333</v>
      </c>
      <c r="H211">
        <f t="shared" si="39"/>
        <v>1.4324536882658701E-3</v>
      </c>
      <c r="I211">
        <v>0</v>
      </c>
      <c r="J211">
        <f t="shared" si="51"/>
        <v>2.2610143830152606E-3</v>
      </c>
      <c r="K211">
        <f t="shared" si="40"/>
        <v>4.042977306910682E-2</v>
      </c>
      <c r="L211">
        <f t="shared" si="41"/>
        <v>71.201375741144162</v>
      </c>
      <c r="M211">
        <f t="shared" si="42"/>
        <v>1.5690289804289657</v>
      </c>
      <c r="N211">
        <f t="shared" si="43"/>
        <v>2.2036498088649887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26339.713871998607</v>
      </c>
      <c r="T211">
        <f t="shared" si="47"/>
        <v>499.99900000000002</v>
      </c>
      <c r="U211">
        <f t="shared" si="48"/>
        <v>421.49965299900811</v>
      </c>
      <c r="V211">
        <f t="shared" si="49"/>
        <v>0.84300099200000023</v>
      </c>
      <c r="W211">
        <f t="shared" si="50"/>
        <v>0.15870235008000005</v>
      </c>
      <c r="X211">
        <v>1</v>
      </c>
      <c r="Y211">
        <v>1771002653.03333</v>
      </c>
      <c r="Z211">
        <v>409.22093333333299</v>
      </c>
      <c r="AA211">
        <v>410.00420000000003</v>
      </c>
      <c r="AB211">
        <v>15.6201333333333</v>
      </c>
      <c r="AC211">
        <v>13.8575533333333</v>
      </c>
      <c r="AD211">
        <v>410.12953333333297</v>
      </c>
      <c r="AE211">
        <v>15.52378</v>
      </c>
      <c r="AF211">
        <v>800.00826666666603</v>
      </c>
      <c r="AG211">
        <v>100.384733333333</v>
      </c>
      <c r="AH211">
        <v>6.4407973333333299E-2</v>
      </c>
      <c r="AI211">
        <v>18.988873333333299</v>
      </c>
      <c r="AJ211">
        <v>999.9</v>
      </c>
      <c r="AK211">
        <v>999.9</v>
      </c>
      <c r="AL211">
        <v>0</v>
      </c>
      <c r="AM211">
        <v>0</v>
      </c>
      <c r="AN211">
        <v>5002.5666666666702</v>
      </c>
      <c r="AO211">
        <v>0</v>
      </c>
      <c r="AP211">
        <v>1.8052046666666699</v>
      </c>
      <c r="AQ211">
        <v>-0.78329479999999996</v>
      </c>
      <c r="AR211">
        <v>415.714133333333</v>
      </c>
      <c r="AS211">
        <v>415.765533333333</v>
      </c>
      <c r="AT211">
        <v>1.76255733333333</v>
      </c>
      <c r="AU211">
        <v>410.00420000000003</v>
      </c>
      <c r="AV211">
        <v>13.8575533333333</v>
      </c>
      <c r="AW211">
        <v>1.5680206666666701</v>
      </c>
      <c r="AX211">
        <v>1.3910880000000001</v>
      </c>
      <c r="AY211">
        <v>13.6480533333333</v>
      </c>
      <c r="AZ211">
        <v>11.820786666666701</v>
      </c>
      <c r="BA211">
        <v>499.99900000000002</v>
      </c>
      <c r="BB211">
        <v>0.89996886666666698</v>
      </c>
      <c r="BC211">
        <v>0</v>
      </c>
      <c r="BD211">
        <v>0.1000312</v>
      </c>
      <c r="BE211">
        <v>0</v>
      </c>
      <c r="BF211">
        <v>25</v>
      </c>
      <c r="BG211">
        <v>8244.2993333333307</v>
      </c>
      <c r="BH211">
        <v>1771002434.0999999</v>
      </c>
      <c r="BI211" t="s">
        <v>676</v>
      </c>
      <c r="BJ211">
        <v>1771002412.0999999</v>
      </c>
      <c r="BK211">
        <v>1771002434.0999999</v>
      </c>
      <c r="BL211">
        <v>11</v>
      </c>
      <c r="BM211">
        <v>-2.1999999999999999E-2</v>
      </c>
      <c r="BN211">
        <v>-0.01</v>
      </c>
      <c r="BO211">
        <v>-0.90900000000000003</v>
      </c>
      <c r="BP211">
        <v>9.6000000000000002E-2</v>
      </c>
      <c r="BQ211">
        <v>410</v>
      </c>
      <c r="BR211">
        <v>14</v>
      </c>
      <c r="BS211">
        <v>0.35</v>
      </c>
      <c r="BT211">
        <v>0.16</v>
      </c>
      <c r="BU211">
        <v>-0.76555030000000002</v>
      </c>
      <c r="BV211">
        <v>-0.37722649624060001</v>
      </c>
      <c r="BW211">
        <v>3.9379133494910699E-2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1.7593920000000001</v>
      </c>
      <c r="CD211">
        <v>6.5525413533832802E-2</v>
      </c>
      <c r="CE211">
        <v>8.4288869965138402E-3</v>
      </c>
      <c r="CF211">
        <v>1</v>
      </c>
      <c r="CG211">
        <v>2</v>
      </c>
      <c r="CH211">
        <v>2</v>
      </c>
      <c r="CI211" t="s">
        <v>304</v>
      </c>
      <c r="CJ211">
        <v>3.5324800000000001</v>
      </c>
      <c r="CK211">
        <v>2.7019299999999999</v>
      </c>
      <c r="CL211">
        <v>9.8149500000000001E-2</v>
      </c>
      <c r="CM211">
        <v>9.6915500000000002E-2</v>
      </c>
      <c r="CN211">
        <v>8.8125599999999998E-2</v>
      </c>
      <c r="CO211">
        <v>7.9742300000000002E-2</v>
      </c>
      <c r="CP211">
        <v>31634.7</v>
      </c>
      <c r="CQ211">
        <v>27799.5</v>
      </c>
      <c r="CR211">
        <v>32464.7</v>
      </c>
      <c r="CS211">
        <v>30708.9</v>
      </c>
      <c r="CT211">
        <v>40079.1</v>
      </c>
      <c r="CU211">
        <v>39739.300000000003</v>
      </c>
      <c r="CV211">
        <v>47406.6</v>
      </c>
      <c r="CW211">
        <v>46827.5</v>
      </c>
      <c r="CX211">
        <v>2.6271200000000001</v>
      </c>
      <c r="CY211">
        <v>2.1403400000000001</v>
      </c>
      <c r="CZ211">
        <v>0</v>
      </c>
      <c r="DA211">
        <v>0</v>
      </c>
      <c r="DB211">
        <v>999.9</v>
      </c>
      <c r="DC211">
        <v>999.9</v>
      </c>
      <c r="DD211">
        <v>53.790999999999997</v>
      </c>
      <c r="DE211">
        <v>26.847999999999999</v>
      </c>
      <c r="DF211">
        <v>19.008600000000001</v>
      </c>
      <c r="DG211">
        <v>29.970099999999999</v>
      </c>
      <c r="DH211">
        <v>16.526399999999999</v>
      </c>
      <c r="DI211">
        <v>2</v>
      </c>
      <c r="DJ211">
        <v>-0.139374</v>
      </c>
      <c r="DK211">
        <v>1.9316899999999999</v>
      </c>
      <c r="DL211">
        <v>20.212299999999999</v>
      </c>
      <c r="DM211">
        <v>5.2519099999999996</v>
      </c>
      <c r="DN211">
        <v>12.033899999999999</v>
      </c>
      <c r="DO211">
        <v>4.9675200000000004</v>
      </c>
      <c r="DP211">
        <v>3.2909999999999999</v>
      </c>
      <c r="DQ211">
        <v>9999</v>
      </c>
      <c r="DR211">
        <v>9999</v>
      </c>
      <c r="DS211">
        <v>597.4</v>
      </c>
      <c r="DT211">
        <v>9999</v>
      </c>
      <c r="DU211">
        <v>1.8710899999999999</v>
      </c>
      <c r="DV211">
        <v>1.87612</v>
      </c>
      <c r="DW211">
        <v>1.87636</v>
      </c>
      <c r="DX211">
        <v>1.8828400000000001</v>
      </c>
      <c r="DY211">
        <v>1.87561</v>
      </c>
      <c r="DZ211">
        <v>1.8746799999999999</v>
      </c>
      <c r="EA211">
        <v>1.8708800000000001</v>
      </c>
      <c r="EB211">
        <v>1.8746799999999999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-0.90900000000000003</v>
      </c>
      <c r="EQ211">
        <v>9.64E-2</v>
      </c>
      <c r="ER211">
        <v>-0.90870000000001006</v>
      </c>
      <c r="ES211">
        <v>0</v>
      </c>
      <c r="ET211">
        <v>0</v>
      </c>
      <c r="EU211">
        <v>0</v>
      </c>
      <c r="EV211">
        <v>9.6329999999998306E-2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4.2</v>
      </c>
      <c r="FE211">
        <v>3.8</v>
      </c>
      <c r="FF211">
        <v>1.2402299999999999</v>
      </c>
      <c r="FG211">
        <v>2.5903299999999998</v>
      </c>
      <c r="FH211">
        <v>2.19604</v>
      </c>
      <c r="FI211">
        <v>2.5744600000000002</v>
      </c>
      <c r="FJ211">
        <v>2.4462899999999999</v>
      </c>
      <c r="FK211">
        <v>2.2778299999999998</v>
      </c>
      <c r="FL211">
        <v>31.542400000000001</v>
      </c>
      <c r="FM211">
        <v>24.122499999999999</v>
      </c>
      <c r="FN211">
        <v>19</v>
      </c>
      <c r="FO211">
        <v>865.12800000000004</v>
      </c>
      <c r="FP211">
        <v>581.29999999999995</v>
      </c>
      <c r="FQ211">
        <v>18.461600000000001</v>
      </c>
      <c r="FR211">
        <v>25.264800000000001</v>
      </c>
      <c r="FS211">
        <v>30.000499999999999</v>
      </c>
      <c r="FT211">
        <v>25.241399999999999</v>
      </c>
      <c r="FU211">
        <v>25.243600000000001</v>
      </c>
      <c r="FV211">
        <v>24.888999999999999</v>
      </c>
      <c r="FW211">
        <v>31.2698</v>
      </c>
      <c r="FX211">
        <v>7.9665800000000004</v>
      </c>
      <c r="FY211">
        <v>18.456299999999999</v>
      </c>
      <c r="FZ211">
        <v>410</v>
      </c>
      <c r="GA211">
        <v>13.6942</v>
      </c>
      <c r="GB211">
        <v>99.897099999999995</v>
      </c>
      <c r="GC211">
        <v>99.689700000000002</v>
      </c>
    </row>
    <row r="212" spans="1:185" x14ac:dyDescent="0.2">
      <c r="A212">
        <v>197</v>
      </c>
      <c r="B212">
        <v>1771002676.0999999</v>
      </c>
      <c r="C212">
        <v>4053</v>
      </c>
      <c r="D212" t="s">
        <v>697</v>
      </c>
      <c r="E212" t="s">
        <v>698</v>
      </c>
      <c r="F212">
        <v>15</v>
      </c>
      <c r="G212">
        <v>1771002668.03333</v>
      </c>
      <c r="H212">
        <f t="shared" si="39"/>
        <v>1.4513553512928035E-3</v>
      </c>
      <c r="I212">
        <v>0</v>
      </c>
      <c r="J212">
        <f t="shared" si="51"/>
        <v>5.0583102120713439E-3</v>
      </c>
      <c r="K212">
        <f t="shared" si="40"/>
        <v>9.0448931030002094E-2</v>
      </c>
      <c r="L212">
        <f t="shared" si="41"/>
        <v>70.649352443427489</v>
      </c>
      <c r="M212">
        <f t="shared" si="42"/>
        <v>1.5591438842676786</v>
      </c>
      <c r="N212">
        <f t="shared" si="43"/>
        <v>2.2068763977931209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26334.87778715161</v>
      </c>
      <c r="T212">
        <f t="shared" si="47"/>
        <v>499.99913333333302</v>
      </c>
      <c r="U212">
        <f t="shared" si="48"/>
        <v>421.4996843992804</v>
      </c>
      <c r="V212">
        <f t="shared" si="49"/>
        <v>0.84300083000000003</v>
      </c>
      <c r="W212">
        <f t="shared" si="50"/>
        <v>0.15870207500000003</v>
      </c>
      <c r="X212">
        <v>1</v>
      </c>
      <c r="Y212">
        <v>1771002668.03333</v>
      </c>
      <c r="Z212">
        <v>409.152533333333</v>
      </c>
      <c r="AA212">
        <v>410.00786666666698</v>
      </c>
      <c r="AB212">
        <v>15.5220533333333</v>
      </c>
      <c r="AC212">
        <v>13.736039999999999</v>
      </c>
      <c r="AD212">
        <v>410.06119999999999</v>
      </c>
      <c r="AE212">
        <v>15.4257266666667</v>
      </c>
      <c r="AF212">
        <v>800.00933333333296</v>
      </c>
      <c r="AG212">
        <v>100.382866666667</v>
      </c>
      <c r="AH212">
        <v>6.4145773333333295E-2</v>
      </c>
      <c r="AI212">
        <v>19.012319999999999</v>
      </c>
      <c r="AJ212">
        <v>999.9</v>
      </c>
      <c r="AK212">
        <v>999.9</v>
      </c>
      <c r="AL212">
        <v>0</v>
      </c>
      <c r="AM212">
        <v>0</v>
      </c>
      <c r="AN212">
        <v>5002.2</v>
      </c>
      <c r="AO212">
        <v>0</v>
      </c>
      <c r="AP212">
        <v>1.79918333333333</v>
      </c>
      <c r="AQ212">
        <v>-0.85550346666666699</v>
      </c>
      <c r="AR212">
        <v>415.60353333333302</v>
      </c>
      <c r="AS212">
        <v>415.71833333333302</v>
      </c>
      <c r="AT212">
        <v>1.786</v>
      </c>
      <c r="AU212">
        <v>410.00786666666698</v>
      </c>
      <c r="AV212">
        <v>13.736039999999999</v>
      </c>
      <c r="AW212">
        <v>1.5581499999999999</v>
      </c>
      <c r="AX212">
        <v>1.37886666666667</v>
      </c>
      <c r="AY212">
        <v>13.5510066666667</v>
      </c>
      <c r="AZ212">
        <v>11.6871333333333</v>
      </c>
      <c r="BA212">
        <v>499.99913333333302</v>
      </c>
      <c r="BB212">
        <v>0.89997233333333304</v>
      </c>
      <c r="BC212">
        <v>0</v>
      </c>
      <c r="BD212">
        <v>0.100027666666667</v>
      </c>
      <c r="BE212">
        <v>0</v>
      </c>
      <c r="BF212">
        <v>25</v>
      </c>
      <c r="BG212">
        <v>8244.3093333333309</v>
      </c>
      <c r="BH212">
        <v>1771002434.0999999</v>
      </c>
      <c r="BI212" t="s">
        <v>676</v>
      </c>
      <c r="BJ212">
        <v>1771002412.0999999</v>
      </c>
      <c r="BK212">
        <v>1771002434.0999999</v>
      </c>
      <c r="BL212">
        <v>11</v>
      </c>
      <c r="BM212">
        <v>-2.1999999999999999E-2</v>
      </c>
      <c r="BN212">
        <v>-0.01</v>
      </c>
      <c r="BO212">
        <v>-0.90900000000000003</v>
      </c>
      <c r="BP212">
        <v>9.6000000000000002E-2</v>
      </c>
      <c r="BQ212">
        <v>410</v>
      </c>
      <c r="BR212">
        <v>14</v>
      </c>
      <c r="BS212">
        <v>0.35</v>
      </c>
      <c r="BT212">
        <v>0.16</v>
      </c>
      <c r="BU212">
        <v>-0.83952414285714305</v>
      </c>
      <c r="BV212">
        <v>-0.29813400000000001</v>
      </c>
      <c r="BW212">
        <v>3.32197448877646E-2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1.77961095238095</v>
      </c>
      <c r="CD212">
        <v>7.6598181818182204E-2</v>
      </c>
      <c r="CE212">
        <v>1.78168200104128E-2</v>
      </c>
      <c r="CF212">
        <v>1</v>
      </c>
      <c r="CG212">
        <v>2</v>
      </c>
      <c r="CH212">
        <v>2</v>
      </c>
      <c r="CI212" t="s">
        <v>304</v>
      </c>
      <c r="CJ212">
        <v>3.5325600000000001</v>
      </c>
      <c r="CK212">
        <v>2.7018</v>
      </c>
      <c r="CL212">
        <v>9.8138900000000001E-2</v>
      </c>
      <c r="CM212">
        <v>9.6910899999999994E-2</v>
      </c>
      <c r="CN212">
        <v>8.7678900000000004E-2</v>
      </c>
      <c r="CO212">
        <v>7.9324500000000006E-2</v>
      </c>
      <c r="CP212">
        <v>31633.599999999999</v>
      </c>
      <c r="CQ212">
        <v>27798.6</v>
      </c>
      <c r="CR212">
        <v>32463.1</v>
      </c>
      <c r="CS212">
        <v>30707.8</v>
      </c>
      <c r="CT212">
        <v>40097.599999999999</v>
      </c>
      <c r="CU212">
        <v>39756.300000000003</v>
      </c>
      <c r="CV212">
        <v>47404.5</v>
      </c>
      <c r="CW212">
        <v>46825.7</v>
      </c>
      <c r="CX212">
        <v>2.6265999999999998</v>
      </c>
      <c r="CY212">
        <v>2.1394799999999998</v>
      </c>
      <c r="CZ212">
        <v>0</v>
      </c>
      <c r="DA212">
        <v>0</v>
      </c>
      <c r="DB212">
        <v>999.9</v>
      </c>
      <c r="DC212">
        <v>999.9</v>
      </c>
      <c r="DD212">
        <v>53.741999999999997</v>
      </c>
      <c r="DE212">
        <v>26.867999999999999</v>
      </c>
      <c r="DF212">
        <v>19.012799999999999</v>
      </c>
      <c r="DG212">
        <v>30.360099999999999</v>
      </c>
      <c r="DH212">
        <v>16.4223</v>
      </c>
      <c r="DI212">
        <v>2</v>
      </c>
      <c r="DJ212">
        <v>-0.13561000000000001</v>
      </c>
      <c r="DK212">
        <v>2.5737700000000001</v>
      </c>
      <c r="DL212">
        <v>20.201499999999999</v>
      </c>
      <c r="DM212">
        <v>5.2517899999999997</v>
      </c>
      <c r="DN212">
        <v>12.033899999999999</v>
      </c>
      <c r="DO212">
        <v>4.9674800000000001</v>
      </c>
      <c r="DP212">
        <v>3.2909999999999999</v>
      </c>
      <c r="DQ212">
        <v>9999</v>
      </c>
      <c r="DR212">
        <v>9999</v>
      </c>
      <c r="DS212">
        <v>597.4</v>
      </c>
      <c r="DT212">
        <v>9999</v>
      </c>
      <c r="DU212">
        <v>1.8711</v>
      </c>
      <c r="DV212">
        <v>1.87609</v>
      </c>
      <c r="DW212">
        <v>1.87635</v>
      </c>
      <c r="DX212">
        <v>1.88279</v>
      </c>
      <c r="DY212">
        <v>1.87561</v>
      </c>
      <c r="DZ212">
        <v>1.8746799999999999</v>
      </c>
      <c r="EA212">
        <v>1.87087</v>
      </c>
      <c r="EB212">
        <v>1.8746799999999999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-0.90800000000000003</v>
      </c>
      <c r="EQ212">
        <v>9.64E-2</v>
      </c>
      <c r="ER212">
        <v>-0.90870000000001006</v>
      </c>
      <c r="ES212">
        <v>0</v>
      </c>
      <c r="ET212">
        <v>0</v>
      </c>
      <c r="EU212">
        <v>0</v>
      </c>
      <c r="EV212">
        <v>9.6329999999998306E-2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4.4000000000000004</v>
      </c>
      <c r="FE212">
        <v>4</v>
      </c>
      <c r="FF212">
        <v>1.2402299999999999</v>
      </c>
      <c r="FG212">
        <v>2.5952099999999998</v>
      </c>
      <c r="FH212">
        <v>2.19604</v>
      </c>
      <c r="FI212">
        <v>2.5744600000000002</v>
      </c>
      <c r="FJ212">
        <v>2.4462899999999999</v>
      </c>
      <c r="FK212">
        <v>2.3120099999999999</v>
      </c>
      <c r="FL212">
        <v>31.542400000000001</v>
      </c>
      <c r="FM212">
        <v>24.148800000000001</v>
      </c>
      <c r="FN212">
        <v>19</v>
      </c>
      <c r="FO212">
        <v>864.78200000000004</v>
      </c>
      <c r="FP212">
        <v>580.73699999999997</v>
      </c>
      <c r="FQ212">
        <v>18.1431</v>
      </c>
      <c r="FR212">
        <v>25.273800000000001</v>
      </c>
      <c r="FS212">
        <v>30.000399999999999</v>
      </c>
      <c r="FT212">
        <v>25.2499</v>
      </c>
      <c r="FU212">
        <v>25.252500000000001</v>
      </c>
      <c r="FV212">
        <v>24.887499999999999</v>
      </c>
      <c r="FW212">
        <v>31.2698</v>
      </c>
      <c r="FX212">
        <v>7.9665800000000004</v>
      </c>
      <c r="FY212">
        <v>18.1477</v>
      </c>
      <c r="FZ212">
        <v>410</v>
      </c>
      <c r="GA212">
        <v>13.6503</v>
      </c>
      <c r="GB212">
        <v>99.892499999999998</v>
      </c>
      <c r="GC212">
        <v>99.6858</v>
      </c>
    </row>
    <row r="213" spans="1:185" x14ac:dyDescent="0.2">
      <c r="A213">
        <v>198</v>
      </c>
      <c r="B213">
        <v>1771002691.0999999</v>
      </c>
      <c r="C213">
        <v>4068</v>
      </c>
      <c r="D213" t="s">
        <v>699</v>
      </c>
      <c r="E213" t="s">
        <v>700</v>
      </c>
      <c r="F213">
        <v>15</v>
      </c>
      <c r="G213">
        <v>1771002683.03333</v>
      </c>
      <c r="H213">
        <f t="shared" si="39"/>
        <v>1.4152418839859836E-3</v>
      </c>
      <c r="I213">
        <v>0</v>
      </c>
      <c r="J213">
        <f t="shared" si="51"/>
        <v>6.3934112957196596E-3</v>
      </c>
      <c r="K213">
        <f t="shared" si="40"/>
        <v>0.11432221297004701</v>
      </c>
      <c r="L213">
        <f t="shared" si="41"/>
        <v>70.301220659567107</v>
      </c>
      <c r="M213">
        <f t="shared" si="42"/>
        <v>1.5509138520771837</v>
      </c>
      <c r="N213">
        <f t="shared" si="43"/>
        <v>2.206098041437242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26289.378203100976</v>
      </c>
      <c r="T213">
        <f t="shared" si="47"/>
        <v>499.99919999999997</v>
      </c>
      <c r="U213">
        <f t="shared" si="48"/>
        <v>421.49974659932633</v>
      </c>
      <c r="V213">
        <f t="shared" si="49"/>
        <v>0.84300084199999992</v>
      </c>
      <c r="W213">
        <f t="shared" si="50"/>
        <v>0.15870171524000001</v>
      </c>
      <c r="X213">
        <v>1</v>
      </c>
      <c r="Y213">
        <v>1771002683.03333</v>
      </c>
      <c r="Z213">
        <v>409.126466666667</v>
      </c>
      <c r="AA213">
        <v>409.99313333333299</v>
      </c>
      <c r="AB213">
        <v>15.440200000000001</v>
      </c>
      <c r="AC213">
        <v>13.6984666666667</v>
      </c>
      <c r="AD213">
        <v>410.03480000000002</v>
      </c>
      <c r="AE213">
        <v>15.3438533333333</v>
      </c>
      <c r="AF213">
        <v>800.00206666666702</v>
      </c>
      <c r="AG213">
        <v>100.38226666666699</v>
      </c>
      <c r="AH213">
        <v>6.4220559999999996E-2</v>
      </c>
      <c r="AI213">
        <v>19.0066666666667</v>
      </c>
      <c r="AJ213">
        <v>999.9</v>
      </c>
      <c r="AK213">
        <v>999.9</v>
      </c>
      <c r="AL213">
        <v>0</v>
      </c>
      <c r="AM213">
        <v>0</v>
      </c>
      <c r="AN213">
        <v>4994.6666666666697</v>
      </c>
      <c r="AO213">
        <v>0</v>
      </c>
      <c r="AP213">
        <v>1.78036666666667</v>
      </c>
      <c r="AQ213">
        <v>-0.86692706666666697</v>
      </c>
      <c r="AR213">
        <v>415.54239999999999</v>
      </c>
      <c r="AS213">
        <v>415.68759999999997</v>
      </c>
      <c r="AT213">
        <v>1.7417306666666701</v>
      </c>
      <c r="AU213">
        <v>409.99313333333299</v>
      </c>
      <c r="AV213">
        <v>13.6984666666667</v>
      </c>
      <c r="AW213">
        <v>1.5499213333333299</v>
      </c>
      <c r="AX213">
        <v>1.3750833333333301</v>
      </c>
      <c r="AY213">
        <v>13.4697333333333</v>
      </c>
      <c r="AZ213">
        <v>11.6456</v>
      </c>
      <c r="BA213">
        <v>499.99919999999997</v>
      </c>
      <c r="BB213">
        <v>0.89997773333333297</v>
      </c>
      <c r="BC213">
        <v>0</v>
      </c>
      <c r="BD213">
        <v>0.100022466666667</v>
      </c>
      <c r="BE213">
        <v>0</v>
      </c>
      <c r="BF213">
        <v>25</v>
      </c>
      <c r="BG213">
        <v>8244.3253333333305</v>
      </c>
      <c r="BH213">
        <v>1771002434.0999999</v>
      </c>
      <c r="BI213" t="s">
        <v>676</v>
      </c>
      <c r="BJ213">
        <v>1771002412.0999999</v>
      </c>
      <c r="BK213">
        <v>1771002434.0999999</v>
      </c>
      <c r="BL213">
        <v>11</v>
      </c>
      <c r="BM213">
        <v>-2.1999999999999999E-2</v>
      </c>
      <c r="BN213">
        <v>-0.01</v>
      </c>
      <c r="BO213">
        <v>-0.90900000000000003</v>
      </c>
      <c r="BP213">
        <v>9.6000000000000002E-2</v>
      </c>
      <c r="BQ213">
        <v>410</v>
      </c>
      <c r="BR213">
        <v>14</v>
      </c>
      <c r="BS213">
        <v>0.35</v>
      </c>
      <c r="BT213">
        <v>0.16</v>
      </c>
      <c r="BU213">
        <v>-0.86885380000000001</v>
      </c>
      <c r="BV213">
        <v>-8.3605443609022598E-2</v>
      </c>
      <c r="BW213">
        <v>1.98089740865094E-2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1.7498795</v>
      </c>
      <c r="CD213">
        <v>-0.16079954887218101</v>
      </c>
      <c r="CE213">
        <v>1.7052194719448899E-2</v>
      </c>
      <c r="CF213">
        <v>0</v>
      </c>
      <c r="CG213">
        <v>1</v>
      </c>
      <c r="CH213">
        <v>2</v>
      </c>
      <c r="CI213" t="s">
        <v>290</v>
      </c>
      <c r="CJ213">
        <v>3.5325299999999999</v>
      </c>
      <c r="CK213">
        <v>2.7020300000000002</v>
      </c>
      <c r="CL213">
        <v>9.8129800000000003E-2</v>
      </c>
      <c r="CM213">
        <v>9.6910899999999994E-2</v>
      </c>
      <c r="CN213">
        <v>8.75031E-2</v>
      </c>
      <c r="CO213">
        <v>7.9243900000000006E-2</v>
      </c>
      <c r="CP213">
        <v>31633.5</v>
      </c>
      <c r="CQ213">
        <v>27798.7</v>
      </c>
      <c r="CR213">
        <v>32462.799999999999</v>
      </c>
      <c r="CS213">
        <v>30708</v>
      </c>
      <c r="CT213">
        <v>40105.5</v>
      </c>
      <c r="CU213">
        <v>39760.199999999997</v>
      </c>
      <c r="CV213">
        <v>47404.3</v>
      </c>
      <c r="CW213">
        <v>46826.1</v>
      </c>
      <c r="CX213">
        <v>2.6265399999999999</v>
      </c>
      <c r="CY213">
        <v>2.1390799999999999</v>
      </c>
      <c r="CZ213">
        <v>0</v>
      </c>
      <c r="DA213">
        <v>0</v>
      </c>
      <c r="DB213">
        <v>999.9</v>
      </c>
      <c r="DC213">
        <v>999.9</v>
      </c>
      <c r="DD213">
        <v>53.655999999999999</v>
      </c>
      <c r="DE213">
        <v>26.867999999999999</v>
      </c>
      <c r="DF213">
        <v>18.983799999999999</v>
      </c>
      <c r="DG213">
        <v>30.510100000000001</v>
      </c>
      <c r="DH213">
        <v>16.534500000000001</v>
      </c>
      <c r="DI213">
        <v>2</v>
      </c>
      <c r="DJ213">
        <v>-0.136266</v>
      </c>
      <c r="DK213">
        <v>2.3372099999999998</v>
      </c>
      <c r="DL213">
        <v>20.206299999999999</v>
      </c>
      <c r="DM213">
        <v>5.2511900000000002</v>
      </c>
      <c r="DN213">
        <v>12.033899999999999</v>
      </c>
      <c r="DO213">
        <v>4.9673600000000002</v>
      </c>
      <c r="DP213">
        <v>3.2910200000000001</v>
      </c>
      <c r="DQ213">
        <v>9999</v>
      </c>
      <c r="DR213">
        <v>9999</v>
      </c>
      <c r="DS213">
        <v>597.5</v>
      </c>
      <c r="DT213">
        <v>9999</v>
      </c>
      <c r="DU213">
        <v>1.8710800000000001</v>
      </c>
      <c r="DV213">
        <v>1.8760699999999999</v>
      </c>
      <c r="DW213">
        <v>1.87635</v>
      </c>
      <c r="DX213">
        <v>1.88279</v>
      </c>
      <c r="DY213">
        <v>1.8755999999999999</v>
      </c>
      <c r="DZ213">
        <v>1.8746400000000001</v>
      </c>
      <c r="EA213">
        <v>1.8708400000000001</v>
      </c>
      <c r="EB213">
        <v>1.8746499999999999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-0.90900000000000003</v>
      </c>
      <c r="EQ213">
        <v>9.6299999999999997E-2</v>
      </c>
      <c r="ER213">
        <v>-0.90870000000001006</v>
      </c>
      <c r="ES213">
        <v>0</v>
      </c>
      <c r="ET213">
        <v>0</v>
      </c>
      <c r="EU213">
        <v>0</v>
      </c>
      <c r="EV213">
        <v>9.6329999999998306E-2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4.7</v>
      </c>
      <c r="FE213">
        <v>4.3</v>
      </c>
      <c r="FF213">
        <v>1.2402299999999999</v>
      </c>
      <c r="FG213">
        <v>2.5915499999999998</v>
      </c>
      <c r="FH213">
        <v>2.19604</v>
      </c>
      <c r="FI213">
        <v>2.5744600000000002</v>
      </c>
      <c r="FJ213">
        <v>2.4462899999999999</v>
      </c>
      <c r="FK213">
        <v>2.3010299999999999</v>
      </c>
      <c r="FL213">
        <v>31.542400000000001</v>
      </c>
      <c r="FM213">
        <v>24.148800000000001</v>
      </c>
      <c r="FN213">
        <v>19</v>
      </c>
      <c r="FO213">
        <v>864.86199999999997</v>
      </c>
      <c r="FP213">
        <v>580.524</v>
      </c>
      <c r="FQ213">
        <v>18.116099999999999</v>
      </c>
      <c r="FR213">
        <v>25.283999999999999</v>
      </c>
      <c r="FS213">
        <v>30.0001</v>
      </c>
      <c r="FT213">
        <v>25.258299999999998</v>
      </c>
      <c r="FU213">
        <v>25.260899999999999</v>
      </c>
      <c r="FV213">
        <v>24.887499999999999</v>
      </c>
      <c r="FW213">
        <v>31.2698</v>
      </c>
      <c r="FX213">
        <v>7.5895200000000003</v>
      </c>
      <c r="FY213">
        <v>18.1251</v>
      </c>
      <c r="FZ213">
        <v>410</v>
      </c>
      <c r="GA213">
        <v>13.6143</v>
      </c>
      <c r="GB213">
        <v>99.891900000000007</v>
      </c>
      <c r="GC213">
        <v>99.686700000000002</v>
      </c>
    </row>
    <row r="214" spans="1:185" x14ac:dyDescent="0.2">
      <c r="A214">
        <v>199</v>
      </c>
      <c r="B214">
        <v>1771002706.0999999</v>
      </c>
      <c r="C214">
        <v>4083</v>
      </c>
      <c r="D214" t="s">
        <v>701</v>
      </c>
      <c r="E214" t="s">
        <v>702</v>
      </c>
      <c r="F214">
        <v>15</v>
      </c>
      <c r="G214">
        <v>1771002698.03333</v>
      </c>
      <c r="H214">
        <f t="shared" si="39"/>
        <v>1.4218032110060162E-3</v>
      </c>
      <c r="I214">
        <v>0</v>
      </c>
      <c r="J214">
        <f t="shared" si="51"/>
        <v>8.0528061537747352E-3</v>
      </c>
      <c r="K214">
        <f t="shared" si="40"/>
        <v>0.1439942743453225</v>
      </c>
      <c r="L214">
        <f t="shared" si="41"/>
        <v>70.219469393653995</v>
      </c>
      <c r="M214">
        <f t="shared" si="42"/>
        <v>1.5481252864376089</v>
      </c>
      <c r="N214">
        <f t="shared" si="43"/>
        <v>2.20469522171798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26354.868162098963</v>
      </c>
      <c r="T214">
        <f t="shared" si="47"/>
        <v>500.00046666666702</v>
      </c>
      <c r="U214">
        <f t="shared" si="48"/>
        <v>421.50078140036209</v>
      </c>
      <c r="V214">
        <f t="shared" si="49"/>
        <v>0.84300077599999934</v>
      </c>
      <c r="W214">
        <f t="shared" si="50"/>
        <v>0.15870181007999992</v>
      </c>
      <c r="X214">
        <v>1</v>
      </c>
      <c r="Y214">
        <v>1771002698.03333</v>
      </c>
      <c r="Z214">
        <v>409.10593333333298</v>
      </c>
      <c r="AA214">
        <v>410.01299999999998</v>
      </c>
      <c r="AB214">
        <v>15.41262</v>
      </c>
      <c r="AC214">
        <v>13.66278</v>
      </c>
      <c r="AD214">
        <v>410.01459999999997</v>
      </c>
      <c r="AE214">
        <v>15.3162933333333</v>
      </c>
      <c r="AF214">
        <v>800.01</v>
      </c>
      <c r="AG214">
        <v>100.380933333333</v>
      </c>
      <c r="AH214">
        <v>6.4369700000000002E-2</v>
      </c>
      <c r="AI214">
        <v>18.996473333333299</v>
      </c>
      <c r="AJ214">
        <v>999.9</v>
      </c>
      <c r="AK214">
        <v>999.9</v>
      </c>
      <c r="AL214">
        <v>0</v>
      </c>
      <c r="AM214">
        <v>0</v>
      </c>
      <c r="AN214">
        <v>5005.3333333333303</v>
      </c>
      <c r="AO214">
        <v>0</v>
      </c>
      <c r="AP214">
        <v>1.7690726666666701</v>
      </c>
      <c r="AQ214">
        <v>-0.90714926666666695</v>
      </c>
      <c r="AR214">
        <v>415.51</v>
      </c>
      <c r="AS214">
        <v>415.69266666666698</v>
      </c>
      <c r="AT214">
        <v>1.74983</v>
      </c>
      <c r="AU214">
        <v>410.01299999999998</v>
      </c>
      <c r="AV214">
        <v>13.66278</v>
      </c>
      <c r="AW214">
        <v>1.54713533333333</v>
      </c>
      <c r="AX214">
        <v>1.3714839999999999</v>
      </c>
      <c r="AY214">
        <v>13.4421066666667</v>
      </c>
      <c r="AZ214">
        <v>11.605966666666699</v>
      </c>
      <c r="BA214">
        <v>500.00046666666702</v>
      </c>
      <c r="BB214">
        <v>0.89997606666666596</v>
      </c>
      <c r="BC214">
        <v>0</v>
      </c>
      <c r="BD214">
        <v>0.100024</v>
      </c>
      <c r="BE214">
        <v>0</v>
      </c>
      <c r="BF214">
        <v>25</v>
      </c>
      <c r="BG214">
        <v>8244.3433333333305</v>
      </c>
      <c r="BH214">
        <v>1771002434.0999999</v>
      </c>
      <c r="BI214" t="s">
        <v>676</v>
      </c>
      <c r="BJ214">
        <v>1771002412.0999999</v>
      </c>
      <c r="BK214">
        <v>1771002434.0999999</v>
      </c>
      <c r="BL214">
        <v>11</v>
      </c>
      <c r="BM214">
        <v>-2.1999999999999999E-2</v>
      </c>
      <c r="BN214">
        <v>-0.01</v>
      </c>
      <c r="BO214">
        <v>-0.90900000000000003</v>
      </c>
      <c r="BP214">
        <v>9.6000000000000002E-2</v>
      </c>
      <c r="BQ214">
        <v>410</v>
      </c>
      <c r="BR214">
        <v>14</v>
      </c>
      <c r="BS214">
        <v>0.35</v>
      </c>
      <c r="BT214">
        <v>0.16</v>
      </c>
      <c r="BU214">
        <v>-0.90227109523809501</v>
      </c>
      <c r="BV214">
        <v>-4.1726649350649299E-2</v>
      </c>
      <c r="BW214">
        <v>1.5871586003819601E-2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1.74566142857143</v>
      </c>
      <c r="CD214">
        <v>8.8444675324674801E-2</v>
      </c>
      <c r="CE214">
        <v>1.0139084811575799E-2</v>
      </c>
      <c r="CF214">
        <v>1</v>
      </c>
      <c r="CG214">
        <v>2</v>
      </c>
      <c r="CH214">
        <v>2</v>
      </c>
      <c r="CI214" t="s">
        <v>304</v>
      </c>
      <c r="CJ214">
        <v>3.5325600000000001</v>
      </c>
      <c r="CK214">
        <v>2.70194</v>
      </c>
      <c r="CL214">
        <v>9.8121299999999995E-2</v>
      </c>
      <c r="CM214">
        <v>9.6895400000000007E-2</v>
      </c>
      <c r="CN214">
        <v>8.7365100000000001E-2</v>
      </c>
      <c r="CO214">
        <v>7.9053200000000004E-2</v>
      </c>
      <c r="CP214">
        <v>31633.7</v>
      </c>
      <c r="CQ214">
        <v>27798.9</v>
      </c>
      <c r="CR214">
        <v>32462.799999999999</v>
      </c>
      <c r="CS214">
        <v>30707.7</v>
      </c>
      <c r="CT214">
        <v>40111.699999999997</v>
      </c>
      <c r="CU214">
        <v>39768.199999999997</v>
      </c>
      <c r="CV214">
        <v>47404.3</v>
      </c>
      <c r="CW214">
        <v>46825.599999999999</v>
      </c>
      <c r="CX214">
        <v>2.6264599999999998</v>
      </c>
      <c r="CY214">
        <v>2.1388400000000001</v>
      </c>
      <c r="CZ214">
        <v>0</v>
      </c>
      <c r="DA214">
        <v>0</v>
      </c>
      <c r="DB214">
        <v>999.9</v>
      </c>
      <c r="DC214">
        <v>999.9</v>
      </c>
      <c r="DD214">
        <v>53.607999999999997</v>
      </c>
      <c r="DE214">
        <v>26.878</v>
      </c>
      <c r="DF214">
        <v>18.978300000000001</v>
      </c>
      <c r="DG214">
        <v>30.270099999999999</v>
      </c>
      <c r="DH214">
        <v>16.462299999999999</v>
      </c>
      <c r="DI214">
        <v>2</v>
      </c>
      <c r="DJ214">
        <v>-0.13564399999999999</v>
      </c>
      <c r="DK214">
        <v>2.2674599999999998</v>
      </c>
      <c r="DL214">
        <v>20.207799999999999</v>
      </c>
      <c r="DM214">
        <v>5.2510700000000003</v>
      </c>
      <c r="DN214">
        <v>12.033899999999999</v>
      </c>
      <c r="DO214">
        <v>4.9669999999999996</v>
      </c>
      <c r="DP214">
        <v>3.2909999999999999</v>
      </c>
      <c r="DQ214">
        <v>9999</v>
      </c>
      <c r="DR214">
        <v>9999</v>
      </c>
      <c r="DS214">
        <v>597.5</v>
      </c>
      <c r="DT214">
        <v>9999</v>
      </c>
      <c r="DU214">
        <v>1.8710500000000001</v>
      </c>
      <c r="DV214">
        <v>1.8760699999999999</v>
      </c>
      <c r="DW214">
        <v>1.87632</v>
      </c>
      <c r="DX214">
        <v>1.88279</v>
      </c>
      <c r="DY214">
        <v>1.87557</v>
      </c>
      <c r="DZ214">
        <v>1.87462</v>
      </c>
      <c r="EA214">
        <v>1.8708100000000001</v>
      </c>
      <c r="EB214">
        <v>1.8746400000000001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-0.90900000000000003</v>
      </c>
      <c r="EQ214">
        <v>9.6299999999999997E-2</v>
      </c>
      <c r="ER214">
        <v>-0.90870000000001006</v>
      </c>
      <c r="ES214">
        <v>0</v>
      </c>
      <c r="ET214">
        <v>0</v>
      </c>
      <c r="EU214">
        <v>0</v>
      </c>
      <c r="EV214">
        <v>9.6329999999998306E-2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4.9000000000000004</v>
      </c>
      <c r="FE214">
        <v>4.5</v>
      </c>
      <c r="FF214">
        <v>1.2402299999999999</v>
      </c>
      <c r="FG214">
        <v>2.5927699999999998</v>
      </c>
      <c r="FH214">
        <v>2.19604</v>
      </c>
      <c r="FI214">
        <v>2.5744600000000002</v>
      </c>
      <c r="FJ214">
        <v>2.4462899999999999</v>
      </c>
      <c r="FK214">
        <v>2.2814899999999998</v>
      </c>
      <c r="FL214">
        <v>31.564299999999999</v>
      </c>
      <c r="FM214">
        <v>24.148800000000001</v>
      </c>
      <c r="FN214">
        <v>19</v>
      </c>
      <c r="FO214">
        <v>864.93299999999999</v>
      </c>
      <c r="FP214">
        <v>580.44000000000005</v>
      </c>
      <c r="FQ214">
        <v>18.1509</v>
      </c>
      <c r="FR214">
        <v>25.295100000000001</v>
      </c>
      <c r="FS214">
        <v>30.000299999999999</v>
      </c>
      <c r="FT214">
        <v>25.267399999999999</v>
      </c>
      <c r="FU214">
        <v>25.2699</v>
      </c>
      <c r="FV214">
        <v>24.887499999999999</v>
      </c>
      <c r="FW214">
        <v>31.558199999999999</v>
      </c>
      <c r="FX214">
        <v>7.2129799999999999</v>
      </c>
      <c r="FY214">
        <v>18.153400000000001</v>
      </c>
      <c r="FZ214">
        <v>410</v>
      </c>
      <c r="GA214">
        <v>13.5916</v>
      </c>
      <c r="GB214">
        <v>99.891800000000003</v>
      </c>
      <c r="GC214">
        <v>99.685599999999994</v>
      </c>
    </row>
    <row r="215" spans="1:185" x14ac:dyDescent="0.2">
      <c r="A215">
        <v>200</v>
      </c>
      <c r="B215">
        <v>1771002721.0999999</v>
      </c>
      <c r="C215">
        <v>4098</v>
      </c>
      <c r="D215" t="s">
        <v>703</v>
      </c>
      <c r="E215" t="s">
        <v>704</v>
      </c>
      <c r="F215">
        <v>15</v>
      </c>
      <c r="G215">
        <v>1771002713.03333</v>
      </c>
      <c r="H215">
        <f t="shared" si="39"/>
        <v>1.4207455985782143E-3</v>
      </c>
      <c r="I215">
        <v>0</v>
      </c>
      <c r="J215">
        <f t="shared" si="51"/>
        <v>7.3355862625062076E-3</v>
      </c>
      <c r="K215">
        <f t="shared" si="40"/>
        <v>0.13116948310893684</v>
      </c>
      <c r="L215">
        <f t="shared" si="41"/>
        <v>70.093390759598122</v>
      </c>
      <c r="M215">
        <f t="shared" si="42"/>
        <v>1.5452273453022836</v>
      </c>
      <c r="N215">
        <f t="shared" si="43"/>
        <v>2.2045264589952658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26348.47341328254</v>
      </c>
      <c r="T215">
        <f t="shared" si="47"/>
        <v>499.99926666666698</v>
      </c>
      <c r="U215">
        <f t="shared" si="48"/>
        <v>421.49972579949588</v>
      </c>
      <c r="V215">
        <f t="shared" si="49"/>
        <v>0.84300068800000028</v>
      </c>
      <c r="W215">
        <f t="shared" si="50"/>
        <v>0.15870159008000007</v>
      </c>
      <c r="X215">
        <v>1</v>
      </c>
      <c r="Y215">
        <v>1771002713.03333</v>
      </c>
      <c r="Z215">
        <v>409.090666666667</v>
      </c>
      <c r="AA215">
        <v>409.98113333333299</v>
      </c>
      <c r="AB215">
        <v>15.384033333333299</v>
      </c>
      <c r="AC215">
        <v>13.6354466666667</v>
      </c>
      <c r="AD215">
        <v>409.99926666666698</v>
      </c>
      <c r="AE215">
        <v>15.287713333333301</v>
      </c>
      <c r="AF215">
        <v>800.01113333333296</v>
      </c>
      <c r="AG215">
        <v>100.37933333333299</v>
      </c>
      <c r="AH215">
        <v>6.4244226666666696E-2</v>
      </c>
      <c r="AI215">
        <v>18.995246666666699</v>
      </c>
      <c r="AJ215">
        <v>999.9</v>
      </c>
      <c r="AK215">
        <v>999.9</v>
      </c>
      <c r="AL215">
        <v>0</v>
      </c>
      <c r="AM215">
        <v>0</v>
      </c>
      <c r="AN215">
        <v>5004.3333333333303</v>
      </c>
      <c r="AO215">
        <v>0</v>
      </c>
      <c r="AP215">
        <v>1.7750980000000001</v>
      </c>
      <c r="AQ215">
        <v>-0.89053546666666705</v>
      </c>
      <c r="AR215">
        <v>415.48246666666699</v>
      </c>
      <c r="AS215">
        <v>415.648666666667</v>
      </c>
      <c r="AT215">
        <v>1.74858</v>
      </c>
      <c r="AU215">
        <v>409.98113333333299</v>
      </c>
      <c r="AV215">
        <v>13.6354466666667</v>
      </c>
      <c r="AW215">
        <v>1.54423933333333</v>
      </c>
      <c r="AX215">
        <v>1.3687180000000001</v>
      </c>
      <c r="AY215">
        <v>13.413353333333299</v>
      </c>
      <c r="AZ215">
        <v>11.575426666666701</v>
      </c>
      <c r="BA215">
        <v>499.99926666666698</v>
      </c>
      <c r="BB215">
        <v>0.89997899999999997</v>
      </c>
      <c r="BC215">
        <v>0</v>
      </c>
      <c r="BD215">
        <v>0.10002106666666701</v>
      </c>
      <c r="BE215">
        <v>0</v>
      </c>
      <c r="BF215">
        <v>25</v>
      </c>
      <c r="BG215">
        <v>8244.3293333333295</v>
      </c>
      <c r="BH215">
        <v>1771002434.0999999</v>
      </c>
      <c r="BI215" t="s">
        <v>676</v>
      </c>
      <c r="BJ215">
        <v>1771002412.0999999</v>
      </c>
      <c r="BK215">
        <v>1771002434.0999999</v>
      </c>
      <c r="BL215">
        <v>11</v>
      </c>
      <c r="BM215">
        <v>-2.1999999999999999E-2</v>
      </c>
      <c r="BN215">
        <v>-0.01</v>
      </c>
      <c r="BO215">
        <v>-0.90900000000000003</v>
      </c>
      <c r="BP215">
        <v>9.6000000000000002E-2</v>
      </c>
      <c r="BQ215">
        <v>410</v>
      </c>
      <c r="BR215">
        <v>14</v>
      </c>
      <c r="BS215">
        <v>0.35</v>
      </c>
      <c r="BT215">
        <v>0.16</v>
      </c>
      <c r="BU215">
        <v>-0.89130854999999998</v>
      </c>
      <c r="BV215">
        <v>1.5088917293232199E-2</v>
      </c>
      <c r="BW215">
        <v>1.82537466660272E-2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1.750132</v>
      </c>
      <c r="CD215">
        <v>-3.6493533834587998E-2</v>
      </c>
      <c r="CE215">
        <v>3.8593815566745899E-3</v>
      </c>
      <c r="CF215">
        <v>1</v>
      </c>
      <c r="CG215">
        <v>2</v>
      </c>
      <c r="CH215">
        <v>2</v>
      </c>
      <c r="CI215" t="s">
        <v>304</v>
      </c>
      <c r="CJ215">
        <v>3.5324800000000001</v>
      </c>
      <c r="CK215">
        <v>2.7021099999999998</v>
      </c>
      <c r="CL215">
        <v>9.8120799999999994E-2</v>
      </c>
      <c r="CM215">
        <v>9.6906999999999993E-2</v>
      </c>
      <c r="CN215">
        <v>8.7289800000000001E-2</v>
      </c>
      <c r="CO215">
        <v>7.9009700000000002E-2</v>
      </c>
      <c r="CP215">
        <v>31633.4</v>
      </c>
      <c r="CQ215">
        <v>27798.3</v>
      </c>
      <c r="CR215">
        <v>32462.400000000001</v>
      </c>
      <c r="CS215">
        <v>30707.5</v>
      </c>
      <c r="CT215">
        <v>40114.800000000003</v>
      </c>
      <c r="CU215">
        <v>39769.699999999997</v>
      </c>
      <c r="CV215">
        <v>47403.9</v>
      </c>
      <c r="CW215">
        <v>46825</v>
      </c>
      <c r="CX215">
        <v>2.6261800000000002</v>
      </c>
      <c r="CY215">
        <v>2.1385399999999999</v>
      </c>
      <c r="CZ215">
        <v>0</v>
      </c>
      <c r="DA215">
        <v>0</v>
      </c>
      <c r="DB215">
        <v>999.9</v>
      </c>
      <c r="DC215">
        <v>999.9</v>
      </c>
      <c r="DD215">
        <v>53.558999999999997</v>
      </c>
      <c r="DE215">
        <v>26.878</v>
      </c>
      <c r="DF215">
        <v>18.960799999999999</v>
      </c>
      <c r="DG215">
        <v>30.540099999999999</v>
      </c>
      <c r="DH215">
        <v>16.5825</v>
      </c>
      <c r="DI215">
        <v>2</v>
      </c>
      <c r="DJ215">
        <v>-0.13469700000000001</v>
      </c>
      <c r="DK215">
        <v>2.2832699999999999</v>
      </c>
      <c r="DL215">
        <v>20.2058</v>
      </c>
      <c r="DM215">
        <v>5.2502399999999998</v>
      </c>
      <c r="DN215">
        <v>12.033899999999999</v>
      </c>
      <c r="DO215">
        <v>4.9669999999999996</v>
      </c>
      <c r="DP215">
        <v>3.2909999999999999</v>
      </c>
      <c r="DQ215">
        <v>9999</v>
      </c>
      <c r="DR215">
        <v>9999</v>
      </c>
      <c r="DS215">
        <v>597.5</v>
      </c>
      <c r="DT215">
        <v>9999</v>
      </c>
      <c r="DU215">
        <v>1.87104</v>
      </c>
      <c r="DV215">
        <v>1.8760699999999999</v>
      </c>
      <c r="DW215">
        <v>1.87629</v>
      </c>
      <c r="DX215">
        <v>1.88279</v>
      </c>
      <c r="DY215">
        <v>1.87558</v>
      </c>
      <c r="DZ215">
        <v>1.8746</v>
      </c>
      <c r="EA215">
        <v>1.8708</v>
      </c>
      <c r="EB215">
        <v>1.8746499999999999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-0.90800000000000003</v>
      </c>
      <c r="EQ215">
        <v>9.6299999999999997E-2</v>
      </c>
      <c r="ER215">
        <v>-0.90870000000001006</v>
      </c>
      <c r="ES215">
        <v>0</v>
      </c>
      <c r="ET215">
        <v>0</v>
      </c>
      <c r="EU215">
        <v>0</v>
      </c>
      <c r="EV215">
        <v>9.6329999999998306E-2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5.2</v>
      </c>
      <c r="FE215">
        <v>4.8</v>
      </c>
      <c r="FF215">
        <v>1.2402299999999999</v>
      </c>
      <c r="FG215">
        <v>2.5891099999999998</v>
      </c>
      <c r="FH215">
        <v>2.19604</v>
      </c>
      <c r="FI215">
        <v>2.5756800000000002</v>
      </c>
      <c r="FJ215">
        <v>2.4462899999999999</v>
      </c>
      <c r="FK215">
        <v>2.2985799999999998</v>
      </c>
      <c r="FL215">
        <v>31.564299999999999</v>
      </c>
      <c r="FM215">
        <v>24.148800000000001</v>
      </c>
      <c r="FN215">
        <v>19</v>
      </c>
      <c r="FO215">
        <v>864.82299999999998</v>
      </c>
      <c r="FP215">
        <v>580.31799999999998</v>
      </c>
      <c r="FQ215">
        <v>18.162500000000001</v>
      </c>
      <c r="FR215">
        <v>25.3066</v>
      </c>
      <c r="FS215">
        <v>30.000499999999999</v>
      </c>
      <c r="FT215">
        <v>25.276599999999998</v>
      </c>
      <c r="FU215">
        <v>25.279699999999998</v>
      </c>
      <c r="FV215">
        <v>24.887899999999998</v>
      </c>
      <c r="FW215">
        <v>31.558199999999999</v>
      </c>
      <c r="FX215">
        <v>7.2129799999999999</v>
      </c>
      <c r="FY215">
        <v>18.163499999999999</v>
      </c>
      <c r="FZ215">
        <v>410</v>
      </c>
      <c r="GA215">
        <v>13.5756</v>
      </c>
      <c r="GB215">
        <v>99.890799999999999</v>
      </c>
      <c r="GC215">
        <v>99.684600000000003</v>
      </c>
    </row>
    <row r="216" spans="1:185" x14ac:dyDescent="0.2">
      <c r="A216">
        <v>201</v>
      </c>
      <c r="B216">
        <v>1771002736.0999999</v>
      </c>
      <c r="C216">
        <v>4113</v>
      </c>
      <c r="D216" t="s">
        <v>705</v>
      </c>
      <c r="E216" t="s">
        <v>706</v>
      </c>
      <c r="F216">
        <v>15</v>
      </c>
      <c r="G216">
        <v>1771002728.03333</v>
      </c>
      <c r="H216">
        <f t="shared" si="39"/>
        <v>1.4117223298422516E-3</v>
      </c>
      <c r="I216">
        <v>0</v>
      </c>
      <c r="J216">
        <f t="shared" si="51"/>
        <v>8.9540535737132557E-3</v>
      </c>
      <c r="K216">
        <f t="shared" si="40"/>
        <v>0.16010970861276849</v>
      </c>
      <c r="L216">
        <f t="shared" si="41"/>
        <v>70.009391043107442</v>
      </c>
      <c r="M216">
        <f t="shared" si="42"/>
        <v>1.5432952890709419</v>
      </c>
      <c r="N216">
        <f t="shared" si="43"/>
        <v>2.2044118168670779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26318.118720428749</v>
      </c>
      <c r="T216">
        <f t="shared" si="47"/>
        <v>499.99919999999997</v>
      </c>
      <c r="U216">
        <f t="shared" si="48"/>
        <v>421.49958759958088</v>
      </c>
      <c r="V216">
        <f t="shared" si="49"/>
        <v>0.84300052400000025</v>
      </c>
      <c r="W216">
        <f t="shared" si="50"/>
        <v>0.15870118008000006</v>
      </c>
      <c r="X216">
        <v>1</v>
      </c>
      <c r="Y216">
        <v>1771002728.03333</v>
      </c>
      <c r="Z216">
        <v>409.07173333333299</v>
      </c>
      <c r="AA216">
        <v>409.99373333333301</v>
      </c>
      <c r="AB216">
        <v>15.36478</v>
      </c>
      <c r="AC216">
        <v>13.6272533333333</v>
      </c>
      <c r="AD216">
        <v>409.98033333333302</v>
      </c>
      <c r="AE216">
        <v>15.2684533333333</v>
      </c>
      <c r="AF216">
        <v>800.00586666666698</v>
      </c>
      <c r="AG216">
        <v>100.37933333333299</v>
      </c>
      <c r="AH216">
        <v>6.4362513333333302E-2</v>
      </c>
      <c r="AI216">
        <v>18.994413333333299</v>
      </c>
      <c r="AJ216">
        <v>999.9</v>
      </c>
      <c r="AK216">
        <v>999.9</v>
      </c>
      <c r="AL216">
        <v>0</v>
      </c>
      <c r="AM216">
        <v>0</v>
      </c>
      <c r="AN216">
        <v>4999.3333333333303</v>
      </c>
      <c r="AO216">
        <v>0</v>
      </c>
      <c r="AP216">
        <v>1.76011733333333</v>
      </c>
      <c r="AQ216">
        <v>-0.92195839999999996</v>
      </c>
      <c r="AR216">
        <v>415.45513333333298</v>
      </c>
      <c r="AS216">
        <v>415.65800000000002</v>
      </c>
      <c r="AT216">
        <v>1.7375273333333301</v>
      </c>
      <c r="AU216">
        <v>409.99373333333301</v>
      </c>
      <c r="AV216">
        <v>13.6272533333333</v>
      </c>
      <c r="AW216">
        <v>1.54230666666667</v>
      </c>
      <c r="AX216">
        <v>1.36789466666667</v>
      </c>
      <c r="AY216">
        <v>13.3941466666667</v>
      </c>
      <c r="AZ216">
        <v>11.566319999999999</v>
      </c>
      <c r="BA216">
        <v>499.99919999999997</v>
      </c>
      <c r="BB216">
        <v>0.89998446666666698</v>
      </c>
      <c r="BC216">
        <v>0</v>
      </c>
      <c r="BD216">
        <v>0.1000156</v>
      </c>
      <c r="BE216">
        <v>0</v>
      </c>
      <c r="BF216">
        <v>25</v>
      </c>
      <c r="BG216">
        <v>8244.3433333333305</v>
      </c>
      <c r="BH216">
        <v>1771002434.0999999</v>
      </c>
      <c r="BI216" t="s">
        <v>676</v>
      </c>
      <c r="BJ216">
        <v>1771002412.0999999</v>
      </c>
      <c r="BK216">
        <v>1771002434.0999999</v>
      </c>
      <c r="BL216">
        <v>11</v>
      </c>
      <c r="BM216">
        <v>-2.1999999999999999E-2</v>
      </c>
      <c r="BN216">
        <v>-0.01</v>
      </c>
      <c r="BO216">
        <v>-0.90900000000000003</v>
      </c>
      <c r="BP216">
        <v>9.6000000000000002E-2</v>
      </c>
      <c r="BQ216">
        <v>410</v>
      </c>
      <c r="BR216">
        <v>14</v>
      </c>
      <c r="BS216">
        <v>0.35</v>
      </c>
      <c r="BT216">
        <v>0.16</v>
      </c>
      <c r="BU216">
        <v>-0.91295076190476199</v>
      </c>
      <c r="BV216">
        <v>-0.14225641558441701</v>
      </c>
      <c r="BW216">
        <v>2.5766747112370099E-2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1.74000904761905</v>
      </c>
      <c r="CD216">
        <v>-3.79948051948064E-2</v>
      </c>
      <c r="CE216">
        <v>4.8233093803616697E-3</v>
      </c>
      <c r="CF216">
        <v>1</v>
      </c>
      <c r="CG216">
        <v>2</v>
      </c>
      <c r="CH216">
        <v>2</v>
      </c>
      <c r="CI216" t="s">
        <v>304</v>
      </c>
      <c r="CJ216">
        <v>3.5325500000000001</v>
      </c>
      <c r="CK216">
        <v>2.7021700000000002</v>
      </c>
      <c r="CL216">
        <v>9.8114499999999993E-2</v>
      </c>
      <c r="CM216">
        <v>9.6893599999999996E-2</v>
      </c>
      <c r="CN216">
        <v>8.7182300000000004E-2</v>
      </c>
      <c r="CO216">
        <v>7.8954499999999997E-2</v>
      </c>
      <c r="CP216">
        <v>31632.400000000001</v>
      </c>
      <c r="CQ216">
        <v>27797.8</v>
      </c>
      <c r="CR216">
        <v>32461.200000000001</v>
      </c>
      <c r="CS216">
        <v>30706.5</v>
      </c>
      <c r="CT216">
        <v>40118.300000000003</v>
      </c>
      <c r="CU216">
        <v>39770.9</v>
      </c>
      <c r="CV216">
        <v>47402.2</v>
      </c>
      <c r="CW216">
        <v>46823.6</v>
      </c>
      <c r="CX216">
        <v>2.6257799999999998</v>
      </c>
      <c r="CY216">
        <v>2.1379800000000002</v>
      </c>
      <c r="CZ216">
        <v>0</v>
      </c>
      <c r="DA216">
        <v>0</v>
      </c>
      <c r="DB216">
        <v>999.9</v>
      </c>
      <c r="DC216">
        <v>999.9</v>
      </c>
      <c r="DD216">
        <v>53.485999999999997</v>
      </c>
      <c r="DE216">
        <v>26.888000000000002</v>
      </c>
      <c r="DF216">
        <v>18.944800000000001</v>
      </c>
      <c r="DG216">
        <v>29.970099999999999</v>
      </c>
      <c r="DH216">
        <v>16.426300000000001</v>
      </c>
      <c r="DI216">
        <v>2</v>
      </c>
      <c r="DJ216">
        <v>-0.13377600000000001</v>
      </c>
      <c r="DK216">
        <v>2.2752500000000002</v>
      </c>
      <c r="DL216">
        <v>20.2104</v>
      </c>
      <c r="DM216">
        <v>5.2505899999999999</v>
      </c>
      <c r="DN216">
        <v>12.033899999999999</v>
      </c>
      <c r="DO216">
        <v>4.9670800000000002</v>
      </c>
      <c r="DP216">
        <v>3.2909999999999999</v>
      </c>
      <c r="DQ216">
        <v>9999</v>
      </c>
      <c r="DR216">
        <v>9999</v>
      </c>
      <c r="DS216">
        <v>597.5</v>
      </c>
      <c r="DT216">
        <v>9999</v>
      </c>
      <c r="DU216">
        <v>1.8710899999999999</v>
      </c>
      <c r="DV216">
        <v>1.8761000000000001</v>
      </c>
      <c r="DW216">
        <v>1.87636</v>
      </c>
      <c r="DX216">
        <v>1.8828100000000001</v>
      </c>
      <c r="DY216">
        <v>1.87561</v>
      </c>
      <c r="DZ216">
        <v>1.8746799999999999</v>
      </c>
      <c r="EA216">
        <v>1.87086</v>
      </c>
      <c r="EB216">
        <v>1.8746799999999999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-0.90900000000000003</v>
      </c>
      <c r="EQ216">
        <v>9.6299999999999997E-2</v>
      </c>
      <c r="ER216">
        <v>-0.90870000000001006</v>
      </c>
      <c r="ES216">
        <v>0</v>
      </c>
      <c r="ET216">
        <v>0</v>
      </c>
      <c r="EU216">
        <v>0</v>
      </c>
      <c r="EV216">
        <v>9.6329999999998306E-2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5.4</v>
      </c>
      <c r="FE216">
        <v>5</v>
      </c>
      <c r="FF216">
        <v>1.2402299999999999</v>
      </c>
      <c r="FG216">
        <v>2.5952099999999998</v>
      </c>
      <c r="FH216">
        <v>2.19604</v>
      </c>
      <c r="FI216">
        <v>2.5744600000000002</v>
      </c>
      <c r="FJ216">
        <v>2.4462899999999999</v>
      </c>
      <c r="FK216">
        <v>2.2863799999999999</v>
      </c>
      <c r="FL216">
        <v>31.542400000000001</v>
      </c>
      <c r="FM216">
        <v>24.14</v>
      </c>
      <c r="FN216">
        <v>19</v>
      </c>
      <c r="FO216">
        <v>864.59500000000003</v>
      </c>
      <c r="FP216">
        <v>579.98699999999997</v>
      </c>
      <c r="FQ216">
        <v>18.172499999999999</v>
      </c>
      <c r="FR216">
        <v>25.317699999999999</v>
      </c>
      <c r="FS216">
        <v>30.000299999999999</v>
      </c>
      <c r="FT216">
        <v>25.285599999999999</v>
      </c>
      <c r="FU216">
        <v>25.288599999999999</v>
      </c>
      <c r="FV216">
        <v>24.890799999999999</v>
      </c>
      <c r="FW216">
        <v>31.558199999999999</v>
      </c>
      <c r="FX216">
        <v>6.8362299999999996</v>
      </c>
      <c r="FY216">
        <v>18.1753</v>
      </c>
      <c r="FZ216">
        <v>410</v>
      </c>
      <c r="GA216">
        <v>13.5792</v>
      </c>
      <c r="GB216">
        <v>99.887299999999996</v>
      </c>
      <c r="GC216">
        <v>99.681600000000003</v>
      </c>
    </row>
    <row r="217" spans="1:185" x14ac:dyDescent="0.2">
      <c r="A217">
        <v>202</v>
      </c>
      <c r="B217">
        <v>1771002751.0999999</v>
      </c>
      <c r="C217">
        <v>4128</v>
      </c>
      <c r="D217" t="s">
        <v>707</v>
      </c>
      <c r="E217" t="s">
        <v>708</v>
      </c>
      <c r="F217">
        <v>15</v>
      </c>
      <c r="G217">
        <v>1771002743.03333</v>
      </c>
      <c r="H217">
        <f t="shared" si="39"/>
        <v>1.4054480741112273E-3</v>
      </c>
      <c r="I217">
        <v>0</v>
      </c>
      <c r="J217">
        <f t="shared" si="51"/>
        <v>9.724471500798618E-3</v>
      </c>
      <c r="K217">
        <f t="shared" si="40"/>
        <v>0.1738857474537486</v>
      </c>
      <c r="L217">
        <f t="shared" si="41"/>
        <v>69.921512333553835</v>
      </c>
      <c r="M217">
        <f t="shared" si="42"/>
        <v>1.5417723841239377</v>
      </c>
      <c r="N217">
        <f t="shared" si="43"/>
        <v>2.2050043436833304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26287.815795571893</v>
      </c>
      <c r="T217">
        <f t="shared" si="47"/>
        <v>500.000333333333</v>
      </c>
      <c r="U217">
        <f t="shared" si="48"/>
        <v>421.50056900019138</v>
      </c>
      <c r="V217">
        <f t="shared" si="49"/>
        <v>0.84300057599999934</v>
      </c>
      <c r="W217">
        <f t="shared" si="50"/>
        <v>0.15870131007999988</v>
      </c>
      <c r="X217">
        <v>1</v>
      </c>
      <c r="Y217">
        <v>1771002743.03333</v>
      </c>
      <c r="Z217">
        <v>409.06673333333299</v>
      </c>
      <c r="AA217">
        <v>410.00273333333303</v>
      </c>
      <c r="AB217">
        <v>15.349073333333299</v>
      </c>
      <c r="AC217">
        <v>13.619246666666699</v>
      </c>
      <c r="AD217">
        <v>409.97559999999999</v>
      </c>
      <c r="AE217">
        <v>15.2527333333333</v>
      </c>
      <c r="AF217">
        <v>800.00833333333298</v>
      </c>
      <c r="AG217">
        <v>100.382866666667</v>
      </c>
      <c r="AH217">
        <v>6.4394913333333303E-2</v>
      </c>
      <c r="AI217">
        <v>18.998719999999999</v>
      </c>
      <c r="AJ217">
        <v>999.9</v>
      </c>
      <c r="AK217">
        <v>999.9</v>
      </c>
      <c r="AL217">
        <v>0</v>
      </c>
      <c r="AM217">
        <v>0</v>
      </c>
      <c r="AN217">
        <v>4994.2666666666701</v>
      </c>
      <c r="AO217">
        <v>0</v>
      </c>
      <c r="AP217">
        <v>1.75778066666667</v>
      </c>
      <c r="AQ217">
        <v>-0.93593959999999998</v>
      </c>
      <c r="AR217">
        <v>415.44366666666701</v>
      </c>
      <c r="AS217">
        <v>415.66386666666699</v>
      </c>
      <c r="AT217">
        <v>1.729822</v>
      </c>
      <c r="AU217">
        <v>410.00273333333303</v>
      </c>
      <c r="AV217">
        <v>13.619246666666699</v>
      </c>
      <c r="AW217">
        <v>1.5407820000000001</v>
      </c>
      <c r="AX217">
        <v>1.3671393333333299</v>
      </c>
      <c r="AY217">
        <v>13.3789866666667</v>
      </c>
      <c r="AZ217">
        <v>11.5579866666667</v>
      </c>
      <c r="BA217">
        <v>500.000333333333</v>
      </c>
      <c r="BB217">
        <v>0.89998273333333301</v>
      </c>
      <c r="BC217">
        <v>0</v>
      </c>
      <c r="BD217">
        <v>0.100017333333333</v>
      </c>
      <c r="BE217">
        <v>0</v>
      </c>
      <c r="BF217">
        <v>25</v>
      </c>
      <c r="BG217">
        <v>8244.3553333333293</v>
      </c>
      <c r="BH217">
        <v>1771002434.0999999</v>
      </c>
      <c r="BI217" t="s">
        <v>676</v>
      </c>
      <c r="BJ217">
        <v>1771002412.0999999</v>
      </c>
      <c r="BK217">
        <v>1771002434.0999999</v>
      </c>
      <c r="BL217">
        <v>11</v>
      </c>
      <c r="BM217">
        <v>-2.1999999999999999E-2</v>
      </c>
      <c r="BN217">
        <v>-0.01</v>
      </c>
      <c r="BO217">
        <v>-0.90900000000000003</v>
      </c>
      <c r="BP217">
        <v>9.6000000000000002E-2</v>
      </c>
      <c r="BQ217">
        <v>410</v>
      </c>
      <c r="BR217">
        <v>14</v>
      </c>
      <c r="BS217">
        <v>0.35</v>
      </c>
      <c r="BT217">
        <v>0.16</v>
      </c>
      <c r="BU217">
        <v>-0.93251499999999998</v>
      </c>
      <c r="BV217">
        <v>-0.226837443609023</v>
      </c>
      <c r="BW217">
        <v>3.22247098838764E-2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1.7316050000000001</v>
      </c>
      <c r="CD217">
        <v>-1.6297443609022199E-2</v>
      </c>
      <c r="CE217">
        <v>4.3253757062248297E-3</v>
      </c>
      <c r="CF217">
        <v>1</v>
      </c>
      <c r="CG217">
        <v>2</v>
      </c>
      <c r="CH217">
        <v>2</v>
      </c>
      <c r="CI217" t="s">
        <v>304</v>
      </c>
      <c r="CJ217">
        <v>3.5325000000000002</v>
      </c>
      <c r="CK217">
        <v>2.7021199999999999</v>
      </c>
      <c r="CL217">
        <v>9.8107899999999998E-2</v>
      </c>
      <c r="CM217">
        <v>9.6904400000000002E-2</v>
      </c>
      <c r="CN217">
        <v>8.7163199999999996E-2</v>
      </c>
      <c r="CO217">
        <v>7.8920400000000002E-2</v>
      </c>
      <c r="CP217">
        <v>31632.400000000001</v>
      </c>
      <c r="CQ217">
        <v>27796.7</v>
      </c>
      <c r="CR217">
        <v>32461</v>
      </c>
      <c r="CS217">
        <v>30705.7</v>
      </c>
      <c r="CT217">
        <v>40119</v>
      </c>
      <c r="CU217">
        <v>39771.300000000003</v>
      </c>
      <c r="CV217">
        <v>47401.9</v>
      </c>
      <c r="CW217">
        <v>46822.3</v>
      </c>
      <c r="CX217">
        <v>2.6259800000000002</v>
      </c>
      <c r="CY217">
        <v>2.1381800000000002</v>
      </c>
      <c r="CZ217">
        <v>0</v>
      </c>
      <c r="DA217">
        <v>0</v>
      </c>
      <c r="DB217">
        <v>999.9</v>
      </c>
      <c r="DC217">
        <v>999.9</v>
      </c>
      <c r="DD217">
        <v>53.436999999999998</v>
      </c>
      <c r="DE217">
        <v>26.908000000000001</v>
      </c>
      <c r="DF217">
        <v>18.952100000000002</v>
      </c>
      <c r="DG217">
        <v>30.420100000000001</v>
      </c>
      <c r="DH217">
        <v>16.494399999999999</v>
      </c>
      <c r="DI217">
        <v>2</v>
      </c>
      <c r="DJ217">
        <v>-0.13277600000000001</v>
      </c>
      <c r="DK217">
        <v>2.2854899999999998</v>
      </c>
      <c r="DL217">
        <v>20.207599999999999</v>
      </c>
      <c r="DM217">
        <v>5.2501199999999999</v>
      </c>
      <c r="DN217">
        <v>12.033899999999999</v>
      </c>
      <c r="DO217">
        <v>4.9673600000000002</v>
      </c>
      <c r="DP217">
        <v>3.2909999999999999</v>
      </c>
      <c r="DQ217">
        <v>9999</v>
      </c>
      <c r="DR217">
        <v>9999</v>
      </c>
      <c r="DS217">
        <v>597.5</v>
      </c>
      <c r="DT217">
        <v>9999</v>
      </c>
      <c r="DU217">
        <v>1.87114</v>
      </c>
      <c r="DV217">
        <v>1.8761000000000001</v>
      </c>
      <c r="DW217">
        <v>1.87636</v>
      </c>
      <c r="DX217">
        <v>1.8828100000000001</v>
      </c>
      <c r="DY217">
        <v>1.87561</v>
      </c>
      <c r="DZ217">
        <v>1.8746799999999999</v>
      </c>
      <c r="EA217">
        <v>1.8708800000000001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-0.90800000000000003</v>
      </c>
      <c r="EQ217">
        <v>9.6299999999999997E-2</v>
      </c>
      <c r="ER217">
        <v>-0.90870000000001006</v>
      </c>
      <c r="ES217">
        <v>0</v>
      </c>
      <c r="ET217">
        <v>0</v>
      </c>
      <c r="EU217">
        <v>0</v>
      </c>
      <c r="EV217">
        <v>9.6329999999998306E-2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5.7</v>
      </c>
      <c r="FE217">
        <v>5.3</v>
      </c>
      <c r="FF217">
        <v>1.2402299999999999</v>
      </c>
      <c r="FG217">
        <v>2.5915499999999998</v>
      </c>
      <c r="FH217">
        <v>2.19604</v>
      </c>
      <c r="FI217">
        <v>2.5756800000000002</v>
      </c>
      <c r="FJ217">
        <v>2.4462899999999999</v>
      </c>
      <c r="FK217">
        <v>2.2839399999999999</v>
      </c>
      <c r="FL217">
        <v>31.586099999999998</v>
      </c>
      <c r="FM217">
        <v>24.148800000000001</v>
      </c>
      <c r="FN217">
        <v>19</v>
      </c>
      <c r="FO217">
        <v>864.93899999999996</v>
      </c>
      <c r="FP217">
        <v>580.25099999999998</v>
      </c>
      <c r="FQ217">
        <v>18.178999999999998</v>
      </c>
      <c r="FR217">
        <v>25.3292</v>
      </c>
      <c r="FS217">
        <v>30.000399999999999</v>
      </c>
      <c r="FT217">
        <v>25.295300000000001</v>
      </c>
      <c r="FU217">
        <v>25.298300000000001</v>
      </c>
      <c r="FV217">
        <v>24.8872</v>
      </c>
      <c r="FW217">
        <v>31.558199999999999</v>
      </c>
      <c r="FX217">
        <v>6.4614599999999998</v>
      </c>
      <c r="FY217">
        <v>18.1785</v>
      </c>
      <c r="FZ217">
        <v>410</v>
      </c>
      <c r="GA217">
        <v>13.581799999999999</v>
      </c>
      <c r="GB217">
        <v>99.886600000000001</v>
      </c>
      <c r="GC217">
        <v>99.678799999999995</v>
      </c>
    </row>
    <row r="218" spans="1:185" x14ac:dyDescent="0.2">
      <c r="A218">
        <v>203</v>
      </c>
      <c r="B218">
        <v>1771002766.0999999</v>
      </c>
      <c r="C218">
        <v>4143</v>
      </c>
      <c r="D218" t="s">
        <v>709</v>
      </c>
      <c r="E218" t="s">
        <v>710</v>
      </c>
      <c r="F218">
        <v>15</v>
      </c>
      <c r="G218">
        <v>1771002758.03333</v>
      </c>
      <c r="H218">
        <f t="shared" si="39"/>
        <v>1.4113968118501191E-3</v>
      </c>
      <c r="I218">
        <v>0</v>
      </c>
      <c r="J218">
        <f t="shared" si="51"/>
        <v>9.5261087148718563E-3</v>
      </c>
      <c r="K218">
        <f t="shared" si="40"/>
        <v>0.1703387720427918</v>
      </c>
      <c r="L218">
        <f t="shared" si="41"/>
        <v>69.892826024535154</v>
      </c>
      <c r="M218">
        <f t="shared" si="42"/>
        <v>1.5415149621942477</v>
      </c>
      <c r="N218">
        <f t="shared" si="43"/>
        <v>2.2055410402966316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26303.800563033576</v>
      </c>
      <c r="T218">
        <f t="shared" si="47"/>
        <v>499.99873333333301</v>
      </c>
      <c r="U218">
        <f t="shared" si="48"/>
        <v>421.49911419953867</v>
      </c>
      <c r="V218">
        <f t="shared" si="49"/>
        <v>0.843000364</v>
      </c>
      <c r="W218">
        <f t="shared" si="50"/>
        <v>0.15870090999999997</v>
      </c>
      <c r="X218">
        <v>1</v>
      </c>
      <c r="Y218">
        <v>1771002758.03333</v>
      </c>
      <c r="Z218">
        <v>409.06153333333299</v>
      </c>
      <c r="AA218">
        <v>409.99613333333298</v>
      </c>
      <c r="AB218">
        <v>15.3474133333333</v>
      </c>
      <c r="AC218">
        <v>13.61026</v>
      </c>
      <c r="AD218">
        <v>409.97039999999998</v>
      </c>
      <c r="AE218">
        <v>15.251099999999999</v>
      </c>
      <c r="AF218">
        <v>800.00739999999996</v>
      </c>
      <c r="AG218">
        <v>100.37706666666701</v>
      </c>
      <c r="AH218">
        <v>6.4286460000000004E-2</v>
      </c>
      <c r="AI218">
        <v>19.00262</v>
      </c>
      <c r="AJ218">
        <v>999.9</v>
      </c>
      <c r="AK218">
        <v>999.9</v>
      </c>
      <c r="AL218">
        <v>0</v>
      </c>
      <c r="AM218">
        <v>0</v>
      </c>
      <c r="AN218">
        <v>4997.2</v>
      </c>
      <c r="AO218">
        <v>0</v>
      </c>
      <c r="AP218">
        <v>1.7502500000000001</v>
      </c>
      <c r="AQ218">
        <v>-0.93457840000000003</v>
      </c>
      <c r="AR218">
        <v>415.43759999999997</v>
      </c>
      <c r="AS218">
        <v>415.65333333333302</v>
      </c>
      <c r="AT218">
        <v>1.7371593333333299</v>
      </c>
      <c r="AU218">
        <v>409.99613333333298</v>
      </c>
      <c r="AV218">
        <v>13.61026</v>
      </c>
      <c r="AW218">
        <v>1.5405293333333301</v>
      </c>
      <c r="AX218">
        <v>1.36615933333333</v>
      </c>
      <c r="AY218">
        <v>13.3764466666667</v>
      </c>
      <c r="AZ218">
        <v>11.54712</v>
      </c>
      <c r="BA218">
        <v>499.99873333333301</v>
      </c>
      <c r="BB218">
        <v>0.89998786666666697</v>
      </c>
      <c r="BC218">
        <v>0</v>
      </c>
      <c r="BD218">
        <v>0.100012133333333</v>
      </c>
      <c r="BE218">
        <v>0</v>
      </c>
      <c r="BF218">
        <v>25</v>
      </c>
      <c r="BG218">
        <v>8244.34</v>
      </c>
      <c r="BH218">
        <v>1771002434.0999999</v>
      </c>
      <c r="BI218" t="s">
        <v>676</v>
      </c>
      <c r="BJ218">
        <v>1771002412.0999999</v>
      </c>
      <c r="BK218">
        <v>1771002434.0999999</v>
      </c>
      <c r="BL218">
        <v>11</v>
      </c>
      <c r="BM218">
        <v>-2.1999999999999999E-2</v>
      </c>
      <c r="BN218">
        <v>-0.01</v>
      </c>
      <c r="BO218">
        <v>-0.90900000000000003</v>
      </c>
      <c r="BP218">
        <v>9.6000000000000002E-2</v>
      </c>
      <c r="BQ218">
        <v>410</v>
      </c>
      <c r="BR218">
        <v>14</v>
      </c>
      <c r="BS218">
        <v>0.35</v>
      </c>
      <c r="BT218">
        <v>0.16</v>
      </c>
      <c r="BU218">
        <v>-0.94499566666666701</v>
      </c>
      <c r="BV218">
        <v>0.180068259740259</v>
      </c>
      <c r="BW218">
        <v>3.33340300155767E-2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1.7358</v>
      </c>
      <c r="CD218">
        <v>2.0763896103895702E-2</v>
      </c>
      <c r="CE218">
        <v>2.4642742580824198E-3</v>
      </c>
      <c r="CF218">
        <v>1</v>
      </c>
      <c r="CG218">
        <v>2</v>
      </c>
      <c r="CH218">
        <v>2</v>
      </c>
      <c r="CI218" t="s">
        <v>304</v>
      </c>
      <c r="CJ218">
        <v>3.5325600000000001</v>
      </c>
      <c r="CK218">
        <v>2.7019899999999999</v>
      </c>
      <c r="CL218">
        <v>9.8103399999999993E-2</v>
      </c>
      <c r="CM218">
        <v>9.6895899999999993E-2</v>
      </c>
      <c r="CN218">
        <v>8.7146299999999996E-2</v>
      </c>
      <c r="CO218">
        <v>7.8900899999999996E-2</v>
      </c>
      <c r="CP218">
        <v>31631.5</v>
      </c>
      <c r="CQ218">
        <v>27796.1</v>
      </c>
      <c r="CR218">
        <v>32460.1</v>
      </c>
      <c r="CS218">
        <v>30704.799999999999</v>
      </c>
      <c r="CT218">
        <v>40118.800000000003</v>
      </c>
      <c r="CU218">
        <v>39771</v>
      </c>
      <c r="CV218">
        <v>47400.800000000003</v>
      </c>
      <c r="CW218">
        <v>46821.1</v>
      </c>
      <c r="CX218">
        <v>2.6257799999999998</v>
      </c>
      <c r="CY218">
        <v>2.1377600000000001</v>
      </c>
      <c r="CZ218">
        <v>0</v>
      </c>
      <c r="DA218">
        <v>0</v>
      </c>
      <c r="DB218">
        <v>999.9</v>
      </c>
      <c r="DC218">
        <v>999.9</v>
      </c>
      <c r="DD218">
        <v>53.393999999999998</v>
      </c>
      <c r="DE218">
        <v>26.919</v>
      </c>
      <c r="DF218">
        <v>18.948499999999999</v>
      </c>
      <c r="DG218">
        <v>30.240100000000002</v>
      </c>
      <c r="DH218">
        <v>16.462299999999999</v>
      </c>
      <c r="DI218">
        <v>2</v>
      </c>
      <c r="DJ218">
        <v>-0.13145299999999999</v>
      </c>
      <c r="DK218">
        <v>2.33805</v>
      </c>
      <c r="DL218">
        <v>20.206299999999999</v>
      </c>
      <c r="DM218">
        <v>5.2510700000000003</v>
      </c>
      <c r="DN218">
        <v>12.033899999999999</v>
      </c>
      <c r="DO218">
        <v>4.9673600000000002</v>
      </c>
      <c r="DP218">
        <v>3.2909999999999999</v>
      </c>
      <c r="DQ218">
        <v>9999</v>
      </c>
      <c r="DR218">
        <v>9999</v>
      </c>
      <c r="DS218">
        <v>597.5</v>
      </c>
      <c r="DT218">
        <v>9999</v>
      </c>
      <c r="DU218">
        <v>1.8711199999999999</v>
      </c>
      <c r="DV218">
        <v>1.8761099999999999</v>
      </c>
      <c r="DW218">
        <v>1.87636</v>
      </c>
      <c r="DX218">
        <v>1.8828</v>
      </c>
      <c r="DY218">
        <v>1.87561</v>
      </c>
      <c r="DZ218">
        <v>1.87469</v>
      </c>
      <c r="EA218">
        <v>1.87086</v>
      </c>
      <c r="EB218">
        <v>1.8746799999999999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-0.90800000000000003</v>
      </c>
      <c r="EQ218">
        <v>9.64E-2</v>
      </c>
      <c r="ER218">
        <v>-0.90870000000001006</v>
      </c>
      <c r="ES218">
        <v>0</v>
      </c>
      <c r="ET218">
        <v>0</v>
      </c>
      <c r="EU218">
        <v>0</v>
      </c>
      <c r="EV218">
        <v>9.6329999999998306E-2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5.9</v>
      </c>
      <c r="FE218">
        <v>5.5</v>
      </c>
      <c r="FF218">
        <v>1.2402299999999999</v>
      </c>
      <c r="FG218">
        <v>2.5927699999999998</v>
      </c>
      <c r="FH218">
        <v>2.19604</v>
      </c>
      <c r="FI218">
        <v>2.5744600000000002</v>
      </c>
      <c r="FJ218">
        <v>2.4462899999999999</v>
      </c>
      <c r="FK218">
        <v>2.2595200000000002</v>
      </c>
      <c r="FL218">
        <v>31.564299999999999</v>
      </c>
      <c r="FM218">
        <v>24.14</v>
      </c>
      <c r="FN218">
        <v>19</v>
      </c>
      <c r="FO218">
        <v>864.91800000000001</v>
      </c>
      <c r="FP218">
        <v>580.03800000000001</v>
      </c>
      <c r="FQ218">
        <v>18.1601</v>
      </c>
      <c r="FR218">
        <v>25.340699999999998</v>
      </c>
      <c r="FS218">
        <v>30.000399999999999</v>
      </c>
      <c r="FT218">
        <v>25.305599999999998</v>
      </c>
      <c r="FU218">
        <v>25.3081</v>
      </c>
      <c r="FV218">
        <v>24.888100000000001</v>
      </c>
      <c r="FW218">
        <v>31.558199999999999</v>
      </c>
      <c r="FX218">
        <v>6.4614599999999998</v>
      </c>
      <c r="FY218">
        <v>18.157299999999999</v>
      </c>
      <c r="FZ218">
        <v>410</v>
      </c>
      <c r="GA218">
        <v>13.5807</v>
      </c>
      <c r="GB218">
        <v>99.884</v>
      </c>
      <c r="GC218">
        <v>99.676100000000005</v>
      </c>
    </row>
    <row r="219" spans="1:185" x14ac:dyDescent="0.2">
      <c r="A219">
        <v>204</v>
      </c>
      <c r="B219">
        <v>1771002781.0999999</v>
      </c>
      <c r="C219">
        <v>4158</v>
      </c>
      <c r="D219" t="s">
        <v>711</v>
      </c>
      <c r="E219" t="s">
        <v>712</v>
      </c>
      <c r="F219">
        <v>15</v>
      </c>
      <c r="G219">
        <v>1771002773.03333</v>
      </c>
      <c r="H219">
        <f t="shared" si="39"/>
        <v>1.4086916481072542E-3</v>
      </c>
      <c r="I219">
        <v>0</v>
      </c>
      <c r="J219">
        <f t="shared" si="51"/>
        <v>1.0372848796673061E-2</v>
      </c>
      <c r="K219">
        <f t="shared" si="40"/>
        <v>0.18547954673794712</v>
      </c>
      <c r="L219">
        <f t="shared" si="41"/>
        <v>69.842223855755321</v>
      </c>
      <c r="M219">
        <f t="shared" si="42"/>
        <v>1.5405514328381829</v>
      </c>
      <c r="N219">
        <f t="shared" si="43"/>
        <v>2.2057594214351961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26362.547833579585</v>
      </c>
      <c r="T219">
        <f t="shared" si="47"/>
        <v>499.99893333333301</v>
      </c>
      <c r="U219">
        <f t="shared" si="48"/>
        <v>421.49925079967971</v>
      </c>
      <c r="V219">
        <f t="shared" si="49"/>
        <v>0.84300029999999992</v>
      </c>
      <c r="W219">
        <f t="shared" si="50"/>
        <v>0.15870075</v>
      </c>
      <c r="X219">
        <v>1</v>
      </c>
      <c r="Y219">
        <v>1771002773.03333</v>
      </c>
      <c r="Z219">
        <v>409.058533333333</v>
      </c>
      <c r="AA219">
        <v>410.01066666666702</v>
      </c>
      <c r="AB219">
        <v>15.337899999999999</v>
      </c>
      <c r="AC219">
        <v>13.6040666666667</v>
      </c>
      <c r="AD219">
        <v>409.96733333333299</v>
      </c>
      <c r="AE219">
        <v>15.2415866666667</v>
      </c>
      <c r="AF219">
        <v>800.01073333333295</v>
      </c>
      <c r="AG219">
        <v>100.376533333333</v>
      </c>
      <c r="AH219">
        <v>6.4298386666666693E-2</v>
      </c>
      <c r="AI219">
        <v>19.0042066666667</v>
      </c>
      <c r="AJ219">
        <v>999.9</v>
      </c>
      <c r="AK219">
        <v>999.9</v>
      </c>
      <c r="AL219">
        <v>0</v>
      </c>
      <c r="AM219">
        <v>0</v>
      </c>
      <c r="AN219">
        <v>5006.8999999999996</v>
      </c>
      <c r="AO219">
        <v>0</v>
      </c>
      <c r="AP219">
        <v>1.7502500000000001</v>
      </c>
      <c r="AQ219">
        <v>-0.95185346666666704</v>
      </c>
      <c r="AR219">
        <v>415.43053333333302</v>
      </c>
      <c r="AS219">
        <v>415.66520000000003</v>
      </c>
      <c r="AT219">
        <v>1.7338533333333299</v>
      </c>
      <c r="AU219">
        <v>410.01066666666702</v>
      </c>
      <c r="AV219">
        <v>13.6040666666667</v>
      </c>
      <c r="AW219">
        <v>1.5395686666666699</v>
      </c>
      <c r="AX219">
        <v>1.36552933333333</v>
      </c>
      <c r="AY219">
        <v>13.3668866666667</v>
      </c>
      <c r="AZ219">
        <v>11.5401666666667</v>
      </c>
      <c r="BA219">
        <v>499.99893333333301</v>
      </c>
      <c r="BB219">
        <v>0.89998999999999996</v>
      </c>
      <c r="BC219">
        <v>0</v>
      </c>
      <c r="BD219">
        <v>0.10001</v>
      </c>
      <c r="BE219">
        <v>0</v>
      </c>
      <c r="BF219">
        <v>25</v>
      </c>
      <c r="BG219">
        <v>8244.34666666667</v>
      </c>
      <c r="BH219">
        <v>1771002434.0999999</v>
      </c>
      <c r="BI219" t="s">
        <v>676</v>
      </c>
      <c r="BJ219">
        <v>1771002412.0999999</v>
      </c>
      <c r="BK219">
        <v>1771002434.0999999</v>
      </c>
      <c r="BL219">
        <v>11</v>
      </c>
      <c r="BM219">
        <v>-2.1999999999999999E-2</v>
      </c>
      <c r="BN219">
        <v>-0.01</v>
      </c>
      <c r="BO219">
        <v>-0.90900000000000003</v>
      </c>
      <c r="BP219">
        <v>9.6000000000000002E-2</v>
      </c>
      <c r="BQ219">
        <v>410</v>
      </c>
      <c r="BR219">
        <v>14</v>
      </c>
      <c r="BS219">
        <v>0.35</v>
      </c>
      <c r="BT219">
        <v>0.16</v>
      </c>
      <c r="BU219">
        <v>-0.94799354999999996</v>
      </c>
      <c r="BV219">
        <v>2.2409187969924499E-2</v>
      </c>
      <c r="BW219">
        <v>2.3201148170887999E-2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1.734764</v>
      </c>
      <c r="CD219">
        <v>-2.13987969924802E-2</v>
      </c>
      <c r="CE219">
        <v>2.5558098520821301E-3</v>
      </c>
      <c r="CF219">
        <v>1</v>
      </c>
      <c r="CG219">
        <v>2</v>
      </c>
      <c r="CH219">
        <v>2</v>
      </c>
      <c r="CI219" t="s">
        <v>304</v>
      </c>
      <c r="CJ219">
        <v>3.5325299999999999</v>
      </c>
      <c r="CK219">
        <v>2.702</v>
      </c>
      <c r="CL219">
        <v>9.8097900000000002E-2</v>
      </c>
      <c r="CM219">
        <v>9.6883700000000003E-2</v>
      </c>
      <c r="CN219">
        <v>8.70861E-2</v>
      </c>
      <c r="CO219">
        <v>7.8852900000000004E-2</v>
      </c>
      <c r="CP219">
        <v>31631.7</v>
      </c>
      <c r="CQ219">
        <v>27796.3</v>
      </c>
      <c r="CR219">
        <v>32460.1</v>
      </c>
      <c r="CS219">
        <v>30704.6</v>
      </c>
      <c r="CT219">
        <v>40122</v>
      </c>
      <c r="CU219">
        <v>39773.199999999997</v>
      </c>
      <c r="CV219">
        <v>47401.2</v>
      </c>
      <c r="CW219">
        <v>46821.1</v>
      </c>
      <c r="CX219">
        <v>2.6255000000000002</v>
      </c>
      <c r="CY219">
        <v>2.1373000000000002</v>
      </c>
      <c r="CZ219">
        <v>0</v>
      </c>
      <c r="DA219">
        <v>0</v>
      </c>
      <c r="DB219">
        <v>999.9</v>
      </c>
      <c r="DC219">
        <v>999.9</v>
      </c>
      <c r="DD219">
        <v>53.344999999999999</v>
      </c>
      <c r="DE219">
        <v>26.939</v>
      </c>
      <c r="DF219">
        <v>18.954499999999999</v>
      </c>
      <c r="DG219">
        <v>30.360099999999999</v>
      </c>
      <c r="DH219">
        <v>16.522400000000001</v>
      </c>
      <c r="DI219">
        <v>2</v>
      </c>
      <c r="DJ219">
        <v>-0.13056899999999999</v>
      </c>
      <c r="DK219">
        <v>2.3411</v>
      </c>
      <c r="DL219">
        <v>20.206299999999999</v>
      </c>
      <c r="DM219">
        <v>5.2503500000000001</v>
      </c>
      <c r="DN219">
        <v>12.033899999999999</v>
      </c>
      <c r="DO219">
        <v>4.9677199999999999</v>
      </c>
      <c r="DP219">
        <v>3.2909999999999999</v>
      </c>
      <c r="DQ219">
        <v>9999</v>
      </c>
      <c r="DR219">
        <v>9999</v>
      </c>
      <c r="DS219">
        <v>597.5</v>
      </c>
      <c r="DT219">
        <v>9999</v>
      </c>
      <c r="DU219">
        <v>1.8711199999999999</v>
      </c>
      <c r="DV219">
        <v>1.87615</v>
      </c>
      <c r="DW219">
        <v>1.87636</v>
      </c>
      <c r="DX219">
        <v>1.8828199999999999</v>
      </c>
      <c r="DY219">
        <v>1.87561</v>
      </c>
      <c r="DZ219">
        <v>1.87469</v>
      </c>
      <c r="EA219">
        <v>1.8708800000000001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-0.90800000000000003</v>
      </c>
      <c r="EQ219">
        <v>9.6299999999999997E-2</v>
      </c>
      <c r="ER219">
        <v>-0.90870000000001006</v>
      </c>
      <c r="ES219">
        <v>0</v>
      </c>
      <c r="ET219">
        <v>0</v>
      </c>
      <c r="EU219">
        <v>0</v>
      </c>
      <c r="EV219">
        <v>9.6329999999998306E-2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6.2</v>
      </c>
      <c r="FE219">
        <v>5.8</v>
      </c>
      <c r="FF219">
        <v>1.2402299999999999</v>
      </c>
      <c r="FG219">
        <v>2.5952099999999998</v>
      </c>
      <c r="FH219">
        <v>2.19604</v>
      </c>
      <c r="FI219">
        <v>2.5744600000000002</v>
      </c>
      <c r="FJ219">
        <v>2.4462899999999999</v>
      </c>
      <c r="FK219">
        <v>2.2875999999999999</v>
      </c>
      <c r="FL219">
        <v>31.586099999999998</v>
      </c>
      <c r="FM219">
        <v>24.148800000000001</v>
      </c>
      <c r="FN219">
        <v>19</v>
      </c>
      <c r="FO219">
        <v>864.81500000000005</v>
      </c>
      <c r="FP219">
        <v>579.798</v>
      </c>
      <c r="FQ219">
        <v>18.1462</v>
      </c>
      <c r="FR219">
        <v>25.3522</v>
      </c>
      <c r="FS219">
        <v>30.000399999999999</v>
      </c>
      <c r="FT219">
        <v>25.3154</v>
      </c>
      <c r="FU219">
        <v>25.318300000000001</v>
      </c>
      <c r="FV219">
        <v>24.888500000000001</v>
      </c>
      <c r="FW219">
        <v>31.558199999999999</v>
      </c>
      <c r="FX219">
        <v>6.0911600000000004</v>
      </c>
      <c r="FY219">
        <v>18.144400000000001</v>
      </c>
      <c r="FZ219">
        <v>410</v>
      </c>
      <c r="GA219">
        <v>13.580399999999999</v>
      </c>
      <c r="GB219">
        <v>99.884600000000006</v>
      </c>
      <c r="GC219">
        <v>99.675899999999999</v>
      </c>
    </row>
    <row r="220" spans="1:185" x14ac:dyDescent="0.2">
      <c r="A220">
        <v>205</v>
      </c>
      <c r="B220">
        <v>1771002796.0999999</v>
      </c>
      <c r="C220">
        <v>4173</v>
      </c>
      <c r="D220" t="s">
        <v>713</v>
      </c>
      <c r="E220" t="s">
        <v>714</v>
      </c>
      <c r="F220">
        <v>15</v>
      </c>
      <c r="G220">
        <v>1771002788.03333</v>
      </c>
      <c r="H220">
        <f t="shared" si="39"/>
        <v>1.4069269349317735E-3</v>
      </c>
      <c r="I220">
        <v>0</v>
      </c>
      <c r="J220">
        <f t="shared" si="51"/>
        <v>9.9664312910963913E-3</v>
      </c>
      <c r="K220">
        <f t="shared" si="40"/>
        <v>0.17821229198485503</v>
      </c>
      <c r="L220">
        <f t="shared" si="41"/>
        <v>69.808458340359124</v>
      </c>
      <c r="M220">
        <f t="shared" si="42"/>
        <v>1.5397816648368448</v>
      </c>
      <c r="N220">
        <f t="shared" si="43"/>
        <v>2.2057236349919993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26315.75260564436</v>
      </c>
      <c r="T220">
        <f t="shared" si="47"/>
        <v>500.00086666666698</v>
      </c>
      <c r="U220">
        <f t="shared" si="48"/>
        <v>421.50089560028624</v>
      </c>
      <c r="V220">
        <f t="shared" si="49"/>
        <v>0.84300032999999996</v>
      </c>
      <c r="W220">
        <f t="shared" si="50"/>
        <v>0.15870082500000002</v>
      </c>
      <c r="X220">
        <v>1</v>
      </c>
      <c r="Y220">
        <v>1771002788.03333</v>
      </c>
      <c r="Z220">
        <v>409.04693333333302</v>
      </c>
      <c r="AA220">
        <v>409.98906666666699</v>
      </c>
      <c r="AB220">
        <v>15.330453333333301</v>
      </c>
      <c r="AC220">
        <v>13.5987666666667</v>
      </c>
      <c r="AD220">
        <v>409.955733333333</v>
      </c>
      <c r="AE220">
        <v>15.2341333333333</v>
      </c>
      <c r="AF220">
        <v>800.00506666666695</v>
      </c>
      <c r="AG220">
        <v>100.375133333333</v>
      </c>
      <c r="AH220">
        <v>6.4275166666666703E-2</v>
      </c>
      <c r="AI220">
        <v>19.0039466666667</v>
      </c>
      <c r="AJ220">
        <v>999.9</v>
      </c>
      <c r="AK220">
        <v>999.9</v>
      </c>
      <c r="AL220">
        <v>0</v>
      </c>
      <c r="AM220">
        <v>0</v>
      </c>
      <c r="AN220">
        <v>4999.2666666666701</v>
      </c>
      <c r="AO220">
        <v>0</v>
      </c>
      <c r="AP220">
        <v>1.7502500000000001</v>
      </c>
      <c r="AQ220">
        <v>-0.94208366666666699</v>
      </c>
      <c r="AR220">
        <v>415.41546666666699</v>
      </c>
      <c r="AS220">
        <v>415.64133333333302</v>
      </c>
      <c r="AT220">
        <v>1.7317020000000001</v>
      </c>
      <c r="AU220">
        <v>409.98906666666699</v>
      </c>
      <c r="AV220">
        <v>13.5987666666667</v>
      </c>
      <c r="AW220">
        <v>1.5387966666666699</v>
      </c>
      <c r="AX220">
        <v>1.3649766666666701</v>
      </c>
      <c r="AY220">
        <v>13.3592</v>
      </c>
      <c r="AZ220">
        <v>11.534046666666701</v>
      </c>
      <c r="BA220">
        <v>500.00086666666698</v>
      </c>
      <c r="BB220">
        <v>0.89998900000000004</v>
      </c>
      <c r="BC220">
        <v>0</v>
      </c>
      <c r="BD220">
        <v>0.100011</v>
      </c>
      <c r="BE220">
        <v>0</v>
      </c>
      <c r="BF220">
        <v>25</v>
      </c>
      <c r="BG220">
        <v>8244.3793333333306</v>
      </c>
      <c r="BH220">
        <v>1771002434.0999999</v>
      </c>
      <c r="BI220" t="s">
        <v>676</v>
      </c>
      <c r="BJ220">
        <v>1771002412.0999999</v>
      </c>
      <c r="BK220">
        <v>1771002434.0999999</v>
      </c>
      <c r="BL220">
        <v>11</v>
      </c>
      <c r="BM220">
        <v>-2.1999999999999999E-2</v>
      </c>
      <c r="BN220">
        <v>-0.01</v>
      </c>
      <c r="BO220">
        <v>-0.90900000000000003</v>
      </c>
      <c r="BP220">
        <v>9.6000000000000002E-2</v>
      </c>
      <c r="BQ220">
        <v>410</v>
      </c>
      <c r="BR220">
        <v>14</v>
      </c>
      <c r="BS220">
        <v>0.35</v>
      </c>
      <c r="BT220">
        <v>0.16</v>
      </c>
      <c r="BU220">
        <v>-0.94325328571428602</v>
      </c>
      <c r="BV220">
        <v>9.9859480519460999E-3</v>
      </c>
      <c r="BW220">
        <v>1.30023290299885E-2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1.7317171428571401</v>
      </c>
      <c r="CD220">
        <v>2.3509090909095299E-3</v>
      </c>
      <c r="CE220">
        <v>8.8415761823193505E-4</v>
      </c>
      <c r="CF220">
        <v>1</v>
      </c>
      <c r="CG220">
        <v>2</v>
      </c>
      <c r="CH220">
        <v>2</v>
      </c>
      <c r="CI220" t="s">
        <v>304</v>
      </c>
      <c r="CJ220">
        <v>3.5325299999999999</v>
      </c>
      <c r="CK220">
        <v>2.7021500000000001</v>
      </c>
      <c r="CL220">
        <v>9.8094899999999999E-2</v>
      </c>
      <c r="CM220">
        <v>9.6882499999999996E-2</v>
      </c>
      <c r="CN220">
        <v>8.70504E-2</v>
      </c>
      <c r="CO220">
        <v>7.8820699999999994E-2</v>
      </c>
      <c r="CP220">
        <v>31631.1</v>
      </c>
      <c r="CQ220">
        <v>27795.599999999999</v>
      </c>
      <c r="CR220">
        <v>32459.4</v>
      </c>
      <c r="CS220">
        <v>30703.9</v>
      </c>
      <c r="CT220">
        <v>40122.5</v>
      </c>
      <c r="CU220">
        <v>39773.599999999999</v>
      </c>
      <c r="CV220">
        <v>47399.9</v>
      </c>
      <c r="CW220">
        <v>46820</v>
      </c>
      <c r="CX220">
        <v>2.6251600000000002</v>
      </c>
      <c r="CY220">
        <v>2.1370800000000001</v>
      </c>
      <c r="CZ220">
        <v>0</v>
      </c>
      <c r="DA220">
        <v>0</v>
      </c>
      <c r="DB220">
        <v>999.9</v>
      </c>
      <c r="DC220">
        <v>999.9</v>
      </c>
      <c r="DD220">
        <v>53.271999999999998</v>
      </c>
      <c r="DE220">
        <v>26.939</v>
      </c>
      <c r="DF220">
        <v>18.928000000000001</v>
      </c>
      <c r="DG220">
        <v>30.3901</v>
      </c>
      <c r="DH220">
        <v>16.5425</v>
      </c>
      <c r="DI220">
        <v>2</v>
      </c>
      <c r="DJ220">
        <v>-0.129551</v>
      </c>
      <c r="DK220">
        <v>2.3456600000000001</v>
      </c>
      <c r="DL220">
        <v>20.206099999999999</v>
      </c>
      <c r="DM220">
        <v>5.2509499999999996</v>
      </c>
      <c r="DN220">
        <v>12.033899999999999</v>
      </c>
      <c r="DO220">
        <v>4.9675599999999998</v>
      </c>
      <c r="DP220">
        <v>3.2909999999999999</v>
      </c>
      <c r="DQ220">
        <v>9999</v>
      </c>
      <c r="DR220">
        <v>9999</v>
      </c>
      <c r="DS220">
        <v>597.5</v>
      </c>
      <c r="DT220">
        <v>9999</v>
      </c>
      <c r="DU220">
        <v>1.8711500000000001</v>
      </c>
      <c r="DV220">
        <v>1.8761399999999999</v>
      </c>
      <c r="DW220">
        <v>1.8763700000000001</v>
      </c>
      <c r="DX220">
        <v>1.8828400000000001</v>
      </c>
      <c r="DY220">
        <v>1.87561</v>
      </c>
      <c r="DZ220">
        <v>1.87469</v>
      </c>
      <c r="EA220">
        <v>1.8708800000000001</v>
      </c>
      <c r="EB220">
        <v>1.87469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-0.90800000000000003</v>
      </c>
      <c r="EQ220">
        <v>9.6299999999999997E-2</v>
      </c>
      <c r="ER220">
        <v>-0.90870000000001006</v>
      </c>
      <c r="ES220">
        <v>0</v>
      </c>
      <c r="ET220">
        <v>0</v>
      </c>
      <c r="EU220">
        <v>0</v>
      </c>
      <c r="EV220">
        <v>9.6329999999998306E-2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6.4</v>
      </c>
      <c r="FE220">
        <v>6</v>
      </c>
      <c r="FF220">
        <v>1.2402299999999999</v>
      </c>
      <c r="FG220">
        <v>2.5939899999999998</v>
      </c>
      <c r="FH220">
        <v>2.19604</v>
      </c>
      <c r="FI220">
        <v>2.5744600000000002</v>
      </c>
      <c r="FJ220">
        <v>2.4462899999999999</v>
      </c>
      <c r="FK220">
        <v>2.2399900000000001</v>
      </c>
      <c r="FL220">
        <v>31.586099999999998</v>
      </c>
      <c r="FM220">
        <v>24.14</v>
      </c>
      <c r="FN220">
        <v>19</v>
      </c>
      <c r="FO220">
        <v>864.65599999999995</v>
      </c>
      <c r="FP220">
        <v>579.72900000000004</v>
      </c>
      <c r="FQ220">
        <v>18.134499999999999</v>
      </c>
      <c r="FR220">
        <v>25.3628</v>
      </c>
      <c r="FS220">
        <v>30.000299999999999</v>
      </c>
      <c r="FT220">
        <v>25.325099999999999</v>
      </c>
      <c r="FU220">
        <v>25.327200000000001</v>
      </c>
      <c r="FV220">
        <v>24.8902</v>
      </c>
      <c r="FW220">
        <v>31.558199999999999</v>
      </c>
      <c r="FX220">
        <v>5.7208199999999998</v>
      </c>
      <c r="FY220">
        <v>18.132400000000001</v>
      </c>
      <c r="FZ220">
        <v>410</v>
      </c>
      <c r="GA220">
        <v>13.580399999999999</v>
      </c>
      <c r="GB220">
        <v>99.882000000000005</v>
      </c>
      <c r="GC220">
        <v>99.673500000000004</v>
      </c>
    </row>
    <row r="221" spans="1:185" x14ac:dyDescent="0.2">
      <c r="A221">
        <v>206</v>
      </c>
      <c r="B221">
        <v>1771002811.0999999</v>
      </c>
      <c r="C221">
        <v>4188</v>
      </c>
      <c r="D221" t="s">
        <v>715</v>
      </c>
      <c r="E221" t="s">
        <v>716</v>
      </c>
      <c r="F221">
        <v>15</v>
      </c>
      <c r="G221">
        <v>1771002803.03333</v>
      </c>
      <c r="H221">
        <f t="shared" si="39"/>
        <v>1.4052698156903601E-3</v>
      </c>
      <c r="I221">
        <v>0</v>
      </c>
      <c r="J221">
        <f t="shared" si="51"/>
        <v>1.0574182216787496E-2</v>
      </c>
      <c r="K221">
        <f t="shared" si="40"/>
        <v>0.18907964081412831</v>
      </c>
      <c r="L221">
        <f t="shared" si="41"/>
        <v>69.770547150081569</v>
      </c>
      <c r="M221">
        <f t="shared" si="42"/>
        <v>1.5388756671667922</v>
      </c>
      <c r="N221">
        <f t="shared" si="43"/>
        <v>2.2056236191706473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26331.976873773543</v>
      </c>
      <c r="T221">
        <f t="shared" si="47"/>
        <v>499.99953333333298</v>
      </c>
      <c r="U221">
        <f t="shared" si="48"/>
        <v>421.49985659976647</v>
      </c>
      <c r="V221">
        <f t="shared" si="49"/>
        <v>0.84300050000000026</v>
      </c>
      <c r="W221">
        <f t="shared" si="50"/>
        <v>0.15870112008000004</v>
      </c>
      <c r="X221">
        <v>1</v>
      </c>
      <c r="Y221">
        <v>1771002803.03333</v>
      </c>
      <c r="Z221">
        <v>409.04373333333302</v>
      </c>
      <c r="AA221">
        <v>409.99860000000001</v>
      </c>
      <c r="AB221">
        <v>15.321493333333301</v>
      </c>
      <c r="AC221">
        <v>13.5918266666667</v>
      </c>
      <c r="AD221">
        <v>409.95246666666702</v>
      </c>
      <c r="AE221">
        <v>15.2251666666667</v>
      </c>
      <c r="AF221">
        <v>800.00326666666695</v>
      </c>
      <c r="AG221">
        <v>100.374866666667</v>
      </c>
      <c r="AH221">
        <v>6.4146273333333295E-2</v>
      </c>
      <c r="AI221">
        <v>19.003219999999999</v>
      </c>
      <c r="AJ221">
        <v>999.9</v>
      </c>
      <c r="AK221">
        <v>999.9</v>
      </c>
      <c r="AL221">
        <v>0</v>
      </c>
      <c r="AM221">
        <v>0</v>
      </c>
      <c r="AN221">
        <v>5001.9333333333298</v>
      </c>
      <c r="AO221">
        <v>0</v>
      </c>
      <c r="AP221">
        <v>1.7502500000000001</v>
      </c>
      <c r="AQ221">
        <v>-0.95480540000000003</v>
      </c>
      <c r="AR221">
        <v>415.40846666666698</v>
      </c>
      <c r="AS221">
        <v>415.64800000000002</v>
      </c>
      <c r="AT221">
        <v>1.7296819999999999</v>
      </c>
      <c r="AU221">
        <v>409.99860000000001</v>
      </c>
      <c r="AV221">
        <v>13.5918266666667</v>
      </c>
      <c r="AW221">
        <v>1.537892</v>
      </c>
      <c r="AX221">
        <v>1.36427533333333</v>
      </c>
      <c r="AY221">
        <v>13.3501866666667</v>
      </c>
      <c r="AZ221">
        <v>11.5262933333333</v>
      </c>
      <c r="BA221">
        <v>499.99953333333298</v>
      </c>
      <c r="BB221">
        <v>0.89998526666666701</v>
      </c>
      <c r="BC221">
        <v>0</v>
      </c>
      <c r="BD221">
        <v>0.1000148</v>
      </c>
      <c r="BE221">
        <v>0</v>
      </c>
      <c r="BF221">
        <v>25</v>
      </c>
      <c r="BG221">
        <v>8244.3453333333291</v>
      </c>
      <c r="BH221">
        <v>1771002434.0999999</v>
      </c>
      <c r="BI221" t="s">
        <v>676</v>
      </c>
      <c r="BJ221">
        <v>1771002412.0999999</v>
      </c>
      <c r="BK221">
        <v>1771002434.0999999</v>
      </c>
      <c r="BL221">
        <v>11</v>
      </c>
      <c r="BM221">
        <v>-2.1999999999999999E-2</v>
      </c>
      <c r="BN221">
        <v>-0.01</v>
      </c>
      <c r="BO221">
        <v>-0.90900000000000003</v>
      </c>
      <c r="BP221">
        <v>9.6000000000000002E-2</v>
      </c>
      <c r="BQ221">
        <v>410</v>
      </c>
      <c r="BR221">
        <v>14</v>
      </c>
      <c r="BS221">
        <v>0.35</v>
      </c>
      <c r="BT221">
        <v>0.16</v>
      </c>
      <c r="BU221">
        <v>-0.95171804999999998</v>
      </c>
      <c r="BV221">
        <v>-0.129321789473683</v>
      </c>
      <c r="BW221">
        <v>1.7892408819035501E-2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1.7303655</v>
      </c>
      <c r="CD221">
        <v>-3.0119548872177899E-2</v>
      </c>
      <c r="CE221">
        <v>4.07689523412117E-3</v>
      </c>
      <c r="CF221">
        <v>1</v>
      </c>
      <c r="CG221">
        <v>2</v>
      </c>
      <c r="CH221">
        <v>2</v>
      </c>
      <c r="CI221" t="s">
        <v>304</v>
      </c>
      <c r="CJ221">
        <v>3.5325299999999999</v>
      </c>
      <c r="CK221">
        <v>2.7019600000000001</v>
      </c>
      <c r="CL221">
        <v>9.8090800000000006E-2</v>
      </c>
      <c r="CM221">
        <v>9.6884100000000001E-2</v>
      </c>
      <c r="CN221">
        <v>8.6989300000000006E-2</v>
      </c>
      <c r="CO221">
        <v>7.8820399999999999E-2</v>
      </c>
      <c r="CP221">
        <v>31630.6</v>
      </c>
      <c r="CQ221">
        <v>27795.200000000001</v>
      </c>
      <c r="CR221">
        <v>32458.799999999999</v>
      </c>
      <c r="CS221">
        <v>30703.599999999999</v>
      </c>
      <c r="CT221">
        <v>40124.6</v>
      </c>
      <c r="CU221">
        <v>39773.300000000003</v>
      </c>
      <c r="CV221">
        <v>47399.1</v>
      </c>
      <c r="CW221">
        <v>46819.6</v>
      </c>
      <c r="CX221">
        <v>2.6250800000000001</v>
      </c>
      <c r="CY221">
        <v>2.13666</v>
      </c>
      <c r="CZ221">
        <v>0</v>
      </c>
      <c r="DA221">
        <v>0</v>
      </c>
      <c r="DB221">
        <v>999.9</v>
      </c>
      <c r="DC221">
        <v>999.9</v>
      </c>
      <c r="DD221">
        <v>53.247</v>
      </c>
      <c r="DE221">
        <v>26.959</v>
      </c>
      <c r="DF221">
        <v>18.941800000000001</v>
      </c>
      <c r="DG221">
        <v>30.510100000000001</v>
      </c>
      <c r="DH221">
        <v>16.482399999999998</v>
      </c>
      <c r="DI221">
        <v>2</v>
      </c>
      <c r="DJ221">
        <v>-0.12876399999999999</v>
      </c>
      <c r="DK221">
        <v>2.3441900000000002</v>
      </c>
      <c r="DL221">
        <v>20.206</v>
      </c>
      <c r="DM221">
        <v>5.25</v>
      </c>
      <c r="DN221">
        <v>12.033899999999999</v>
      </c>
      <c r="DO221">
        <v>4.9673999999999996</v>
      </c>
      <c r="DP221">
        <v>3.2909999999999999</v>
      </c>
      <c r="DQ221">
        <v>9999</v>
      </c>
      <c r="DR221">
        <v>9999</v>
      </c>
      <c r="DS221">
        <v>597.5</v>
      </c>
      <c r="DT221">
        <v>9999</v>
      </c>
      <c r="DU221">
        <v>1.8711800000000001</v>
      </c>
      <c r="DV221">
        <v>1.87615</v>
      </c>
      <c r="DW221">
        <v>1.8763700000000001</v>
      </c>
      <c r="DX221">
        <v>1.8828400000000001</v>
      </c>
      <c r="DY221">
        <v>1.87561</v>
      </c>
      <c r="DZ221">
        <v>1.87469</v>
      </c>
      <c r="EA221">
        <v>1.8708800000000001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-0.90800000000000003</v>
      </c>
      <c r="EQ221">
        <v>9.6299999999999997E-2</v>
      </c>
      <c r="ER221">
        <v>-0.90870000000001006</v>
      </c>
      <c r="ES221">
        <v>0</v>
      </c>
      <c r="ET221">
        <v>0</v>
      </c>
      <c r="EU221">
        <v>0</v>
      </c>
      <c r="EV221">
        <v>9.6329999999998306E-2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6.7</v>
      </c>
      <c r="FE221">
        <v>6.3</v>
      </c>
      <c r="FF221">
        <v>1.2402299999999999</v>
      </c>
      <c r="FG221">
        <v>2.5939899999999998</v>
      </c>
      <c r="FH221">
        <v>2.19604</v>
      </c>
      <c r="FI221">
        <v>2.5744600000000002</v>
      </c>
      <c r="FJ221">
        <v>2.4462899999999999</v>
      </c>
      <c r="FK221">
        <v>2.3046899999999999</v>
      </c>
      <c r="FL221">
        <v>31.586099999999998</v>
      </c>
      <c r="FM221">
        <v>24.122499999999999</v>
      </c>
      <c r="FN221">
        <v>19</v>
      </c>
      <c r="FO221">
        <v>864.726</v>
      </c>
      <c r="FP221">
        <v>579.50599999999997</v>
      </c>
      <c r="FQ221">
        <v>18.1235</v>
      </c>
      <c r="FR221">
        <v>25.3735</v>
      </c>
      <c r="FS221">
        <v>30.000399999999999</v>
      </c>
      <c r="FT221">
        <v>25.334099999999999</v>
      </c>
      <c r="FU221">
        <v>25.336099999999998</v>
      </c>
      <c r="FV221">
        <v>24.89</v>
      </c>
      <c r="FW221">
        <v>31.558199999999999</v>
      </c>
      <c r="FX221">
        <v>5.3507999999999996</v>
      </c>
      <c r="FY221">
        <v>18.122699999999998</v>
      </c>
      <c r="FZ221">
        <v>410</v>
      </c>
      <c r="GA221">
        <v>13.580399999999999</v>
      </c>
      <c r="GB221">
        <v>99.880300000000005</v>
      </c>
      <c r="GC221">
        <v>99.672600000000003</v>
      </c>
    </row>
    <row r="222" spans="1:185" x14ac:dyDescent="0.2">
      <c r="A222">
        <v>207</v>
      </c>
      <c r="B222">
        <v>1771002826.0999999</v>
      </c>
      <c r="C222">
        <v>4203</v>
      </c>
      <c r="D222" t="s">
        <v>717</v>
      </c>
      <c r="E222" t="s">
        <v>718</v>
      </c>
      <c r="F222">
        <v>15</v>
      </c>
      <c r="G222">
        <v>1771002818.03333</v>
      </c>
      <c r="H222">
        <f t="shared" si="39"/>
        <v>1.4027241482173374E-3</v>
      </c>
      <c r="I222">
        <v>0</v>
      </c>
      <c r="J222">
        <f t="shared" si="51"/>
        <v>1.1521943565585771E-2</v>
      </c>
      <c r="K222">
        <f t="shared" si="40"/>
        <v>0.20602680247016553</v>
      </c>
      <c r="L222">
        <f t="shared" si="41"/>
        <v>69.747420220932014</v>
      </c>
      <c r="M222">
        <f t="shared" si="42"/>
        <v>1.5381876706507229</v>
      </c>
      <c r="N222">
        <f t="shared" si="43"/>
        <v>2.2053685509490641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26308.234193278651</v>
      </c>
      <c r="T222">
        <f t="shared" si="47"/>
        <v>500.00220000000002</v>
      </c>
      <c r="U222">
        <f t="shared" si="48"/>
        <v>421.5020596009021</v>
      </c>
      <c r="V222">
        <f t="shared" si="49"/>
        <v>0.84300041000000014</v>
      </c>
      <c r="W222">
        <f t="shared" si="50"/>
        <v>0.15870089508000004</v>
      </c>
      <c r="X222">
        <v>1</v>
      </c>
      <c r="Y222">
        <v>1771002818.03333</v>
      </c>
      <c r="Z222">
        <v>409.03219999999999</v>
      </c>
      <c r="AA222">
        <v>410.006933333333</v>
      </c>
      <c r="AB222">
        <v>15.314773333333299</v>
      </c>
      <c r="AC222">
        <v>13.58822</v>
      </c>
      <c r="AD222">
        <v>409.94080000000002</v>
      </c>
      <c r="AE222">
        <v>15.21842</v>
      </c>
      <c r="AF222">
        <v>799.99946666666699</v>
      </c>
      <c r="AG222">
        <v>100.3742</v>
      </c>
      <c r="AH222">
        <v>6.396106E-2</v>
      </c>
      <c r="AI222">
        <v>19.001366666666701</v>
      </c>
      <c r="AJ222">
        <v>999.9</v>
      </c>
      <c r="AK222">
        <v>999.9</v>
      </c>
      <c r="AL222">
        <v>0</v>
      </c>
      <c r="AM222">
        <v>0</v>
      </c>
      <c r="AN222">
        <v>4998.0333333333301</v>
      </c>
      <c r="AO222">
        <v>0</v>
      </c>
      <c r="AP222">
        <v>1.7502500000000001</v>
      </c>
      <c r="AQ222">
        <v>-0.97481093333333302</v>
      </c>
      <c r="AR222">
        <v>415.39386666666701</v>
      </c>
      <c r="AS222">
        <v>415.65506666666698</v>
      </c>
      <c r="AT222">
        <v>1.72654666666667</v>
      </c>
      <c r="AU222">
        <v>410.006933333333</v>
      </c>
      <c r="AV222">
        <v>13.58822</v>
      </c>
      <c r="AW222">
        <v>1.53720866666667</v>
      </c>
      <c r="AX222">
        <v>1.36390733333333</v>
      </c>
      <c r="AY222">
        <v>13.343360000000001</v>
      </c>
      <c r="AZ222">
        <v>11.522206666666699</v>
      </c>
      <c r="BA222">
        <v>500.00220000000002</v>
      </c>
      <c r="BB222">
        <v>0.89998826666666698</v>
      </c>
      <c r="BC222">
        <v>0</v>
      </c>
      <c r="BD222">
        <v>0.1000118</v>
      </c>
      <c r="BE222">
        <v>0</v>
      </c>
      <c r="BF222">
        <v>25</v>
      </c>
      <c r="BG222">
        <v>8244.3966666666693</v>
      </c>
      <c r="BH222">
        <v>1771002434.0999999</v>
      </c>
      <c r="BI222" t="s">
        <v>676</v>
      </c>
      <c r="BJ222">
        <v>1771002412.0999999</v>
      </c>
      <c r="BK222">
        <v>1771002434.0999999</v>
      </c>
      <c r="BL222">
        <v>11</v>
      </c>
      <c r="BM222">
        <v>-2.1999999999999999E-2</v>
      </c>
      <c r="BN222">
        <v>-0.01</v>
      </c>
      <c r="BO222">
        <v>-0.90900000000000003</v>
      </c>
      <c r="BP222">
        <v>9.6000000000000002E-2</v>
      </c>
      <c r="BQ222">
        <v>410</v>
      </c>
      <c r="BR222">
        <v>14</v>
      </c>
      <c r="BS222">
        <v>0.35</v>
      </c>
      <c r="BT222">
        <v>0.16</v>
      </c>
      <c r="BU222">
        <v>-0.97372442857142905</v>
      </c>
      <c r="BV222">
        <v>-7.2549194805194506E-2</v>
      </c>
      <c r="BW222">
        <v>1.87372773866415E-2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1.7261423809523799</v>
      </c>
      <c r="CD222">
        <v>1.6869350649349E-2</v>
      </c>
      <c r="CE222">
        <v>4.6736586104738397E-3</v>
      </c>
      <c r="CF222">
        <v>1</v>
      </c>
      <c r="CG222">
        <v>2</v>
      </c>
      <c r="CH222">
        <v>2</v>
      </c>
      <c r="CI222" t="s">
        <v>304</v>
      </c>
      <c r="CJ222">
        <v>3.53254</v>
      </c>
      <c r="CK222">
        <v>2.7018599999999999</v>
      </c>
      <c r="CL222">
        <v>9.8084199999999996E-2</v>
      </c>
      <c r="CM222">
        <v>9.6874799999999997E-2</v>
      </c>
      <c r="CN222">
        <v>8.69867E-2</v>
      </c>
      <c r="CO222">
        <v>7.8798000000000007E-2</v>
      </c>
      <c r="CP222">
        <v>31630.6</v>
      </c>
      <c r="CQ222">
        <v>27794.799999999999</v>
      </c>
      <c r="CR222">
        <v>32458.5</v>
      </c>
      <c r="CS222">
        <v>30702.799999999999</v>
      </c>
      <c r="CT222">
        <v>40124.6</v>
      </c>
      <c r="CU222">
        <v>39773.599999999999</v>
      </c>
      <c r="CV222">
        <v>47398.9</v>
      </c>
      <c r="CW222">
        <v>46818.7</v>
      </c>
      <c r="CX222">
        <v>2.62514</v>
      </c>
      <c r="CY222">
        <v>2.1362399999999999</v>
      </c>
      <c r="CZ222">
        <v>0</v>
      </c>
      <c r="DA222">
        <v>0</v>
      </c>
      <c r="DB222">
        <v>999.9</v>
      </c>
      <c r="DC222">
        <v>999.9</v>
      </c>
      <c r="DD222">
        <v>53.173999999999999</v>
      </c>
      <c r="DE222">
        <v>26.978999999999999</v>
      </c>
      <c r="DF222">
        <v>18.937000000000001</v>
      </c>
      <c r="DG222">
        <v>30.450099999999999</v>
      </c>
      <c r="DH222">
        <v>16.514399999999998</v>
      </c>
      <c r="DI222">
        <v>2</v>
      </c>
      <c r="DJ222">
        <v>-0.12798599999999999</v>
      </c>
      <c r="DK222">
        <v>2.3303400000000001</v>
      </c>
      <c r="DL222">
        <v>20.2056</v>
      </c>
      <c r="DM222">
        <v>5.2511900000000002</v>
      </c>
      <c r="DN222">
        <v>12.033899999999999</v>
      </c>
      <c r="DO222">
        <v>4.9675599999999998</v>
      </c>
      <c r="DP222">
        <v>3.2909999999999999</v>
      </c>
      <c r="DQ222">
        <v>9999</v>
      </c>
      <c r="DR222">
        <v>9999</v>
      </c>
      <c r="DS222">
        <v>597.5</v>
      </c>
      <c r="DT222">
        <v>9999</v>
      </c>
      <c r="DU222">
        <v>1.8711500000000001</v>
      </c>
      <c r="DV222">
        <v>1.8761399999999999</v>
      </c>
      <c r="DW222">
        <v>1.8763700000000001</v>
      </c>
      <c r="DX222">
        <v>1.8828</v>
      </c>
      <c r="DY222">
        <v>1.87561</v>
      </c>
      <c r="DZ222">
        <v>1.87469</v>
      </c>
      <c r="EA222">
        <v>1.87087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-0.90900000000000003</v>
      </c>
      <c r="EQ222">
        <v>9.6299999999999997E-2</v>
      </c>
      <c r="ER222">
        <v>-0.90870000000001006</v>
      </c>
      <c r="ES222">
        <v>0</v>
      </c>
      <c r="ET222">
        <v>0</v>
      </c>
      <c r="EU222">
        <v>0</v>
      </c>
      <c r="EV222">
        <v>9.6329999999998306E-2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6.9</v>
      </c>
      <c r="FE222">
        <v>6.5</v>
      </c>
      <c r="FF222">
        <v>1.2402299999999999</v>
      </c>
      <c r="FG222">
        <v>2.5939899999999998</v>
      </c>
      <c r="FH222">
        <v>2.19604</v>
      </c>
      <c r="FI222">
        <v>2.5744600000000002</v>
      </c>
      <c r="FJ222">
        <v>2.4462899999999999</v>
      </c>
      <c r="FK222">
        <v>2.2729499999999998</v>
      </c>
      <c r="FL222">
        <v>31.608000000000001</v>
      </c>
      <c r="FM222">
        <v>24.148800000000001</v>
      </c>
      <c r="FN222">
        <v>19</v>
      </c>
      <c r="FO222">
        <v>864.92600000000004</v>
      </c>
      <c r="FP222">
        <v>579.27800000000002</v>
      </c>
      <c r="FQ222">
        <v>18.116800000000001</v>
      </c>
      <c r="FR222">
        <v>25.382400000000001</v>
      </c>
      <c r="FS222">
        <v>30.000399999999999</v>
      </c>
      <c r="FT222">
        <v>25.343</v>
      </c>
      <c r="FU222">
        <v>25.3446</v>
      </c>
      <c r="FV222">
        <v>24.8902</v>
      </c>
      <c r="FW222">
        <v>31.558199999999999</v>
      </c>
      <c r="FX222">
        <v>5.3507999999999996</v>
      </c>
      <c r="FY222">
        <v>18.117899999999999</v>
      </c>
      <c r="FZ222">
        <v>410</v>
      </c>
      <c r="GA222">
        <v>13.580399999999999</v>
      </c>
      <c r="GB222">
        <v>99.879800000000003</v>
      </c>
      <c r="GC222">
        <v>99.670599999999993</v>
      </c>
    </row>
    <row r="223" spans="1:185" x14ac:dyDescent="0.2">
      <c r="A223">
        <v>208</v>
      </c>
      <c r="B223">
        <v>1771002841.0999999</v>
      </c>
      <c r="C223">
        <v>4218</v>
      </c>
      <c r="D223" t="s">
        <v>719</v>
      </c>
      <c r="E223" t="s">
        <v>720</v>
      </c>
      <c r="F223">
        <v>15</v>
      </c>
      <c r="G223">
        <v>1771002833.03333</v>
      </c>
      <c r="H223">
        <f t="shared" si="39"/>
        <v>1.4006180867068298E-3</v>
      </c>
      <c r="I223">
        <v>0</v>
      </c>
      <c r="J223">
        <f t="shared" si="51"/>
        <v>1.1306104226819401E-2</v>
      </c>
      <c r="K223">
        <f t="shared" si="40"/>
        <v>0.20216732437428844</v>
      </c>
      <c r="L223">
        <f t="shared" si="41"/>
        <v>69.738442124844852</v>
      </c>
      <c r="M223">
        <f t="shared" si="42"/>
        <v>1.537747193305514</v>
      </c>
      <c r="N223">
        <f t="shared" si="43"/>
        <v>2.2050208557177959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26305.429354317876</v>
      </c>
      <c r="T223">
        <f t="shared" si="47"/>
        <v>499.999666666667</v>
      </c>
      <c r="U223">
        <f t="shared" si="48"/>
        <v>421.50001599980197</v>
      </c>
      <c r="V223">
        <f t="shared" si="49"/>
        <v>0.84300059399999938</v>
      </c>
      <c r="W223">
        <f t="shared" si="50"/>
        <v>0.15870135507999988</v>
      </c>
      <c r="X223">
        <v>1</v>
      </c>
      <c r="Y223">
        <v>1771002833.03333</v>
      </c>
      <c r="Z223">
        <v>409.02300000000002</v>
      </c>
      <c r="AA223">
        <v>409.99180000000001</v>
      </c>
      <c r="AB223">
        <v>15.31048</v>
      </c>
      <c r="AC223">
        <v>13.586539999999999</v>
      </c>
      <c r="AD223">
        <v>409.93180000000001</v>
      </c>
      <c r="AE223">
        <v>15.214133333333301</v>
      </c>
      <c r="AF223">
        <v>800.01273333333302</v>
      </c>
      <c r="AG223">
        <v>100.373466666667</v>
      </c>
      <c r="AH223">
        <v>6.40893933333333E-2</v>
      </c>
      <c r="AI223">
        <v>18.998840000000001</v>
      </c>
      <c r="AJ223">
        <v>999.9</v>
      </c>
      <c r="AK223">
        <v>999.9</v>
      </c>
      <c r="AL223">
        <v>0</v>
      </c>
      <c r="AM223">
        <v>0</v>
      </c>
      <c r="AN223">
        <v>4997.5666666666702</v>
      </c>
      <c r="AO223">
        <v>0</v>
      </c>
      <c r="AP223">
        <v>1.7502500000000001</v>
      </c>
      <c r="AQ223">
        <v>-0.96858286666666704</v>
      </c>
      <c r="AR223">
        <v>415.38279999999997</v>
      </c>
      <c r="AS223">
        <v>415.63873333333299</v>
      </c>
      <c r="AT223">
        <v>1.7239340000000001</v>
      </c>
      <c r="AU223">
        <v>409.99180000000001</v>
      </c>
      <c r="AV223">
        <v>13.586539999999999</v>
      </c>
      <c r="AW223">
        <v>1.53676533333333</v>
      </c>
      <c r="AX223">
        <v>1.36372733333333</v>
      </c>
      <c r="AY223">
        <v>13.3389333333333</v>
      </c>
      <c r="AZ223">
        <v>11.5202066666667</v>
      </c>
      <c r="BA223">
        <v>499.999666666667</v>
      </c>
      <c r="BB223">
        <v>0.89998213333333299</v>
      </c>
      <c r="BC223">
        <v>0</v>
      </c>
      <c r="BD223">
        <v>0.100017933333333</v>
      </c>
      <c r="BE223">
        <v>0</v>
      </c>
      <c r="BF223">
        <v>25</v>
      </c>
      <c r="BG223">
        <v>8244.3439999999991</v>
      </c>
      <c r="BH223">
        <v>1771002434.0999999</v>
      </c>
      <c r="BI223" t="s">
        <v>676</v>
      </c>
      <c r="BJ223">
        <v>1771002412.0999999</v>
      </c>
      <c r="BK223">
        <v>1771002434.0999999</v>
      </c>
      <c r="BL223">
        <v>11</v>
      </c>
      <c r="BM223">
        <v>-2.1999999999999999E-2</v>
      </c>
      <c r="BN223">
        <v>-0.01</v>
      </c>
      <c r="BO223">
        <v>-0.90900000000000003</v>
      </c>
      <c r="BP223">
        <v>9.6000000000000002E-2</v>
      </c>
      <c r="BQ223">
        <v>410</v>
      </c>
      <c r="BR223">
        <v>14</v>
      </c>
      <c r="BS223">
        <v>0.35</v>
      </c>
      <c r="BT223">
        <v>0.16</v>
      </c>
      <c r="BU223">
        <v>-0.97136509999999998</v>
      </c>
      <c r="BV223">
        <v>0.102186857142856</v>
      </c>
      <c r="BW223">
        <v>2.1732459517735201E-2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1.7249435</v>
      </c>
      <c r="CD223">
        <v>-1.1524060150376599E-2</v>
      </c>
      <c r="CE223">
        <v>2.48073230115624E-3</v>
      </c>
      <c r="CF223">
        <v>1</v>
      </c>
      <c r="CG223">
        <v>2</v>
      </c>
      <c r="CH223">
        <v>2</v>
      </c>
      <c r="CI223" t="s">
        <v>304</v>
      </c>
      <c r="CJ223">
        <v>3.5325099999999998</v>
      </c>
      <c r="CK223">
        <v>2.7019700000000002</v>
      </c>
      <c r="CL223">
        <v>9.8074900000000007E-2</v>
      </c>
      <c r="CM223">
        <v>9.6874699999999994E-2</v>
      </c>
      <c r="CN223">
        <v>8.6952500000000002E-2</v>
      </c>
      <c r="CO223">
        <v>7.8751199999999993E-2</v>
      </c>
      <c r="CP223">
        <v>31630.3</v>
      </c>
      <c r="CQ223">
        <v>27794.6</v>
      </c>
      <c r="CR223">
        <v>32458</v>
      </c>
      <c r="CS223">
        <v>30702.7</v>
      </c>
      <c r="CT223">
        <v>40125.5</v>
      </c>
      <c r="CU223">
        <v>39775.4</v>
      </c>
      <c r="CV223">
        <v>47398.1</v>
      </c>
      <c r="CW223">
        <v>46818.400000000001</v>
      </c>
      <c r="CX223">
        <v>2.6248999999999998</v>
      </c>
      <c r="CY223">
        <v>2.1361400000000001</v>
      </c>
      <c r="CZ223">
        <v>0</v>
      </c>
      <c r="DA223">
        <v>0</v>
      </c>
      <c r="DB223">
        <v>999.9</v>
      </c>
      <c r="DC223">
        <v>999.9</v>
      </c>
      <c r="DD223">
        <v>53.131</v>
      </c>
      <c r="DE223">
        <v>26.959</v>
      </c>
      <c r="DF223">
        <v>18.899000000000001</v>
      </c>
      <c r="DG223">
        <v>30.360099999999999</v>
      </c>
      <c r="DH223">
        <v>16.514399999999998</v>
      </c>
      <c r="DI223">
        <v>2</v>
      </c>
      <c r="DJ223">
        <v>-0.127583</v>
      </c>
      <c r="DK223">
        <v>2.2655799999999999</v>
      </c>
      <c r="DL223">
        <v>20.207000000000001</v>
      </c>
      <c r="DM223">
        <v>5.2510700000000003</v>
      </c>
      <c r="DN223">
        <v>12.033899999999999</v>
      </c>
      <c r="DO223">
        <v>4.9673999999999996</v>
      </c>
      <c r="DP223">
        <v>3.2909999999999999</v>
      </c>
      <c r="DQ223">
        <v>9999</v>
      </c>
      <c r="DR223">
        <v>9999</v>
      </c>
      <c r="DS223">
        <v>597.5</v>
      </c>
      <c r="DT223">
        <v>9999</v>
      </c>
      <c r="DU223">
        <v>1.8711</v>
      </c>
      <c r="DV223">
        <v>1.8761000000000001</v>
      </c>
      <c r="DW223">
        <v>1.8763700000000001</v>
      </c>
      <c r="DX223">
        <v>1.8828</v>
      </c>
      <c r="DY223">
        <v>1.87561</v>
      </c>
      <c r="DZ223">
        <v>1.8746799999999999</v>
      </c>
      <c r="EA223">
        <v>1.87087</v>
      </c>
      <c r="EB223">
        <v>1.8746799999999999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-0.90900000000000003</v>
      </c>
      <c r="EQ223">
        <v>9.6299999999999997E-2</v>
      </c>
      <c r="ER223">
        <v>-0.90870000000001006</v>
      </c>
      <c r="ES223">
        <v>0</v>
      </c>
      <c r="ET223">
        <v>0</v>
      </c>
      <c r="EU223">
        <v>0</v>
      </c>
      <c r="EV223">
        <v>9.6329999999998306E-2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7.2</v>
      </c>
      <c r="FE223">
        <v>6.8</v>
      </c>
      <c r="FF223">
        <v>1.2402299999999999</v>
      </c>
      <c r="FG223">
        <v>2.5939899999999998</v>
      </c>
      <c r="FH223">
        <v>2.19604</v>
      </c>
      <c r="FI223">
        <v>2.5756800000000002</v>
      </c>
      <c r="FJ223">
        <v>2.4462899999999999</v>
      </c>
      <c r="FK223">
        <v>2.2729499999999998</v>
      </c>
      <c r="FL223">
        <v>31.608000000000001</v>
      </c>
      <c r="FM223">
        <v>24.148800000000001</v>
      </c>
      <c r="FN223">
        <v>19</v>
      </c>
      <c r="FO223">
        <v>864.82600000000002</v>
      </c>
      <c r="FP223">
        <v>579.28700000000003</v>
      </c>
      <c r="FQ223">
        <v>18.1416</v>
      </c>
      <c r="FR223">
        <v>25.390599999999999</v>
      </c>
      <c r="FS223">
        <v>30.000299999999999</v>
      </c>
      <c r="FT223">
        <v>25.3507</v>
      </c>
      <c r="FU223">
        <v>25.3523</v>
      </c>
      <c r="FV223">
        <v>24.889500000000002</v>
      </c>
      <c r="FW223">
        <v>31.558199999999999</v>
      </c>
      <c r="FX223">
        <v>4.9771400000000003</v>
      </c>
      <c r="FY223">
        <v>18.1419</v>
      </c>
      <c r="FZ223">
        <v>410</v>
      </c>
      <c r="GA223">
        <v>13.580399999999999</v>
      </c>
      <c r="GB223">
        <v>99.878100000000003</v>
      </c>
      <c r="GC223">
        <v>99.67</v>
      </c>
    </row>
    <row r="224" spans="1:185" x14ac:dyDescent="0.2">
      <c r="A224">
        <v>209</v>
      </c>
      <c r="B224">
        <v>1771002856.0999999</v>
      </c>
      <c r="C224">
        <v>4233</v>
      </c>
      <c r="D224" t="s">
        <v>721</v>
      </c>
      <c r="E224" t="s">
        <v>722</v>
      </c>
      <c r="F224">
        <v>15</v>
      </c>
      <c r="G224">
        <v>1771002848.03333</v>
      </c>
      <c r="H224">
        <f t="shared" si="39"/>
        <v>1.3982855911029131E-3</v>
      </c>
      <c r="I224">
        <v>0</v>
      </c>
      <c r="J224">
        <f t="shared" si="51"/>
        <v>1.1353772679230973E-2</v>
      </c>
      <c r="K224">
        <f t="shared" si="40"/>
        <v>0.20301969609205933</v>
      </c>
      <c r="L224">
        <f t="shared" si="41"/>
        <v>69.695481641911954</v>
      </c>
      <c r="M224">
        <f t="shared" si="42"/>
        <v>1.536797348325716</v>
      </c>
      <c r="N224">
        <f t="shared" si="43"/>
        <v>2.2050171863674306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26305.837512771366</v>
      </c>
      <c r="T224">
        <f t="shared" si="47"/>
        <v>499.999666666667</v>
      </c>
      <c r="U224">
        <f t="shared" si="48"/>
        <v>421.49999499981629</v>
      </c>
      <c r="V224">
        <f t="shared" si="49"/>
        <v>0.84300055200000001</v>
      </c>
      <c r="W224">
        <f t="shared" si="50"/>
        <v>0.15870138000000003</v>
      </c>
      <c r="X224">
        <v>1</v>
      </c>
      <c r="Y224">
        <v>1771002848.03333</v>
      </c>
      <c r="Z224">
        <v>409.01693333333299</v>
      </c>
      <c r="AA224">
        <v>409.98559999999998</v>
      </c>
      <c r="AB224">
        <v>15.301026666666701</v>
      </c>
      <c r="AC224">
        <v>13.579933333333299</v>
      </c>
      <c r="AD224">
        <v>409.92573333333303</v>
      </c>
      <c r="AE224">
        <v>15.204686666666699</v>
      </c>
      <c r="AF224">
        <v>800.00913333333301</v>
      </c>
      <c r="AG224">
        <v>100.373466666667</v>
      </c>
      <c r="AH224">
        <v>6.4064866666666706E-2</v>
      </c>
      <c r="AI224">
        <v>18.998813333333299</v>
      </c>
      <c r="AJ224">
        <v>999.9</v>
      </c>
      <c r="AK224">
        <v>999.9</v>
      </c>
      <c r="AL224">
        <v>0</v>
      </c>
      <c r="AM224">
        <v>0</v>
      </c>
      <c r="AN224">
        <v>4997.6333333333296</v>
      </c>
      <c r="AO224">
        <v>0</v>
      </c>
      <c r="AP224">
        <v>1.7502500000000001</v>
      </c>
      <c r="AQ224">
        <v>-0.96879466666666703</v>
      </c>
      <c r="AR224">
        <v>415.37266666666699</v>
      </c>
      <c r="AS224">
        <v>415.6302</v>
      </c>
      <c r="AT224">
        <v>1.7210799999999999</v>
      </c>
      <c r="AU224">
        <v>409.98559999999998</v>
      </c>
      <c r="AV224">
        <v>13.579933333333299</v>
      </c>
      <c r="AW224">
        <v>1.53581866666667</v>
      </c>
      <c r="AX224">
        <v>1.36306866666667</v>
      </c>
      <c r="AY224">
        <v>13.329499999999999</v>
      </c>
      <c r="AZ224">
        <v>11.5128866666667</v>
      </c>
      <c r="BA224">
        <v>499.999666666667</v>
      </c>
      <c r="BB224">
        <v>0.89998160000000005</v>
      </c>
      <c r="BC224">
        <v>0</v>
      </c>
      <c r="BD224">
        <v>0.10001839999999999</v>
      </c>
      <c r="BE224">
        <v>0</v>
      </c>
      <c r="BF224">
        <v>25</v>
      </c>
      <c r="BG224">
        <v>8244.3439999999991</v>
      </c>
      <c r="BH224">
        <v>1771002434.0999999</v>
      </c>
      <c r="BI224" t="s">
        <v>676</v>
      </c>
      <c r="BJ224">
        <v>1771002412.0999999</v>
      </c>
      <c r="BK224">
        <v>1771002434.0999999</v>
      </c>
      <c r="BL224">
        <v>11</v>
      </c>
      <c r="BM224">
        <v>-2.1999999999999999E-2</v>
      </c>
      <c r="BN224">
        <v>-0.01</v>
      </c>
      <c r="BO224">
        <v>-0.90900000000000003</v>
      </c>
      <c r="BP224">
        <v>9.6000000000000002E-2</v>
      </c>
      <c r="BQ224">
        <v>410</v>
      </c>
      <c r="BR224">
        <v>14</v>
      </c>
      <c r="BS224">
        <v>0.35</v>
      </c>
      <c r="BT224">
        <v>0.16</v>
      </c>
      <c r="BU224">
        <v>-0.96491619047619004</v>
      </c>
      <c r="BV224">
        <v>4.0056623376629498E-3</v>
      </c>
      <c r="BW224">
        <v>2.9236595164636801E-2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1.72203285714286</v>
      </c>
      <c r="CD224">
        <v>-3.2245714285714301E-2</v>
      </c>
      <c r="CE224">
        <v>3.9785450114537199E-3</v>
      </c>
      <c r="CF224">
        <v>1</v>
      </c>
      <c r="CG224">
        <v>2</v>
      </c>
      <c r="CH224">
        <v>2</v>
      </c>
      <c r="CI224" t="s">
        <v>304</v>
      </c>
      <c r="CJ224">
        <v>3.5325199999999999</v>
      </c>
      <c r="CK224">
        <v>2.7019700000000002</v>
      </c>
      <c r="CL224">
        <v>9.8081399999999999E-2</v>
      </c>
      <c r="CM224">
        <v>9.6873699999999993E-2</v>
      </c>
      <c r="CN224">
        <v>8.6922799999999995E-2</v>
      </c>
      <c r="CO224">
        <v>7.8766900000000001E-2</v>
      </c>
      <c r="CP224">
        <v>31629.4</v>
      </c>
      <c r="CQ224">
        <v>27794.2</v>
      </c>
      <c r="CR224">
        <v>32457.3</v>
      </c>
      <c r="CS224">
        <v>30702.3</v>
      </c>
      <c r="CT224">
        <v>40126.300000000003</v>
      </c>
      <c r="CU224">
        <v>39774.300000000003</v>
      </c>
      <c r="CV224">
        <v>47397.4</v>
      </c>
      <c r="CW224">
        <v>46817.9</v>
      </c>
      <c r="CX224">
        <v>2.6247799999999999</v>
      </c>
      <c r="CY224">
        <v>2.13618</v>
      </c>
      <c r="CZ224">
        <v>0</v>
      </c>
      <c r="DA224">
        <v>0</v>
      </c>
      <c r="DB224">
        <v>999.9</v>
      </c>
      <c r="DC224">
        <v>999.9</v>
      </c>
      <c r="DD224">
        <v>53.082999999999998</v>
      </c>
      <c r="DE224">
        <v>26.989000000000001</v>
      </c>
      <c r="DF224">
        <v>18.916599999999999</v>
      </c>
      <c r="DG224">
        <v>30.450099999999999</v>
      </c>
      <c r="DH224">
        <v>16.4343</v>
      </c>
      <c r="DI224">
        <v>2</v>
      </c>
      <c r="DJ224">
        <v>-0.12695699999999999</v>
      </c>
      <c r="DK224">
        <v>2.2715299999999998</v>
      </c>
      <c r="DL224">
        <v>20.2074</v>
      </c>
      <c r="DM224">
        <v>5.2472399999999997</v>
      </c>
      <c r="DN224">
        <v>12.033899999999999</v>
      </c>
      <c r="DO224">
        <v>4.9659599999999999</v>
      </c>
      <c r="DP224">
        <v>3.2909999999999999</v>
      </c>
      <c r="DQ224">
        <v>9999</v>
      </c>
      <c r="DR224">
        <v>9999</v>
      </c>
      <c r="DS224">
        <v>597.5</v>
      </c>
      <c r="DT224">
        <v>9999</v>
      </c>
      <c r="DU224">
        <v>1.8711100000000001</v>
      </c>
      <c r="DV224">
        <v>1.87609</v>
      </c>
      <c r="DW224">
        <v>1.8763700000000001</v>
      </c>
      <c r="DX224">
        <v>1.88279</v>
      </c>
      <c r="DY224">
        <v>1.87561</v>
      </c>
      <c r="DZ224">
        <v>1.8746799999999999</v>
      </c>
      <c r="EA224">
        <v>1.87087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-0.90800000000000003</v>
      </c>
      <c r="EQ224">
        <v>9.64E-2</v>
      </c>
      <c r="ER224">
        <v>-0.90870000000001006</v>
      </c>
      <c r="ES224">
        <v>0</v>
      </c>
      <c r="ET224">
        <v>0</v>
      </c>
      <c r="EU224">
        <v>0</v>
      </c>
      <c r="EV224">
        <v>9.6329999999998306E-2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7.4</v>
      </c>
      <c r="FE224">
        <v>7</v>
      </c>
      <c r="FF224">
        <v>1.2402299999999999</v>
      </c>
      <c r="FG224">
        <v>2.6000999999999999</v>
      </c>
      <c r="FH224">
        <v>2.19604</v>
      </c>
      <c r="FI224">
        <v>2.5744600000000002</v>
      </c>
      <c r="FJ224">
        <v>2.4462899999999999</v>
      </c>
      <c r="FK224">
        <v>2.3059099999999999</v>
      </c>
      <c r="FL224">
        <v>31.608000000000001</v>
      </c>
      <c r="FM224">
        <v>24.148800000000001</v>
      </c>
      <c r="FN224">
        <v>19</v>
      </c>
      <c r="FO224">
        <v>864.83</v>
      </c>
      <c r="FP224">
        <v>579.39400000000001</v>
      </c>
      <c r="FQ224">
        <v>18.143699999999999</v>
      </c>
      <c r="FR224">
        <v>25.398199999999999</v>
      </c>
      <c r="FS224">
        <v>30.000299999999999</v>
      </c>
      <c r="FT224">
        <v>25.357900000000001</v>
      </c>
      <c r="FU224">
        <v>25.359100000000002</v>
      </c>
      <c r="FV224">
        <v>24.892199999999999</v>
      </c>
      <c r="FW224">
        <v>31.558199999999999</v>
      </c>
      <c r="FX224">
        <v>4.6001099999999999</v>
      </c>
      <c r="FY224">
        <v>18.144500000000001</v>
      </c>
      <c r="FZ224">
        <v>410</v>
      </c>
      <c r="GA224">
        <v>13.580399999999999</v>
      </c>
      <c r="GB224">
        <v>99.876400000000004</v>
      </c>
      <c r="GC224">
        <v>99.668800000000005</v>
      </c>
    </row>
    <row r="225" spans="1:185" x14ac:dyDescent="0.2">
      <c r="A225">
        <v>210</v>
      </c>
      <c r="B225">
        <v>1771002871.0999999</v>
      </c>
      <c r="C225">
        <v>4248</v>
      </c>
      <c r="D225" t="s">
        <v>723</v>
      </c>
      <c r="E225" t="s">
        <v>724</v>
      </c>
      <c r="F225">
        <v>15</v>
      </c>
      <c r="G225">
        <v>1771002863.03333</v>
      </c>
      <c r="H225">
        <f t="shared" si="39"/>
        <v>1.3980775446637344E-3</v>
      </c>
      <c r="I225">
        <v>0</v>
      </c>
      <c r="J225">
        <f t="shared" si="51"/>
        <v>1.1231975107730129E-2</v>
      </c>
      <c r="K225">
        <f t="shared" si="40"/>
        <v>0.20084180274775404</v>
      </c>
      <c r="L225">
        <f t="shared" si="41"/>
        <v>69.676243152852862</v>
      </c>
      <c r="M225">
        <f t="shared" si="42"/>
        <v>1.5363782496702607</v>
      </c>
      <c r="N225">
        <f t="shared" si="43"/>
        <v>2.2050245250735143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26335.635953717079</v>
      </c>
      <c r="T225">
        <f t="shared" si="47"/>
        <v>500.00006666666701</v>
      </c>
      <c r="U225">
        <f t="shared" si="48"/>
        <v>421.50037120004197</v>
      </c>
      <c r="V225">
        <f t="shared" si="49"/>
        <v>0.84300062999999936</v>
      </c>
      <c r="W225">
        <f t="shared" si="50"/>
        <v>0.15870144507999989</v>
      </c>
      <c r="X225">
        <v>1</v>
      </c>
      <c r="Y225">
        <v>1771002863.03333</v>
      </c>
      <c r="Z225">
        <v>409.03266666666701</v>
      </c>
      <c r="AA225">
        <v>409.998533333333</v>
      </c>
      <c r="AB225">
        <v>15.2968733333333</v>
      </c>
      <c r="AC225">
        <v>13.576026666666699</v>
      </c>
      <c r="AD225">
        <v>409.941466666667</v>
      </c>
      <c r="AE225">
        <v>15.20054</v>
      </c>
      <c r="AF225">
        <v>800.00813333333303</v>
      </c>
      <c r="AG225">
        <v>100.3734</v>
      </c>
      <c r="AH225">
        <v>6.4004179999999994E-2</v>
      </c>
      <c r="AI225">
        <v>18.9988666666667</v>
      </c>
      <c r="AJ225">
        <v>999.9</v>
      </c>
      <c r="AK225">
        <v>999.9</v>
      </c>
      <c r="AL225">
        <v>0</v>
      </c>
      <c r="AM225">
        <v>0</v>
      </c>
      <c r="AN225">
        <v>5002.5333333333301</v>
      </c>
      <c r="AO225">
        <v>0</v>
      </c>
      <c r="AP225">
        <v>1.7502500000000001</v>
      </c>
      <c r="AQ225">
        <v>-0.96585900000000002</v>
      </c>
      <c r="AR225">
        <v>415.386866666667</v>
      </c>
      <c r="AS225">
        <v>415.64146666666699</v>
      </c>
      <c r="AT225">
        <v>1.7208433333333299</v>
      </c>
      <c r="AU225">
        <v>409.998533333333</v>
      </c>
      <c r="AV225">
        <v>13.576026666666699</v>
      </c>
      <c r="AW225">
        <v>1.5354000000000001</v>
      </c>
      <c r="AX225">
        <v>1.3626733333333301</v>
      </c>
      <c r="AY225">
        <v>13.3253133333333</v>
      </c>
      <c r="AZ225">
        <v>11.508506666666699</v>
      </c>
      <c r="BA225">
        <v>500.00006666666701</v>
      </c>
      <c r="BB225">
        <v>0.89998093333333296</v>
      </c>
      <c r="BC225">
        <v>0</v>
      </c>
      <c r="BD225">
        <v>0.100019133333333</v>
      </c>
      <c r="BE225">
        <v>0</v>
      </c>
      <c r="BF225">
        <v>25</v>
      </c>
      <c r="BG225">
        <v>8244.3493333333299</v>
      </c>
      <c r="BH225">
        <v>1771002434.0999999</v>
      </c>
      <c r="BI225" t="s">
        <v>676</v>
      </c>
      <c r="BJ225">
        <v>1771002412.0999999</v>
      </c>
      <c r="BK225">
        <v>1771002434.0999999</v>
      </c>
      <c r="BL225">
        <v>11</v>
      </c>
      <c r="BM225">
        <v>-2.1999999999999999E-2</v>
      </c>
      <c r="BN225">
        <v>-0.01</v>
      </c>
      <c r="BO225">
        <v>-0.90900000000000003</v>
      </c>
      <c r="BP225">
        <v>9.6000000000000002E-2</v>
      </c>
      <c r="BQ225">
        <v>410</v>
      </c>
      <c r="BR225">
        <v>14</v>
      </c>
      <c r="BS225">
        <v>0.35</v>
      </c>
      <c r="BT225">
        <v>0.16</v>
      </c>
      <c r="BU225">
        <v>-0.96467440000000004</v>
      </c>
      <c r="BV225">
        <v>-7.7673654135339304E-2</v>
      </c>
      <c r="BW225">
        <v>1.8091455506398599E-2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1.719741</v>
      </c>
      <c r="CD225">
        <v>3.2946766917293702E-2</v>
      </c>
      <c r="CE225">
        <v>3.4578185319649101E-3</v>
      </c>
      <c r="CF225">
        <v>1</v>
      </c>
      <c r="CG225">
        <v>2</v>
      </c>
      <c r="CH225">
        <v>2</v>
      </c>
      <c r="CI225" t="s">
        <v>304</v>
      </c>
      <c r="CJ225">
        <v>3.5325199999999999</v>
      </c>
      <c r="CK225">
        <v>2.7019000000000002</v>
      </c>
      <c r="CL225">
        <v>9.8080200000000006E-2</v>
      </c>
      <c r="CM225">
        <v>9.68696E-2</v>
      </c>
      <c r="CN225">
        <v>8.6932700000000002E-2</v>
      </c>
      <c r="CO225">
        <v>7.8736399999999998E-2</v>
      </c>
      <c r="CP225">
        <v>31629.200000000001</v>
      </c>
      <c r="CQ225">
        <v>27793.8</v>
      </c>
      <c r="CR225">
        <v>32457.1</v>
      </c>
      <c r="CS225">
        <v>30701.599999999999</v>
      </c>
      <c r="CT225">
        <v>40125.699999999997</v>
      </c>
      <c r="CU225">
        <v>39775.1</v>
      </c>
      <c r="CV225">
        <v>47397.2</v>
      </c>
      <c r="CW225">
        <v>46817.3</v>
      </c>
      <c r="CX225">
        <v>2.6246200000000002</v>
      </c>
      <c r="CY225">
        <v>2.1358199999999998</v>
      </c>
      <c r="CZ225">
        <v>0</v>
      </c>
      <c r="DA225">
        <v>0</v>
      </c>
      <c r="DB225">
        <v>999.9</v>
      </c>
      <c r="DC225">
        <v>999.9</v>
      </c>
      <c r="DD225">
        <v>53.058</v>
      </c>
      <c r="DE225">
        <v>26.989000000000001</v>
      </c>
      <c r="DF225">
        <v>18.907499999999999</v>
      </c>
      <c r="DG225">
        <v>30.210100000000001</v>
      </c>
      <c r="DH225">
        <v>16.514399999999998</v>
      </c>
      <c r="DI225">
        <v>2</v>
      </c>
      <c r="DJ225">
        <v>-0.12658700000000001</v>
      </c>
      <c r="DK225">
        <v>2.26227</v>
      </c>
      <c r="DL225">
        <v>20.207699999999999</v>
      </c>
      <c r="DM225">
        <v>5.2472399999999997</v>
      </c>
      <c r="DN225">
        <v>12.033899999999999</v>
      </c>
      <c r="DO225">
        <v>4.9659199999999997</v>
      </c>
      <c r="DP225">
        <v>3.2909999999999999</v>
      </c>
      <c r="DQ225">
        <v>9999</v>
      </c>
      <c r="DR225">
        <v>9999</v>
      </c>
      <c r="DS225">
        <v>597.5</v>
      </c>
      <c r="DT225">
        <v>9999</v>
      </c>
      <c r="DU225">
        <v>1.8711</v>
      </c>
      <c r="DV225">
        <v>1.87609</v>
      </c>
      <c r="DW225">
        <v>1.87636</v>
      </c>
      <c r="DX225">
        <v>1.8828</v>
      </c>
      <c r="DY225">
        <v>1.87561</v>
      </c>
      <c r="DZ225">
        <v>1.8746799999999999</v>
      </c>
      <c r="EA225">
        <v>1.87086</v>
      </c>
      <c r="EB225">
        <v>1.8746799999999999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-0.90800000000000003</v>
      </c>
      <c r="EQ225">
        <v>9.6299999999999997E-2</v>
      </c>
      <c r="ER225">
        <v>-0.90870000000001006</v>
      </c>
      <c r="ES225">
        <v>0</v>
      </c>
      <c r="ET225">
        <v>0</v>
      </c>
      <c r="EU225">
        <v>0</v>
      </c>
      <c r="EV225">
        <v>9.6329999999998306E-2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7.7</v>
      </c>
      <c r="FE225">
        <v>7.3</v>
      </c>
      <c r="FF225">
        <v>1.2402299999999999</v>
      </c>
      <c r="FG225">
        <v>2.5939899999999998</v>
      </c>
      <c r="FH225">
        <v>2.19604</v>
      </c>
      <c r="FI225">
        <v>2.5744600000000002</v>
      </c>
      <c r="FJ225">
        <v>2.4462899999999999</v>
      </c>
      <c r="FK225">
        <v>2.2802699999999998</v>
      </c>
      <c r="FL225">
        <v>31.608000000000001</v>
      </c>
      <c r="FM225">
        <v>24.148800000000001</v>
      </c>
      <c r="FN225">
        <v>19</v>
      </c>
      <c r="FO225">
        <v>864.78499999999997</v>
      </c>
      <c r="FP225">
        <v>579.17899999999997</v>
      </c>
      <c r="FQ225">
        <v>18.141400000000001</v>
      </c>
      <c r="FR225">
        <v>25.4038</v>
      </c>
      <c r="FS225">
        <v>30.0002</v>
      </c>
      <c r="FT225">
        <v>25.3643</v>
      </c>
      <c r="FU225">
        <v>25.364599999999999</v>
      </c>
      <c r="FV225">
        <v>24.890899999999998</v>
      </c>
      <c r="FW225">
        <v>31.558199999999999</v>
      </c>
      <c r="FX225">
        <v>4.6001099999999999</v>
      </c>
      <c r="FY225">
        <v>18.143999999999998</v>
      </c>
      <c r="FZ225">
        <v>410</v>
      </c>
      <c r="GA225">
        <v>13.580399999999999</v>
      </c>
      <c r="GB225">
        <v>99.875799999999998</v>
      </c>
      <c r="GC225">
        <v>99.667199999999994</v>
      </c>
    </row>
    <row r="226" spans="1:185" x14ac:dyDescent="0.2">
      <c r="A226">
        <v>211</v>
      </c>
      <c r="B226">
        <v>1771002886.0999999</v>
      </c>
      <c r="C226">
        <v>4263</v>
      </c>
      <c r="D226" t="s">
        <v>725</v>
      </c>
      <c r="E226" t="s">
        <v>726</v>
      </c>
      <c r="F226">
        <v>15</v>
      </c>
      <c r="G226">
        <v>1771002878.03333</v>
      </c>
      <c r="H226">
        <f t="shared" si="39"/>
        <v>1.3959626174090006E-3</v>
      </c>
      <c r="I226">
        <v>0</v>
      </c>
      <c r="J226">
        <f t="shared" si="51"/>
        <v>1.1088914528694434E-2</v>
      </c>
      <c r="K226">
        <f t="shared" si="40"/>
        <v>0.19828370015937738</v>
      </c>
      <c r="L226">
        <f t="shared" si="41"/>
        <v>69.65826753216615</v>
      </c>
      <c r="M226">
        <f t="shared" si="42"/>
        <v>1.5359576008847493</v>
      </c>
      <c r="N226">
        <f t="shared" si="43"/>
        <v>2.2049896664103641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26314.712044177046</v>
      </c>
      <c r="T226">
        <f t="shared" si="47"/>
        <v>499.99979999999999</v>
      </c>
      <c r="U226">
        <f t="shared" si="48"/>
        <v>421.5001153998864</v>
      </c>
      <c r="V226">
        <f t="shared" si="49"/>
        <v>0.84300056800000001</v>
      </c>
      <c r="W226">
        <f t="shared" si="50"/>
        <v>0.15870141999999995</v>
      </c>
      <c r="X226">
        <v>1</v>
      </c>
      <c r="Y226">
        <v>1771002878.03333</v>
      </c>
      <c r="Z226">
        <v>409.03886666666699</v>
      </c>
      <c r="AA226">
        <v>410.00046666666702</v>
      </c>
      <c r="AB226">
        <v>15.2927</v>
      </c>
      <c r="AC226">
        <v>13.574446666666701</v>
      </c>
      <c r="AD226">
        <v>409.94740000000002</v>
      </c>
      <c r="AE226">
        <v>15.1963666666667</v>
      </c>
      <c r="AF226">
        <v>800.006933333333</v>
      </c>
      <c r="AG226">
        <v>100.3732</v>
      </c>
      <c r="AH226">
        <v>6.41067466666667E-2</v>
      </c>
      <c r="AI226">
        <v>18.998613333333299</v>
      </c>
      <c r="AJ226">
        <v>999.9</v>
      </c>
      <c r="AK226">
        <v>999.9</v>
      </c>
      <c r="AL226">
        <v>0</v>
      </c>
      <c r="AM226">
        <v>0</v>
      </c>
      <c r="AN226">
        <v>4999.1000000000004</v>
      </c>
      <c r="AO226">
        <v>0</v>
      </c>
      <c r="AP226">
        <v>1.7502500000000001</v>
      </c>
      <c r="AQ226">
        <v>-0.96183479999999999</v>
      </c>
      <c r="AR226">
        <v>415.39126666666698</v>
      </c>
      <c r="AS226">
        <v>415.64266666666703</v>
      </c>
      <c r="AT226">
        <v>1.7182586666666699</v>
      </c>
      <c r="AU226">
        <v>410.00046666666702</v>
      </c>
      <c r="AV226">
        <v>13.574446666666701</v>
      </c>
      <c r="AW226">
        <v>1.53497666666667</v>
      </c>
      <c r="AX226">
        <v>1.36250933333333</v>
      </c>
      <c r="AY226">
        <v>13.321073333333301</v>
      </c>
      <c r="AZ226">
        <v>11.5067</v>
      </c>
      <c r="BA226">
        <v>499.99979999999999</v>
      </c>
      <c r="BB226">
        <v>0.899981066666667</v>
      </c>
      <c r="BC226">
        <v>0</v>
      </c>
      <c r="BD226">
        <v>0.100018933333333</v>
      </c>
      <c r="BE226">
        <v>0</v>
      </c>
      <c r="BF226">
        <v>24.8888933333333</v>
      </c>
      <c r="BG226">
        <v>8244.3473333333295</v>
      </c>
      <c r="BH226">
        <v>1771002434.0999999</v>
      </c>
      <c r="BI226" t="s">
        <v>676</v>
      </c>
      <c r="BJ226">
        <v>1771002412.0999999</v>
      </c>
      <c r="BK226">
        <v>1771002434.0999999</v>
      </c>
      <c r="BL226">
        <v>11</v>
      </c>
      <c r="BM226">
        <v>-2.1999999999999999E-2</v>
      </c>
      <c r="BN226">
        <v>-0.01</v>
      </c>
      <c r="BO226">
        <v>-0.90900000000000003</v>
      </c>
      <c r="BP226">
        <v>9.6000000000000002E-2</v>
      </c>
      <c r="BQ226">
        <v>410</v>
      </c>
      <c r="BR226">
        <v>14</v>
      </c>
      <c r="BS226">
        <v>0.35</v>
      </c>
      <c r="BT226">
        <v>0.16</v>
      </c>
      <c r="BU226">
        <v>-0.96602090476190505</v>
      </c>
      <c r="BV226">
        <v>9.6993038961038794E-2</v>
      </c>
      <c r="BW226">
        <v>1.64868376213522E-2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1.7199061904761901</v>
      </c>
      <c r="CD226">
        <v>-2.3812207792206001E-2</v>
      </c>
      <c r="CE226">
        <v>3.4362804866259799E-3</v>
      </c>
      <c r="CF226">
        <v>1</v>
      </c>
      <c r="CG226">
        <v>2</v>
      </c>
      <c r="CH226">
        <v>2</v>
      </c>
      <c r="CI226" t="s">
        <v>304</v>
      </c>
      <c r="CJ226">
        <v>3.5325700000000002</v>
      </c>
      <c r="CK226">
        <v>2.7018</v>
      </c>
      <c r="CL226">
        <v>9.8080500000000001E-2</v>
      </c>
      <c r="CM226">
        <v>9.6867099999999998E-2</v>
      </c>
      <c r="CN226">
        <v>8.6876900000000007E-2</v>
      </c>
      <c r="CO226">
        <v>7.8715800000000002E-2</v>
      </c>
      <c r="CP226">
        <v>31629.200000000001</v>
      </c>
      <c r="CQ226">
        <v>27794.1</v>
      </c>
      <c r="CR226">
        <v>32457.200000000001</v>
      </c>
      <c r="CS226">
        <v>30701.9</v>
      </c>
      <c r="CT226">
        <v>40128.5</v>
      </c>
      <c r="CU226">
        <v>39776.1</v>
      </c>
      <c r="CV226">
        <v>47397.5</v>
      </c>
      <c r="CW226">
        <v>46817.5</v>
      </c>
      <c r="CX226">
        <v>2.6244800000000001</v>
      </c>
      <c r="CY226">
        <v>2.1357400000000002</v>
      </c>
      <c r="CZ226">
        <v>0</v>
      </c>
      <c r="DA226">
        <v>0</v>
      </c>
      <c r="DB226">
        <v>999.9</v>
      </c>
      <c r="DC226">
        <v>999.9</v>
      </c>
      <c r="DD226">
        <v>52.984999999999999</v>
      </c>
      <c r="DE226">
        <v>27.018999999999998</v>
      </c>
      <c r="DF226">
        <v>18.914000000000001</v>
      </c>
      <c r="DG226">
        <v>30.3001</v>
      </c>
      <c r="DH226">
        <v>16.418299999999999</v>
      </c>
      <c r="DI226">
        <v>2</v>
      </c>
      <c r="DJ226">
        <v>-0.126083</v>
      </c>
      <c r="DK226">
        <v>2.2414299999999998</v>
      </c>
      <c r="DL226">
        <v>20.207799999999999</v>
      </c>
      <c r="DM226">
        <v>5.2473599999999996</v>
      </c>
      <c r="DN226">
        <v>12.033899999999999</v>
      </c>
      <c r="DO226">
        <v>4.9661600000000004</v>
      </c>
      <c r="DP226">
        <v>3.2909999999999999</v>
      </c>
      <c r="DQ226">
        <v>9999</v>
      </c>
      <c r="DR226">
        <v>9999</v>
      </c>
      <c r="DS226">
        <v>597.5</v>
      </c>
      <c r="DT226">
        <v>9999</v>
      </c>
      <c r="DU226">
        <v>1.8711199999999999</v>
      </c>
      <c r="DV226">
        <v>1.87609</v>
      </c>
      <c r="DW226">
        <v>1.8763700000000001</v>
      </c>
      <c r="DX226">
        <v>1.8828199999999999</v>
      </c>
      <c r="DY226">
        <v>1.87561</v>
      </c>
      <c r="DZ226">
        <v>1.87469</v>
      </c>
      <c r="EA226">
        <v>1.87087</v>
      </c>
      <c r="EB226">
        <v>1.8746799999999999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-0.90900000000000003</v>
      </c>
      <c r="EQ226">
        <v>9.6299999999999997E-2</v>
      </c>
      <c r="ER226">
        <v>-0.90870000000001006</v>
      </c>
      <c r="ES226">
        <v>0</v>
      </c>
      <c r="ET226">
        <v>0</v>
      </c>
      <c r="EU226">
        <v>0</v>
      </c>
      <c r="EV226">
        <v>9.6329999999998306E-2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7.9</v>
      </c>
      <c r="FE226">
        <v>7.5</v>
      </c>
      <c r="FF226">
        <v>1.2402299999999999</v>
      </c>
      <c r="FG226">
        <v>2.5952099999999998</v>
      </c>
      <c r="FH226">
        <v>2.19604</v>
      </c>
      <c r="FI226">
        <v>2.5744600000000002</v>
      </c>
      <c r="FJ226">
        <v>2.4462899999999999</v>
      </c>
      <c r="FK226">
        <v>2.2961399999999998</v>
      </c>
      <c r="FL226">
        <v>31.629799999999999</v>
      </c>
      <c r="FM226">
        <v>24.148800000000001</v>
      </c>
      <c r="FN226">
        <v>19</v>
      </c>
      <c r="FO226">
        <v>864.73699999999997</v>
      </c>
      <c r="FP226">
        <v>579.17899999999997</v>
      </c>
      <c r="FQ226">
        <v>18.145299999999999</v>
      </c>
      <c r="FR226">
        <v>25.408799999999999</v>
      </c>
      <c r="FS226">
        <v>30.0002</v>
      </c>
      <c r="FT226">
        <v>25.369399999999999</v>
      </c>
      <c r="FU226">
        <v>25.370100000000001</v>
      </c>
      <c r="FV226">
        <v>24.8917</v>
      </c>
      <c r="FW226">
        <v>31.558199999999999</v>
      </c>
      <c r="FX226">
        <v>4.2253299999999996</v>
      </c>
      <c r="FY226">
        <v>18.146999999999998</v>
      </c>
      <c r="FZ226">
        <v>410</v>
      </c>
      <c r="GA226">
        <v>13.5806</v>
      </c>
      <c r="GB226">
        <v>99.876300000000001</v>
      </c>
      <c r="GC226">
        <v>99.667699999999996</v>
      </c>
    </row>
    <row r="227" spans="1:185" x14ac:dyDescent="0.2">
      <c r="A227">
        <v>212</v>
      </c>
      <c r="B227">
        <v>1771002901.0999999</v>
      </c>
      <c r="C227">
        <v>4278</v>
      </c>
      <c r="D227" t="s">
        <v>727</v>
      </c>
      <c r="E227" t="s">
        <v>728</v>
      </c>
      <c r="F227">
        <v>15</v>
      </c>
      <c r="G227">
        <v>1771002893.03333</v>
      </c>
      <c r="H227">
        <f t="shared" si="39"/>
        <v>1.3931384172578072E-3</v>
      </c>
      <c r="I227">
        <v>0</v>
      </c>
      <c r="J227">
        <f t="shared" si="51"/>
        <v>1.1279451715019123E-2</v>
      </c>
      <c r="K227">
        <f t="shared" si="40"/>
        <v>0.2016907440341095</v>
      </c>
      <c r="L227">
        <f t="shared" si="41"/>
        <v>69.641339659700492</v>
      </c>
      <c r="M227">
        <f t="shared" si="42"/>
        <v>1.5352668689728846</v>
      </c>
      <c r="N227">
        <f t="shared" si="43"/>
        <v>2.2045337962694318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26297.342647492416</v>
      </c>
      <c r="T227">
        <f t="shared" si="47"/>
        <v>500.00073333333302</v>
      </c>
      <c r="U227">
        <f t="shared" si="48"/>
        <v>421.50097020051601</v>
      </c>
      <c r="V227">
        <f t="shared" si="49"/>
        <v>0.84300070400000005</v>
      </c>
      <c r="W227">
        <f t="shared" si="50"/>
        <v>0.15870176000000003</v>
      </c>
      <c r="X227">
        <v>1</v>
      </c>
      <c r="Y227">
        <v>1771002893.03333</v>
      </c>
      <c r="Z227">
        <v>409.029</v>
      </c>
      <c r="AA227">
        <v>409.99340000000001</v>
      </c>
      <c r="AB227">
        <v>15.28584</v>
      </c>
      <c r="AC227">
        <v>13.5710466666667</v>
      </c>
      <c r="AD227">
        <v>409.93779999999998</v>
      </c>
      <c r="AE227">
        <v>15.1895133333333</v>
      </c>
      <c r="AF227">
        <v>800.00493333333304</v>
      </c>
      <c r="AG227">
        <v>100.373133333333</v>
      </c>
      <c r="AH227">
        <v>6.40601066666667E-2</v>
      </c>
      <c r="AI227">
        <v>18.9953</v>
      </c>
      <c r="AJ227">
        <v>999.9</v>
      </c>
      <c r="AK227">
        <v>999.9</v>
      </c>
      <c r="AL227">
        <v>0</v>
      </c>
      <c r="AM227">
        <v>0</v>
      </c>
      <c r="AN227">
        <v>4996.2</v>
      </c>
      <c r="AO227">
        <v>0</v>
      </c>
      <c r="AP227">
        <v>1.7502500000000001</v>
      </c>
      <c r="AQ227">
        <v>-0.96439419999999998</v>
      </c>
      <c r="AR227">
        <v>415.378533333333</v>
      </c>
      <c r="AS227">
        <v>415.63406666666702</v>
      </c>
      <c r="AT227">
        <v>1.7148013333333301</v>
      </c>
      <c r="AU227">
        <v>409.99340000000001</v>
      </c>
      <c r="AV227">
        <v>13.5710466666667</v>
      </c>
      <c r="AW227">
        <v>1.53428866666667</v>
      </c>
      <c r="AX227">
        <v>1.3621686666666699</v>
      </c>
      <c r="AY227">
        <v>13.314213333333299</v>
      </c>
      <c r="AZ227">
        <v>11.5029066666667</v>
      </c>
      <c r="BA227">
        <v>500.00073333333302</v>
      </c>
      <c r="BB227">
        <v>0.89997653333333305</v>
      </c>
      <c r="BC227">
        <v>0</v>
      </c>
      <c r="BD227">
        <v>0.100023466666667</v>
      </c>
      <c r="BE227">
        <v>0</v>
      </c>
      <c r="BF227">
        <v>24.600020000000001</v>
      </c>
      <c r="BG227">
        <v>8244.35</v>
      </c>
      <c r="BH227">
        <v>1771002434.0999999</v>
      </c>
      <c r="BI227" t="s">
        <v>676</v>
      </c>
      <c r="BJ227">
        <v>1771002412.0999999</v>
      </c>
      <c r="BK227">
        <v>1771002434.0999999</v>
      </c>
      <c r="BL227">
        <v>11</v>
      </c>
      <c r="BM227">
        <v>-2.1999999999999999E-2</v>
      </c>
      <c r="BN227">
        <v>-0.01</v>
      </c>
      <c r="BO227">
        <v>-0.90900000000000003</v>
      </c>
      <c r="BP227">
        <v>9.6000000000000002E-2</v>
      </c>
      <c r="BQ227">
        <v>410</v>
      </c>
      <c r="BR227">
        <v>14</v>
      </c>
      <c r="BS227">
        <v>0.35</v>
      </c>
      <c r="BT227">
        <v>0.16</v>
      </c>
      <c r="BU227">
        <v>-0.96181799999999995</v>
      </c>
      <c r="BV227">
        <v>-9.6239819548873007E-2</v>
      </c>
      <c r="BW227">
        <v>2.1513973763579799E-2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1.7157285</v>
      </c>
      <c r="CD227">
        <v>-4.9186466165415197E-3</v>
      </c>
      <c r="CE227">
        <v>2.9150939521737501E-3</v>
      </c>
      <c r="CF227">
        <v>1</v>
      </c>
      <c r="CG227">
        <v>2</v>
      </c>
      <c r="CH227">
        <v>2</v>
      </c>
      <c r="CI227" t="s">
        <v>304</v>
      </c>
      <c r="CJ227">
        <v>3.5325199999999999</v>
      </c>
      <c r="CK227">
        <v>2.7021000000000002</v>
      </c>
      <c r="CL227">
        <v>9.8083299999999998E-2</v>
      </c>
      <c r="CM227">
        <v>9.6870999999999999E-2</v>
      </c>
      <c r="CN227">
        <v>8.6893999999999999E-2</v>
      </c>
      <c r="CO227">
        <v>7.8723000000000001E-2</v>
      </c>
      <c r="CP227">
        <v>31629.7</v>
      </c>
      <c r="CQ227">
        <v>27793.7</v>
      </c>
      <c r="CR227">
        <v>32457.7</v>
      </c>
      <c r="CS227">
        <v>30701.599999999999</v>
      </c>
      <c r="CT227">
        <v>40128.1</v>
      </c>
      <c r="CU227">
        <v>39776</v>
      </c>
      <c r="CV227">
        <v>47397.9</v>
      </c>
      <c r="CW227">
        <v>46817.7</v>
      </c>
      <c r="CX227">
        <v>2.6245599999999998</v>
      </c>
      <c r="CY227">
        <v>2.1355400000000002</v>
      </c>
      <c r="CZ227">
        <v>0</v>
      </c>
      <c r="DA227">
        <v>0</v>
      </c>
      <c r="DB227">
        <v>999.9</v>
      </c>
      <c r="DC227">
        <v>999.9</v>
      </c>
      <c r="DD227">
        <v>52.960999999999999</v>
      </c>
      <c r="DE227">
        <v>27.018999999999998</v>
      </c>
      <c r="DF227">
        <v>18.9072</v>
      </c>
      <c r="DG227">
        <v>30.4801</v>
      </c>
      <c r="DH227">
        <v>16.538499999999999</v>
      </c>
      <c r="DI227">
        <v>2</v>
      </c>
      <c r="DJ227">
        <v>-0.126083</v>
      </c>
      <c r="DK227">
        <v>2.21069</v>
      </c>
      <c r="DL227">
        <v>20.208400000000001</v>
      </c>
      <c r="DM227">
        <v>5.2471199999999998</v>
      </c>
      <c r="DN227">
        <v>12.033899999999999</v>
      </c>
      <c r="DO227">
        <v>4.9664799999999998</v>
      </c>
      <c r="DP227">
        <v>3.2909999999999999</v>
      </c>
      <c r="DQ227">
        <v>9999</v>
      </c>
      <c r="DR227">
        <v>9999</v>
      </c>
      <c r="DS227">
        <v>597.5</v>
      </c>
      <c r="DT227">
        <v>9999</v>
      </c>
      <c r="DU227">
        <v>1.8710899999999999</v>
      </c>
      <c r="DV227">
        <v>1.87609</v>
      </c>
      <c r="DW227">
        <v>1.87635</v>
      </c>
      <c r="DX227">
        <v>1.8828</v>
      </c>
      <c r="DY227">
        <v>1.8755999999999999</v>
      </c>
      <c r="DZ227">
        <v>1.8746799999999999</v>
      </c>
      <c r="EA227">
        <v>1.8708499999999999</v>
      </c>
      <c r="EB227">
        <v>1.8746799999999999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-0.90900000000000003</v>
      </c>
      <c r="EQ227">
        <v>9.6299999999999997E-2</v>
      </c>
      <c r="ER227">
        <v>-0.90870000000001006</v>
      </c>
      <c r="ES227">
        <v>0</v>
      </c>
      <c r="ET227">
        <v>0</v>
      </c>
      <c r="EU227">
        <v>0</v>
      </c>
      <c r="EV227">
        <v>9.6329999999998306E-2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8.1999999999999993</v>
      </c>
      <c r="FE227">
        <v>7.8</v>
      </c>
      <c r="FF227">
        <v>1.2402299999999999</v>
      </c>
      <c r="FG227">
        <v>2.5878899999999998</v>
      </c>
      <c r="FH227">
        <v>2.19604</v>
      </c>
      <c r="FI227">
        <v>2.5744600000000002</v>
      </c>
      <c r="FJ227">
        <v>2.4462899999999999</v>
      </c>
      <c r="FK227">
        <v>2.2827099999999998</v>
      </c>
      <c r="FL227">
        <v>31.629799999999999</v>
      </c>
      <c r="FM227">
        <v>24.148800000000001</v>
      </c>
      <c r="FN227">
        <v>19</v>
      </c>
      <c r="FO227">
        <v>864.88</v>
      </c>
      <c r="FP227">
        <v>579.07399999999996</v>
      </c>
      <c r="FQ227">
        <v>18.151800000000001</v>
      </c>
      <c r="FR227">
        <v>25.4115</v>
      </c>
      <c r="FS227">
        <v>30.0001</v>
      </c>
      <c r="FT227">
        <v>25.373699999999999</v>
      </c>
      <c r="FU227">
        <v>25.374400000000001</v>
      </c>
      <c r="FV227">
        <v>24.892700000000001</v>
      </c>
      <c r="FW227">
        <v>31.558199999999999</v>
      </c>
      <c r="FX227">
        <v>3.8542800000000002</v>
      </c>
      <c r="FY227">
        <v>18.156400000000001</v>
      </c>
      <c r="FZ227">
        <v>410</v>
      </c>
      <c r="GA227">
        <v>13.5815</v>
      </c>
      <c r="GB227">
        <v>99.877499999999998</v>
      </c>
      <c r="GC227">
        <v>99.667599999999993</v>
      </c>
    </row>
    <row r="228" spans="1:185" x14ac:dyDescent="0.2">
      <c r="A228">
        <v>213</v>
      </c>
      <c r="B228">
        <v>1771002916.0999999</v>
      </c>
      <c r="C228">
        <v>4293</v>
      </c>
      <c r="D228" t="s">
        <v>729</v>
      </c>
      <c r="E228" t="s">
        <v>730</v>
      </c>
      <c r="F228">
        <v>15</v>
      </c>
      <c r="G228">
        <v>1771002908.03333</v>
      </c>
      <c r="H228">
        <f t="shared" si="39"/>
        <v>1.3960179133860324E-3</v>
      </c>
      <c r="I228">
        <v>0</v>
      </c>
      <c r="J228">
        <f t="shared" si="51"/>
        <v>1.037444020610909E-2</v>
      </c>
      <c r="K228">
        <f t="shared" si="40"/>
        <v>0.18550800313470511</v>
      </c>
      <c r="L228">
        <f t="shared" si="41"/>
        <v>69.640046745619372</v>
      </c>
      <c r="M228">
        <f t="shared" si="42"/>
        <v>1.535182160572256</v>
      </c>
      <c r="N228">
        <f t="shared" si="43"/>
        <v>2.2044530874310833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26316.333171919639</v>
      </c>
      <c r="T228">
        <f t="shared" si="47"/>
        <v>500.000133333333</v>
      </c>
      <c r="U228">
        <f t="shared" si="48"/>
        <v>421.50041240007971</v>
      </c>
      <c r="V228">
        <f t="shared" si="49"/>
        <v>0.84300059999999999</v>
      </c>
      <c r="W228">
        <f t="shared" si="50"/>
        <v>0.1587015</v>
      </c>
      <c r="X228">
        <v>1</v>
      </c>
      <c r="Y228">
        <v>1771002908.03333</v>
      </c>
      <c r="Z228">
        <v>409.04599999999999</v>
      </c>
      <c r="AA228">
        <v>409.99166666666702</v>
      </c>
      <c r="AB228">
        <v>15.28492</v>
      </c>
      <c r="AC228">
        <v>13.5665933333333</v>
      </c>
      <c r="AD228">
        <v>409.95460000000003</v>
      </c>
      <c r="AE228">
        <v>15.188560000000001</v>
      </c>
      <c r="AF228">
        <v>800.01080000000002</v>
      </c>
      <c r="AG228">
        <v>100.3734</v>
      </c>
      <c r="AH228">
        <v>6.4296800000000001E-2</v>
      </c>
      <c r="AI228">
        <v>18.994713333333301</v>
      </c>
      <c r="AJ228">
        <v>999.9</v>
      </c>
      <c r="AK228">
        <v>999.9</v>
      </c>
      <c r="AL228">
        <v>0</v>
      </c>
      <c r="AM228">
        <v>0</v>
      </c>
      <c r="AN228">
        <v>4999.3</v>
      </c>
      <c r="AO228">
        <v>0</v>
      </c>
      <c r="AP228">
        <v>1.7502500000000001</v>
      </c>
      <c r="AQ228">
        <v>-0.94566439999999996</v>
      </c>
      <c r="AR228">
        <v>415.395266666667</v>
      </c>
      <c r="AS228">
        <v>415.63026666666701</v>
      </c>
      <c r="AT228">
        <v>1.71831333333333</v>
      </c>
      <c r="AU228">
        <v>409.99166666666702</v>
      </c>
      <c r="AV228">
        <v>13.5665933333333</v>
      </c>
      <c r="AW228">
        <v>1.534198</v>
      </c>
      <c r="AX228">
        <v>1.3617253333333299</v>
      </c>
      <c r="AY228">
        <v>13.313306666666699</v>
      </c>
      <c r="AZ228">
        <v>11.4979866666667</v>
      </c>
      <c r="BA228">
        <v>500.000133333333</v>
      </c>
      <c r="BB228">
        <v>0.89998</v>
      </c>
      <c r="BC228">
        <v>0</v>
      </c>
      <c r="BD228">
        <v>0.10002</v>
      </c>
      <c r="BE228">
        <v>0</v>
      </c>
      <c r="BF228">
        <v>24.017773333333299</v>
      </c>
      <c r="BG228">
        <v>8244.3453333333291</v>
      </c>
      <c r="BH228">
        <v>1771002434.0999999</v>
      </c>
      <c r="BI228" t="s">
        <v>676</v>
      </c>
      <c r="BJ228">
        <v>1771002412.0999999</v>
      </c>
      <c r="BK228">
        <v>1771002434.0999999</v>
      </c>
      <c r="BL228">
        <v>11</v>
      </c>
      <c r="BM228">
        <v>-2.1999999999999999E-2</v>
      </c>
      <c r="BN228">
        <v>-0.01</v>
      </c>
      <c r="BO228">
        <v>-0.90900000000000003</v>
      </c>
      <c r="BP228">
        <v>9.6000000000000002E-2</v>
      </c>
      <c r="BQ228">
        <v>410</v>
      </c>
      <c r="BR228">
        <v>14</v>
      </c>
      <c r="BS228">
        <v>0.35</v>
      </c>
      <c r="BT228">
        <v>0.16</v>
      </c>
      <c r="BU228">
        <v>-0.95327014285714295</v>
      </c>
      <c r="BV228">
        <v>2.1016753246753901E-2</v>
      </c>
      <c r="BW228">
        <v>2.9314460238503998E-2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1.71806666666667</v>
      </c>
      <c r="CD228">
        <v>6.4309090909097696E-3</v>
      </c>
      <c r="CE228">
        <v>2.4090886111780801E-3</v>
      </c>
      <c r="CF228">
        <v>1</v>
      </c>
      <c r="CG228">
        <v>2</v>
      </c>
      <c r="CH228">
        <v>2</v>
      </c>
      <c r="CI228" t="s">
        <v>304</v>
      </c>
      <c r="CJ228">
        <v>3.5325199999999999</v>
      </c>
      <c r="CK228">
        <v>2.70208</v>
      </c>
      <c r="CL228">
        <v>9.8076899999999995E-2</v>
      </c>
      <c r="CM228">
        <v>9.6868800000000005E-2</v>
      </c>
      <c r="CN228">
        <v>8.6873500000000006E-2</v>
      </c>
      <c r="CO228">
        <v>7.8699400000000003E-2</v>
      </c>
      <c r="CP228">
        <v>31629.3</v>
      </c>
      <c r="CQ228">
        <v>27794.400000000001</v>
      </c>
      <c r="CR228">
        <v>32457.1</v>
      </c>
      <c r="CS228">
        <v>30702.400000000001</v>
      </c>
      <c r="CT228">
        <v>40128.6</v>
      </c>
      <c r="CU228">
        <v>39777.800000000003</v>
      </c>
      <c r="CV228">
        <v>47397.5</v>
      </c>
      <c r="CW228">
        <v>46818.6</v>
      </c>
      <c r="CX228">
        <v>2.6244200000000002</v>
      </c>
      <c r="CY228">
        <v>2.1354799999999998</v>
      </c>
      <c r="CZ228">
        <v>0</v>
      </c>
      <c r="DA228">
        <v>0</v>
      </c>
      <c r="DB228">
        <v>999.9</v>
      </c>
      <c r="DC228">
        <v>999.9</v>
      </c>
      <c r="DD228">
        <v>52.911999999999999</v>
      </c>
      <c r="DE228">
        <v>27.018999999999998</v>
      </c>
      <c r="DF228">
        <v>18.888500000000001</v>
      </c>
      <c r="DG228">
        <v>30.420100000000001</v>
      </c>
      <c r="DH228">
        <v>16.410299999999999</v>
      </c>
      <c r="DI228">
        <v>2</v>
      </c>
      <c r="DJ228">
        <v>-0.12628700000000001</v>
      </c>
      <c r="DK228">
        <v>2.1823399999999999</v>
      </c>
      <c r="DL228">
        <v>20.207599999999999</v>
      </c>
      <c r="DM228">
        <v>5.2472399999999997</v>
      </c>
      <c r="DN228">
        <v>12.033899999999999</v>
      </c>
      <c r="DO228">
        <v>4.9667199999999996</v>
      </c>
      <c r="DP228">
        <v>3.2909999999999999</v>
      </c>
      <c r="DQ228">
        <v>9999</v>
      </c>
      <c r="DR228">
        <v>9999</v>
      </c>
      <c r="DS228">
        <v>597.5</v>
      </c>
      <c r="DT228">
        <v>9999</v>
      </c>
      <c r="DU228">
        <v>1.87107</v>
      </c>
      <c r="DV228">
        <v>1.87608</v>
      </c>
      <c r="DW228">
        <v>1.8763399999999999</v>
      </c>
      <c r="DX228">
        <v>1.8827799999999999</v>
      </c>
      <c r="DY228">
        <v>1.8755999999999999</v>
      </c>
      <c r="DZ228">
        <v>1.8746400000000001</v>
      </c>
      <c r="EA228">
        <v>1.8708499999999999</v>
      </c>
      <c r="EB228">
        <v>1.8746700000000001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-0.90900000000000003</v>
      </c>
      <c r="EQ228">
        <v>9.64E-2</v>
      </c>
      <c r="ER228">
        <v>-0.90870000000001006</v>
      </c>
      <c r="ES228">
        <v>0</v>
      </c>
      <c r="ET228">
        <v>0</v>
      </c>
      <c r="EU228">
        <v>0</v>
      </c>
      <c r="EV228">
        <v>9.6329999999998306E-2</v>
      </c>
      <c r="EW228">
        <v>0</v>
      </c>
      <c r="EX228">
        <v>0</v>
      </c>
      <c r="EY228">
        <v>0</v>
      </c>
      <c r="EZ228">
        <v>-1</v>
      </c>
      <c r="FA228">
        <v>-1</v>
      </c>
      <c r="FB228">
        <v>-1</v>
      </c>
      <c r="FC228">
        <v>-1</v>
      </c>
      <c r="FD228">
        <v>8.4</v>
      </c>
      <c r="FE228">
        <v>8</v>
      </c>
      <c r="FF228">
        <v>1.2402299999999999</v>
      </c>
      <c r="FG228">
        <v>2.5952099999999998</v>
      </c>
      <c r="FH228">
        <v>2.19604</v>
      </c>
      <c r="FI228">
        <v>2.5744600000000002</v>
      </c>
      <c r="FJ228">
        <v>2.4462899999999999</v>
      </c>
      <c r="FK228">
        <v>2.2863799999999999</v>
      </c>
      <c r="FL228">
        <v>31.629799999999999</v>
      </c>
      <c r="FM228">
        <v>24.148800000000001</v>
      </c>
      <c r="FN228">
        <v>19</v>
      </c>
      <c r="FO228">
        <v>864.81799999999998</v>
      </c>
      <c r="FP228">
        <v>579.05700000000002</v>
      </c>
      <c r="FQ228">
        <v>18.163900000000002</v>
      </c>
      <c r="FR228">
        <v>25.4131</v>
      </c>
      <c r="FS228">
        <v>30.0001</v>
      </c>
      <c r="FT228">
        <v>25.3779</v>
      </c>
      <c r="FU228">
        <v>25.376899999999999</v>
      </c>
      <c r="FV228">
        <v>24.893699999999999</v>
      </c>
      <c r="FW228">
        <v>31.558199999999999</v>
      </c>
      <c r="FX228">
        <v>3.8542800000000002</v>
      </c>
      <c r="FY228">
        <v>18.1677</v>
      </c>
      <c r="FZ228">
        <v>410</v>
      </c>
      <c r="GA228">
        <v>13.5853</v>
      </c>
      <c r="GB228">
        <v>99.876099999999994</v>
      </c>
      <c r="GC228">
        <v>99.669700000000006</v>
      </c>
    </row>
    <row r="229" spans="1:185" x14ac:dyDescent="0.2">
      <c r="A229">
        <v>214</v>
      </c>
      <c r="B229">
        <v>1771002931.0999999</v>
      </c>
      <c r="C229">
        <v>4308</v>
      </c>
      <c r="D229" t="s">
        <v>731</v>
      </c>
      <c r="E229" t="s">
        <v>732</v>
      </c>
      <c r="F229">
        <v>15</v>
      </c>
      <c r="G229">
        <v>1771002923.03333</v>
      </c>
      <c r="H229">
        <f t="shared" si="39"/>
        <v>1.3948726988096463E-3</v>
      </c>
      <c r="I229">
        <v>0</v>
      </c>
      <c r="J229">
        <f t="shared" si="51"/>
        <v>1.0041819537034036E-2</v>
      </c>
      <c r="K229">
        <f t="shared" si="40"/>
        <v>0.17956032837871125</v>
      </c>
      <c r="L229">
        <f t="shared" si="41"/>
        <v>69.640686481455305</v>
      </c>
      <c r="M229">
        <f t="shared" si="42"/>
        <v>1.5350436214519874</v>
      </c>
      <c r="N229">
        <f t="shared" si="43"/>
        <v>2.2042339026350004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26387.220730476045</v>
      </c>
      <c r="T229">
        <f t="shared" si="47"/>
        <v>500.00166666666701</v>
      </c>
      <c r="U229">
        <f t="shared" si="48"/>
        <v>421.5018330014268</v>
      </c>
      <c r="V229">
        <f t="shared" si="49"/>
        <v>0.84300085599999974</v>
      </c>
      <c r="W229">
        <f t="shared" si="50"/>
        <v>0.15870188015999995</v>
      </c>
      <c r="X229">
        <v>1</v>
      </c>
      <c r="Y229">
        <v>1771002923.03333</v>
      </c>
      <c r="Z229">
        <v>409.05946666666699</v>
      </c>
      <c r="AA229">
        <v>409.99713333333301</v>
      </c>
      <c r="AB229">
        <v>15.283440000000001</v>
      </c>
      <c r="AC229">
        <v>13.5665266666667</v>
      </c>
      <c r="AD229">
        <v>409.96826666666698</v>
      </c>
      <c r="AE229">
        <v>15.187113333333301</v>
      </c>
      <c r="AF229">
        <v>800.01373333333299</v>
      </c>
      <c r="AG229">
        <v>100.374</v>
      </c>
      <c r="AH229">
        <v>6.4358213333333303E-2</v>
      </c>
      <c r="AI229">
        <v>18.993120000000001</v>
      </c>
      <c r="AJ229">
        <v>999.9</v>
      </c>
      <c r="AK229">
        <v>999.9</v>
      </c>
      <c r="AL229">
        <v>0</v>
      </c>
      <c r="AM229">
        <v>0</v>
      </c>
      <c r="AN229">
        <v>5010.8999999999996</v>
      </c>
      <c r="AO229">
        <v>0</v>
      </c>
      <c r="AP229">
        <v>1.7502500000000001</v>
      </c>
      <c r="AQ229">
        <v>-0.93751226666666698</v>
      </c>
      <c r="AR229">
        <v>415.40833333333302</v>
      </c>
      <c r="AS229">
        <v>415.63573333333301</v>
      </c>
      <c r="AT229">
        <v>1.71690066666667</v>
      </c>
      <c r="AU229">
        <v>409.99713333333301</v>
      </c>
      <c r="AV229">
        <v>13.5665266666667</v>
      </c>
      <c r="AW229">
        <v>1.534062</v>
      </c>
      <c r="AX229">
        <v>1.361728</v>
      </c>
      <c r="AY229">
        <v>13.31194</v>
      </c>
      <c r="AZ229">
        <v>11.4980333333333</v>
      </c>
      <c r="BA229">
        <v>500.00166666666701</v>
      </c>
      <c r="BB229">
        <v>0.89997533333333302</v>
      </c>
      <c r="BC229">
        <v>0</v>
      </c>
      <c r="BD229">
        <v>0.1000248</v>
      </c>
      <c r="BE229">
        <v>0</v>
      </c>
      <c r="BF229">
        <v>24</v>
      </c>
      <c r="BG229">
        <v>8244.3593333333301</v>
      </c>
      <c r="BH229">
        <v>1771002434.0999999</v>
      </c>
      <c r="BI229" t="s">
        <v>676</v>
      </c>
      <c r="BJ229">
        <v>1771002412.0999999</v>
      </c>
      <c r="BK229">
        <v>1771002434.0999999</v>
      </c>
      <c r="BL229">
        <v>11</v>
      </c>
      <c r="BM229">
        <v>-2.1999999999999999E-2</v>
      </c>
      <c r="BN229">
        <v>-0.01</v>
      </c>
      <c r="BO229">
        <v>-0.90900000000000003</v>
      </c>
      <c r="BP229">
        <v>9.6000000000000002E-2</v>
      </c>
      <c r="BQ229">
        <v>410</v>
      </c>
      <c r="BR229">
        <v>14</v>
      </c>
      <c r="BS229">
        <v>0.35</v>
      </c>
      <c r="BT229">
        <v>0.16</v>
      </c>
      <c r="BU229">
        <v>-0.94339910000000005</v>
      </c>
      <c r="BV229">
        <v>0.11361618045112599</v>
      </c>
      <c r="BW229">
        <v>1.3877626396109699E-2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1.7177709999999999</v>
      </c>
      <c r="CD229">
        <v>-1.09642105263126E-2</v>
      </c>
      <c r="CE229">
        <v>2.0596307921566899E-3</v>
      </c>
      <c r="CF229">
        <v>1</v>
      </c>
      <c r="CG229">
        <v>2</v>
      </c>
      <c r="CH229">
        <v>2</v>
      </c>
      <c r="CI229" t="s">
        <v>304</v>
      </c>
      <c r="CJ229">
        <v>3.5325199999999999</v>
      </c>
      <c r="CK229">
        <v>2.7022900000000001</v>
      </c>
      <c r="CL229">
        <v>9.8086099999999996E-2</v>
      </c>
      <c r="CM229">
        <v>9.6868999999999997E-2</v>
      </c>
      <c r="CN229">
        <v>8.6829299999999998E-2</v>
      </c>
      <c r="CO229">
        <v>7.8684799999999999E-2</v>
      </c>
      <c r="CP229">
        <v>31629.1</v>
      </c>
      <c r="CQ229">
        <v>27794.9</v>
      </c>
      <c r="CR229">
        <v>32457.3</v>
      </c>
      <c r="CS229">
        <v>30702.9</v>
      </c>
      <c r="CT229">
        <v>40130.800000000003</v>
      </c>
      <c r="CU229">
        <v>39779</v>
      </c>
      <c r="CV229">
        <v>47397.599999999999</v>
      </c>
      <c r="CW229">
        <v>46819.199999999997</v>
      </c>
      <c r="CX229">
        <v>2.6242999999999999</v>
      </c>
      <c r="CY229">
        <v>2.1353399999999998</v>
      </c>
      <c r="CZ229">
        <v>0</v>
      </c>
      <c r="DA229">
        <v>0</v>
      </c>
      <c r="DB229">
        <v>999.9</v>
      </c>
      <c r="DC229">
        <v>999.9</v>
      </c>
      <c r="DD229">
        <v>52.863</v>
      </c>
      <c r="DE229">
        <v>27.029</v>
      </c>
      <c r="DF229">
        <v>18.8797</v>
      </c>
      <c r="DG229">
        <v>30.420100000000001</v>
      </c>
      <c r="DH229">
        <v>16.586500000000001</v>
      </c>
      <c r="DI229">
        <v>2</v>
      </c>
      <c r="DJ229">
        <v>-0.126138</v>
      </c>
      <c r="DK229">
        <v>2.15062</v>
      </c>
      <c r="DL229">
        <v>20.209199999999999</v>
      </c>
      <c r="DM229">
        <v>5.2472399999999997</v>
      </c>
      <c r="DN229">
        <v>12.033899999999999</v>
      </c>
      <c r="DO229">
        <v>4.9669999999999996</v>
      </c>
      <c r="DP229">
        <v>3.2909999999999999</v>
      </c>
      <c r="DQ229">
        <v>9999</v>
      </c>
      <c r="DR229">
        <v>9999</v>
      </c>
      <c r="DS229">
        <v>597.5</v>
      </c>
      <c r="DT229">
        <v>9999</v>
      </c>
      <c r="DU229">
        <v>1.8710899999999999</v>
      </c>
      <c r="DV229">
        <v>1.87608</v>
      </c>
      <c r="DW229">
        <v>1.87635</v>
      </c>
      <c r="DX229">
        <v>1.8827799999999999</v>
      </c>
      <c r="DY229">
        <v>1.8755900000000001</v>
      </c>
      <c r="DZ229">
        <v>1.87462</v>
      </c>
      <c r="EA229">
        <v>1.8708</v>
      </c>
      <c r="EB229">
        <v>1.87466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-0.90900000000000003</v>
      </c>
      <c r="EQ229">
        <v>9.6299999999999997E-2</v>
      </c>
      <c r="ER229">
        <v>-0.90870000000001006</v>
      </c>
      <c r="ES229">
        <v>0</v>
      </c>
      <c r="ET229">
        <v>0</v>
      </c>
      <c r="EU229">
        <v>0</v>
      </c>
      <c r="EV229">
        <v>9.6329999999998306E-2</v>
      </c>
      <c r="EW229">
        <v>0</v>
      </c>
      <c r="EX229">
        <v>0</v>
      </c>
      <c r="EY229">
        <v>0</v>
      </c>
      <c r="EZ229">
        <v>-1</v>
      </c>
      <c r="FA229">
        <v>-1</v>
      </c>
      <c r="FB229">
        <v>-1</v>
      </c>
      <c r="FC229">
        <v>-1</v>
      </c>
      <c r="FD229">
        <v>8.6999999999999993</v>
      </c>
      <c r="FE229">
        <v>8.3000000000000007</v>
      </c>
      <c r="FF229">
        <v>1.2402299999999999</v>
      </c>
      <c r="FG229">
        <v>2.5891099999999998</v>
      </c>
      <c r="FH229">
        <v>2.19604</v>
      </c>
      <c r="FI229">
        <v>2.5744600000000002</v>
      </c>
      <c r="FJ229">
        <v>2.4462899999999999</v>
      </c>
      <c r="FK229">
        <v>2.3034699999999999</v>
      </c>
      <c r="FL229">
        <v>31.651700000000002</v>
      </c>
      <c r="FM229">
        <v>24.14</v>
      </c>
      <c r="FN229">
        <v>19</v>
      </c>
      <c r="FO229">
        <v>864.74099999999999</v>
      </c>
      <c r="FP229">
        <v>578.97299999999996</v>
      </c>
      <c r="FQ229">
        <v>18.1754</v>
      </c>
      <c r="FR229">
        <v>25.415199999999999</v>
      </c>
      <c r="FS229">
        <v>30</v>
      </c>
      <c r="FT229">
        <v>25.38</v>
      </c>
      <c r="FU229">
        <v>25.379100000000001</v>
      </c>
      <c r="FV229">
        <v>24.894600000000001</v>
      </c>
      <c r="FW229">
        <v>31.558199999999999</v>
      </c>
      <c r="FX229">
        <v>3.4758599999999999</v>
      </c>
      <c r="FY229">
        <v>18.181699999999999</v>
      </c>
      <c r="FZ229">
        <v>410</v>
      </c>
      <c r="GA229">
        <v>13.5992</v>
      </c>
      <c r="GB229">
        <v>99.876599999999996</v>
      </c>
      <c r="GC229">
        <v>99.671300000000002</v>
      </c>
    </row>
    <row r="230" spans="1:185" x14ac:dyDescent="0.2">
      <c r="A230">
        <v>215</v>
      </c>
      <c r="B230">
        <v>1771002946.0999999</v>
      </c>
      <c r="C230">
        <v>4323</v>
      </c>
      <c r="D230" t="s">
        <v>733</v>
      </c>
      <c r="E230" t="s">
        <v>734</v>
      </c>
      <c r="F230">
        <v>15</v>
      </c>
      <c r="G230">
        <v>1771002938.03333</v>
      </c>
      <c r="H230">
        <f t="shared" si="39"/>
        <v>1.3905353935774643E-3</v>
      </c>
      <c r="I230">
        <v>0</v>
      </c>
      <c r="J230">
        <f t="shared" si="51"/>
        <v>1.114409653730352E-2</v>
      </c>
      <c r="K230">
        <f t="shared" si="40"/>
        <v>0.1992704236859158</v>
      </c>
      <c r="L230">
        <f t="shared" si="41"/>
        <v>69.60626735042085</v>
      </c>
      <c r="M230">
        <f t="shared" si="42"/>
        <v>1.5342881349252735</v>
      </c>
      <c r="N230">
        <f t="shared" si="43"/>
        <v>2.2042384878952959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26242.762585728586</v>
      </c>
      <c r="T230">
        <f t="shared" si="47"/>
        <v>499.99939999999998</v>
      </c>
      <c r="U230">
        <f t="shared" si="48"/>
        <v>421.49995719944451</v>
      </c>
      <c r="V230">
        <f t="shared" si="49"/>
        <v>0.84300092600000021</v>
      </c>
      <c r="W230">
        <f t="shared" si="50"/>
        <v>0.15870218508000006</v>
      </c>
      <c r="X230">
        <v>1</v>
      </c>
      <c r="Y230">
        <v>1771002938.03333</v>
      </c>
      <c r="Z230">
        <v>409.04693333333302</v>
      </c>
      <c r="AA230">
        <v>410.00700000000001</v>
      </c>
      <c r="AB230">
        <v>15.2750733333333</v>
      </c>
      <c r="AC230">
        <v>13.56348</v>
      </c>
      <c r="AD230">
        <v>409.95566666666701</v>
      </c>
      <c r="AE230">
        <v>15.178739999999999</v>
      </c>
      <c r="AF230">
        <v>800.01179999999999</v>
      </c>
      <c r="AG230">
        <v>100.3794</v>
      </c>
      <c r="AH230">
        <v>6.4512866666666696E-2</v>
      </c>
      <c r="AI230">
        <v>18.9931533333333</v>
      </c>
      <c r="AJ230">
        <v>999.9</v>
      </c>
      <c r="AK230">
        <v>999.9</v>
      </c>
      <c r="AL230">
        <v>0</v>
      </c>
      <c r="AM230">
        <v>0</v>
      </c>
      <c r="AN230">
        <v>4986.9333333333298</v>
      </c>
      <c r="AO230">
        <v>0</v>
      </c>
      <c r="AP230">
        <v>1.7502500000000001</v>
      </c>
      <c r="AQ230">
        <v>-0.96011559999999996</v>
      </c>
      <c r="AR230">
        <v>415.39206666666701</v>
      </c>
      <c r="AS230">
        <v>415.64473333333302</v>
      </c>
      <c r="AT230">
        <v>1.71159666666667</v>
      </c>
      <c r="AU230">
        <v>410.00700000000001</v>
      </c>
      <c r="AV230">
        <v>13.56348</v>
      </c>
      <c r="AW230">
        <v>1.5333033333333299</v>
      </c>
      <c r="AX230">
        <v>1.3614933333333299</v>
      </c>
      <c r="AY230">
        <v>13.304346666666699</v>
      </c>
      <c r="AZ230">
        <v>11.4954133333333</v>
      </c>
      <c r="BA230">
        <v>499.99939999999998</v>
      </c>
      <c r="BB230">
        <v>0.89997106666666704</v>
      </c>
      <c r="BC230">
        <v>0</v>
      </c>
      <c r="BD230">
        <v>0.10002900000000001</v>
      </c>
      <c r="BE230">
        <v>0</v>
      </c>
      <c r="BF230">
        <v>24</v>
      </c>
      <c r="BG230">
        <v>8244.3086666666695</v>
      </c>
      <c r="BH230">
        <v>1771002434.0999999</v>
      </c>
      <c r="BI230" t="s">
        <v>676</v>
      </c>
      <c r="BJ230">
        <v>1771002412.0999999</v>
      </c>
      <c r="BK230">
        <v>1771002434.0999999</v>
      </c>
      <c r="BL230">
        <v>11</v>
      </c>
      <c r="BM230">
        <v>-2.1999999999999999E-2</v>
      </c>
      <c r="BN230">
        <v>-0.01</v>
      </c>
      <c r="BO230">
        <v>-0.90900000000000003</v>
      </c>
      <c r="BP230">
        <v>9.6000000000000002E-2</v>
      </c>
      <c r="BQ230">
        <v>410</v>
      </c>
      <c r="BR230">
        <v>14</v>
      </c>
      <c r="BS230">
        <v>0.35</v>
      </c>
      <c r="BT230">
        <v>0.16</v>
      </c>
      <c r="BU230">
        <v>-0.95091033333333297</v>
      </c>
      <c r="BV230">
        <v>-0.206865740259741</v>
      </c>
      <c r="BW230">
        <v>2.3763983677452399E-2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1.71307285714286</v>
      </c>
      <c r="CD230">
        <v>-1.5353766233768201E-2</v>
      </c>
      <c r="CE230">
        <v>3.1212072494273099E-3</v>
      </c>
      <c r="CF230">
        <v>1</v>
      </c>
      <c r="CG230">
        <v>2</v>
      </c>
      <c r="CH230">
        <v>2</v>
      </c>
      <c r="CI230" t="s">
        <v>304</v>
      </c>
      <c r="CJ230">
        <v>3.53254</v>
      </c>
      <c r="CK230">
        <v>2.7022599999999999</v>
      </c>
      <c r="CL230">
        <v>9.8076399999999994E-2</v>
      </c>
      <c r="CM230">
        <v>9.6870700000000004E-2</v>
      </c>
      <c r="CN230">
        <v>8.6836099999999999E-2</v>
      </c>
      <c r="CO230">
        <v>7.86853E-2</v>
      </c>
      <c r="CP230">
        <v>31629.8</v>
      </c>
      <c r="CQ230">
        <v>27795.1</v>
      </c>
      <c r="CR230">
        <v>32457.599999999999</v>
      </c>
      <c r="CS230">
        <v>30703.200000000001</v>
      </c>
      <c r="CT230">
        <v>40130.800000000003</v>
      </c>
      <c r="CU230">
        <v>39779.599999999999</v>
      </c>
      <c r="CV230">
        <v>47398</v>
      </c>
      <c r="CW230">
        <v>46820</v>
      </c>
      <c r="CX230">
        <v>2.6246999999999998</v>
      </c>
      <c r="CY230">
        <v>2.1358000000000001</v>
      </c>
      <c r="CZ230">
        <v>0</v>
      </c>
      <c r="DA230">
        <v>0</v>
      </c>
      <c r="DB230">
        <v>999.9</v>
      </c>
      <c r="DC230">
        <v>999.9</v>
      </c>
      <c r="DD230">
        <v>52.82</v>
      </c>
      <c r="DE230">
        <v>27.05</v>
      </c>
      <c r="DF230">
        <v>18.892099999999999</v>
      </c>
      <c r="DG230">
        <v>30.510100000000001</v>
      </c>
      <c r="DH230">
        <v>16.442299999999999</v>
      </c>
      <c r="DI230">
        <v>2</v>
      </c>
      <c r="DJ230">
        <v>-0.126577</v>
      </c>
      <c r="DK230">
        <v>2.1146199999999999</v>
      </c>
      <c r="DL230">
        <v>20.209599999999998</v>
      </c>
      <c r="DM230">
        <v>5.2472399999999997</v>
      </c>
      <c r="DN230">
        <v>12.033899999999999</v>
      </c>
      <c r="DO230">
        <v>4.9668400000000004</v>
      </c>
      <c r="DP230">
        <v>3.2909999999999999</v>
      </c>
      <c r="DQ230">
        <v>9999</v>
      </c>
      <c r="DR230">
        <v>9999</v>
      </c>
      <c r="DS230">
        <v>597.5</v>
      </c>
      <c r="DT230">
        <v>9999</v>
      </c>
      <c r="DU230">
        <v>1.87107</v>
      </c>
      <c r="DV230">
        <v>1.8760699999999999</v>
      </c>
      <c r="DW230">
        <v>1.8763099999999999</v>
      </c>
      <c r="DX230">
        <v>1.88279</v>
      </c>
      <c r="DY230">
        <v>1.8755900000000001</v>
      </c>
      <c r="DZ230">
        <v>1.8746700000000001</v>
      </c>
      <c r="EA230">
        <v>1.87079</v>
      </c>
      <c r="EB230">
        <v>1.87466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-0.90800000000000003</v>
      </c>
      <c r="EQ230">
        <v>9.6299999999999997E-2</v>
      </c>
      <c r="ER230">
        <v>-0.90870000000001006</v>
      </c>
      <c r="ES230">
        <v>0</v>
      </c>
      <c r="ET230">
        <v>0</v>
      </c>
      <c r="EU230">
        <v>0</v>
      </c>
      <c r="EV230">
        <v>9.6329999999998306E-2</v>
      </c>
      <c r="EW230">
        <v>0</v>
      </c>
      <c r="EX230">
        <v>0</v>
      </c>
      <c r="EY230">
        <v>0</v>
      </c>
      <c r="EZ230">
        <v>-1</v>
      </c>
      <c r="FA230">
        <v>-1</v>
      </c>
      <c r="FB230">
        <v>-1</v>
      </c>
      <c r="FC230">
        <v>-1</v>
      </c>
      <c r="FD230">
        <v>8.9</v>
      </c>
      <c r="FE230">
        <v>8.5</v>
      </c>
      <c r="FF230">
        <v>1.2402299999999999</v>
      </c>
      <c r="FG230">
        <v>2.5939899999999998</v>
      </c>
      <c r="FH230">
        <v>2.19604</v>
      </c>
      <c r="FI230">
        <v>2.5756800000000002</v>
      </c>
      <c r="FJ230">
        <v>2.4462899999999999</v>
      </c>
      <c r="FK230">
        <v>2.2851599999999999</v>
      </c>
      <c r="FL230">
        <v>31.651700000000002</v>
      </c>
      <c r="FM230">
        <v>24.148800000000001</v>
      </c>
      <c r="FN230">
        <v>19</v>
      </c>
      <c r="FO230">
        <v>865.14700000000005</v>
      </c>
      <c r="FP230">
        <v>579.351</v>
      </c>
      <c r="FQ230">
        <v>18.191500000000001</v>
      </c>
      <c r="FR230">
        <v>25.4131</v>
      </c>
      <c r="FS230">
        <v>30.0001</v>
      </c>
      <c r="FT230">
        <v>25.382200000000001</v>
      </c>
      <c r="FU230">
        <v>25.3812</v>
      </c>
      <c r="FV230">
        <v>24.892299999999999</v>
      </c>
      <c r="FW230">
        <v>31.558199999999999</v>
      </c>
      <c r="FX230">
        <v>3.1036000000000001</v>
      </c>
      <c r="FY230">
        <v>18.196200000000001</v>
      </c>
      <c r="FZ230">
        <v>410</v>
      </c>
      <c r="GA230">
        <v>13.597200000000001</v>
      </c>
      <c r="GB230">
        <v>99.877499999999998</v>
      </c>
      <c r="GC230">
        <v>99.672700000000006</v>
      </c>
    </row>
    <row r="231" spans="1:185" x14ac:dyDescent="0.2">
      <c r="A231">
        <v>216</v>
      </c>
      <c r="B231">
        <v>1771002961.0999999</v>
      </c>
      <c r="C231">
        <v>4338</v>
      </c>
      <c r="D231" t="s">
        <v>735</v>
      </c>
      <c r="E231" t="s">
        <v>736</v>
      </c>
      <c r="F231">
        <v>15</v>
      </c>
      <c r="G231">
        <v>1771002953.03333</v>
      </c>
      <c r="H231">
        <f t="shared" si="39"/>
        <v>1.3966455734855225E-3</v>
      </c>
      <c r="I231">
        <v>0</v>
      </c>
      <c r="J231">
        <f t="shared" si="51"/>
        <v>1.0219856615811408E-2</v>
      </c>
      <c r="K231">
        <f t="shared" si="40"/>
        <v>0.18274385465210749</v>
      </c>
      <c r="L231">
        <f t="shared" si="41"/>
        <v>69.611738485726505</v>
      </c>
      <c r="M231">
        <f t="shared" si="42"/>
        <v>1.5344898074841602</v>
      </c>
      <c r="N231">
        <f t="shared" si="43"/>
        <v>2.204354956310707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26354.459141908512</v>
      </c>
      <c r="T231">
        <f t="shared" si="47"/>
        <v>500.000333333333</v>
      </c>
      <c r="U231">
        <f t="shared" si="48"/>
        <v>421.50075000031239</v>
      </c>
      <c r="V231">
        <f t="shared" si="49"/>
        <v>0.84300093799999998</v>
      </c>
      <c r="W231">
        <f t="shared" si="50"/>
        <v>0.15870195524000003</v>
      </c>
      <c r="X231">
        <v>1</v>
      </c>
      <c r="Y231">
        <v>1771002953.03333</v>
      </c>
      <c r="Z231">
        <v>409.04146666666702</v>
      </c>
      <c r="AA231">
        <v>409.98399999999998</v>
      </c>
      <c r="AB231">
        <v>15.2784</v>
      </c>
      <c r="AC231">
        <v>13.5592733333333</v>
      </c>
      <c r="AD231">
        <v>409.95</v>
      </c>
      <c r="AE231">
        <v>15.1820733333333</v>
      </c>
      <c r="AF231">
        <v>800.00333333333299</v>
      </c>
      <c r="AG231">
        <v>100.3708</v>
      </c>
      <c r="AH231">
        <v>6.4442399999999997E-2</v>
      </c>
      <c r="AI231">
        <v>18.994</v>
      </c>
      <c r="AJ231">
        <v>999.9</v>
      </c>
      <c r="AK231">
        <v>999.9</v>
      </c>
      <c r="AL231">
        <v>0</v>
      </c>
      <c r="AM231">
        <v>0</v>
      </c>
      <c r="AN231">
        <v>5005.6666666666697</v>
      </c>
      <c r="AO231">
        <v>0</v>
      </c>
      <c r="AP231">
        <v>1.7502500000000001</v>
      </c>
      <c r="AQ231">
        <v>-0.94261873333333301</v>
      </c>
      <c r="AR231">
        <v>415.38786666666698</v>
      </c>
      <c r="AS231">
        <v>415.61939999999998</v>
      </c>
      <c r="AT231">
        <v>1.7191479999999999</v>
      </c>
      <c r="AU231">
        <v>409.98399999999998</v>
      </c>
      <c r="AV231">
        <v>13.5592733333333</v>
      </c>
      <c r="AW231">
        <v>1.5335046666666701</v>
      </c>
      <c r="AX231">
        <v>1.3609519999999999</v>
      </c>
      <c r="AY231">
        <v>13.3063866666667</v>
      </c>
      <c r="AZ231">
        <v>11.489420000000001</v>
      </c>
      <c r="BA231">
        <v>500.000333333333</v>
      </c>
      <c r="BB231">
        <v>0.89997453333333299</v>
      </c>
      <c r="BC231">
        <v>0</v>
      </c>
      <c r="BD231">
        <v>0.100025666666667</v>
      </c>
      <c r="BE231">
        <v>0</v>
      </c>
      <c r="BF231">
        <v>24</v>
      </c>
      <c r="BG231">
        <v>8244.3353333333307</v>
      </c>
      <c r="BH231">
        <v>1771002434.0999999</v>
      </c>
      <c r="BI231" t="s">
        <v>676</v>
      </c>
      <c r="BJ231">
        <v>1771002412.0999999</v>
      </c>
      <c r="BK231">
        <v>1771002434.0999999</v>
      </c>
      <c r="BL231">
        <v>11</v>
      </c>
      <c r="BM231">
        <v>-2.1999999999999999E-2</v>
      </c>
      <c r="BN231">
        <v>-0.01</v>
      </c>
      <c r="BO231">
        <v>-0.90900000000000003</v>
      </c>
      <c r="BP231">
        <v>9.6000000000000002E-2</v>
      </c>
      <c r="BQ231">
        <v>410</v>
      </c>
      <c r="BR231">
        <v>14</v>
      </c>
      <c r="BS231">
        <v>0.35</v>
      </c>
      <c r="BT231">
        <v>0.16</v>
      </c>
      <c r="BU231">
        <v>-0.95092765000000001</v>
      </c>
      <c r="BV231">
        <v>0.150978631578949</v>
      </c>
      <c r="BW231">
        <v>2.6213048228458699E-2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1.7176294999999999</v>
      </c>
      <c r="CD231">
        <v>2.5613684210530001E-2</v>
      </c>
      <c r="CE231">
        <v>3.22682580100011E-3</v>
      </c>
      <c r="CF231">
        <v>1</v>
      </c>
      <c r="CG231">
        <v>2</v>
      </c>
      <c r="CH231">
        <v>2</v>
      </c>
      <c r="CI231" t="s">
        <v>304</v>
      </c>
      <c r="CJ231">
        <v>3.5325799999999998</v>
      </c>
      <c r="CK231">
        <v>2.7021899999999999</v>
      </c>
      <c r="CL231">
        <v>9.8070400000000002E-2</v>
      </c>
      <c r="CM231">
        <v>9.6858299999999994E-2</v>
      </c>
      <c r="CN231">
        <v>8.6841600000000005E-2</v>
      </c>
      <c r="CO231">
        <v>7.8663300000000005E-2</v>
      </c>
      <c r="CP231">
        <v>31629.4</v>
      </c>
      <c r="CQ231">
        <v>27795.8</v>
      </c>
      <c r="CR231">
        <v>32456.9</v>
      </c>
      <c r="CS231">
        <v>30703.5</v>
      </c>
      <c r="CT231">
        <v>40130</v>
      </c>
      <c r="CU231">
        <v>39781.4</v>
      </c>
      <c r="CV231">
        <v>47397.4</v>
      </c>
      <c r="CW231">
        <v>46820.9</v>
      </c>
      <c r="CX231">
        <v>2.6244999999999998</v>
      </c>
      <c r="CY231">
        <v>2.1354000000000002</v>
      </c>
      <c r="CZ231">
        <v>0</v>
      </c>
      <c r="DA231">
        <v>0</v>
      </c>
      <c r="DB231">
        <v>999.9</v>
      </c>
      <c r="DC231">
        <v>999.9</v>
      </c>
      <c r="DD231">
        <v>52.795999999999999</v>
      </c>
      <c r="DE231">
        <v>27.06</v>
      </c>
      <c r="DF231">
        <v>18.892900000000001</v>
      </c>
      <c r="DG231">
        <v>30.330100000000002</v>
      </c>
      <c r="DH231">
        <v>16.5625</v>
      </c>
      <c r="DI231">
        <v>2</v>
      </c>
      <c r="DJ231">
        <v>-0.12673599999999999</v>
      </c>
      <c r="DK231">
        <v>2.0922299999999998</v>
      </c>
      <c r="DL231">
        <v>20.209900000000001</v>
      </c>
      <c r="DM231">
        <v>5.2472399999999997</v>
      </c>
      <c r="DN231">
        <v>12.033899999999999</v>
      </c>
      <c r="DO231">
        <v>4.9671200000000004</v>
      </c>
      <c r="DP231">
        <v>3.2909999999999999</v>
      </c>
      <c r="DQ231">
        <v>9999</v>
      </c>
      <c r="DR231">
        <v>9999</v>
      </c>
      <c r="DS231">
        <v>597.5</v>
      </c>
      <c r="DT231">
        <v>9999</v>
      </c>
      <c r="DU231">
        <v>1.8710500000000001</v>
      </c>
      <c r="DV231">
        <v>1.87608</v>
      </c>
      <c r="DW231">
        <v>1.87635</v>
      </c>
      <c r="DX231">
        <v>1.88279</v>
      </c>
      <c r="DY231">
        <v>1.87561</v>
      </c>
      <c r="DZ231">
        <v>1.8746799999999999</v>
      </c>
      <c r="EA231">
        <v>1.87086</v>
      </c>
      <c r="EB231">
        <v>1.8746799999999999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-0.90900000000000003</v>
      </c>
      <c r="EQ231">
        <v>9.6299999999999997E-2</v>
      </c>
      <c r="ER231">
        <v>-0.90870000000001006</v>
      </c>
      <c r="ES231">
        <v>0</v>
      </c>
      <c r="ET231">
        <v>0</v>
      </c>
      <c r="EU231">
        <v>0</v>
      </c>
      <c r="EV231">
        <v>9.6329999999998306E-2</v>
      </c>
      <c r="EW231">
        <v>0</v>
      </c>
      <c r="EX231">
        <v>0</v>
      </c>
      <c r="EY231">
        <v>0</v>
      </c>
      <c r="EZ231">
        <v>-1</v>
      </c>
      <c r="FA231">
        <v>-1</v>
      </c>
      <c r="FB231">
        <v>-1</v>
      </c>
      <c r="FC231">
        <v>-1</v>
      </c>
      <c r="FD231">
        <v>9.1999999999999993</v>
      </c>
      <c r="FE231">
        <v>8.8000000000000007</v>
      </c>
      <c r="FF231">
        <v>1.2402299999999999</v>
      </c>
      <c r="FG231">
        <v>2.5915499999999998</v>
      </c>
      <c r="FH231">
        <v>2.19604</v>
      </c>
      <c r="FI231">
        <v>2.5744600000000002</v>
      </c>
      <c r="FJ231">
        <v>2.4462899999999999</v>
      </c>
      <c r="FK231">
        <v>2.2851599999999999</v>
      </c>
      <c r="FL231">
        <v>31.651700000000002</v>
      </c>
      <c r="FM231">
        <v>24.14</v>
      </c>
      <c r="FN231">
        <v>19</v>
      </c>
      <c r="FO231">
        <v>864.96100000000001</v>
      </c>
      <c r="FP231">
        <v>579.04300000000001</v>
      </c>
      <c r="FQ231">
        <v>18.204499999999999</v>
      </c>
      <c r="FR231">
        <v>25.411000000000001</v>
      </c>
      <c r="FS231">
        <v>30</v>
      </c>
      <c r="FT231">
        <v>25.382200000000001</v>
      </c>
      <c r="FU231">
        <v>25.3812</v>
      </c>
      <c r="FV231">
        <v>24.8964</v>
      </c>
      <c r="FW231">
        <v>31.558199999999999</v>
      </c>
      <c r="FX231">
        <v>3.1036000000000001</v>
      </c>
      <c r="FY231">
        <v>18.2087</v>
      </c>
      <c r="FZ231">
        <v>410</v>
      </c>
      <c r="GA231">
        <v>13.601699999999999</v>
      </c>
      <c r="GB231">
        <v>99.875799999999998</v>
      </c>
      <c r="GC231">
        <v>99.674199999999999</v>
      </c>
    </row>
    <row r="232" spans="1:185" x14ac:dyDescent="0.2">
      <c r="A232">
        <v>217</v>
      </c>
      <c r="B232">
        <v>1771002976.0999999</v>
      </c>
      <c r="C232">
        <v>4353</v>
      </c>
      <c r="D232" t="s">
        <v>737</v>
      </c>
      <c r="E232" t="s">
        <v>738</v>
      </c>
      <c r="F232">
        <v>15</v>
      </c>
      <c r="G232">
        <v>1771002968.03333</v>
      </c>
      <c r="H232">
        <f t="shared" si="39"/>
        <v>1.3945646292653571E-3</v>
      </c>
      <c r="I232">
        <v>0</v>
      </c>
      <c r="J232">
        <f t="shared" si="51"/>
        <v>1.0311756391014873E-2</v>
      </c>
      <c r="K232">
        <f t="shared" si="40"/>
        <v>0.18438713789899383</v>
      </c>
      <c r="L232">
        <f t="shared" si="41"/>
        <v>69.5886799492324</v>
      </c>
      <c r="M232">
        <f t="shared" si="42"/>
        <v>1.5340338482292548</v>
      </c>
      <c r="N232">
        <f t="shared" si="43"/>
        <v>2.2044301592563489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26342.788860314136</v>
      </c>
      <c r="T232">
        <f t="shared" si="47"/>
        <v>500.000333333333</v>
      </c>
      <c r="U232">
        <f t="shared" si="48"/>
        <v>421.50071800029099</v>
      </c>
      <c r="V232">
        <f t="shared" si="49"/>
        <v>0.8430008739999999</v>
      </c>
      <c r="W232">
        <f t="shared" si="50"/>
        <v>0.15870218499999997</v>
      </c>
      <c r="X232">
        <v>1</v>
      </c>
      <c r="Y232">
        <v>1771002968.03333</v>
      </c>
      <c r="Z232">
        <v>409.05119999999999</v>
      </c>
      <c r="AA232">
        <v>409.99473333333299</v>
      </c>
      <c r="AB232">
        <v>15.27402</v>
      </c>
      <c r="AC232">
        <v>13.557460000000001</v>
      </c>
      <c r="AD232">
        <v>409.95993333333303</v>
      </c>
      <c r="AE232">
        <v>15.177706666666699</v>
      </c>
      <c r="AF232">
        <v>800.00933333333296</v>
      </c>
      <c r="AG232">
        <v>100.3698</v>
      </c>
      <c r="AH232">
        <v>6.4391406666666706E-2</v>
      </c>
      <c r="AI232">
        <v>18.9945466666667</v>
      </c>
      <c r="AJ232">
        <v>999.9</v>
      </c>
      <c r="AK232">
        <v>999.9</v>
      </c>
      <c r="AL232">
        <v>0</v>
      </c>
      <c r="AM232">
        <v>0</v>
      </c>
      <c r="AN232">
        <v>5003.8</v>
      </c>
      <c r="AO232">
        <v>0</v>
      </c>
      <c r="AP232">
        <v>1.7502500000000001</v>
      </c>
      <c r="AQ232">
        <v>-0.94355053333333305</v>
      </c>
      <c r="AR232">
        <v>415.39606666666702</v>
      </c>
      <c r="AS232">
        <v>415.62979999999999</v>
      </c>
      <c r="AT232">
        <v>1.7165619999999999</v>
      </c>
      <c r="AU232">
        <v>409.99473333333299</v>
      </c>
      <c r="AV232">
        <v>13.557460000000001</v>
      </c>
      <c r="AW232">
        <v>1.5330526666666699</v>
      </c>
      <c r="AX232">
        <v>1.3607606666666701</v>
      </c>
      <c r="AY232">
        <v>13.301866666666699</v>
      </c>
      <c r="AZ232">
        <v>11.487306666666701</v>
      </c>
      <c r="BA232">
        <v>500.000333333333</v>
      </c>
      <c r="BB232">
        <v>0.89997086666666704</v>
      </c>
      <c r="BC232">
        <v>0</v>
      </c>
      <c r="BD232">
        <v>0.10002913333333301</v>
      </c>
      <c r="BE232">
        <v>0</v>
      </c>
      <c r="BF232">
        <v>24</v>
      </c>
      <c r="BG232">
        <v>8244.3220000000001</v>
      </c>
      <c r="BH232">
        <v>1771002434.0999999</v>
      </c>
      <c r="BI232" t="s">
        <v>676</v>
      </c>
      <c r="BJ232">
        <v>1771002412.0999999</v>
      </c>
      <c r="BK232">
        <v>1771002434.0999999</v>
      </c>
      <c r="BL232">
        <v>11</v>
      </c>
      <c r="BM232">
        <v>-2.1999999999999999E-2</v>
      </c>
      <c r="BN232">
        <v>-0.01</v>
      </c>
      <c r="BO232">
        <v>-0.90900000000000003</v>
      </c>
      <c r="BP232">
        <v>9.6000000000000002E-2</v>
      </c>
      <c r="BQ232">
        <v>410</v>
      </c>
      <c r="BR232">
        <v>14</v>
      </c>
      <c r="BS232">
        <v>0.35</v>
      </c>
      <c r="BT232">
        <v>0.16</v>
      </c>
      <c r="BU232">
        <v>-0.94538652380952404</v>
      </c>
      <c r="BV232">
        <v>3.8439740259739598E-2</v>
      </c>
      <c r="BW232">
        <v>1.4522277643803601E-2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1.71737571428571</v>
      </c>
      <c r="CD232">
        <v>-2.12025974025972E-3</v>
      </c>
      <c r="CE232">
        <v>3.6516552951446298E-3</v>
      </c>
      <c r="CF232">
        <v>1</v>
      </c>
      <c r="CG232">
        <v>2</v>
      </c>
      <c r="CH232">
        <v>2</v>
      </c>
      <c r="CI232" t="s">
        <v>304</v>
      </c>
      <c r="CJ232">
        <v>3.5325199999999999</v>
      </c>
      <c r="CK232">
        <v>2.7021500000000001</v>
      </c>
      <c r="CL232">
        <v>9.8080200000000006E-2</v>
      </c>
      <c r="CM232">
        <v>9.68662E-2</v>
      </c>
      <c r="CN232">
        <v>8.68086E-2</v>
      </c>
      <c r="CO232">
        <v>7.8628400000000001E-2</v>
      </c>
      <c r="CP232">
        <v>31629.9</v>
      </c>
      <c r="CQ232">
        <v>27795.8</v>
      </c>
      <c r="CR232">
        <v>32457.8</v>
      </c>
      <c r="CS232">
        <v>30703.7</v>
      </c>
      <c r="CT232">
        <v>40132.400000000001</v>
      </c>
      <c r="CU232">
        <v>39783.1</v>
      </c>
      <c r="CV232">
        <v>47398.5</v>
      </c>
      <c r="CW232">
        <v>46821.1</v>
      </c>
      <c r="CX232">
        <v>2.6248399999999998</v>
      </c>
      <c r="CY232">
        <v>2.1352199999999999</v>
      </c>
      <c r="CZ232">
        <v>0</v>
      </c>
      <c r="DA232">
        <v>0</v>
      </c>
      <c r="DB232">
        <v>999.9</v>
      </c>
      <c r="DC232">
        <v>999.9</v>
      </c>
      <c r="DD232">
        <v>52.747</v>
      </c>
      <c r="DE232">
        <v>27.08</v>
      </c>
      <c r="DF232">
        <v>18.898199999999999</v>
      </c>
      <c r="DG232">
        <v>30.600100000000001</v>
      </c>
      <c r="DH232">
        <v>16.4343</v>
      </c>
      <c r="DI232">
        <v>2</v>
      </c>
      <c r="DJ232">
        <v>-0.12728700000000001</v>
      </c>
      <c r="DK232">
        <v>2.06697</v>
      </c>
      <c r="DL232">
        <v>20.2103</v>
      </c>
      <c r="DM232">
        <v>5.2472399999999997</v>
      </c>
      <c r="DN232">
        <v>12.033899999999999</v>
      </c>
      <c r="DO232">
        <v>4.9673999999999996</v>
      </c>
      <c r="DP232">
        <v>3.2909999999999999</v>
      </c>
      <c r="DQ232">
        <v>9999</v>
      </c>
      <c r="DR232">
        <v>9999</v>
      </c>
      <c r="DS232">
        <v>597.5</v>
      </c>
      <c r="DT232">
        <v>9999</v>
      </c>
      <c r="DU232">
        <v>1.87107</v>
      </c>
      <c r="DV232">
        <v>1.8761000000000001</v>
      </c>
      <c r="DW232">
        <v>1.87635</v>
      </c>
      <c r="DX232">
        <v>1.88279</v>
      </c>
      <c r="DY232">
        <v>1.87561</v>
      </c>
      <c r="DZ232">
        <v>1.8746799999999999</v>
      </c>
      <c r="EA232">
        <v>1.87086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-0.90900000000000003</v>
      </c>
      <c r="EQ232">
        <v>9.64E-2</v>
      </c>
      <c r="ER232">
        <v>-0.90870000000001006</v>
      </c>
      <c r="ES232">
        <v>0</v>
      </c>
      <c r="ET232">
        <v>0</v>
      </c>
      <c r="EU232">
        <v>0</v>
      </c>
      <c r="EV232">
        <v>9.6329999999998306E-2</v>
      </c>
      <c r="EW232">
        <v>0</v>
      </c>
      <c r="EX232">
        <v>0</v>
      </c>
      <c r="EY232">
        <v>0</v>
      </c>
      <c r="EZ232">
        <v>-1</v>
      </c>
      <c r="FA232">
        <v>-1</v>
      </c>
      <c r="FB232">
        <v>-1</v>
      </c>
      <c r="FC232">
        <v>-1</v>
      </c>
      <c r="FD232">
        <v>9.4</v>
      </c>
      <c r="FE232">
        <v>9</v>
      </c>
      <c r="FF232">
        <v>1.2402299999999999</v>
      </c>
      <c r="FG232">
        <v>2.5927699999999998</v>
      </c>
      <c r="FH232">
        <v>2.19604</v>
      </c>
      <c r="FI232">
        <v>2.5756800000000002</v>
      </c>
      <c r="FJ232">
        <v>2.4462899999999999</v>
      </c>
      <c r="FK232">
        <v>2.2753899999999998</v>
      </c>
      <c r="FL232">
        <v>31.651700000000002</v>
      </c>
      <c r="FM232">
        <v>24.148800000000001</v>
      </c>
      <c r="FN232">
        <v>19</v>
      </c>
      <c r="FO232">
        <v>865.27700000000004</v>
      </c>
      <c r="FP232">
        <v>578.904</v>
      </c>
      <c r="FQ232">
        <v>18.216899999999999</v>
      </c>
      <c r="FR232">
        <v>25.4071</v>
      </c>
      <c r="FS232">
        <v>30</v>
      </c>
      <c r="FT232">
        <v>25.382200000000001</v>
      </c>
      <c r="FU232">
        <v>25.3812</v>
      </c>
      <c r="FV232">
        <v>24.895099999999999</v>
      </c>
      <c r="FW232">
        <v>31.558199999999999</v>
      </c>
      <c r="FX232">
        <v>2.7298499999999999</v>
      </c>
      <c r="FY232">
        <v>18.220400000000001</v>
      </c>
      <c r="FZ232">
        <v>410</v>
      </c>
      <c r="GA232">
        <v>13.6153</v>
      </c>
      <c r="GB232">
        <v>99.878399999999999</v>
      </c>
      <c r="GC232">
        <v>99.674700000000001</v>
      </c>
    </row>
    <row r="233" spans="1:185" x14ac:dyDescent="0.2">
      <c r="A233">
        <v>218</v>
      </c>
      <c r="B233">
        <v>1771002991.0999999</v>
      </c>
      <c r="C233">
        <v>4368</v>
      </c>
      <c r="D233" t="s">
        <v>739</v>
      </c>
      <c r="E233" t="s">
        <v>740</v>
      </c>
      <c r="F233">
        <v>15</v>
      </c>
      <c r="G233">
        <v>1771002983.03333</v>
      </c>
      <c r="H233">
        <f t="shared" si="39"/>
        <v>1.3936537058151571E-3</v>
      </c>
      <c r="I233">
        <v>0</v>
      </c>
      <c r="J233">
        <f t="shared" si="51"/>
        <v>9.1526077316450988E-3</v>
      </c>
      <c r="K233">
        <f t="shared" si="40"/>
        <v>0.16366010599520647</v>
      </c>
      <c r="L233">
        <f t="shared" si="41"/>
        <v>69.568012932387873</v>
      </c>
      <c r="M233">
        <f t="shared" si="42"/>
        <v>1.5335686879413888</v>
      </c>
      <c r="N233">
        <f t="shared" si="43"/>
        <v>2.2044164024518587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26300.978557522216</v>
      </c>
      <c r="T233">
        <f t="shared" si="47"/>
        <v>499.99993333333299</v>
      </c>
      <c r="U233">
        <f t="shared" si="48"/>
        <v>421.50043379993451</v>
      </c>
      <c r="V233">
        <f t="shared" si="49"/>
        <v>0.84300098000000023</v>
      </c>
      <c r="W233">
        <f t="shared" si="50"/>
        <v>0.15870232008000004</v>
      </c>
      <c r="X233">
        <v>1</v>
      </c>
      <c r="Y233">
        <v>1771002983.03333</v>
      </c>
      <c r="Z233">
        <v>409.07459999999998</v>
      </c>
      <c r="AA233">
        <v>409.99180000000001</v>
      </c>
      <c r="AB233">
        <v>15.269640000000001</v>
      </c>
      <c r="AC233">
        <v>13.5541933333333</v>
      </c>
      <c r="AD233">
        <v>409.98326666666702</v>
      </c>
      <c r="AE233">
        <v>15.173299999999999</v>
      </c>
      <c r="AF233">
        <v>800.00919999999996</v>
      </c>
      <c r="AG233">
        <v>100.36813333333301</v>
      </c>
      <c r="AH233">
        <v>6.4403906666666705E-2</v>
      </c>
      <c r="AI233">
        <v>18.9944466666667</v>
      </c>
      <c r="AJ233">
        <v>999.9</v>
      </c>
      <c r="AK233">
        <v>999.9</v>
      </c>
      <c r="AL233">
        <v>0</v>
      </c>
      <c r="AM233">
        <v>0</v>
      </c>
      <c r="AN233">
        <v>4997</v>
      </c>
      <c r="AO233">
        <v>0</v>
      </c>
      <c r="AP233">
        <v>1.7502500000000001</v>
      </c>
      <c r="AQ233">
        <v>-0.91714066666666705</v>
      </c>
      <c r="AR233">
        <v>415.417933333333</v>
      </c>
      <c r="AS233">
        <v>415.62526666666702</v>
      </c>
      <c r="AT233">
        <v>1.7154446666666701</v>
      </c>
      <c r="AU233">
        <v>409.99180000000001</v>
      </c>
      <c r="AV233">
        <v>13.5541933333333</v>
      </c>
      <c r="AW233">
        <v>1.53258466666667</v>
      </c>
      <c r="AX233">
        <v>1.3604086666666699</v>
      </c>
      <c r="AY233">
        <v>13.2971866666667</v>
      </c>
      <c r="AZ233">
        <v>11.483366666666701</v>
      </c>
      <c r="BA233">
        <v>499.99993333333299</v>
      </c>
      <c r="BB233">
        <v>0.89996926666666699</v>
      </c>
      <c r="BC233">
        <v>0</v>
      </c>
      <c r="BD233">
        <v>0.1000308</v>
      </c>
      <c r="BE233">
        <v>0</v>
      </c>
      <c r="BF233">
        <v>24</v>
      </c>
      <c r="BG233">
        <v>8244.3160000000007</v>
      </c>
      <c r="BH233">
        <v>1771002434.0999999</v>
      </c>
      <c r="BI233" t="s">
        <v>676</v>
      </c>
      <c r="BJ233">
        <v>1771002412.0999999</v>
      </c>
      <c r="BK233">
        <v>1771002434.0999999</v>
      </c>
      <c r="BL233">
        <v>11</v>
      </c>
      <c r="BM233">
        <v>-2.1999999999999999E-2</v>
      </c>
      <c r="BN233">
        <v>-0.01</v>
      </c>
      <c r="BO233">
        <v>-0.90900000000000003</v>
      </c>
      <c r="BP233">
        <v>9.6000000000000002E-2</v>
      </c>
      <c r="BQ233">
        <v>410</v>
      </c>
      <c r="BR233">
        <v>14</v>
      </c>
      <c r="BS233">
        <v>0.35</v>
      </c>
      <c r="BT233">
        <v>0.16</v>
      </c>
      <c r="BU233">
        <v>-0.92107240000000001</v>
      </c>
      <c r="BV233">
        <v>2.1595939849626E-2</v>
      </c>
      <c r="BW233">
        <v>2.1695249165197401E-2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1.7167030000000001</v>
      </c>
      <c r="CD233">
        <v>-3.8561503759397403E-2</v>
      </c>
      <c r="CE233">
        <v>4.1798493992008601E-3</v>
      </c>
      <c r="CF233">
        <v>1</v>
      </c>
      <c r="CG233">
        <v>2</v>
      </c>
      <c r="CH233">
        <v>2</v>
      </c>
      <c r="CI233" t="s">
        <v>304</v>
      </c>
      <c r="CJ233">
        <v>3.53247</v>
      </c>
      <c r="CK233">
        <v>2.70255</v>
      </c>
      <c r="CL233">
        <v>9.8078700000000005E-2</v>
      </c>
      <c r="CM233">
        <v>9.6862699999999996E-2</v>
      </c>
      <c r="CN233">
        <v>8.6826600000000004E-2</v>
      </c>
      <c r="CO233">
        <v>7.8720399999999996E-2</v>
      </c>
      <c r="CP233">
        <v>31630.1</v>
      </c>
      <c r="CQ233">
        <v>27796.2</v>
      </c>
      <c r="CR233">
        <v>32457.9</v>
      </c>
      <c r="CS233">
        <v>30704.1</v>
      </c>
      <c r="CT233">
        <v>40131.699999999997</v>
      </c>
      <c r="CU233">
        <v>39779.4</v>
      </c>
      <c r="CV233">
        <v>47398.6</v>
      </c>
      <c r="CW233">
        <v>46821.5</v>
      </c>
      <c r="CX233">
        <v>2.6246</v>
      </c>
      <c r="CY233">
        <v>2.1355</v>
      </c>
      <c r="CZ233">
        <v>0</v>
      </c>
      <c r="DA233">
        <v>0</v>
      </c>
      <c r="DB233">
        <v>999.9</v>
      </c>
      <c r="DC233">
        <v>999.9</v>
      </c>
      <c r="DD233">
        <v>52.686</v>
      </c>
      <c r="DE233">
        <v>27.08</v>
      </c>
      <c r="DF233">
        <v>18.874099999999999</v>
      </c>
      <c r="DG233">
        <v>30.330100000000002</v>
      </c>
      <c r="DH233">
        <v>16.578499999999998</v>
      </c>
      <c r="DI233">
        <v>2</v>
      </c>
      <c r="DJ233">
        <v>-0.127998</v>
      </c>
      <c r="DK233">
        <v>2.0378599999999998</v>
      </c>
      <c r="DL233">
        <v>20.2105</v>
      </c>
      <c r="DM233">
        <v>5.2472399999999997</v>
      </c>
      <c r="DN233">
        <v>12.033899999999999</v>
      </c>
      <c r="DO233">
        <v>4.9672400000000003</v>
      </c>
      <c r="DP233">
        <v>3.2909999999999999</v>
      </c>
      <c r="DQ233">
        <v>9999</v>
      </c>
      <c r="DR233">
        <v>9999</v>
      </c>
      <c r="DS233">
        <v>597.5</v>
      </c>
      <c r="DT233">
        <v>9999</v>
      </c>
      <c r="DU233">
        <v>1.8710800000000001</v>
      </c>
      <c r="DV233">
        <v>1.87609</v>
      </c>
      <c r="DW233">
        <v>1.87636</v>
      </c>
      <c r="DX233">
        <v>1.8828100000000001</v>
      </c>
      <c r="DY233">
        <v>1.87561</v>
      </c>
      <c r="DZ233">
        <v>1.8746799999999999</v>
      </c>
      <c r="EA233">
        <v>1.87087</v>
      </c>
      <c r="EB233">
        <v>1.8746799999999999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-0.90900000000000003</v>
      </c>
      <c r="EQ233">
        <v>9.6299999999999997E-2</v>
      </c>
      <c r="ER233">
        <v>-0.90870000000001006</v>
      </c>
      <c r="ES233">
        <v>0</v>
      </c>
      <c r="ET233">
        <v>0</v>
      </c>
      <c r="EU233">
        <v>0</v>
      </c>
      <c r="EV233">
        <v>9.6329999999998306E-2</v>
      </c>
      <c r="EW233">
        <v>0</v>
      </c>
      <c r="EX233">
        <v>0</v>
      </c>
      <c r="EY233">
        <v>0</v>
      </c>
      <c r="EZ233">
        <v>-1</v>
      </c>
      <c r="FA233">
        <v>-1</v>
      </c>
      <c r="FB233">
        <v>-1</v>
      </c>
      <c r="FC233">
        <v>-1</v>
      </c>
      <c r="FD233">
        <v>9.6999999999999993</v>
      </c>
      <c r="FE233">
        <v>9.3000000000000007</v>
      </c>
      <c r="FF233">
        <v>1.2402299999999999</v>
      </c>
      <c r="FG233">
        <v>2.5952099999999998</v>
      </c>
      <c r="FH233">
        <v>2.19604</v>
      </c>
      <c r="FI233">
        <v>2.5756800000000002</v>
      </c>
      <c r="FJ233">
        <v>2.4462899999999999</v>
      </c>
      <c r="FK233">
        <v>2.2802699999999998</v>
      </c>
      <c r="FL233">
        <v>31.651700000000002</v>
      </c>
      <c r="FM233">
        <v>24.14</v>
      </c>
      <c r="FN233">
        <v>19</v>
      </c>
      <c r="FO233">
        <v>865.02</v>
      </c>
      <c r="FP233">
        <v>579.096</v>
      </c>
      <c r="FQ233">
        <v>18.227699999999999</v>
      </c>
      <c r="FR233">
        <v>25.4024</v>
      </c>
      <c r="FS233">
        <v>29.9999</v>
      </c>
      <c r="FT233">
        <v>25.38</v>
      </c>
      <c r="FU233">
        <v>25.379100000000001</v>
      </c>
      <c r="FV233">
        <v>24.8977</v>
      </c>
      <c r="FW233">
        <v>31.281099999999999</v>
      </c>
      <c r="FX233">
        <v>2.3538700000000001</v>
      </c>
      <c r="FY233">
        <v>18.231999999999999</v>
      </c>
      <c r="FZ233">
        <v>410</v>
      </c>
      <c r="GA233">
        <v>13.6241</v>
      </c>
      <c r="GB233">
        <v>99.878600000000006</v>
      </c>
      <c r="GC233">
        <v>99.675700000000006</v>
      </c>
    </row>
    <row r="234" spans="1:185" x14ac:dyDescent="0.2">
      <c r="A234">
        <v>219</v>
      </c>
      <c r="B234">
        <v>1771003006.0999999</v>
      </c>
      <c r="C234">
        <v>4383</v>
      </c>
      <c r="D234" t="s">
        <v>741</v>
      </c>
      <c r="E234" t="s">
        <v>742</v>
      </c>
      <c r="F234">
        <v>15</v>
      </c>
      <c r="G234">
        <v>1771002998.03333</v>
      </c>
      <c r="H234">
        <f t="shared" si="39"/>
        <v>1.3857257569421088E-3</v>
      </c>
      <c r="I234">
        <v>0</v>
      </c>
      <c r="J234">
        <f t="shared" si="51"/>
        <v>9.9823920054390378E-3</v>
      </c>
      <c r="K234">
        <f t="shared" si="40"/>
        <v>0.17849768957619341</v>
      </c>
      <c r="L234">
        <f t="shared" si="41"/>
        <v>69.591303885402027</v>
      </c>
      <c r="M234">
        <f t="shared" si="42"/>
        <v>1.5341625368906655</v>
      </c>
      <c r="N234">
        <f t="shared" si="43"/>
        <v>2.204531961948887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26304.561378744947</v>
      </c>
      <c r="T234">
        <f t="shared" si="47"/>
        <v>500.00086666666698</v>
      </c>
      <c r="U234">
        <f t="shared" si="48"/>
        <v>421.5012056008236</v>
      </c>
      <c r="V234">
        <f t="shared" si="49"/>
        <v>0.84300094999999997</v>
      </c>
      <c r="W234">
        <f t="shared" si="50"/>
        <v>0.15870237500000003</v>
      </c>
      <c r="X234">
        <v>1</v>
      </c>
      <c r="Y234">
        <v>1771002998.03333</v>
      </c>
      <c r="Z234">
        <v>409.05886666666697</v>
      </c>
      <c r="AA234">
        <v>409.99053333333302</v>
      </c>
      <c r="AB234">
        <v>15.27542</v>
      </c>
      <c r="AC234">
        <v>13.569739999999999</v>
      </c>
      <c r="AD234">
        <v>409.96753333333299</v>
      </c>
      <c r="AE234">
        <v>15.179080000000001</v>
      </c>
      <c r="AF234">
        <v>800.00833333333298</v>
      </c>
      <c r="AG234">
        <v>100.368933333333</v>
      </c>
      <c r="AH234">
        <v>6.4477786666666703E-2</v>
      </c>
      <c r="AI234">
        <v>18.995286666666701</v>
      </c>
      <c r="AJ234">
        <v>999.9</v>
      </c>
      <c r="AK234">
        <v>999.9</v>
      </c>
      <c r="AL234">
        <v>0</v>
      </c>
      <c r="AM234">
        <v>0</v>
      </c>
      <c r="AN234">
        <v>4997.5666666666702</v>
      </c>
      <c r="AO234">
        <v>0</v>
      </c>
      <c r="AP234">
        <v>1.7502500000000001</v>
      </c>
      <c r="AQ234">
        <v>-0.93170980000000003</v>
      </c>
      <c r="AR234">
        <v>415.40440000000001</v>
      </c>
      <c r="AS234">
        <v>415.63073333333301</v>
      </c>
      <c r="AT234">
        <v>1.70566533333333</v>
      </c>
      <c r="AU234">
        <v>409.99053333333302</v>
      </c>
      <c r="AV234">
        <v>13.569739999999999</v>
      </c>
      <c r="AW234">
        <v>1.5331793333333299</v>
      </c>
      <c r="AX234">
        <v>1.3619826666666699</v>
      </c>
      <c r="AY234">
        <v>13.30312</v>
      </c>
      <c r="AZ234">
        <v>11.500859999999999</v>
      </c>
      <c r="BA234">
        <v>500.00086666666698</v>
      </c>
      <c r="BB234">
        <v>0.89996833333333304</v>
      </c>
      <c r="BC234">
        <v>0</v>
      </c>
      <c r="BD234">
        <v>0.100031666666667</v>
      </c>
      <c r="BE234">
        <v>0</v>
      </c>
      <c r="BF234">
        <v>24</v>
      </c>
      <c r="BG234">
        <v>8244.3259999999991</v>
      </c>
      <c r="BH234">
        <v>1771002434.0999999</v>
      </c>
      <c r="BI234" t="s">
        <v>676</v>
      </c>
      <c r="BJ234">
        <v>1771002412.0999999</v>
      </c>
      <c r="BK234">
        <v>1771002434.0999999</v>
      </c>
      <c r="BL234">
        <v>11</v>
      </c>
      <c r="BM234">
        <v>-2.1999999999999999E-2</v>
      </c>
      <c r="BN234">
        <v>-0.01</v>
      </c>
      <c r="BO234">
        <v>-0.90900000000000003</v>
      </c>
      <c r="BP234">
        <v>9.6000000000000002E-2</v>
      </c>
      <c r="BQ234">
        <v>410</v>
      </c>
      <c r="BR234">
        <v>14</v>
      </c>
      <c r="BS234">
        <v>0.35</v>
      </c>
      <c r="BT234">
        <v>0.16</v>
      </c>
      <c r="BU234">
        <v>-0.93067714285714298</v>
      </c>
      <c r="BV234">
        <v>-5.8407272727257599E-3</v>
      </c>
      <c r="BW234">
        <v>1.21947160113977E-2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1.70715333333333</v>
      </c>
      <c r="CD234">
        <v>-1.0112727272725899E-2</v>
      </c>
      <c r="CE234">
        <v>3.74978390911788E-3</v>
      </c>
      <c r="CF234">
        <v>1</v>
      </c>
      <c r="CG234">
        <v>2</v>
      </c>
      <c r="CH234">
        <v>2</v>
      </c>
      <c r="CI234" t="s">
        <v>304</v>
      </c>
      <c r="CJ234">
        <v>3.5325000000000002</v>
      </c>
      <c r="CK234">
        <v>2.7022200000000001</v>
      </c>
      <c r="CL234">
        <v>9.8074499999999995E-2</v>
      </c>
      <c r="CM234">
        <v>9.6873600000000004E-2</v>
      </c>
      <c r="CN234">
        <v>8.6812899999999998E-2</v>
      </c>
      <c r="CO234">
        <v>7.8703700000000001E-2</v>
      </c>
      <c r="CP234">
        <v>31630.6</v>
      </c>
      <c r="CQ234">
        <v>27796.5</v>
      </c>
      <c r="CR234">
        <v>32458.3</v>
      </c>
      <c r="CS234">
        <v>30704.799999999999</v>
      </c>
      <c r="CT234">
        <v>40132.800000000003</v>
      </c>
      <c r="CU234">
        <v>39780.9</v>
      </c>
      <c r="CV234">
        <v>47399.199999999997</v>
      </c>
      <c r="CW234">
        <v>46822.400000000001</v>
      </c>
      <c r="CX234">
        <v>2.6246200000000002</v>
      </c>
      <c r="CY234">
        <v>2.1353200000000001</v>
      </c>
      <c r="CZ234">
        <v>0</v>
      </c>
      <c r="DA234">
        <v>0</v>
      </c>
      <c r="DB234">
        <v>999.9</v>
      </c>
      <c r="DC234">
        <v>999.9</v>
      </c>
      <c r="DD234">
        <v>52.637</v>
      </c>
      <c r="DE234">
        <v>27.09</v>
      </c>
      <c r="DF234">
        <v>18.870100000000001</v>
      </c>
      <c r="DG234">
        <v>30.360099999999999</v>
      </c>
      <c r="DH234">
        <v>16.450299999999999</v>
      </c>
      <c r="DI234">
        <v>2</v>
      </c>
      <c r="DJ234">
        <v>-0.128467</v>
      </c>
      <c r="DK234">
        <v>2.01675</v>
      </c>
      <c r="DL234">
        <v>20.210999999999999</v>
      </c>
      <c r="DM234">
        <v>5.2472399999999997</v>
      </c>
      <c r="DN234">
        <v>12.033899999999999</v>
      </c>
      <c r="DO234">
        <v>4.9672000000000001</v>
      </c>
      <c r="DP234">
        <v>3.2909999999999999</v>
      </c>
      <c r="DQ234">
        <v>9999</v>
      </c>
      <c r="DR234">
        <v>9999</v>
      </c>
      <c r="DS234">
        <v>597.5</v>
      </c>
      <c r="DT234">
        <v>9999</v>
      </c>
      <c r="DU234">
        <v>1.8710599999999999</v>
      </c>
      <c r="DV234">
        <v>1.8760699999999999</v>
      </c>
      <c r="DW234">
        <v>1.8763099999999999</v>
      </c>
      <c r="DX234">
        <v>1.88279</v>
      </c>
      <c r="DY234">
        <v>1.87561</v>
      </c>
      <c r="DZ234">
        <v>1.8746400000000001</v>
      </c>
      <c r="EA234">
        <v>1.87083</v>
      </c>
      <c r="EB234">
        <v>1.8746499999999999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-0.90800000000000003</v>
      </c>
      <c r="EQ234">
        <v>9.6299999999999997E-2</v>
      </c>
      <c r="ER234">
        <v>-0.90870000000001006</v>
      </c>
      <c r="ES234">
        <v>0</v>
      </c>
      <c r="ET234">
        <v>0</v>
      </c>
      <c r="EU234">
        <v>0</v>
      </c>
      <c r="EV234">
        <v>9.6329999999998306E-2</v>
      </c>
      <c r="EW234">
        <v>0</v>
      </c>
      <c r="EX234">
        <v>0</v>
      </c>
      <c r="EY234">
        <v>0</v>
      </c>
      <c r="EZ234">
        <v>-1</v>
      </c>
      <c r="FA234">
        <v>-1</v>
      </c>
      <c r="FB234">
        <v>-1</v>
      </c>
      <c r="FC234">
        <v>-1</v>
      </c>
      <c r="FD234">
        <v>9.9</v>
      </c>
      <c r="FE234">
        <v>9.5</v>
      </c>
      <c r="FF234">
        <v>1.2402299999999999</v>
      </c>
      <c r="FG234">
        <v>2.5915499999999998</v>
      </c>
      <c r="FH234">
        <v>2.19604</v>
      </c>
      <c r="FI234">
        <v>2.5756800000000002</v>
      </c>
      <c r="FJ234">
        <v>2.4462899999999999</v>
      </c>
      <c r="FK234">
        <v>2.3095699999999999</v>
      </c>
      <c r="FL234">
        <v>31.651700000000002</v>
      </c>
      <c r="FM234">
        <v>24.148800000000001</v>
      </c>
      <c r="FN234">
        <v>19</v>
      </c>
      <c r="FO234">
        <v>865.00400000000002</v>
      </c>
      <c r="FP234">
        <v>578.93399999999997</v>
      </c>
      <c r="FQ234">
        <v>18.238800000000001</v>
      </c>
      <c r="FR234">
        <v>25.396000000000001</v>
      </c>
      <c r="FS234">
        <v>29.9998</v>
      </c>
      <c r="FT234">
        <v>25.3779</v>
      </c>
      <c r="FU234">
        <v>25.376899999999999</v>
      </c>
      <c r="FV234">
        <v>24.895099999999999</v>
      </c>
      <c r="FW234">
        <v>31.281099999999999</v>
      </c>
      <c r="FX234">
        <v>2.3538700000000001</v>
      </c>
      <c r="FY234">
        <v>18.242100000000001</v>
      </c>
      <c r="FZ234">
        <v>410</v>
      </c>
      <c r="GA234">
        <v>13.6351</v>
      </c>
      <c r="GB234">
        <v>99.879800000000003</v>
      </c>
      <c r="GC234">
        <v>99.677800000000005</v>
      </c>
    </row>
    <row r="235" spans="1:185" x14ac:dyDescent="0.2">
      <c r="A235">
        <v>220</v>
      </c>
      <c r="B235">
        <v>1771003021.0999999</v>
      </c>
      <c r="C235">
        <v>4398</v>
      </c>
      <c r="D235" t="s">
        <v>743</v>
      </c>
      <c r="E235" t="s">
        <v>744</v>
      </c>
      <c r="F235">
        <v>15</v>
      </c>
      <c r="G235">
        <v>1771003013.03333</v>
      </c>
      <c r="H235">
        <f t="shared" si="39"/>
        <v>1.3757056584485553E-3</v>
      </c>
      <c r="I235">
        <v>0</v>
      </c>
      <c r="J235">
        <f t="shared" si="51"/>
        <v>8.7469805560077291E-3</v>
      </c>
      <c r="K235">
        <f t="shared" si="40"/>
        <v>0.15640698333270861</v>
      </c>
      <c r="L235">
        <f t="shared" si="41"/>
        <v>69.577954022935103</v>
      </c>
      <c r="M235">
        <f t="shared" si="42"/>
        <v>1.5339569387702054</v>
      </c>
      <c r="N235">
        <f t="shared" si="43"/>
        <v>2.2046594504123598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26362.199912684948</v>
      </c>
      <c r="T235">
        <f t="shared" si="47"/>
        <v>500.00113333333297</v>
      </c>
      <c r="U235">
        <f t="shared" si="48"/>
        <v>421.50130340078846</v>
      </c>
      <c r="V235">
        <f t="shared" si="49"/>
        <v>0.84300069599999994</v>
      </c>
      <c r="W235">
        <f t="shared" si="50"/>
        <v>0.15870174000000001</v>
      </c>
      <c r="X235">
        <v>1</v>
      </c>
      <c r="Y235">
        <v>1771003013.03333</v>
      </c>
      <c r="Z235">
        <v>409.10046666666699</v>
      </c>
      <c r="AA235">
        <v>409.99946666666699</v>
      </c>
      <c r="AB235">
        <v>15.27342</v>
      </c>
      <c r="AC235">
        <v>13.580073333333299</v>
      </c>
      <c r="AD235">
        <v>409.972466666667</v>
      </c>
      <c r="AE235">
        <v>15.177106666666701</v>
      </c>
      <c r="AF235">
        <v>800.00980000000004</v>
      </c>
      <c r="AG235">
        <v>100.3686</v>
      </c>
      <c r="AH235">
        <v>6.4501346666666695E-2</v>
      </c>
      <c r="AI235">
        <v>18.996213333333301</v>
      </c>
      <c r="AJ235">
        <v>999.9</v>
      </c>
      <c r="AK235">
        <v>999.9</v>
      </c>
      <c r="AL235">
        <v>0</v>
      </c>
      <c r="AM235">
        <v>0</v>
      </c>
      <c r="AN235">
        <v>5007.0666666666702</v>
      </c>
      <c r="AO235">
        <v>0</v>
      </c>
      <c r="AP235">
        <v>1.7502500000000001</v>
      </c>
      <c r="AQ235">
        <v>-0.93565900000000002</v>
      </c>
      <c r="AR235">
        <v>415.40846666666698</v>
      </c>
      <c r="AS235">
        <v>415.64373333333299</v>
      </c>
      <c r="AT235">
        <v>1.6933579999999999</v>
      </c>
      <c r="AU235">
        <v>409.99946666666699</v>
      </c>
      <c r="AV235">
        <v>13.580073333333299</v>
      </c>
      <c r="AW235">
        <v>1.53297333333333</v>
      </c>
      <c r="AX235">
        <v>1.3630119999999999</v>
      </c>
      <c r="AY235">
        <v>13.3010533333333</v>
      </c>
      <c r="AZ235">
        <v>11.5122933333333</v>
      </c>
      <c r="BA235">
        <v>500.00113333333297</v>
      </c>
      <c r="BB235">
        <v>0.89997680000000002</v>
      </c>
      <c r="BC235">
        <v>0</v>
      </c>
      <c r="BD235">
        <v>0.10002320000000001</v>
      </c>
      <c r="BE235">
        <v>0</v>
      </c>
      <c r="BF235">
        <v>24</v>
      </c>
      <c r="BG235">
        <v>8244.3526666666694</v>
      </c>
      <c r="BH235">
        <v>1771003045.0999999</v>
      </c>
      <c r="BI235" t="s">
        <v>745</v>
      </c>
      <c r="BJ235">
        <v>1771003045.0999999</v>
      </c>
      <c r="BK235">
        <v>1771002434.0999999</v>
      </c>
      <c r="BL235">
        <v>12</v>
      </c>
      <c r="BM235">
        <v>3.6999999999999998E-2</v>
      </c>
      <c r="BN235">
        <v>-0.01</v>
      </c>
      <c r="BO235">
        <v>-0.872</v>
      </c>
      <c r="BP235">
        <v>9.6000000000000002E-2</v>
      </c>
      <c r="BQ235">
        <v>410</v>
      </c>
      <c r="BR235">
        <v>14</v>
      </c>
      <c r="BS235">
        <v>0.37</v>
      </c>
      <c r="BT235">
        <v>0.16</v>
      </c>
      <c r="BU235">
        <v>-0.93572730000000004</v>
      </c>
      <c r="BV235">
        <v>0.13534854135338401</v>
      </c>
      <c r="BW235">
        <v>4.1368032750059597E-2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1.6970665</v>
      </c>
      <c r="CD235">
        <v>-8.4838646616539795E-2</v>
      </c>
      <c r="CE235">
        <v>8.9386247683857899E-3</v>
      </c>
      <c r="CF235">
        <v>1</v>
      </c>
      <c r="CG235">
        <v>2</v>
      </c>
      <c r="CH235">
        <v>2</v>
      </c>
      <c r="CI235" t="s">
        <v>304</v>
      </c>
      <c r="CJ235">
        <v>3.5325299999999999</v>
      </c>
      <c r="CK235">
        <v>2.7022699999999999</v>
      </c>
      <c r="CL235">
        <v>9.8081100000000004E-2</v>
      </c>
      <c r="CM235">
        <v>9.6872700000000006E-2</v>
      </c>
      <c r="CN235">
        <v>8.6859599999999995E-2</v>
      </c>
      <c r="CO235">
        <v>7.8798400000000005E-2</v>
      </c>
      <c r="CP235">
        <v>31631.200000000001</v>
      </c>
      <c r="CQ235">
        <v>27797.599999999999</v>
      </c>
      <c r="CR235">
        <v>32459.1</v>
      </c>
      <c r="CS235">
        <v>30705.9</v>
      </c>
      <c r="CT235">
        <v>40131.4</v>
      </c>
      <c r="CU235">
        <v>39778</v>
      </c>
      <c r="CV235">
        <v>47400.1</v>
      </c>
      <c r="CW235">
        <v>46823.9</v>
      </c>
      <c r="CX235">
        <v>2.6248200000000002</v>
      </c>
      <c r="CY235">
        <v>2.1355400000000002</v>
      </c>
      <c r="CZ235">
        <v>0</v>
      </c>
      <c r="DA235">
        <v>0</v>
      </c>
      <c r="DB235">
        <v>999.9</v>
      </c>
      <c r="DC235">
        <v>999.9</v>
      </c>
      <c r="DD235">
        <v>52.588000000000001</v>
      </c>
      <c r="DE235">
        <v>27.09</v>
      </c>
      <c r="DF235">
        <v>18.853300000000001</v>
      </c>
      <c r="DG235">
        <v>30.3001</v>
      </c>
      <c r="DH235">
        <v>16.570499999999999</v>
      </c>
      <c r="DI235">
        <v>2</v>
      </c>
      <c r="DJ235">
        <v>-0.12926199999999999</v>
      </c>
      <c r="DK235">
        <v>1.9966600000000001</v>
      </c>
      <c r="DL235">
        <v>20.210999999999999</v>
      </c>
      <c r="DM235">
        <v>5.2472399999999997</v>
      </c>
      <c r="DN235">
        <v>12.033899999999999</v>
      </c>
      <c r="DO235">
        <v>4.9673999999999996</v>
      </c>
      <c r="DP235">
        <v>3.2909999999999999</v>
      </c>
      <c r="DQ235">
        <v>9999</v>
      </c>
      <c r="DR235">
        <v>9999</v>
      </c>
      <c r="DS235">
        <v>597.5</v>
      </c>
      <c r="DT235">
        <v>9999</v>
      </c>
      <c r="DU235">
        <v>1.87104</v>
      </c>
      <c r="DV235">
        <v>1.8760699999999999</v>
      </c>
      <c r="DW235">
        <v>1.8763099999999999</v>
      </c>
      <c r="DX235">
        <v>1.8827799999999999</v>
      </c>
      <c r="DY235">
        <v>1.87561</v>
      </c>
      <c r="DZ235">
        <v>1.8746700000000001</v>
      </c>
      <c r="EA235">
        <v>1.87083</v>
      </c>
      <c r="EB235">
        <v>1.8746700000000001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-0.872</v>
      </c>
      <c r="EQ235">
        <v>9.6299999999999997E-2</v>
      </c>
      <c r="ER235">
        <v>-0.90870000000001006</v>
      </c>
      <c r="ES235">
        <v>0</v>
      </c>
      <c r="ET235">
        <v>0</v>
      </c>
      <c r="EU235">
        <v>0</v>
      </c>
      <c r="EV235">
        <v>9.6329999999998306E-2</v>
      </c>
      <c r="EW235">
        <v>0</v>
      </c>
      <c r="EX235">
        <v>0</v>
      </c>
      <c r="EY235">
        <v>0</v>
      </c>
      <c r="EZ235">
        <v>-1</v>
      </c>
      <c r="FA235">
        <v>-1</v>
      </c>
      <c r="FB235">
        <v>-1</v>
      </c>
      <c r="FC235">
        <v>-1</v>
      </c>
      <c r="FD235">
        <v>10.199999999999999</v>
      </c>
      <c r="FE235">
        <v>9.8000000000000007</v>
      </c>
      <c r="FF235">
        <v>1.2402299999999999</v>
      </c>
      <c r="FG235">
        <v>2.5952099999999998</v>
      </c>
      <c r="FH235">
        <v>2.19604</v>
      </c>
      <c r="FI235">
        <v>2.5756800000000002</v>
      </c>
      <c r="FJ235">
        <v>2.4462899999999999</v>
      </c>
      <c r="FK235">
        <v>2.2424300000000001</v>
      </c>
      <c r="FL235">
        <v>31.651700000000002</v>
      </c>
      <c r="FM235">
        <v>24.14</v>
      </c>
      <c r="FN235">
        <v>19</v>
      </c>
      <c r="FO235">
        <v>865.13499999999999</v>
      </c>
      <c r="FP235">
        <v>579.06100000000004</v>
      </c>
      <c r="FQ235">
        <v>18.247299999999999</v>
      </c>
      <c r="FR235">
        <v>25.3888</v>
      </c>
      <c r="FS235">
        <v>29.9999</v>
      </c>
      <c r="FT235">
        <v>25.374400000000001</v>
      </c>
      <c r="FU235">
        <v>25.373200000000001</v>
      </c>
      <c r="FV235">
        <v>24.895800000000001</v>
      </c>
      <c r="FW235">
        <v>31.005800000000001</v>
      </c>
      <c r="FX235">
        <v>1.97593</v>
      </c>
      <c r="FY235">
        <v>18.2502</v>
      </c>
      <c r="FZ235">
        <v>410</v>
      </c>
      <c r="GA235">
        <v>13.632300000000001</v>
      </c>
      <c r="GB235">
        <v>99.882000000000005</v>
      </c>
      <c r="GC235">
        <v>99.681200000000004</v>
      </c>
    </row>
    <row r="236" spans="1:185" x14ac:dyDescent="0.2">
      <c r="A236">
        <v>221</v>
      </c>
      <c r="B236">
        <v>1771003047.0999999</v>
      </c>
      <c r="C236">
        <v>4424</v>
      </c>
      <c r="D236" t="s">
        <v>746</v>
      </c>
      <c r="E236" t="s">
        <v>747</v>
      </c>
      <c r="F236">
        <v>15</v>
      </c>
      <c r="G236">
        <v>1771003046.0999999</v>
      </c>
      <c r="H236">
        <f t="shared" si="39"/>
        <v>2.1979773234592651E-5</v>
      </c>
      <c r="I236">
        <v>0</v>
      </c>
      <c r="J236">
        <f t="shared" si="51"/>
        <v>-2.0698756714018461E-3</v>
      </c>
      <c r="K236">
        <f t="shared" si="40"/>
        <v>-3.7011973167742976E-2</v>
      </c>
      <c r="L236">
        <f t="shared" si="41"/>
        <v>62.070938790559879</v>
      </c>
      <c r="M236">
        <f t="shared" si="42"/>
        <v>1.3684089810854001</v>
      </c>
      <c r="N236">
        <f t="shared" si="43"/>
        <v>2.2045888265081564</v>
      </c>
      <c r="O236">
        <v>504</v>
      </c>
      <c r="P236">
        <v>63</v>
      </c>
      <c r="Q236">
        <f t="shared" si="44"/>
        <v>1</v>
      </c>
      <c r="R236">
        <f t="shared" si="45"/>
        <v>0</v>
      </c>
      <c r="S236">
        <f t="shared" si="46"/>
        <v>26324.91166781541</v>
      </c>
      <c r="T236">
        <f t="shared" si="47"/>
        <v>500.00400000000002</v>
      </c>
      <c r="U236">
        <f t="shared" si="48"/>
        <v>421.50310349785207</v>
      </c>
      <c r="V236">
        <f t="shared" si="49"/>
        <v>0.84299946300000006</v>
      </c>
      <c r="W236">
        <f t="shared" si="50"/>
        <v>0.15869885238000001</v>
      </c>
      <c r="X236">
        <v>1</v>
      </c>
      <c r="Y236">
        <v>1771003046.0999999</v>
      </c>
      <c r="Z236">
        <v>409.99299999999999</v>
      </c>
      <c r="AA236">
        <v>409.95800000000003</v>
      </c>
      <c r="AB236">
        <v>13.623799999999999</v>
      </c>
      <c r="AC236">
        <v>13.5967</v>
      </c>
      <c r="AD236">
        <v>410.86500000000001</v>
      </c>
      <c r="AE236">
        <v>13.524800000000001</v>
      </c>
      <c r="AF236">
        <v>800.01199999999994</v>
      </c>
      <c r="AG236">
        <v>100.367</v>
      </c>
      <c r="AH236">
        <v>7.5533000000000003E-2</v>
      </c>
      <c r="AI236">
        <v>18.995699999999999</v>
      </c>
      <c r="AJ236">
        <v>999.9</v>
      </c>
      <c r="AK236">
        <v>999.9</v>
      </c>
      <c r="AL236">
        <v>0</v>
      </c>
      <c r="AM236">
        <v>0</v>
      </c>
      <c r="AN236">
        <v>5001</v>
      </c>
      <c r="AO236">
        <v>0</v>
      </c>
      <c r="AP236">
        <v>1.7502500000000001</v>
      </c>
      <c r="AQ236">
        <v>3.5461399999999997E-2</v>
      </c>
      <c r="AR236">
        <v>415.65499999999997</v>
      </c>
      <c r="AS236">
        <v>415.60899999999998</v>
      </c>
      <c r="AT236">
        <v>2.4520900000000002E-2</v>
      </c>
      <c r="AU236">
        <v>409.95800000000003</v>
      </c>
      <c r="AV236">
        <v>13.5967</v>
      </c>
      <c r="AW236">
        <v>1.3671199999999999</v>
      </c>
      <c r="AX236">
        <v>1.36466</v>
      </c>
      <c r="AY236">
        <v>11.5578</v>
      </c>
      <c r="AZ236">
        <v>11.5305</v>
      </c>
      <c r="BA236">
        <v>500.00400000000002</v>
      </c>
      <c r="BB236">
        <v>0.90001500000000001</v>
      </c>
      <c r="BC236">
        <v>0</v>
      </c>
      <c r="BD236">
        <v>9.9984900000000002E-2</v>
      </c>
      <c r="BE236">
        <v>0</v>
      </c>
      <c r="BF236">
        <v>24</v>
      </c>
      <c r="BG236">
        <v>8244.5</v>
      </c>
      <c r="BH236">
        <v>1771003067.0999999</v>
      </c>
      <c r="BI236" t="s">
        <v>748</v>
      </c>
      <c r="BJ236">
        <v>1771003045.0999999</v>
      </c>
      <c r="BK236">
        <v>1771003067.0999999</v>
      </c>
      <c r="BL236">
        <v>13</v>
      </c>
      <c r="BM236">
        <v>3.6999999999999998E-2</v>
      </c>
      <c r="BN236">
        <v>2E-3</v>
      </c>
      <c r="BO236">
        <v>-0.872</v>
      </c>
      <c r="BP236">
        <v>9.9000000000000005E-2</v>
      </c>
      <c r="BQ236">
        <v>410</v>
      </c>
      <c r="BR236">
        <v>14</v>
      </c>
      <c r="BS236">
        <v>0.37</v>
      </c>
      <c r="BT236">
        <v>7.0000000000000007E-2</v>
      </c>
      <c r="BU236">
        <v>-2.7169812500000001E-2</v>
      </c>
      <c r="BV236">
        <v>7.2716528571428699E-2</v>
      </c>
      <c r="BW236">
        <v>4.7787819973436799E-2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4.8173870000000001E-2</v>
      </c>
      <c r="CD236">
        <v>-0.373276312781955</v>
      </c>
      <c r="CE236">
        <v>7.5540371812641297E-2</v>
      </c>
      <c r="CF236">
        <v>0</v>
      </c>
      <c r="CG236">
        <v>1</v>
      </c>
      <c r="CH236">
        <v>2</v>
      </c>
      <c r="CI236" t="s">
        <v>290</v>
      </c>
      <c r="CJ236">
        <v>3.5337900000000002</v>
      </c>
      <c r="CK236">
        <v>2.7126100000000002</v>
      </c>
      <c r="CL236">
        <v>9.8218100000000003E-2</v>
      </c>
      <c r="CM236">
        <v>9.6853900000000007E-2</v>
      </c>
      <c r="CN236">
        <v>7.9635700000000004E-2</v>
      </c>
      <c r="CO236">
        <v>7.8821799999999997E-2</v>
      </c>
      <c r="CP236">
        <v>31627.7</v>
      </c>
      <c r="CQ236">
        <v>27800.2</v>
      </c>
      <c r="CR236">
        <v>32460.5</v>
      </c>
      <c r="CS236">
        <v>30708</v>
      </c>
      <c r="CT236">
        <v>40460.300000000003</v>
      </c>
      <c r="CU236">
        <v>39779.800000000003</v>
      </c>
      <c r="CV236">
        <v>47402.2</v>
      </c>
      <c r="CW236">
        <v>46827.3</v>
      </c>
      <c r="CX236">
        <v>1.6445399999999999</v>
      </c>
      <c r="CY236">
        <v>1.5854200000000001</v>
      </c>
      <c r="CZ236">
        <v>0</v>
      </c>
      <c r="DA236">
        <v>0</v>
      </c>
      <c r="DB236">
        <v>999.9</v>
      </c>
      <c r="DC236">
        <v>999.9</v>
      </c>
      <c r="DD236">
        <v>52.491</v>
      </c>
      <c r="DE236">
        <v>27.12</v>
      </c>
      <c r="DF236">
        <v>18.8507</v>
      </c>
      <c r="DG236">
        <v>30.530100000000001</v>
      </c>
      <c r="DH236">
        <v>16.738800000000001</v>
      </c>
      <c r="DI236">
        <v>2</v>
      </c>
      <c r="DJ236">
        <v>-0.13055900000000001</v>
      </c>
      <c r="DK236">
        <v>1.96143</v>
      </c>
      <c r="DL236">
        <v>20.2102</v>
      </c>
      <c r="DM236">
        <v>5.2425699999999997</v>
      </c>
      <c r="DN236">
        <v>12.033899999999999</v>
      </c>
      <c r="DO236">
        <v>4.9660000000000002</v>
      </c>
      <c r="DP236">
        <v>3.2901600000000002</v>
      </c>
      <c r="DQ236">
        <v>9999</v>
      </c>
      <c r="DR236">
        <v>9999</v>
      </c>
      <c r="DS236">
        <v>597.6</v>
      </c>
      <c r="DT236">
        <v>9999</v>
      </c>
      <c r="DU236">
        <v>1.87104</v>
      </c>
      <c r="DV236">
        <v>1.87608</v>
      </c>
      <c r="DW236">
        <v>1.87629</v>
      </c>
      <c r="DX236">
        <v>1.88279</v>
      </c>
      <c r="DY236">
        <v>1.8755999999999999</v>
      </c>
      <c r="DZ236">
        <v>1.8746499999999999</v>
      </c>
      <c r="EA236">
        <v>1.8708400000000001</v>
      </c>
      <c r="EB236">
        <v>1.87466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-0.871</v>
      </c>
      <c r="EQ236">
        <v>9.9000000000000005E-2</v>
      </c>
      <c r="ER236">
        <v>-0.87179999999995095</v>
      </c>
      <c r="ES236">
        <v>0</v>
      </c>
      <c r="ET236">
        <v>0</v>
      </c>
      <c r="EU236">
        <v>0</v>
      </c>
      <c r="EV236">
        <v>9.6329999999998306E-2</v>
      </c>
      <c r="EW236">
        <v>0</v>
      </c>
      <c r="EX236">
        <v>0</v>
      </c>
      <c r="EY236">
        <v>0</v>
      </c>
      <c r="EZ236">
        <v>-1</v>
      </c>
      <c r="FA236">
        <v>-1</v>
      </c>
      <c r="FB236">
        <v>-1</v>
      </c>
      <c r="FC236">
        <v>-1</v>
      </c>
      <c r="FD236">
        <v>0</v>
      </c>
      <c r="FE236">
        <v>10.199999999999999</v>
      </c>
      <c r="FF236">
        <v>1.2402299999999999</v>
      </c>
      <c r="FG236">
        <v>2.5964399999999999</v>
      </c>
      <c r="FH236">
        <v>2.19604</v>
      </c>
      <c r="FI236">
        <v>2.5756800000000002</v>
      </c>
      <c r="FJ236">
        <v>2.4462899999999999</v>
      </c>
      <c r="FK236">
        <v>2.2924799999999999</v>
      </c>
      <c r="FL236">
        <v>31.6736</v>
      </c>
      <c r="FM236">
        <v>24.113800000000001</v>
      </c>
      <c r="FN236">
        <v>19</v>
      </c>
      <c r="FO236">
        <v>272.56700000000001</v>
      </c>
      <c r="FP236">
        <v>266.47899999999998</v>
      </c>
      <c r="FQ236">
        <v>18.264099999999999</v>
      </c>
      <c r="FR236">
        <v>25.3733</v>
      </c>
      <c r="FS236">
        <v>29.9999</v>
      </c>
      <c r="FT236">
        <v>25.383800000000001</v>
      </c>
      <c r="FU236">
        <v>25.380400000000002</v>
      </c>
      <c r="FV236">
        <v>24.8979</v>
      </c>
      <c r="FW236">
        <v>26.709800000000001</v>
      </c>
      <c r="FX236">
        <v>1.97593</v>
      </c>
      <c r="FY236">
        <v>18.265999999999998</v>
      </c>
      <c r="FZ236">
        <v>410</v>
      </c>
      <c r="GA236">
        <v>14.773</v>
      </c>
      <c r="GB236">
        <v>99.886300000000006</v>
      </c>
      <c r="GC236">
        <v>99.688299999999998</v>
      </c>
    </row>
    <row r="237" spans="1:185" x14ac:dyDescent="0.2">
      <c r="A237">
        <v>222</v>
      </c>
      <c r="B237">
        <v>1771003069.0999999</v>
      </c>
      <c r="C237">
        <v>4446</v>
      </c>
      <c r="D237" t="s">
        <v>749</v>
      </c>
      <c r="E237" t="s">
        <v>750</v>
      </c>
      <c r="F237">
        <v>15</v>
      </c>
      <c r="G237">
        <v>1771003068.0999999</v>
      </c>
      <c r="H237">
        <f t="shared" si="39"/>
        <v>-6.4941921847778622E-7</v>
      </c>
      <c r="I237">
        <v>0</v>
      </c>
      <c r="J237">
        <f t="shared" si="51"/>
        <v>-1.2378672972557759E-3</v>
      </c>
      <c r="K237">
        <f t="shared" si="40"/>
        <v>-2.2134619882858936E-2</v>
      </c>
      <c r="L237">
        <f t="shared" si="41"/>
        <v>65.922541175858868</v>
      </c>
      <c r="M237">
        <f t="shared" si="42"/>
        <v>1.4538380151630501</v>
      </c>
      <c r="N237">
        <f t="shared" si="43"/>
        <v>2.2053731382786141</v>
      </c>
      <c r="O237">
        <v>473</v>
      </c>
      <c r="P237">
        <v>59</v>
      </c>
      <c r="Q237">
        <f t="shared" si="44"/>
        <v>1</v>
      </c>
      <c r="R237">
        <f t="shared" si="45"/>
        <v>0</v>
      </c>
      <c r="S237">
        <f t="shared" si="46"/>
        <v>26433.637784383191</v>
      </c>
      <c r="T237">
        <f t="shared" si="47"/>
        <v>500.00200000000001</v>
      </c>
      <c r="U237">
        <f t="shared" si="48"/>
        <v>421.50147449915397</v>
      </c>
      <c r="V237">
        <f t="shared" si="49"/>
        <v>0.84299957699999994</v>
      </c>
      <c r="W237">
        <f t="shared" si="50"/>
        <v>0.15869874762</v>
      </c>
      <c r="X237">
        <v>1</v>
      </c>
      <c r="Y237">
        <v>1771003068.0999999</v>
      </c>
      <c r="Z237">
        <v>409.67700000000002</v>
      </c>
      <c r="AA237">
        <v>409.649</v>
      </c>
      <c r="AB237">
        <v>14.474500000000001</v>
      </c>
      <c r="AC237">
        <v>14.475300000000001</v>
      </c>
      <c r="AD237">
        <v>410.548</v>
      </c>
      <c r="AE237">
        <v>14.3758</v>
      </c>
      <c r="AF237">
        <v>800.024</v>
      </c>
      <c r="AG237">
        <v>100.366</v>
      </c>
      <c r="AH237">
        <v>7.5328900000000004E-2</v>
      </c>
      <c r="AI237">
        <v>19.0014</v>
      </c>
      <c r="AJ237">
        <v>999.9</v>
      </c>
      <c r="AK237">
        <v>999.9</v>
      </c>
      <c r="AL237">
        <v>0</v>
      </c>
      <c r="AM237">
        <v>0</v>
      </c>
      <c r="AN237">
        <v>5019</v>
      </c>
      <c r="AO237">
        <v>0</v>
      </c>
      <c r="AP237">
        <v>1.7502500000000001</v>
      </c>
      <c r="AQ237">
        <v>2.76794E-2</v>
      </c>
      <c r="AR237">
        <v>415.69299999999998</v>
      </c>
      <c r="AS237">
        <v>415.666</v>
      </c>
      <c r="AT237">
        <v>-7.6484700000000003E-4</v>
      </c>
      <c r="AU237">
        <v>409.649</v>
      </c>
      <c r="AV237">
        <v>14.475300000000001</v>
      </c>
      <c r="AW237">
        <v>1.45275</v>
      </c>
      <c r="AX237">
        <v>1.4528300000000001</v>
      </c>
      <c r="AY237">
        <v>12.479699999999999</v>
      </c>
      <c r="AZ237">
        <v>12.480499999999999</v>
      </c>
      <c r="BA237">
        <v>500.00200000000001</v>
      </c>
      <c r="BB237">
        <v>0.90001699999999996</v>
      </c>
      <c r="BC237">
        <v>0</v>
      </c>
      <c r="BD237">
        <v>9.9983100000000005E-2</v>
      </c>
      <c r="BE237">
        <v>0</v>
      </c>
      <c r="BF237">
        <v>24</v>
      </c>
      <c r="BG237">
        <v>8244.4699999999993</v>
      </c>
      <c r="BH237">
        <v>1771003067.0999999</v>
      </c>
      <c r="BI237" t="s">
        <v>748</v>
      </c>
      <c r="BJ237">
        <v>1771003045.0999999</v>
      </c>
      <c r="BK237">
        <v>1771003067.0999999</v>
      </c>
      <c r="BL237">
        <v>13</v>
      </c>
      <c r="BM237">
        <v>3.6999999999999998E-2</v>
      </c>
      <c r="BN237">
        <v>2E-3</v>
      </c>
      <c r="BO237">
        <v>-0.872</v>
      </c>
      <c r="BP237">
        <v>9.9000000000000005E-2</v>
      </c>
      <c r="BQ237">
        <v>410</v>
      </c>
      <c r="BR237">
        <v>14</v>
      </c>
      <c r="BS237">
        <v>0.37</v>
      </c>
      <c r="BT237">
        <v>7.0000000000000007E-2</v>
      </c>
      <c r="BU237">
        <v>8.2214349999999992E-3</v>
      </c>
      <c r="BV237">
        <v>0.25684608270676701</v>
      </c>
      <c r="BW237">
        <v>4.1594078482498902E-2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0.13485482339999999</v>
      </c>
      <c r="CD237">
        <v>-1.9041176534436099</v>
      </c>
      <c r="CE237">
        <v>0.24219126732500901</v>
      </c>
      <c r="CF237">
        <v>0</v>
      </c>
      <c r="CG237">
        <v>1</v>
      </c>
      <c r="CH237">
        <v>2</v>
      </c>
      <c r="CI237" t="s">
        <v>290</v>
      </c>
      <c r="CJ237">
        <v>3.53362</v>
      </c>
      <c r="CK237">
        <v>2.7118899999999999</v>
      </c>
      <c r="CL237">
        <v>9.8166799999999999E-2</v>
      </c>
      <c r="CM237">
        <v>9.6809800000000001E-2</v>
      </c>
      <c r="CN237">
        <v>8.3623900000000001E-2</v>
      </c>
      <c r="CO237">
        <v>8.2577300000000006E-2</v>
      </c>
      <c r="CP237">
        <v>31631.3</v>
      </c>
      <c r="CQ237">
        <v>27802.799999999999</v>
      </c>
      <c r="CR237">
        <v>32462.2</v>
      </c>
      <c r="CS237">
        <v>30709.3</v>
      </c>
      <c r="CT237">
        <v>40281.599999999999</v>
      </c>
      <c r="CU237">
        <v>39614.6</v>
      </c>
      <c r="CV237">
        <v>47404.4</v>
      </c>
      <c r="CW237">
        <v>46829</v>
      </c>
      <c r="CX237">
        <v>1.69668</v>
      </c>
      <c r="CY237">
        <v>1.60958</v>
      </c>
      <c r="CZ237">
        <v>0</v>
      </c>
      <c r="DA237">
        <v>0</v>
      </c>
      <c r="DB237">
        <v>999.9</v>
      </c>
      <c r="DC237">
        <v>999.9</v>
      </c>
      <c r="DD237">
        <v>52.466000000000001</v>
      </c>
      <c r="DE237">
        <v>27.13</v>
      </c>
      <c r="DF237">
        <v>18.852</v>
      </c>
      <c r="DG237">
        <v>30.510100000000001</v>
      </c>
      <c r="DH237">
        <v>16.818899999999999</v>
      </c>
      <c r="DI237">
        <v>2</v>
      </c>
      <c r="DJ237">
        <v>-0.13117899999999999</v>
      </c>
      <c r="DK237">
        <v>2.11355</v>
      </c>
      <c r="DL237">
        <v>20.2074</v>
      </c>
      <c r="DM237">
        <v>5.2400500000000001</v>
      </c>
      <c r="DN237">
        <v>12.033899999999999</v>
      </c>
      <c r="DO237">
        <v>4.96556</v>
      </c>
      <c r="DP237">
        <v>3.28972</v>
      </c>
      <c r="DQ237">
        <v>9999</v>
      </c>
      <c r="DR237">
        <v>9999</v>
      </c>
      <c r="DS237">
        <v>597.6</v>
      </c>
      <c r="DT237">
        <v>9999</v>
      </c>
      <c r="DU237">
        <v>1.8710500000000001</v>
      </c>
      <c r="DV237">
        <v>1.87609</v>
      </c>
      <c r="DW237">
        <v>1.87635</v>
      </c>
      <c r="DX237">
        <v>1.8827799999999999</v>
      </c>
      <c r="DY237">
        <v>1.87561</v>
      </c>
      <c r="DZ237">
        <v>1.87469</v>
      </c>
      <c r="EA237">
        <v>1.87083</v>
      </c>
      <c r="EB237">
        <v>1.8746799999999999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-0.872</v>
      </c>
      <c r="EQ237">
        <v>9.8699999999999996E-2</v>
      </c>
      <c r="ER237">
        <v>-0.87179999999995095</v>
      </c>
      <c r="ES237">
        <v>0</v>
      </c>
      <c r="ET237">
        <v>0</v>
      </c>
      <c r="EU237">
        <v>0</v>
      </c>
      <c r="EV237">
        <v>9.8709999999998702E-2</v>
      </c>
      <c r="EW237">
        <v>0</v>
      </c>
      <c r="EX237">
        <v>0</v>
      </c>
      <c r="EY237">
        <v>0</v>
      </c>
      <c r="EZ237">
        <v>-1</v>
      </c>
      <c r="FA237">
        <v>-1</v>
      </c>
      <c r="FB237">
        <v>-1</v>
      </c>
      <c r="FC237">
        <v>-1</v>
      </c>
      <c r="FD237">
        <v>0.4</v>
      </c>
      <c r="FE237">
        <v>0</v>
      </c>
      <c r="FF237">
        <v>1.2402299999999999</v>
      </c>
      <c r="FG237">
        <v>2.5915499999999998</v>
      </c>
      <c r="FH237">
        <v>2.19604</v>
      </c>
      <c r="FI237">
        <v>2.5744600000000002</v>
      </c>
      <c r="FJ237">
        <v>2.4462899999999999</v>
      </c>
      <c r="FK237">
        <v>2.2985799999999998</v>
      </c>
      <c r="FL237">
        <v>31.6736</v>
      </c>
      <c r="FM237">
        <v>24.148800000000001</v>
      </c>
      <c r="FN237">
        <v>19</v>
      </c>
      <c r="FO237">
        <v>301.959</v>
      </c>
      <c r="FP237">
        <v>280.22000000000003</v>
      </c>
      <c r="FQ237">
        <v>18.205500000000001</v>
      </c>
      <c r="FR237">
        <v>25.361000000000001</v>
      </c>
      <c r="FS237">
        <v>30</v>
      </c>
      <c r="FT237">
        <v>25.379100000000001</v>
      </c>
      <c r="FU237">
        <v>25.375699999999998</v>
      </c>
      <c r="FV237">
        <v>24.9038</v>
      </c>
      <c r="FW237">
        <v>30.3612</v>
      </c>
      <c r="FX237">
        <v>1.97593</v>
      </c>
      <c r="FY237">
        <v>18.205200000000001</v>
      </c>
      <c r="FZ237">
        <v>410</v>
      </c>
      <c r="GA237">
        <v>13.911099999999999</v>
      </c>
      <c r="GB237">
        <v>99.891199999999998</v>
      </c>
      <c r="GC237">
        <v>99.692099999999996</v>
      </c>
    </row>
    <row r="238" spans="1:185" x14ac:dyDescent="0.2">
      <c r="A238">
        <v>223</v>
      </c>
      <c r="B238">
        <v>1771003084.0999999</v>
      </c>
      <c r="C238">
        <v>4461</v>
      </c>
      <c r="D238" t="s">
        <v>751</v>
      </c>
      <c r="E238" t="s">
        <v>752</v>
      </c>
      <c r="F238">
        <v>15</v>
      </c>
      <c r="G238">
        <v>1771003076.03333</v>
      </c>
      <c r="H238">
        <f t="shared" si="39"/>
        <v>1.2251138419729865E-3</v>
      </c>
      <c r="I238">
        <v>0</v>
      </c>
      <c r="J238">
        <f t="shared" si="51"/>
        <v>9.4123865570238593E-3</v>
      </c>
      <c r="K238">
        <f t="shared" si="40"/>
        <v>0.16830527722327093</v>
      </c>
      <c r="L238">
        <f t="shared" si="41"/>
        <v>70.200219491434254</v>
      </c>
      <c r="M238">
        <f t="shared" si="42"/>
        <v>1.5475721114413612</v>
      </c>
      <c r="N238">
        <f t="shared" si="43"/>
        <v>2.2045117845111495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26320.051886693134</v>
      </c>
      <c r="T238">
        <f t="shared" si="47"/>
        <v>499.99933333333303</v>
      </c>
      <c r="U238">
        <f t="shared" si="48"/>
        <v>421.49956439983123</v>
      </c>
      <c r="V238">
        <f t="shared" si="49"/>
        <v>0.84300025280000002</v>
      </c>
      <c r="W238">
        <f t="shared" si="50"/>
        <v>0.15870055404800001</v>
      </c>
      <c r="X238">
        <v>1</v>
      </c>
      <c r="Y238">
        <v>1771003076.03333</v>
      </c>
      <c r="Z238">
        <v>409.12446666666699</v>
      </c>
      <c r="AA238">
        <v>409.96100000000001</v>
      </c>
      <c r="AB238">
        <v>15.4091</v>
      </c>
      <c r="AC238">
        <v>13.9019866666667</v>
      </c>
      <c r="AD238">
        <v>409.99619999999999</v>
      </c>
      <c r="AE238">
        <v>15.3103866666667</v>
      </c>
      <c r="AF238">
        <v>800.36180000000002</v>
      </c>
      <c r="AG238">
        <v>100.366066666667</v>
      </c>
      <c r="AH238">
        <v>6.6282493333333303E-2</v>
      </c>
      <c r="AI238">
        <v>18.995139999999999</v>
      </c>
      <c r="AJ238">
        <v>999.9</v>
      </c>
      <c r="AK238">
        <v>999.9</v>
      </c>
      <c r="AL238">
        <v>0</v>
      </c>
      <c r="AM238">
        <v>0</v>
      </c>
      <c r="AN238">
        <v>5000.2333333333299</v>
      </c>
      <c r="AO238">
        <v>0</v>
      </c>
      <c r="AP238">
        <v>1.7502500000000001</v>
      </c>
      <c r="AQ238">
        <v>-0.83657824000000003</v>
      </c>
      <c r="AR238">
        <v>415.527266666667</v>
      </c>
      <c r="AS238">
        <v>415.74079999999998</v>
      </c>
      <c r="AT238">
        <v>1.5070992102</v>
      </c>
      <c r="AU238">
        <v>409.96100000000001</v>
      </c>
      <c r="AV238">
        <v>13.9019866666667</v>
      </c>
      <c r="AW238">
        <v>1.54654933333333</v>
      </c>
      <c r="AX238">
        <v>1.39528866666667</v>
      </c>
      <c r="AY238">
        <v>13.4327666666667</v>
      </c>
      <c r="AZ238">
        <v>11.8626133333333</v>
      </c>
      <c r="BA238">
        <v>499.99933333333303</v>
      </c>
      <c r="BB238">
        <v>0.89999273333333296</v>
      </c>
      <c r="BC238">
        <v>0</v>
      </c>
      <c r="BD238">
        <v>0.100007306666667</v>
      </c>
      <c r="BE238">
        <v>0</v>
      </c>
      <c r="BF238">
        <v>24</v>
      </c>
      <c r="BG238">
        <v>8244.3606666666601</v>
      </c>
      <c r="BH238">
        <v>1771003067.0999999</v>
      </c>
      <c r="BI238" t="s">
        <v>748</v>
      </c>
      <c r="BJ238">
        <v>1771003045.0999999</v>
      </c>
      <c r="BK238">
        <v>1771003067.0999999</v>
      </c>
      <c r="BL238">
        <v>13</v>
      </c>
      <c r="BM238">
        <v>3.6999999999999998E-2</v>
      </c>
      <c r="BN238">
        <v>2E-3</v>
      </c>
      <c r="BO238">
        <v>-0.872</v>
      </c>
      <c r="BP238">
        <v>9.9000000000000005E-2</v>
      </c>
      <c r="BQ238">
        <v>410</v>
      </c>
      <c r="BR238">
        <v>14</v>
      </c>
      <c r="BS238">
        <v>0.37</v>
      </c>
      <c r="BT238">
        <v>7.0000000000000007E-2</v>
      </c>
      <c r="BU238">
        <v>-0.57676992000000005</v>
      </c>
      <c r="BV238">
        <v>-4.22339328721805</v>
      </c>
      <c r="BW238">
        <v>0.48445325307750797</v>
      </c>
      <c r="BX238">
        <v>0</v>
      </c>
      <c r="BY238">
        <v>0</v>
      </c>
      <c r="BZ238">
        <v>0</v>
      </c>
      <c r="CA238">
        <v>0</v>
      </c>
      <c r="CB238">
        <v>-1</v>
      </c>
      <c r="CC238">
        <v>1.03907083015</v>
      </c>
      <c r="CD238">
        <v>8.4862908276541393</v>
      </c>
      <c r="CE238">
        <v>0.87887955928871597</v>
      </c>
      <c r="CF238">
        <v>0</v>
      </c>
      <c r="CG238">
        <v>0</v>
      </c>
      <c r="CH238">
        <v>2</v>
      </c>
      <c r="CI238" t="s">
        <v>299</v>
      </c>
      <c r="CJ238">
        <v>3.5325000000000002</v>
      </c>
      <c r="CK238">
        <v>2.7023799999999998</v>
      </c>
      <c r="CL238">
        <v>9.8067500000000002E-2</v>
      </c>
      <c r="CM238">
        <v>9.6859100000000004E-2</v>
      </c>
      <c r="CN238">
        <v>8.7779300000000005E-2</v>
      </c>
      <c r="CO238">
        <v>7.8959199999999993E-2</v>
      </c>
      <c r="CP238">
        <v>31634</v>
      </c>
      <c r="CQ238">
        <v>27800.9</v>
      </c>
      <c r="CR238">
        <v>32461.3</v>
      </c>
      <c r="CS238">
        <v>30708.9</v>
      </c>
      <c r="CT238">
        <v>40092.300000000003</v>
      </c>
      <c r="CU238">
        <v>39775</v>
      </c>
      <c r="CV238">
        <v>47403.3</v>
      </c>
      <c r="CW238">
        <v>46828.800000000003</v>
      </c>
      <c r="CX238">
        <v>2.6222799999999999</v>
      </c>
      <c r="CY238">
        <v>2.13524</v>
      </c>
      <c r="CZ238">
        <v>0</v>
      </c>
      <c r="DA238">
        <v>0</v>
      </c>
      <c r="DB238">
        <v>999.9</v>
      </c>
      <c r="DC238">
        <v>999.9</v>
      </c>
      <c r="DD238">
        <v>52.454000000000001</v>
      </c>
      <c r="DE238">
        <v>27.15</v>
      </c>
      <c r="DF238">
        <v>18.871700000000001</v>
      </c>
      <c r="DG238">
        <v>30.3001</v>
      </c>
      <c r="DH238">
        <v>16.5304</v>
      </c>
      <c r="DI238">
        <v>2</v>
      </c>
      <c r="DJ238">
        <v>-0.13204299999999999</v>
      </c>
      <c r="DK238">
        <v>2.0240300000000002</v>
      </c>
      <c r="DL238">
        <v>20.210599999999999</v>
      </c>
      <c r="DM238">
        <v>5.2478400000000001</v>
      </c>
      <c r="DN238">
        <v>12.033899999999999</v>
      </c>
      <c r="DO238">
        <v>4.9673999999999996</v>
      </c>
      <c r="DP238">
        <v>3.2909999999999999</v>
      </c>
      <c r="DQ238">
        <v>9999</v>
      </c>
      <c r="DR238">
        <v>9999</v>
      </c>
      <c r="DS238">
        <v>597.6</v>
      </c>
      <c r="DT238">
        <v>9999</v>
      </c>
      <c r="DU238">
        <v>1.87104</v>
      </c>
      <c r="DV238">
        <v>1.87609</v>
      </c>
      <c r="DW238">
        <v>1.87635</v>
      </c>
      <c r="DX238">
        <v>1.88279</v>
      </c>
      <c r="DY238">
        <v>1.87561</v>
      </c>
      <c r="DZ238">
        <v>1.8746799999999999</v>
      </c>
      <c r="EA238">
        <v>1.87086</v>
      </c>
      <c r="EB238">
        <v>1.8746499999999999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-0.872</v>
      </c>
      <c r="EQ238">
        <v>9.8699999999999996E-2</v>
      </c>
      <c r="ER238">
        <v>-0.87179999999995095</v>
      </c>
      <c r="ES238">
        <v>0</v>
      </c>
      <c r="ET238">
        <v>0</v>
      </c>
      <c r="EU238">
        <v>0</v>
      </c>
      <c r="EV238">
        <v>9.8709999999998702E-2</v>
      </c>
      <c r="EW238">
        <v>0</v>
      </c>
      <c r="EX238">
        <v>0</v>
      </c>
      <c r="EY238">
        <v>0</v>
      </c>
      <c r="EZ238">
        <v>-1</v>
      </c>
      <c r="FA238">
        <v>-1</v>
      </c>
      <c r="FB238">
        <v>-1</v>
      </c>
      <c r="FC238">
        <v>-1</v>
      </c>
      <c r="FD238">
        <v>0.7</v>
      </c>
      <c r="FE238">
        <v>0.3</v>
      </c>
      <c r="FF238">
        <v>1.2402299999999999</v>
      </c>
      <c r="FG238">
        <v>2.5964399999999999</v>
      </c>
      <c r="FH238">
        <v>2.19604</v>
      </c>
      <c r="FI238">
        <v>2.5756800000000002</v>
      </c>
      <c r="FJ238">
        <v>2.4462899999999999</v>
      </c>
      <c r="FK238">
        <v>2.2741699999999998</v>
      </c>
      <c r="FL238">
        <v>31.651700000000002</v>
      </c>
      <c r="FM238">
        <v>24.14</v>
      </c>
      <c r="FN238">
        <v>19</v>
      </c>
      <c r="FO238">
        <v>862.51599999999996</v>
      </c>
      <c r="FP238">
        <v>578.625</v>
      </c>
      <c r="FQ238">
        <v>18.202300000000001</v>
      </c>
      <c r="FR238">
        <v>25.353300000000001</v>
      </c>
      <c r="FS238">
        <v>29.9999</v>
      </c>
      <c r="FT238">
        <v>25.3582</v>
      </c>
      <c r="FU238">
        <v>25.354900000000001</v>
      </c>
      <c r="FV238">
        <v>24.8992</v>
      </c>
      <c r="FW238">
        <v>31.137</v>
      </c>
      <c r="FX238">
        <v>1.60206</v>
      </c>
      <c r="FY238">
        <v>18.213899999999999</v>
      </c>
      <c r="FZ238">
        <v>410</v>
      </c>
      <c r="GA238">
        <v>13.599399999999999</v>
      </c>
      <c r="GB238">
        <v>99.888800000000003</v>
      </c>
      <c r="GC238">
        <v>99.691299999999998</v>
      </c>
    </row>
    <row r="239" spans="1:185" x14ac:dyDescent="0.2">
      <c r="A239">
        <v>224</v>
      </c>
      <c r="B239">
        <v>1771003099.0999999</v>
      </c>
      <c r="C239">
        <v>4476</v>
      </c>
      <c r="D239" t="s">
        <v>753</v>
      </c>
      <c r="E239" t="s">
        <v>754</v>
      </c>
      <c r="F239">
        <v>15</v>
      </c>
      <c r="G239">
        <v>1771003091.03333</v>
      </c>
      <c r="H239">
        <f t="shared" si="39"/>
        <v>1.4804950532262716E-3</v>
      </c>
      <c r="I239">
        <v>0</v>
      </c>
      <c r="J239">
        <f t="shared" si="51"/>
        <v>8.2750418815080214E-3</v>
      </c>
      <c r="K239">
        <f t="shared" si="40"/>
        <v>0.14796812789866537</v>
      </c>
      <c r="L239">
        <f t="shared" si="41"/>
        <v>70.367641049815305</v>
      </c>
      <c r="M239">
        <f t="shared" si="42"/>
        <v>1.5505654226438852</v>
      </c>
      <c r="N239">
        <f t="shared" si="43"/>
        <v>2.2035205380072282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26321.037275673072</v>
      </c>
      <c r="T239">
        <f t="shared" si="47"/>
        <v>500.000133333333</v>
      </c>
      <c r="U239">
        <f t="shared" si="48"/>
        <v>421.50025930003898</v>
      </c>
      <c r="V239">
        <f t="shared" si="49"/>
        <v>0.84300029380000019</v>
      </c>
      <c r="W239">
        <f t="shared" si="50"/>
        <v>0.15870072150800008</v>
      </c>
      <c r="X239">
        <v>1</v>
      </c>
      <c r="Y239">
        <v>1771003091.03333</v>
      </c>
      <c r="Z239">
        <v>409.039733333333</v>
      </c>
      <c r="AA239">
        <v>409.98166666666702</v>
      </c>
      <c r="AB239">
        <v>15.4392333333333</v>
      </c>
      <c r="AC239">
        <v>13.617193333333301</v>
      </c>
      <c r="AD239">
        <v>409.91140000000001</v>
      </c>
      <c r="AE239">
        <v>15.34052</v>
      </c>
      <c r="AF239">
        <v>800.00293333333298</v>
      </c>
      <c r="AG239">
        <v>100.36579999999999</v>
      </c>
      <c r="AH239">
        <v>6.4408493333333303E-2</v>
      </c>
      <c r="AI239">
        <v>18.987933333333299</v>
      </c>
      <c r="AJ239">
        <v>999.9</v>
      </c>
      <c r="AK239">
        <v>999.9</v>
      </c>
      <c r="AL239">
        <v>0</v>
      </c>
      <c r="AM239">
        <v>0</v>
      </c>
      <c r="AN239">
        <v>5000.3</v>
      </c>
      <c r="AO239">
        <v>0</v>
      </c>
      <c r="AP239">
        <v>1.7502500000000001</v>
      </c>
      <c r="AQ239">
        <v>-0.94190873333333303</v>
      </c>
      <c r="AR239">
        <v>415.45400000000001</v>
      </c>
      <c r="AS239">
        <v>415.64146666666699</v>
      </c>
      <c r="AT239">
        <v>1.82202666666667</v>
      </c>
      <c r="AU239">
        <v>409.98166666666702</v>
      </c>
      <c r="AV239">
        <v>13.617193333333301</v>
      </c>
      <c r="AW239">
        <v>1.5495713333333301</v>
      </c>
      <c r="AX239">
        <v>1.3667020000000001</v>
      </c>
      <c r="AY239">
        <v>13.46622</v>
      </c>
      <c r="AZ239">
        <v>11.553140000000001</v>
      </c>
      <c r="BA239">
        <v>500.000133333333</v>
      </c>
      <c r="BB239">
        <v>0.89999039999999997</v>
      </c>
      <c r="BC239">
        <v>0</v>
      </c>
      <c r="BD239">
        <v>0.100009606666667</v>
      </c>
      <c r="BE239">
        <v>0</v>
      </c>
      <c r="BF239">
        <v>24</v>
      </c>
      <c r="BG239">
        <v>8244.3693333333304</v>
      </c>
      <c r="BH239">
        <v>1771003067.0999999</v>
      </c>
      <c r="BI239" t="s">
        <v>748</v>
      </c>
      <c r="BJ239">
        <v>1771003045.0999999</v>
      </c>
      <c r="BK239">
        <v>1771003067.0999999</v>
      </c>
      <c r="BL239">
        <v>13</v>
      </c>
      <c r="BM239">
        <v>3.6999999999999998E-2</v>
      </c>
      <c r="BN239">
        <v>2E-3</v>
      </c>
      <c r="BO239">
        <v>-0.872</v>
      </c>
      <c r="BP239">
        <v>9.9000000000000005E-2</v>
      </c>
      <c r="BQ239">
        <v>410</v>
      </c>
      <c r="BR239">
        <v>14</v>
      </c>
      <c r="BS239">
        <v>0.37</v>
      </c>
      <c r="BT239">
        <v>7.0000000000000007E-2</v>
      </c>
      <c r="BU239">
        <v>-0.93353114999999998</v>
      </c>
      <c r="BV239">
        <v>-9.0832466165412906E-2</v>
      </c>
      <c r="BW239">
        <v>2.1560667225934801E-2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1.8437600000000001</v>
      </c>
      <c r="CD239">
        <v>-0.487615037593985</v>
      </c>
      <c r="CE239">
        <v>4.8000141041459402E-2</v>
      </c>
      <c r="CF239">
        <v>0</v>
      </c>
      <c r="CG239">
        <v>1</v>
      </c>
      <c r="CH239">
        <v>2</v>
      </c>
      <c r="CI239" t="s">
        <v>290</v>
      </c>
      <c r="CJ239">
        <v>3.5325299999999999</v>
      </c>
      <c r="CK239">
        <v>2.7019199999999999</v>
      </c>
      <c r="CL239">
        <v>9.8068299999999997E-2</v>
      </c>
      <c r="CM239">
        <v>9.68614E-2</v>
      </c>
      <c r="CN239">
        <v>8.7313000000000002E-2</v>
      </c>
      <c r="CO239">
        <v>7.8896099999999997E-2</v>
      </c>
      <c r="CP239">
        <v>31634.6</v>
      </c>
      <c r="CQ239">
        <v>27801.7</v>
      </c>
      <c r="CR239">
        <v>32462</v>
      </c>
      <c r="CS239">
        <v>30709.9</v>
      </c>
      <c r="CT239">
        <v>40114.1</v>
      </c>
      <c r="CU239">
        <v>39779.1</v>
      </c>
      <c r="CV239">
        <v>47404.1</v>
      </c>
      <c r="CW239">
        <v>46830.3</v>
      </c>
      <c r="CX239">
        <v>2.6245599999999998</v>
      </c>
      <c r="CY239">
        <v>2.13584</v>
      </c>
      <c r="CZ239">
        <v>0</v>
      </c>
      <c r="DA239">
        <v>0</v>
      </c>
      <c r="DB239">
        <v>999.9</v>
      </c>
      <c r="DC239">
        <v>999.9</v>
      </c>
      <c r="DD239">
        <v>52.405000000000001</v>
      </c>
      <c r="DE239">
        <v>27.15</v>
      </c>
      <c r="DF239">
        <v>18.854299999999999</v>
      </c>
      <c r="DG239">
        <v>30.420100000000001</v>
      </c>
      <c r="DH239">
        <v>16.462299999999999</v>
      </c>
      <c r="DI239">
        <v>2</v>
      </c>
      <c r="DJ239">
        <v>-0.13272600000000001</v>
      </c>
      <c r="DK239">
        <v>1.9771799999999999</v>
      </c>
      <c r="DL239">
        <v>20.210799999999999</v>
      </c>
      <c r="DM239">
        <v>5.2462799999999996</v>
      </c>
      <c r="DN239">
        <v>12.033899999999999</v>
      </c>
      <c r="DO239">
        <v>4.9670399999999999</v>
      </c>
      <c r="DP239">
        <v>3.2907799999999998</v>
      </c>
      <c r="DQ239">
        <v>9999</v>
      </c>
      <c r="DR239">
        <v>9999</v>
      </c>
      <c r="DS239">
        <v>597.6</v>
      </c>
      <c r="DT239">
        <v>9999</v>
      </c>
      <c r="DU239">
        <v>1.87103</v>
      </c>
      <c r="DV239">
        <v>1.8761099999999999</v>
      </c>
      <c r="DW239">
        <v>1.87635</v>
      </c>
      <c r="DX239">
        <v>1.8828</v>
      </c>
      <c r="DY239">
        <v>1.8755999999999999</v>
      </c>
      <c r="DZ239">
        <v>1.87469</v>
      </c>
      <c r="EA239">
        <v>1.87086</v>
      </c>
      <c r="EB239">
        <v>1.8746799999999999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-0.872</v>
      </c>
      <c r="EQ239">
        <v>9.8699999999999996E-2</v>
      </c>
      <c r="ER239">
        <v>-0.87179999999995095</v>
      </c>
      <c r="ES239">
        <v>0</v>
      </c>
      <c r="ET239">
        <v>0</v>
      </c>
      <c r="EU239">
        <v>0</v>
      </c>
      <c r="EV239">
        <v>9.8709999999998702E-2</v>
      </c>
      <c r="EW239">
        <v>0</v>
      </c>
      <c r="EX239">
        <v>0</v>
      </c>
      <c r="EY239">
        <v>0</v>
      </c>
      <c r="EZ239">
        <v>-1</v>
      </c>
      <c r="FA239">
        <v>-1</v>
      </c>
      <c r="FB239">
        <v>-1</v>
      </c>
      <c r="FC239">
        <v>-1</v>
      </c>
      <c r="FD239">
        <v>0.9</v>
      </c>
      <c r="FE239">
        <v>0.5</v>
      </c>
      <c r="FF239">
        <v>1.2402299999999999</v>
      </c>
      <c r="FG239">
        <v>2.5903299999999998</v>
      </c>
      <c r="FH239">
        <v>2.19604</v>
      </c>
      <c r="FI239">
        <v>2.5756800000000002</v>
      </c>
      <c r="FJ239">
        <v>2.4462899999999999</v>
      </c>
      <c r="FK239">
        <v>2.31812</v>
      </c>
      <c r="FL239">
        <v>31.6736</v>
      </c>
      <c r="FM239">
        <v>24.148800000000001</v>
      </c>
      <c r="FN239">
        <v>19</v>
      </c>
      <c r="FO239">
        <v>864.54399999999998</v>
      </c>
      <c r="FP239">
        <v>579.048</v>
      </c>
      <c r="FQ239">
        <v>18.228400000000001</v>
      </c>
      <c r="FR239">
        <v>25.346900000000002</v>
      </c>
      <c r="FS239">
        <v>29.9998</v>
      </c>
      <c r="FT239">
        <v>25.352699999999999</v>
      </c>
      <c r="FU239">
        <v>25.351400000000002</v>
      </c>
      <c r="FV239">
        <v>24.900600000000001</v>
      </c>
      <c r="FW239">
        <v>31.137</v>
      </c>
      <c r="FX239">
        <v>1.60206</v>
      </c>
      <c r="FY239">
        <v>18.239599999999999</v>
      </c>
      <c r="FZ239">
        <v>410</v>
      </c>
      <c r="GA239">
        <v>13.6366</v>
      </c>
      <c r="GB239">
        <v>99.890500000000003</v>
      </c>
      <c r="GC239">
        <v>99.694500000000005</v>
      </c>
    </row>
    <row r="240" spans="1:185" x14ac:dyDescent="0.2">
      <c r="A240">
        <v>225</v>
      </c>
      <c r="B240">
        <v>1771003114.0999999</v>
      </c>
      <c r="C240">
        <v>4491</v>
      </c>
      <c r="D240" t="s">
        <v>755</v>
      </c>
      <c r="E240" t="s">
        <v>756</v>
      </c>
      <c r="F240">
        <v>15</v>
      </c>
      <c r="G240">
        <v>1771003106.03333</v>
      </c>
      <c r="H240">
        <f t="shared" si="39"/>
        <v>1.4260403066781694E-3</v>
      </c>
      <c r="I240">
        <v>0</v>
      </c>
      <c r="J240">
        <f t="shared" si="51"/>
        <v>9.7451800151048731E-3</v>
      </c>
      <c r="K240">
        <f t="shared" si="40"/>
        <v>0.17425604166341377</v>
      </c>
      <c r="L240">
        <f t="shared" si="41"/>
        <v>70.03048680619338</v>
      </c>
      <c r="M240">
        <f t="shared" si="42"/>
        <v>1.5432433824531622</v>
      </c>
      <c r="N240">
        <f t="shared" si="43"/>
        <v>2.2036736467704809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26307.006505161859</v>
      </c>
      <c r="T240">
        <f t="shared" si="47"/>
        <v>499.99913333333302</v>
      </c>
      <c r="U240">
        <f t="shared" si="48"/>
        <v>421.49953339954209</v>
      </c>
      <c r="V240">
        <f t="shared" si="49"/>
        <v>0.84300052799999992</v>
      </c>
      <c r="W240">
        <f t="shared" si="50"/>
        <v>0.15870131999999998</v>
      </c>
      <c r="X240">
        <v>1</v>
      </c>
      <c r="Y240">
        <v>1771003106.03333</v>
      </c>
      <c r="Z240">
        <v>409.03173333333302</v>
      </c>
      <c r="AA240">
        <v>409.97866666666698</v>
      </c>
      <c r="AB240">
        <v>15.366673333333299</v>
      </c>
      <c r="AC240">
        <v>13.6115266666667</v>
      </c>
      <c r="AD240">
        <v>409.90339999999998</v>
      </c>
      <c r="AE240">
        <v>15.2679733333333</v>
      </c>
      <c r="AF240">
        <v>800.00540000000001</v>
      </c>
      <c r="AG240">
        <v>100.363733333333</v>
      </c>
      <c r="AH240">
        <v>6.4208940000000006E-2</v>
      </c>
      <c r="AI240">
        <v>18.989046666666699</v>
      </c>
      <c r="AJ240">
        <v>999.9</v>
      </c>
      <c r="AK240">
        <v>999.9</v>
      </c>
      <c r="AL240">
        <v>0</v>
      </c>
      <c r="AM240">
        <v>0</v>
      </c>
      <c r="AN240">
        <v>4998.1000000000004</v>
      </c>
      <c r="AO240">
        <v>0</v>
      </c>
      <c r="AP240">
        <v>1.7502500000000001</v>
      </c>
      <c r="AQ240">
        <v>-0.94709900000000002</v>
      </c>
      <c r="AR240">
        <v>415.41506666666697</v>
      </c>
      <c r="AS240">
        <v>415.63613333333302</v>
      </c>
      <c r="AT240">
        <v>1.7551413333333299</v>
      </c>
      <c r="AU240">
        <v>409.97866666666698</v>
      </c>
      <c r="AV240">
        <v>13.6115266666667</v>
      </c>
      <c r="AW240">
        <v>1.5422533333333299</v>
      </c>
      <c r="AX240">
        <v>1.36610266666667</v>
      </c>
      <c r="AY240">
        <v>13.39362</v>
      </c>
      <c r="AZ240">
        <v>11.5465</v>
      </c>
      <c r="BA240">
        <v>499.99913333333302</v>
      </c>
      <c r="BB240">
        <v>0.89998239999999996</v>
      </c>
      <c r="BC240">
        <v>0</v>
      </c>
      <c r="BD240">
        <v>0.1000176</v>
      </c>
      <c r="BE240">
        <v>0</v>
      </c>
      <c r="BF240">
        <v>24</v>
      </c>
      <c r="BG240">
        <v>8244.3353333333307</v>
      </c>
      <c r="BH240">
        <v>1771003067.0999999</v>
      </c>
      <c r="BI240" t="s">
        <v>748</v>
      </c>
      <c r="BJ240">
        <v>1771003045.0999999</v>
      </c>
      <c r="BK240">
        <v>1771003067.0999999</v>
      </c>
      <c r="BL240">
        <v>13</v>
      </c>
      <c r="BM240">
        <v>3.6999999999999998E-2</v>
      </c>
      <c r="BN240">
        <v>2E-3</v>
      </c>
      <c r="BO240">
        <v>-0.872</v>
      </c>
      <c r="BP240">
        <v>9.9000000000000005E-2</v>
      </c>
      <c r="BQ240">
        <v>410</v>
      </c>
      <c r="BR240">
        <v>14</v>
      </c>
      <c r="BS240">
        <v>0.37</v>
      </c>
      <c r="BT240">
        <v>7.0000000000000007E-2</v>
      </c>
      <c r="BU240">
        <v>-0.94389719047619003</v>
      </c>
      <c r="BV240">
        <v>-1.88969610389614E-2</v>
      </c>
      <c r="BW240">
        <v>1.1711057646592599E-2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1.7653961904761899</v>
      </c>
      <c r="CD240">
        <v>-0.19596623376623601</v>
      </c>
      <c r="CE240">
        <v>1.9945815762708499E-2</v>
      </c>
      <c r="CF240">
        <v>0</v>
      </c>
      <c r="CG240">
        <v>1</v>
      </c>
      <c r="CH240">
        <v>2</v>
      </c>
      <c r="CI240" t="s">
        <v>290</v>
      </c>
      <c r="CJ240">
        <v>3.5325099999999998</v>
      </c>
      <c r="CK240">
        <v>2.7021099999999998</v>
      </c>
      <c r="CL240">
        <v>9.8072800000000002E-2</v>
      </c>
      <c r="CM240">
        <v>9.6868800000000005E-2</v>
      </c>
      <c r="CN240">
        <v>8.7106699999999995E-2</v>
      </c>
      <c r="CO240">
        <v>7.8881900000000005E-2</v>
      </c>
      <c r="CP240">
        <v>31635.1</v>
      </c>
      <c r="CQ240">
        <v>27802.5</v>
      </c>
      <c r="CR240">
        <v>32462.6</v>
      </c>
      <c r="CS240">
        <v>30711</v>
      </c>
      <c r="CT240">
        <v>40124.300000000003</v>
      </c>
      <c r="CU240">
        <v>39781.300000000003</v>
      </c>
      <c r="CV240">
        <v>47405.1</v>
      </c>
      <c r="CW240">
        <v>46832.2</v>
      </c>
      <c r="CX240">
        <v>2.6252800000000001</v>
      </c>
      <c r="CY240">
        <v>2.1361400000000001</v>
      </c>
      <c r="CZ240">
        <v>0</v>
      </c>
      <c r="DA240">
        <v>0</v>
      </c>
      <c r="DB240">
        <v>999.9</v>
      </c>
      <c r="DC240">
        <v>999.9</v>
      </c>
      <c r="DD240">
        <v>52.381</v>
      </c>
      <c r="DE240">
        <v>27.16</v>
      </c>
      <c r="DF240">
        <v>18.8565</v>
      </c>
      <c r="DG240">
        <v>30.450099999999999</v>
      </c>
      <c r="DH240">
        <v>16.5625</v>
      </c>
      <c r="DI240">
        <v>2</v>
      </c>
      <c r="DJ240">
        <v>-0.13326199999999999</v>
      </c>
      <c r="DK240">
        <v>1.9689700000000001</v>
      </c>
      <c r="DL240">
        <v>20.211400000000001</v>
      </c>
      <c r="DM240">
        <v>5.2480799999999999</v>
      </c>
      <c r="DN240">
        <v>12.033899999999999</v>
      </c>
      <c r="DO240">
        <v>4.9671599999999998</v>
      </c>
      <c r="DP240">
        <v>3.2909999999999999</v>
      </c>
      <c r="DQ240">
        <v>9999</v>
      </c>
      <c r="DR240">
        <v>9999</v>
      </c>
      <c r="DS240">
        <v>597.6</v>
      </c>
      <c r="DT240">
        <v>9999</v>
      </c>
      <c r="DU240">
        <v>1.87104</v>
      </c>
      <c r="DV240">
        <v>1.87612</v>
      </c>
      <c r="DW240">
        <v>1.8763300000000001</v>
      </c>
      <c r="DX240">
        <v>1.88279</v>
      </c>
      <c r="DY240">
        <v>1.87561</v>
      </c>
      <c r="DZ240">
        <v>1.8746700000000001</v>
      </c>
      <c r="EA240">
        <v>1.87083</v>
      </c>
      <c r="EB240">
        <v>1.8746700000000001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-0.872</v>
      </c>
      <c r="EQ240">
        <v>9.8699999999999996E-2</v>
      </c>
      <c r="ER240">
        <v>-0.87179999999995095</v>
      </c>
      <c r="ES240">
        <v>0</v>
      </c>
      <c r="ET240">
        <v>0</v>
      </c>
      <c r="EU240">
        <v>0</v>
      </c>
      <c r="EV240">
        <v>9.8709999999998702E-2</v>
      </c>
      <c r="EW240">
        <v>0</v>
      </c>
      <c r="EX240">
        <v>0</v>
      </c>
      <c r="EY240">
        <v>0</v>
      </c>
      <c r="EZ240">
        <v>-1</v>
      </c>
      <c r="FA240">
        <v>-1</v>
      </c>
      <c r="FB240">
        <v>-1</v>
      </c>
      <c r="FC240">
        <v>-1</v>
      </c>
      <c r="FD240">
        <v>1.1000000000000001</v>
      </c>
      <c r="FE240">
        <v>0.8</v>
      </c>
      <c r="FF240">
        <v>1.2402299999999999</v>
      </c>
      <c r="FG240">
        <v>2.5976599999999999</v>
      </c>
      <c r="FH240">
        <v>2.19604</v>
      </c>
      <c r="FI240">
        <v>2.5756800000000002</v>
      </c>
      <c r="FJ240">
        <v>2.4462899999999999</v>
      </c>
      <c r="FK240">
        <v>2.2338900000000002</v>
      </c>
      <c r="FL240">
        <v>31.651700000000002</v>
      </c>
      <c r="FM240">
        <v>24.14</v>
      </c>
      <c r="FN240">
        <v>19</v>
      </c>
      <c r="FO240">
        <v>865.15099999999995</v>
      </c>
      <c r="FP240">
        <v>579.255</v>
      </c>
      <c r="FQ240">
        <v>18.254300000000001</v>
      </c>
      <c r="FR240">
        <v>25.340900000000001</v>
      </c>
      <c r="FS240">
        <v>29.9999</v>
      </c>
      <c r="FT240">
        <v>25.348800000000001</v>
      </c>
      <c r="FU240">
        <v>25.349299999999999</v>
      </c>
      <c r="FV240">
        <v>24.901399999999999</v>
      </c>
      <c r="FW240">
        <v>31.137</v>
      </c>
      <c r="FX240">
        <v>1.2258800000000001</v>
      </c>
      <c r="FY240">
        <v>18.2622</v>
      </c>
      <c r="FZ240">
        <v>410</v>
      </c>
      <c r="GA240">
        <v>13.6372</v>
      </c>
      <c r="GB240">
        <v>99.892600000000002</v>
      </c>
      <c r="GC240">
        <v>99.698300000000003</v>
      </c>
    </row>
    <row r="241" spans="1:185" x14ac:dyDescent="0.2">
      <c r="A241">
        <v>226</v>
      </c>
      <c r="B241">
        <v>1771003129.0999999</v>
      </c>
      <c r="C241">
        <v>4506</v>
      </c>
      <c r="D241" t="s">
        <v>757</v>
      </c>
      <c r="E241" t="s">
        <v>758</v>
      </c>
      <c r="F241">
        <v>15</v>
      </c>
      <c r="G241">
        <v>1771003121.03333</v>
      </c>
      <c r="H241">
        <f t="shared" si="39"/>
        <v>1.4014082624400953E-3</v>
      </c>
      <c r="I241">
        <v>0</v>
      </c>
      <c r="J241">
        <f t="shared" si="51"/>
        <v>9.9928749944126032E-3</v>
      </c>
      <c r="K241">
        <f t="shared" si="40"/>
        <v>0.17868513856743867</v>
      </c>
      <c r="L241">
        <f t="shared" si="41"/>
        <v>69.875858208393353</v>
      </c>
      <c r="M241">
        <f t="shared" si="42"/>
        <v>1.539976822464002</v>
      </c>
      <c r="N241">
        <f t="shared" si="43"/>
        <v>2.2038753611744881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26314.25081789399</v>
      </c>
      <c r="T241">
        <f t="shared" si="47"/>
        <v>499.99979999999999</v>
      </c>
      <c r="U241">
        <f t="shared" si="48"/>
        <v>421.50018239985957</v>
      </c>
      <c r="V241">
        <f t="shared" si="49"/>
        <v>0.84300070199999999</v>
      </c>
      <c r="W241">
        <f t="shared" si="50"/>
        <v>0.158701755</v>
      </c>
      <c r="X241">
        <v>1</v>
      </c>
      <c r="Y241">
        <v>1771003121.03333</v>
      </c>
      <c r="Z241">
        <v>409.06466666666699</v>
      </c>
      <c r="AA241">
        <v>410.00459999999998</v>
      </c>
      <c r="AB241">
        <v>15.334300000000001</v>
      </c>
      <c r="AC241">
        <v>13.6094133333333</v>
      </c>
      <c r="AD241">
        <v>409.93633333333298</v>
      </c>
      <c r="AE241">
        <v>15.2355933333333</v>
      </c>
      <c r="AF241">
        <v>800.00540000000001</v>
      </c>
      <c r="AG241">
        <v>100.362466666667</v>
      </c>
      <c r="AH241">
        <v>6.4473100000000005E-2</v>
      </c>
      <c r="AI241">
        <v>18.9905133333333</v>
      </c>
      <c r="AJ241">
        <v>999.9</v>
      </c>
      <c r="AK241">
        <v>999.9</v>
      </c>
      <c r="AL241">
        <v>0</v>
      </c>
      <c r="AM241">
        <v>0</v>
      </c>
      <c r="AN241">
        <v>4999.3666666666704</v>
      </c>
      <c r="AO241">
        <v>0</v>
      </c>
      <c r="AP241">
        <v>1.7502500000000001</v>
      </c>
      <c r="AQ241">
        <v>-0.94009799999999999</v>
      </c>
      <c r="AR241">
        <v>415.435</v>
      </c>
      <c r="AS241">
        <v>415.66146666666702</v>
      </c>
      <c r="AT241">
        <v>1.7248873333333301</v>
      </c>
      <c r="AU241">
        <v>410.00459999999998</v>
      </c>
      <c r="AV241">
        <v>13.6094133333333</v>
      </c>
      <c r="AW241">
        <v>1.538988</v>
      </c>
      <c r="AX241">
        <v>1.365874</v>
      </c>
      <c r="AY241">
        <v>13.36112</v>
      </c>
      <c r="AZ241">
        <v>11.5440066666667</v>
      </c>
      <c r="BA241">
        <v>499.99979999999999</v>
      </c>
      <c r="BB241">
        <v>0.89997660000000002</v>
      </c>
      <c r="BC241">
        <v>0</v>
      </c>
      <c r="BD241">
        <v>0.1000234</v>
      </c>
      <c r="BE241">
        <v>0</v>
      </c>
      <c r="BF241">
        <v>24</v>
      </c>
      <c r="BG241">
        <v>8244.3279999999995</v>
      </c>
      <c r="BH241">
        <v>1771003067.0999999</v>
      </c>
      <c r="BI241" t="s">
        <v>748</v>
      </c>
      <c r="BJ241">
        <v>1771003045.0999999</v>
      </c>
      <c r="BK241">
        <v>1771003067.0999999</v>
      </c>
      <c r="BL241">
        <v>13</v>
      </c>
      <c r="BM241">
        <v>3.6999999999999998E-2</v>
      </c>
      <c r="BN241">
        <v>2E-3</v>
      </c>
      <c r="BO241">
        <v>-0.872</v>
      </c>
      <c r="BP241">
        <v>9.9000000000000005E-2</v>
      </c>
      <c r="BQ241">
        <v>410</v>
      </c>
      <c r="BR241">
        <v>14</v>
      </c>
      <c r="BS241">
        <v>0.37</v>
      </c>
      <c r="BT241">
        <v>7.0000000000000007E-2</v>
      </c>
      <c r="BU241">
        <v>-0.93980715000000004</v>
      </c>
      <c r="BV241">
        <v>6.1987218045138504E-3</v>
      </c>
      <c r="BW241">
        <v>6.5108232680283996E-3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1.7289844999999999</v>
      </c>
      <c r="CD241">
        <v>-8.5231127819543603E-2</v>
      </c>
      <c r="CE241">
        <v>8.5664727134334706E-3</v>
      </c>
      <c r="CF241">
        <v>1</v>
      </c>
      <c r="CG241">
        <v>2</v>
      </c>
      <c r="CH241">
        <v>2</v>
      </c>
      <c r="CI241" t="s">
        <v>304</v>
      </c>
      <c r="CJ241">
        <v>3.5325000000000002</v>
      </c>
      <c r="CK241">
        <v>2.7026400000000002</v>
      </c>
      <c r="CL241">
        <v>9.80737E-2</v>
      </c>
      <c r="CM241">
        <v>9.6865599999999996E-2</v>
      </c>
      <c r="CN241">
        <v>8.7049699999999994E-2</v>
      </c>
      <c r="CO241">
        <v>7.8883700000000001E-2</v>
      </c>
      <c r="CP241">
        <v>31634.9</v>
      </c>
      <c r="CQ241">
        <v>27802.400000000001</v>
      </c>
      <c r="CR241">
        <v>32462.400000000001</v>
      </c>
      <c r="CS241">
        <v>30710.799999999999</v>
      </c>
      <c r="CT241">
        <v>40126.6</v>
      </c>
      <c r="CU241">
        <v>39780.9</v>
      </c>
      <c r="CV241">
        <v>47404.800000000003</v>
      </c>
      <c r="CW241">
        <v>46831.8</v>
      </c>
      <c r="CX241">
        <v>2.6253199999999999</v>
      </c>
      <c r="CY241">
        <v>2.1360600000000001</v>
      </c>
      <c r="CZ241">
        <v>0</v>
      </c>
      <c r="DA241">
        <v>0</v>
      </c>
      <c r="DB241">
        <v>999.9</v>
      </c>
      <c r="DC241">
        <v>999.9</v>
      </c>
      <c r="DD241">
        <v>52.356000000000002</v>
      </c>
      <c r="DE241">
        <v>27.17</v>
      </c>
      <c r="DF241">
        <v>18.860499999999998</v>
      </c>
      <c r="DG241">
        <v>30.270099999999999</v>
      </c>
      <c r="DH241">
        <v>16.402200000000001</v>
      </c>
      <c r="DI241">
        <v>2</v>
      </c>
      <c r="DJ241">
        <v>-0.13355500000000001</v>
      </c>
      <c r="DK241">
        <v>1.9456899999999999</v>
      </c>
      <c r="DL241">
        <v>20.2117</v>
      </c>
      <c r="DM241">
        <v>5.2478400000000001</v>
      </c>
      <c r="DN241">
        <v>12.033899999999999</v>
      </c>
      <c r="DO241">
        <v>4.96692</v>
      </c>
      <c r="DP241">
        <v>3.2909999999999999</v>
      </c>
      <c r="DQ241">
        <v>9999</v>
      </c>
      <c r="DR241">
        <v>9999</v>
      </c>
      <c r="DS241">
        <v>597.6</v>
      </c>
      <c r="DT241">
        <v>9999</v>
      </c>
      <c r="DU241">
        <v>1.87104</v>
      </c>
      <c r="DV241">
        <v>1.87612</v>
      </c>
      <c r="DW241">
        <v>1.87635</v>
      </c>
      <c r="DX241">
        <v>1.8828</v>
      </c>
      <c r="DY241">
        <v>1.8755999999999999</v>
      </c>
      <c r="DZ241">
        <v>1.8746799999999999</v>
      </c>
      <c r="EA241">
        <v>1.87086</v>
      </c>
      <c r="EB241">
        <v>1.8746799999999999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-0.872</v>
      </c>
      <c r="EQ241">
        <v>9.8699999999999996E-2</v>
      </c>
      <c r="ER241">
        <v>-0.87179999999995095</v>
      </c>
      <c r="ES241">
        <v>0</v>
      </c>
      <c r="ET241">
        <v>0</v>
      </c>
      <c r="EU241">
        <v>0</v>
      </c>
      <c r="EV241">
        <v>9.8709999999998702E-2</v>
      </c>
      <c r="EW241">
        <v>0</v>
      </c>
      <c r="EX241">
        <v>0</v>
      </c>
      <c r="EY241">
        <v>0</v>
      </c>
      <c r="EZ241">
        <v>-1</v>
      </c>
      <c r="FA241">
        <v>-1</v>
      </c>
      <c r="FB241">
        <v>-1</v>
      </c>
      <c r="FC241">
        <v>-1</v>
      </c>
      <c r="FD241">
        <v>1.4</v>
      </c>
      <c r="FE241">
        <v>1</v>
      </c>
      <c r="FF241">
        <v>1.2402299999999999</v>
      </c>
      <c r="FG241">
        <v>2.5964399999999999</v>
      </c>
      <c r="FH241">
        <v>2.19604</v>
      </c>
      <c r="FI241">
        <v>2.5756800000000002</v>
      </c>
      <c r="FJ241">
        <v>2.4462899999999999</v>
      </c>
      <c r="FK241">
        <v>2.3156699999999999</v>
      </c>
      <c r="FL241">
        <v>31.6736</v>
      </c>
      <c r="FM241">
        <v>24.148800000000001</v>
      </c>
      <c r="FN241">
        <v>19</v>
      </c>
      <c r="FO241">
        <v>865.12</v>
      </c>
      <c r="FP241">
        <v>579.14499999999998</v>
      </c>
      <c r="FQ241">
        <v>18.2744</v>
      </c>
      <c r="FR241">
        <v>25.334499999999998</v>
      </c>
      <c r="FS241">
        <v>29.9999</v>
      </c>
      <c r="FT241">
        <v>25.3446</v>
      </c>
      <c r="FU241">
        <v>25.345099999999999</v>
      </c>
      <c r="FV241">
        <v>24.901199999999999</v>
      </c>
      <c r="FW241">
        <v>31.137</v>
      </c>
      <c r="FX241">
        <v>0.84924200000000005</v>
      </c>
      <c r="FY241">
        <v>18.2819</v>
      </c>
      <c r="FZ241">
        <v>410</v>
      </c>
      <c r="GA241">
        <v>13.656000000000001</v>
      </c>
      <c r="GB241">
        <v>99.891999999999996</v>
      </c>
      <c r="GC241">
        <v>99.697599999999994</v>
      </c>
    </row>
    <row r="242" spans="1:185" x14ac:dyDescent="0.2">
      <c r="A242">
        <v>227</v>
      </c>
      <c r="B242">
        <v>1771003261.0999999</v>
      </c>
      <c r="C242">
        <v>4638</v>
      </c>
      <c r="D242" t="s">
        <v>759</v>
      </c>
      <c r="E242" t="s">
        <v>760</v>
      </c>
      <c r="F242">
        <v>15</v>
      </c>
      <c r="G242">
        <v>1771003253.0999999</v>
      </c>
      <c r="H242">
        <f t="shared" si="39"/>
        <v>-4.5482780318808215E-5</v>
      </c>
      <c r="I242">
        <v>0</v>
      </c>
      <c r="J242">
        <f t="shared" si="51"/>
        <v>-0.24652208074739235</v>
      </c>
      <c r="K242">
        <f t="shared" si="40"/>
        <v>-4.4081240066458394</v>
      </c>
      <c r="L242">
        <f t="shared" si="41"/>
        <v>71.666658715163976</v>
      </c>
      <c r="M242">
        <f t="shared" si="42"/>
        <v>1.5784065300167243</v>
      </c>
      <c r="N242">
        <f t="shared" si="43"/>
        <v>2.2024279606644317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26298.80833409839</v>
      </c>
      <c r="T242">
        <f t="shared" si="47"/>
        <v>500.00113333333297</v>
      </c>
      <c r="U242">
        <f t="shared" si="48"/>
        <v>421.50104140019465</v>
      </c>
      <c r="V242">
        <f t="shared" si="49"/>
        <v>0.84300017199999999</v>
      </c>
      <c r="W242">
        <f t="shared" si="50"/>
        <v>0.15870042999999998</v>
      </c>
      <c r="X242">
        <v>1</v>
      </c>
      <c r="Y242">
        <v>1771003253.0999999</v>
      </c>
      <c r="Z242">
        <v>415.59339999999997</v>
      </c>
      <c r="AA242">
        <v>410.05959999999999</v>
      </c>
      <c r="AB242">
        <v>15.718439999999999</v>
      </c>
      <c r="AC242">
        <v>15.7744</v>
      </c>
      <c r="AD242">
        <v>416.46526666666699</v>
      </c>
      <c r="AE242">
        <v>15.619733333333301</v>
      </c>
      <c r="AF242">
        <v>799.99753333333297</v>
      </c>
      <c r="AG242">
        <v>100.353333333333</v>
      </c>
      <c r="AH242">
        <v>6.4171839999999994E-2</v>
      </c>
      <c r="AI242">
        <v>18.979986666666701</v>
      </c>
      <c r="AJ242">
        <v>999.9</v>
      </c>
      <c r="AK242">
        <v>999.9</v>
      </c>
      <c r="AL242">
        <v>0</v>
      </c>
      <c r="AM242">
        <v>0</v>
      </c>
      <c r="AN242">
        <v>4997.0666666666702</v>
      </c>
      <c r="AO242">
        <v>0</v>
      </c>
      <c r="AP242">
        <v>1.72066733333333</v>
      </c>
      <c r="AQ242">
        <v>5.5338060000000002</v>
      </c>
      <c r="AR242">
        <v>422.229733333333</v>
      </c>
      <c r="AS242">
        <v>416.63173333333299</v>
      </c>
      <c r="AT242">
        <v>-5.5950906666666703E-2</v>
      </c>
      <c r="AU242">
        <v>410.05959999999999</v>
      </c>
      <c r="AV242">
        <v>15.7744</v>
      </c>
      <c r="AW242">
        <v>1.5773999999999999</v>
      </c>
      <c r="AX242">
        <v>1.583016</v>
      </c>
      <c r="AY242">
        <v>13.7380866666667</v>
      </c>
      <c r="AZ242">
        <v>13.7938666666667</v>
      </c>
      <c r="BA242">
        <v>500.00113333333297</v>
      </c>
      <c r="BB242">
        <v>0.89999426666666704</v>
      </c>
      <c r="BC242">
        <v>0</v>
      </c>
      <c r="BD242">
        <v>0.100005733333333</v>
      </c>
      <c r="BE242">
        <v>0</v>
      </c>
      <c r="BF242">
        <v>24</v>
      </c>
      <c r="BG242">
        <v>8244.3993333333292</v>
      </c>
      <c r="BH242">
        <v>1771003067.0999999</v>
      </c>
      <c r="BI242" t="s">
        <v>748</v>
      </c>
      <c r="BJ242">
        <v>1771003045.0999999</v>
      </c>
      <c r="BK242">
        <v>1771003067.0999999</v>
      </c>
      <c r="BL242">
        <v>13</v>
      </c>
      <c r="BM242">
        <v>3.6999999999999998E-2</v>
      </c>
      <c r="BN242">
        <v>2E-3</v>
      </c>
      <c r="BO242">
        <v>-0.872</v>
      </c>
      <c r="BP242">
        <v>9.9000000000000005E-2</v>
      </c>
      <c r="BQ242">
        <v>410</v>
      </c>
      <c r="BR242">
        <v>14</v>
      </c>
      <c r="BS242">
        <v>0.37</v>
      </c>
      <c r="BT242">
        <v>7.0000000000000007E-2</v>
      </c>
      <c r="BU242">
        <v>7.2342494999999998</v>
      </c>
      <c r="BV242">
        <v>-36.061305112782001</v>
      </c>
      <c r="BW242">
        <v>3.5341985675078802</v>
      </c>
      <c r="BX242">
        <v>0</v>
      </c>
      <c r="BY242">
        <v>0</v>
      </c>
      <c r="BZ242">
        <v>0</v>
      </c>
      <c r="CA242">
        <v>0</v>
      </c>
      <c r="CB242">
        <v>-1</v>
      </c>
      <c r="CC242">
        <v>-0.26049412999999999</v>
      </c>
      <c r="CD242">
        <v>5.0880270225563899</v>
      </c>
      <c r="CE242">
        <v>0.48978421287113899</v>
      </c>
      <c r="CF242">
        <v>0</v>
      </c>
      <c r="CG242">
        <v>0</v>
      </c>
      <c r="CH242">
        <v>2</v>
      </c>
      <c r="CI242" t="s">
        <v>299</v>
      </c>
      <c r="CJ242">
        <v>3.5324499999999999</v>
      </c>
      <c r="CK242">
        <v>2.7021000000000002</v>
      </c>
      <c r="CL242">
        <v>9.87257E-2</v>
      </c>
      <c r="CM242">
        <v>9.6909200000000001E-2</v>
      </c>
      <c r="CN242">
        <v>9.0114E-2</v>
      </c>
      <c r="CO242">
        <v>8.6648100000000006E-2</v>
      </c>
      <c r="CP242">
        <v>31614.1</v>
      </c>
      <c r="CQ242">
        <v>27804.5</v>
      </c>
      <c r="CR242">
        <v>32464.400000000001</v>
      </c>
      <c r="CS242">
        <v>30714.3</v>
      </c>
      <c r="CT242">
        <v>39989.4</v>
      </c>
      <c r="CU242">
        <v>39440.300000000003</v>
      </c>
      <c r="CV242">
        <v>47407.1</v>
      </c>
      <c r="CW242">
        <v>46836.9</v>
      </c>
      <c r="CX242">
        <v>2.6246800000000001</v>
      </c>
      <c r="CY242">
        <v>2.1398000000000001</v>
      </c>
      <c r="CZ242">
        <v>0</v>
      </c>
      <c r="DA242">
        <v>0</v>
      </c>
      <c r="DB242">
        <v>999.9</v>
      </c>
      <c r="DC242">
        <v>999.9</v>
      </c>
      <c r="DD242">
        <v>52.143000000000001</v>
      </c>
      <c r="DE242">
        <v>27.231000000000002</v>
      </c>
      <c r="DF242">
        <v>18.850200000000001</v>
      </c>
      <c r="DG242">
        <v>29.970099999999999</v>
      </c>
      <c r="DH242">
        <v>16.438300000000002</v>
      </c>
      <c r="DI242">
        <v>2</v>
      </c>
      <c r="DJ242">
        <v>-0.13566700000000001</v>
      </c>
      <c r="DK242">
        <v>2.1431900000000002</v>
      </c>
      <c r="DL242">
        <v>20.209700000000002</v>
      </c>
      <c r="DM242">
        <v>5.2509499999999996</v>
      </c>
      <c r="DN242">
        <v>12.033899999999999</v>
      </c>
      <c r="DO242">
        <v>4.9673600000000002</v>
      </c>
      <c r="DP242">
        <v>3.2910200000000001</v>
      </c>
      <c r="DQ242">
        <v>9999</v>
      </c>
      <c r="DR242">
        <v>9999</v>
      </c>
      <c r="DS242">
        <v>597.6</v>
      </c>
      <c r="DT242">
        <v>9999</v>
      </c>
      <c r="DU242">
        <v>1.8710599999999999</v>
      </c>
      <c r="DV242">
        <v>1.87609</v>
      </c>
      <c r="DW242">
        <v>1.87636</v>
      </c>
      <c r="DX242">
        <v>1.8828</v>
      </c>
      <c r="DY242">
        <v>1.87561</v>
      </c>
      <c r="DZ242">
        <v>1.87469</v>
      </c>
      <c r="EA242">
        <v>1.8708800000000001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-0.872</v>
      </c>
      <c r="EQ242">
        <v>9.8799999999999999E-2</v>
      </c>
      <c r="ER242">
        <v>-0.87179999999995095</v>
      </c>
      <c r="ES242">
        <v>0</v>
      </c>
      <c r="ET242">
        <v>0</v>
      </c>
      <c r="EU242">
        <v>0</v>
      </c>
      <c r="EV242">
        <v>9.8709999999998702E-2</v>
      </c>
      <c r="EW242">
        <v>0</v>
      </c>
      <c r="EX242">
        <v>0</v>
      </c>
      <c r="EY242">
        <v>0</v>
      </c>
      <c r="EZ242">
        <v>-1</v>
      </c>
      <c r="FA242">
        <v>-1</v>
      </c>
      <c r="FB242">
        <v>-1</v>
      </c>
      <c r="FC242">
        <v>-1</v>
      </c>
      <c r="FD242">
        <v>3.6</v>
      </c>
      <c r="FE242">
        <v>3.2</v>
      </c>
      <c r="FF242">
        <v>1.24146</v>
      </c>
      <c r="FG242">
        <v>2.5976599999999999</v>
      </c>
      <c r="FH242">
        <v>2.19604</v>
      </c>
      <c r="FI242">
        <v>2.5744600000000002</v>
      </c>
      <c r="FJ242">
        <v>2.4462899999999999</v>
      </c>
      <c r="FK242">
        <v>2.3034699999999999</v>
      </c>
      <c r="FL242">
        <v>31.695499999999999</v>
      </c>
      <c r="FM242">
        <v>24.122499999999999</v>
      </c>
      <c r="FN242">
        <v>19</v>
      </c>
      <c r="FO242">
        <v>864.23699999999997</v>
      </c>
      <c r="FP242">
        <v>581.81200000000001</v>
      </c>
      <c r="FQ242">
        <v>17.889500000000002</v>
      </c>
      <c r="FR242">
        <v>25.3065</v>
      </c>
      <c r="FS242">
        <v>29.999400000000001</v>
      </c>
      <c r="FT242">
        <v>25.326699999999999</v>
      </c>
      <c r="FU242">
        <v>25.325900000000001</v>
      </c>
      <c r="FV242">
        <v>24.928899999999999</v>
      </c>
      <c r="FW242">
        <v>23.3598</v>
      </c>
      <c r="FX242">
        <v>1.5001599999999999</v>
      </c>
      <c r="FY242">
        <v>17.933499999999999</v>
      </c>
      <c r="FZ242">
        <v>410</v>
      </c>
      <c r="GA242">
        <v>15.061400000000001</v>
      </c>
      <c r="GB242">
        <v>99.897300000000001</v>
      </c>
      <c r="GC242">
        <v>99.708699999999993</v>
      </c>
    </row>
    <row r="243" spans="1:185" x14ac:dyDescent="0.2">
      <c r="A243">
        <v>228</v>
      </c>
      <c r="B243">
        <v>1771003276.0999999</v>
      </c>
      <c r="C243">
        <v>4653</v>
      </c>
      <c r="D243" t="s">
        <v>761</v>
      </c>
      <c r="E243" t="s">
        <v>762</v>
      </c>
      <c r="F243">
        <v>15</v>
      </c>
      <c r="G243">
        <v>1771003268.03333</v>
      </c>
      <c r="H243">
        <f t="shared" si="39"/>
        <v>7.7271791488542276E-4</v>
      </c>
      <c r="I243">
        <v>0</v>
      </c>
      <c r="J243">
        <f t="shared" si="51"/>
        <v>-7.8145585800625944E-2</v>
      </c>
      <c r="K243">
        <f t="shared" si="40"/>
        <v>-1.397341089028534</v>
      </c>
      <c r="L243">
        <f t="shared" si="41"/>
        <v>73.5959667097775</v>
      </c>
      <c r="M243">
        <f t="shared" si="42"/>
        <v>1.6171151122221428</v>
      </c>
      <c r="N243">
        <f t="shared" si="43"/>
        <v>2.1972876837112092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26329.965902266271</v>
      </c>
      <c r="T243">
        <f t="shared" si="47"/>
        <v>500.00020000000001</v>
      </c>
      <c r="U243">
        <f t="shared" si="48"/>
        <v>421.50028860004801</v>
      </c>
      <c r="V243">
        <f t="shared" si="49"/>
        <v>0.84300023999999996</v>
      </c>
      <c r="W243">
        <f t="shared" si="50"/>
        <v>0.15870060000000002</v>
      </c>
      <c r="X243">
        <v>1</v>
      </c>
      <c r="Y243">
        <v>1771003268.03333</v>
      </c>
      <c r="Z243">
        <v>411.45673333333298</v>
      </c>
      <c r="AA243">
        <v>410.10746666666699</v>
      </c>
      <c r="AB243">
        <v>16.104019999999998</v>
      </c>
      <c r="AC243">
        <v>15.1536666666667</v>
      </c>
      <c r="AD243">
        <v>412.32839999999999</v>
      </c>
      <c r="AE243">
        <v>16.005313333333302</v>
      </c>
      <c r="AF243">
        <v>799.99093333333303</v>
      </c>
      <c r="AG243">
        <v>100.352533333333</v>
      </c>
      <c r="AH243">
        <v>6.4326073333333303E-2</v>
      </c>
      <c r="AI243">
        <v>18.942553333333301</v>
      </c>
      <c r="AJ243">
        <v>999.9</v>
      </c>
      <c r="AK243">
        <v>999.9</v>
      </c>
      <c r="AL243">
        <v>0</v>
      </c>
      <c r="AM243">
        <v>0</v>
      </c>
      <c r="AN243">
        <v>5001.6666666666697</v>
      </c>
      <c r="AO243">
        <v>0</v>
      </c>
      <c r="AP243">
        <v>1.7502500000000001</v>
      </c>
      <c r="AQ243">
        <v>1.34919393333333</v>
      </c>
      <c r="AR243">
        <v>418.19133333333298</v>
      </c>
      <c r="AS243">
        <v>416.4178</v>
      </c>
      <c r="AT243">
        <v>0.95035919999999996</v>
      </c>
      <c r="AU243">
        <v>410.10746666666699</v>
      </c>
      <c r="AV243">
        <v>15.1536666666667</v>
      </c>
      <c r="AW243">
        <v>1.6160826666666701</v>
      </c>
      <c r="AX243">
        <v>1.5207106666666701</v>
      </c>
      <c r="AY243">
        <v>14.11298</v>
      </c>
      <c r="AZ243">
        <v>13.17704</v>
      </c>
      <c r="BA243">
        <v>500.00020000000001</v>
      </c>
      <c r="BB243">
        <v>0.89999200000000001</v>
      </c>
      <c r="BC243">
        <v>0</v>
      </c>
      <c r="BD243">
        <v>0.100008</v>
      </c>
      <c r="BE243">
        <v>0</v>
      </c>
      <c r="BF243">
        <v>24</v>
      </c>
      <c r="BG243">
        <v>8244.3753333333298</v>
      </c>
      <c r="BH243">
        <v>1771003067.0999999</v>
      </c>
      <c r="BI243" t="s">
        <v>748</v>
      </c>
      <c r="BJ243">
        <v>1771003045.0999999</v>
      </c>
      <c r="BK243">
        <v>1771003067.0999999</v>
      </c>
      <c r="BL243">
        <v>13</v>
      </c>
      <c r="BM243">
        <v>3.6999999999999998E-2</v>
      </c>
      <c r="BN243">
        <v>2E-3</v>
      </c>
      <c r="BO243">
        <v>-0.872</v>
      </c>
      <c r="BP243">
        <v>9.9000000000000005E-2</v>
      </c>
      <c r="BQ243">
        <v>410</v>
      </c>
      <c r="BR243">
        <v>14</v>
      </c>
      <c r="BS243">
        <v>0.37</v>
      </c>
      <c r="BT243">
        <v>7.0000000000000007E-2</v>
      </c>
      <c r="BU243">
        <v>2.01708015</v>
      </c>
      <c r="BV243">
        <v>-11.299754481202999</v>
      </c>
      <c r="BW243">
        <v>1.1089023118141801</v>
      </c>
      <c r="BX243">
        <v>0</v>
      </c>
      <c r="BY243">
        <v>0</v>
      </c>
      <c r="BZ243">
        <v>0</v>
      </c>
      <c r="CA243">
        <v>0</v>
      </c>
      <c r="CB243">
        <v>-1</v>
      </c>
      <c r="CC243">
        <v>0.75721695</v>
      </c>
      <c r="CD243">
        <v>3.3171165563909799</v>
      </c>
      <c r="CE243">
        <v>0.32191428073890599</v>
      </c>
      <c r="CF243">
        <v>0</v>
      </c>
      <c r="CG243">
        <v>0</v>
      </c>
      <c r="CH243">
        <v>2</v>
      </c>
      <c r="CI243" t="s">
        <v>299</v>
      </c>
      <c r="CJ243">
        <v>3.53254</v>
      </c>
      <c r="CK243">
        <v>2.7019299999999999</v>
      </c>
      <c r="CL243">
        <v>9.8336099999999996E-2</v>
      </c>
      <c r="CM243">
        <v>9.6890299999999999E-2</v>
      </c>
      <c r="CN243">
        <v>9.0364399999999998E-2</v>
      </c>
      <c r="CO243">
        <v>8.4076499999999998E-2</v>
      </c>
      <c r="CP243">
        <v>31627.9</v>
      </c>
      <c r="CQ243">
        <v>27805.4</v>
      </c>
      <c r="CR243">
        <v>32464.5</v>
      </c>
      <c r="CS243">
        <v>30714.7</v>
      </c>
      <c r="CT243">
        <v>39978.5</v>
      </c>
      <c r="CU243">
        <v>39555.199999999997</v>
      </c>
      <c r="CV243">
        <v>47407.7</v>
      </c>
      <c r="CW243">
        <v>46837.5</v>
      </c>
      <c r="CX243">
        <v>2.62554</v>
      </c>
      <c r="CY243">
        <v>2.13862</v>
      </c>
      <c r="CZ243">
        <v>0</v>
      </c>
      <c r="DA243">
        <v>0</v>
      </c>
      <c r="DB243">
        <v>999.9</v>
      </c>
      <c r="DC243">
        <v>999.9</v>
      </c>
      <c r="DD243">
        <v>52.118000000000002</v>
      </c>
      <c r="DE243">
        <v>27.241</v>
      </c>
      <c r="DF243">
        <v>18.8536</v>
      </c>
      <c r="DG243">
        <v>30.360099999999999</v>
      </c>
      <c r="DH243">
        <v>16.522400000000001</v>
      </c>
      <c r="DI243">
        <v>2</v>
      </c>
      <c r="DJ243">
        <v>-0.13589799999999999</v>
      </c>
      <c r="DK243">
        <v>2.0506799999999998</v>
      </c>
      <c r="DL243">
        <v>20.2104</v>
      </c>
      <c r="DM243">
        <v>5.2481999999999998</v>
      </c>
      <c r="DN243">
        <v>12.033899999999999</v>
      </c>
      <c r="DO243">
        <v>4.9668400000000004</v>
      </c>
      <c r="DP243">
        <v>3.2906200000000001</v>
      </c>
      <c r="DQ243">
        <v>9999</v>
      </c>
      <c r="DR243">
        <v>9999</v>
      </c>
      <c r="DS243">
        <v>597.6</v>
      </c>
      <c r="DT243">
        <v>9999</v>
      </c>
      <c r="DU243">
        <v>1.87113</v>
      </c>
      <c r="DV243">
        <v>1.8761399999999999</v>
      </c>
      <c r="DW243">
        <v>1.8763700000000001</v>
      </c>
      <c r="DX243">
        <v>1.8828800000000001</v>
      </c>
      <c r="DY243">
        <v>1.87561</v>
      </c>
      <c r="DZ243">
        <v>1.87469</v>
      </c>
      <c r="EA243">
        <v>1.8708800000000001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-0.871</v>
      </c>
      <c r="EQ243">
        <v>9.8699999999999996E-2</v>
      </c>
      <c r="ER243">
        <v>-0.87179999999995095</v>
      </c>
      <c r="ES243">
        <v>0</v>
      </c>
      <c r="ET243">
        <v>0</v>
      </c>
      <c r="EU243">
        <v>0</v>
      </c>
      <c r="EV243">
        <v>9.8709999999998702E-2</v>
      </c>
      <c r="EW243">
        <v>0</v>
      </c>
      <c r="EX243">
        <v>0</v>
      </c>
      <c r="EY243">
        <v>0</v>
      </c>
      <c r="EZ243">
        <v>-1</v>
      </c>
      <c r="FA243">
        <v>-1</v>
      </c>
      <c r="FB243">
        <v>-1</v>
      </c>
      <c r="FC243">
        <v>-1</v>
      </c>
      <c r="FD243">
        <v>3.9</v>
      </c>
      <c r="FE243">
        <v>3.5</v>
      </c>
      <c r="FF243">
        <v>1.24146</v>
      </c>
      <c r="FG243">
        <v>2.5964399999999999</v>
      </c>
      <c r="FH243">
        <v>2.19604</v>
      </c>
      <c r="FI243">
        <v>2.5744600000000002</v>
      </c>
      <c r="FJ243">
        <v>2.4462899999999999</v>
      </c>
      <c r="FK243">
        <v>2.2705099999999998</v>
      </c>
      <c r="FL243">
        <v>31.717300000000002</v>
      </c>
      <c r="FM243">
        <v>24.14</v>
      </c>
      <c r="FN243">
        <v>19</v>
      </c>
      <c r="FO243">
        <v>865.00199999999995</v>
      </c>
      <c r="FP243">
        <v>580.88300000000004</v>
      </c>
      <c r="FQ243">
        <v>18.013000000000002</v>
      </c>
      <c r="FR243">
        <v>25.308599999999998</v>
      </c>
      <c r="FS243">
        <v>30</v>
      </c>
      <c r="FT243">
        <v>25.3246</v>
      </c>
      <c r="FU243">
        <v>25.324200000000001</v>
      </c>
      <c r="FV243">
        <v>24.918399999999998</v>
      </c>
      <c r="FW243">
        <v>26.7255</v>
      </c>
      <c r="FX243">
        <v>1.1245700000000001</v>
      </c>
      <c r="FY243">
        <v>18.050999999999998</v>
      </c>
      <c r="FZ243">
        <v>410</v>
      </c>
      <c r="GA243">
        <v>14.4834</v>
      </c>
      <c r="GB243">
        <v>99.898200000000003</v>
      </c>
      <c r="GC243">
        <v>99.71</v>
      </c>
    </row>
    <row r="244" spans="1:185" x14ac:dyDescent="0.2">
      <c r="A244">
        <v>229</v>
      </c>
      <c r="B244">
        <v>1771003291.0999999</v>
      </c>
      <c r="C244">
        <v>4668</v>
      </c>
      <c r="D244" t="s">
        <v>763</v>
      </c>
      <c r="E244" t="s">
        <v>764</v>
      </c>
      <c r="F244">
        <v>15</v>
      </c>
      <c r="G244">
        <v>1771003283.03333</v>
      </c>
      <c r="H244">
        <f t="shared" si="39"/>
        <v>1.1943119755209871E-3</v>
      </c>
      <c r="I244">
        <v>0</v>
      </c>
      <c r="J244">
        <f t="shared" si="51"/>
        <v>-2.8217407480715842E-2</v>
      </c>
      <c r="K244">
        <f t="shared" si="40"/>
        <v>-0.50456263773186216</v>
      </c>
      <c r="L244">
        <f t="shared" si="41"/>
        <v>73.370214680052925</v>
      </c>
      <c r="M244">
        <f t="shared" si="42"/>
        <v>1.610904403405151</v>
      </c>
      <c r="N244">
        <f t="shared" si="43"/>
        <v>2.195583603550646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26328.509028642264</v>
      </c>
      <c r="T244">
        <f t="shared" si="47"/>
        <v>499.99799999999999</v>
      </c>
      <c r="U244">
        <f t="shared" si="48"/>
        <v>421.49843299952386</v>
      </c>
      <c r="V244">
        <f t="shared" si="49"/>
        <v>0.84300023799999968</v>
      </c>
      <c r="W244">
        <f t="shared" si="50"/>
        <v>0.15870033515999996</v>
      </c>
      <c r="X244">
        <v>1</v>
      </c>
      <c r="Y244">
        <v>1771003283.03333</v>
      </c>
      <c r="Z244">
        <v>410.05686666666702</v>
      </c>
      <c r="AA244">
        <v>410.03833333333301</v>
      </c>
      <c r="AB244">
        <v>16.0420266666667</v>
      </c>
      <c r="AC244">
        <v>14.5731</v>
      </c>
      <c r="AD244">
        <v>410.92880000000002</v>
      </c>
      <c r="AE244">
        <v>15.94332</v>
      </c>
      <c r="AF244">
        <v>800.00779999999997</v>
      </c>
      <c r="AG244">
        <v>100.353533333333</v>
      </c>
      <c r="AH244">
        <v>6.42278933333333E-2</v>
      </c>
      <c r="AI244">
        <v>18.930126666666698</v>
      </c>
      <c r="AJ244">
        <v>999.9</v>
      </c>
      <c r="AK244">
        <v>999.9</v>
      </c>
      <c r="AL244">
        <v>0</v>
      </c>
      <c r="AM244">
        <v>0</v>
      </c>
      <c r="AN244">
        <v>5001.2</v>
      </c>
      <c r="AO244">
        <v>0</v>
      </c>
      <c r="AP244">
        <v>1.7502500000000001</v>
      </c>
      <c r="AQ244">
        <v>1.85608266666667E-2</v>
      </c>
      <c r="AR244">
        <v>416.74239999999998</v>
      </c>
      <c r="AS244">
        <v>416.10219999999998</v>
      </c>
      <c r="AT244">
        <v>1.468934</v>
      </c>
      <c r="AU244">
        <v>410.03833333333301</v>
      </c>
      <c r="AV244">
        <v>14.5731</v>
      </c>
      <c r="AW244">
        <v>1.6098746666666699</v>
      </c>
      <c r="AX244">
        <v>1.4624633333333299</v>
      </c>
      <c r="AY244">
        <v>14.053599999999999</v>
      </c>
      <c r="AZ244">
        <v>12.5805333333333</v>
      </c>
      <c r="BA244">
        <v>499.99799999999999</v>
      </c>
      <c r="BB244">
        <v>0.89999593333333305</v>
      </c>
      <c r="BC244">
        <v>0</v>
      </c>
      <c r="BD244">
        <v>0.1000042</v>
      </c>
      <c r="BE244">
        <v>0</v>
      </c>
      <c r="BF244">
        <v>24</v>
      </c>
      <c r="BG244">
        <v>8244.348</v>
      </c>
      <c r="BH244">
        <v>1771003067.0999999</v>
      </c>
      <c r="BI244" t="s">
        <v>748</v>
      </c>
      <c r="BJ244">
        <v>1771003045.0999999</v>
      </c>
      <c r="BK244">
        <v>1771003067.0999999</v>
      </c>
      <c r="BL244">
        <v>13</v>
      </c>
      <c r="BM244">
        <v>3.6999999999999998E-2</v>
      </c>
      <c r="BN244">
        <v>2E-3</v>
      </c>
      <c r="BO244">
        <v>-0.872</v>
      </c>
      <c r="BP244">
        <v>9.9000000000000005E-2</v>
      </c>
      <c r="BQ244">
        <v>410</v>
      </c>
      <c r="BR244">
        <v>14</v>
      </c>
      <c r="BS244">
        <v>0.37</v>
      </c>
      <c r="BT244">
        <v>7.0000000000000007E-2</v>
      </c>
      <c r="BU244">
        <v>0.28702354285714299</v>
      </c>
      <c r="BV244">
        <v>-4.0563597350649303</v>
      </c>
      <c r="BW244">
        <v>0.41598249725123199</v>
      </c>
      <c r="BX244">
        <v>0</v>
      </c>
      <c r="BY244">
        <v>0</v>
      </c>
      <c r="BZ244">
        <v>0</v>
      </c>
      <c r="CA244">
        <v>0</v>
      </c>
      <c r="CB244">
        <v>-1</v>
      </c>
      <c r="CC244">
        <v>1.3516138095238099</v>
      </c>
      <c r="CD244">
        <v>1.7670825974026001</v>
      </c>
      <c r="CE244">
        <v>0.17970009461470801</v>
      </c>
      <c r="CF244">
        <v>0</v>
      </c>
      <c r="CG244">
        <v>0</v>
      </c>
      <c r="CH244">
        <v>2</v>
      </c>
      <c r="CI244" t="s">
        <v>299</v>
      </c>
      <c r="CJ244">
        <v>3.5324599999999999</v>
      </c>
      <c r="CK244">
        <v>2.7018599999999999</v>
      </c>
      <c r="CL244">
        <v>9.8190700000000006E-2</v>
      </c>
      <c r="CM244">
        <v>9.6878099999999995E-2</v>
      </c>
      <c r="CN244">
        <v>8.9723700000000003E-2</v>
      </c>
      <c r="CO244">
        <v>8.1938700000000003E-2</v>
      </c>
      <c r="CP244">
        <v>31633</v>
      </c>
      <c r="CQ244">
        <v>27804.799999999999</v>
      </c>
      <c r="CR244">
        <v>32464.6</v>
      </c>
      <c r="CS244">
        <v>30713.7</v>
      </c>
      <c r="CT244">
        <v>40007.699999999997</v>
      </c>
      <c r="CU244">
        <v>39649</v>
      </c>
      <c r="CV244">
        <v>47407.8</v>
      </c>
      <c r="CW244">
        <v>46836</v>
      </c>
      <c r="CX244">
        <v>2.6257999999999999</v>
      </c>
      <c r="CY244">
        <v>2.13774</v>
      </c>
      <c r="CZ244">
        <v>0</v>
      </c>
      <c r="DA244">
        <v>0</v>
      </c>
      <c r="DB244">
        <v>999.9</v>
      </c>
      <c r="DC244">
        <v>999.9</v>
      </c>
      <c r="DD244">
        <v>52.094000000000001</v>
      </c>
      <c r="DE244">
        <v>27.260999999999999</v>
      </c>
      <c r="DF244">
        <v>18.8658</v>
      </c>
      <c r="DG244">
        <v>30.5701</v>
      </c>
      <c r="DH244">
        <v>16.602599999999999</v>
      </c>
      <c r="DI244">
        <v>2</v>
      </c>
      <c r="DJ244">
        <v>-0.13587399999999999</v>
      </c>
      <c r="DK244">
        <v>1.89116</v>
      </c>
      <c r="DL244">
        <v>20.212900000000001</v>
      </c>
      <c r="DM244">
        <v>5.2515499999999999</v>
      </c>
      <c r="DN244">
        <v>12.033899999999999</v>
      </c>
      <c r="DO244">
        <v>4.9674399999999999</v>
      </c>
      <c r="DP244">
        <v>3.2909999999999999</v>
      </c>
      <c r="DQ244">
        <v>9999</v>
      </c>
      <c r="DR244">
        <v>9999</v>
      </c>
      <c r="DS244">
        <v>597.6</v>
      </c>
      <c r="DT244">
        <v>9999</v>
      </c>
      <c r="DU244">
        <v>1.8711100000000001</v>
      </c>
      <c r="DV244">
        <v>1.8761300000000001</v>
      </c>
      <c r="DW244">
        <v>1.87636</v>
      </c>
      <c r="DX244">
        <v>1.88283</v>
      </c>
      <c r="DY244">
        <v>1.8756200000000001</v>
      </c>
      <c r="DZ244">
        <v>1.87469</v>
      </c>
      <c r="EA244">
        <v>1.8708800000000001</v>
      </c>
      <c r="EB244">
        <v>1.8746700000000001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-0.872</v>
      </c>
      <c r="EQ244">
        <v>9.8699999999999996E-2</v>
      </c>
      <c r="ER244">
        <v>-0.87179999999995095</v>
      </c>
      <c r="ES244">
        <v>0</v>
      </c>
      <c r="ET244">
        <v>0</v>
      </c>
      <c r="EU244">
        <v>0</v>
      </c>
      <c r="EV244">
        <v>9.8709999999998702E-2</v>
      </c>
      <c r="EW244">
        <v>0</v>
      </c>
      <c r="EX244">
        <v>0</v>
      </c>
      <c r="EY244">
        <v>0</v>
      </c>
      <c r="EZ244">
        <v>-1</v>
      </c>
      <c r="FA244">
        <v>-1</v>
      </c>
      <c r="FB244">
        <v>-1</v>
      </c>
      <c r="FC244">
        <v>-1</v>
      </c>
      <c r="FD244">
        <v>4.0999999999999996</v>
      </c>
      <c r="FE244">
        <v>3.7</v>
      </c>
      <c r="FF244">
        <v>1.24146</v>
      </c>
      <c r="FG244">
        <v>2.5939899999999998</v>
      </c>
      <c r="FH244">
        <v>2.19604</v>
      </c>
      <c r="FI244">
        <v>2.5744600000000002</v>
      </c>
      <c r="FJ244">
        <v>2.4462899999999999</v>
      </c>
      <c r="FK244">
        <v>2.2656200000000002</v>
      </c>
      <c r="FL244">
        <v>31.717300000000002</v>
      </c>
      <c r="FM244">
        <v>24.14</v>
      </c>
      <c r="FN244">
        <v>19</v>
      </c>
      <c r="FO244">
        <v>865.24400000000003</v>
      </c>
      <c r="FP244">
        <v>580.22400000000005</v>
      </c>
      <c r="FQ244">
        <v>18.156500000000001</v>
      </c>
      <c r="FR244">
        <v>25.310700000000001</v>
      </c>
      <c r="FS244">
        <v>30</v>
      </c>
      <c r="FT244">
        <v>25.3246</v>
      </c>
      <c r="FU244">
        <v>25.325900000000001</v>
      </c>
      <c r="FV244">
        <v>24.915099999999999</v>
      </c>
      <c r="FW244">
        <v>28.851099999999999</v>
      </c>
      <c r="FX244">
        <v>1.1245700000000001</v>
      </c>
      <c r="FY244">
        <v>18.197700000000001</v>
      </c>
      <c r="FZ244">
        <v>410</v>
      </c>
      <c r="GA244">
        <v>14.103899999999999</v>
      </c>
      <c r="GB244">
        <v>99.898399999999995</v>
      </c>
      <c r="GC244">
        <v>99.706699999999998</v>
      </c>
    </row>
    <row r="245" spans="1:185" x14ac:dyDescent="0.2">
      <c r="A245">
        <v>230</v>
      </c>
      <c r="B245">
        <v>1771003306.0999999</v>
      </c>
      <c r="C245">
        <v>4683</v>
      </c>
      <c r="D245" t="s">
        <v>765</v>
      </c>
      <c r="E245" t="s">
        <v>766</v>
      </c>
      <c r="F245">
        <v>15</v>
      </c>
      <c r="G245">
        <v>1771003298.03333</v>
      </c>
      <c r="H245">
        <f t="shared" si="39"/>
        <v>1.3825846558205438E-3</v>
      </c>
      <c r="I245">
        <v>0</v>
      </c>
      <c r="J245">
        <f t="shared" si="51"/>
        <v>-8.3965142703916716E-3</v>
      </c>
      <c r="K245">
        <f t="shared" si="40"/>
        <v>-0.15014020656991156</v>
      </c>
      <c r="L245">
        <f t="shared" si="41"/>
        <v>72.573211377257735</v>
      </c>
      <c r="M245">
        <f t="shared" si="42"/>
        <v>1.5939222693855761</v>
      </c>
      <c r="N245">
        <f t="shared" si="43"/>
        <v>2.1962956291128979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26330.593739499644</v>
      </c>
      <c r="T245">
        <f t="shared" si="47"/>
        <v>500.00006666666701</v>
      </c>
      <c r="U245">
        <f t="shared" si="48"/>
        <v>421.50020020001972</v>
      </c>
      <c r="V245">
        <f t="shared" si="49"/>
        <v>0.84300028800000049</v>
      </c>
      <c r="W245">
        <f t="shared" si="50"/>
        <v>0.15870007040000012</v>
      </c>
      <c r="X245">
        <v>1</v>
      </c>
      <c r="Y245">
        <v>1771003298.03333</v>
      </c>
      <c r="Z245">
        <v>409.51666666666699</v>
      </c>
      <c r="AA245">
        <v>410.03673333333302</v>
      </c>
      <c r="AB245">
        <v>15.87326</v>
      </c>
      <c r="AC245">
        <v>14.1724533333333</v>
      </c>
      <c r="AD245">
        <v>410.38853333333299</v>
      </c>
      <c r="AE245">
        <v>15.7745533333333</v>
      </c>
      <c r="AF245">
        <v>799.99599999999998</v>
      </c>
      <c r="AG245">
        <v>100.351666666667</v>
      </c>
      <c r="AH245">
        <v>6.38919133333333E-2</v>
      </c>
      <c r="AI245">
        <v>18.935320000000001</v>
      </c>
      <c r="AJ245">
        <v>999.9</v>
      </c>
      <c r="AK245">
        <v>999.9</v>
      </c>
      <c r="AL245">
        <v>0</v>
      </c>
      <c r="AM245">
        <v>0</v>
      </c>
      <c r="AN245">
        <v>5001.7</v>
      </c>
      <c r="AO245">
        <v>0</v>
      </c>
      <c r="AP245">
        <v>1.7502500000000001</v>
      </c>
      <c r="AQ245">
        <v>-0.519915866666667</v>
      </c>
      <c r="AR245">
        <v>416.121933333333</v>
      </c>
      <c r="AS245">
        <v>415.93146666666701</v>
      </c>
      <c r="AT245">
        <v>1.700804</v>
      </c>
      <c r="AU245">
        <v>410.03673333333302</v>
      </c>
      <c r="AV245">
        <v>14.1724533333333</v>
      </c>
      <c r="AW245">
        <v>1.5929073333333299</v>
      </c>
      <c r="AX245">
        <v>1.4222286666666699</v>
      </c>
      <c r="AY245">
        <v>13.890273333333299</v>
      </c>
      <c r="AZ245">
        <v>12.1564333333333</v>
      </c>
      <c r="BA245">
        <v>500.00006666666701</v>
      </c>
      <c r="BB245">
        <v>0.90000006666666699</v>
      </c>
      <c r="BC245">
        <v>0</v>
      </c>
      <c r="BD245">
        <v>0.100000266666667</v>
      </c>
      <c r="BE245">
        <v>0</v>
      </c>
      <c r="BF245">
        <v>24</v>
      </c>
      <c r="BG245">
        <v>8244.3906666666699</v>
      </c>
      <c r="BH245">
        <v>1771003067.0999999</v>
      </c>
      <c r="BI245" t="s">
        <v>748</v>
      </c>
      <c r="BJ245">
        <v>1771003045.0999999</v>
      </c>
      <c r="BK245">
        <v>1771003067.0999999</v>
      </c>
      <c r="BL245">
        <v>13</v>
      </c>
      <c r="BM245">
        <v>3.6999999999999998E-2</v>
      </c>
      <c r="BN245">
        <v>2E-3</v>
      </c>
      <c r="BO245">
        <v>-0.872</v>
      </c>
      <c r="BP245">
        <v>9.9000000000000005E-2</v>
      </c>
      <c r="BQ245">
        <v>410</v>
      </c>
      <c r="BR245">
        <v>14</v>
      </c>
      <c r="BS245">
        <v>0.37</v>
      </c>
      <c r="BT245">
        <v>7.0000000000000007E-2</v>
      </c>
      <c r="BU245">
        <v>-0.43622561904761897</v>
      </c>
      <c r="BV245">
        <v>-1.45225238961039</v>
      </c>
      <c r="BW245">
        <v>0.153098511600639</v>
      </c>
      <c r="BX245">
        <v>0</v>
      </c>
      <c r="BY245">
        <v>0</v>
      </c>
      <c r="BZ245">
        <v>0</v>
      </c>
      <c r="CA245">
        <v>0</v>
      </c>
      <c r="CB245">
        <v>-1</v>
      </c>
      <c r="CC245">
        <v>1.66555571428571</v>
      </c>
      <c r="CD245">
        <v>0.66639506493506695</v>
      </c>
      <c r="CE245">
        <v>6.8158313650851801E-2</v>
      </c>
      <c r="CF245">
        <v>0</v>
      </c>
      <c r="CG245">
        <v>0</v>
      </c>
      <c r="CH245">
        <v>2</v>
      </c>
      <c r="CI245" t="s">
        <v>299</v>
      </c>
      <c r="CJ245">
        <v>3.5325199999999999</v>
      </c>
      <c r="CK245">
        <v>2.7015699999999998</v>
      </c>
      <c r="CL245">
        <v>9.8128999999999994E-2</v>
      </c>
      <c r="CM245">
        <v>9.68609E-2</v>
      </c>
      <c r="CN245">
        <v>8.8947300000000007E-2</v>
      </c>
      <c r="CO245">
        <v>8.0635100000000001E-2</v>
      </c>
      <c r="CP245">
        <v>31635</v>
      </c>
      <c r="CQ245">
        <v>27805.200000000001</v>
      </c>
      <c r="CR245">
        <v>32464.3</v>
      </c>
      <c r="CS245">
        <v>30713.599999999999</v>
      </c>
      <c r="CT245">
        <v>40042.6</v>
      </c>
      <c r="CU245">
        <v>39706.9</v>
      </c>
      <c r="CV245">
        <v>47407.4</v>
      </c>
      <c r="CW245">
        <v>46836.1</v>
      </c>
      <c r="CX245">
        <v>2.62616</v>
      </c>
      <c r="CY245">
        <v>2.1367799999999999</v>
      </c>
      <c r="CZ245">
        <v>0</v>
      </c>
      <c r="DA245">
        <v>0</v>
      </c>
      <c r="DB245">
        <v>999.9</v>
      </c>
      <c r="DC245">
        <v>999.9</v>
      </c>
      <c r="DD245">
        <v>52.069000000000003</v>
      </c>
      <c r="DE245">
        <v>27.260999999999999</v>
      </c>
      <c r="DF245">
        <v>18.857099999999999</v>
      </c>
      <c r="DG245">
        <v>30.600100000000001</v>
      </c>
      <c r="DH245">
        <v>16.522400000000001</v>
      </c>
      <c r="DI245">
        <v>2</v>
      </c>
      <c r="DJ245">
        <v>-0.13578899999999999</v>
      </c>
      <c r="DK245">
        <v>1.78871</v>
      </c>
      <c r="DL245">
        <v>20.213200000000001</v>
      </c>
      <c r="DM245">
        <v>5.2453200000000004</v>
      </c>
      <c r="DN245">
        <v>12.033899999999999</v>
      </c>
      <c r="DO245">
        <v>4.96652</v>
      </c>
      <c r="DP245">
        <v>3.2902399999999998</v>
      </c>
      <c r="DQ245">
        <v>9999</v>
      </c>
      <c r="DR245">
        <v>9999</v>
      </c>
      <c r="DS245">
        <v>597.6</v>
      </c>
      <c r="DT245">
        <v>9999</v>
      </c>
      <c r="DU245">
        <v>1.87107</v>
      </c>
      <c r="DV245">
        <v>1.87609</v>
      </c>
      <c r="DW245">
        <v>1.8763399999999999</v>
      </c>
      <c r="DX245">
        <v>1.8828</v>
      </c>
      <c r="DY245">
        <v>1.87561</v>
      </c>
      <c r="DZ245">
        <v>1.8746700000000001</v>
      </c>
      <c r="EA245">
        <v>1.87087</v>
      </c>
      <c r="EB245">
        <v>1.8746499999999999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-0.871</v>
      </c>
      <c r="EQ245">
        <v>9.8699999999999996E-2</v>
      </c>
      <c r="ER245">
        <v>-0.87179999999995095</v>
      </c>
      <c r="ES245">
        <v>0</v>
      </c>
      <c r="ET245">
        <v>0</v>
      </c>
      <c r="EU245">
        <v>0</v>
      </c>
      <c r="EV245">
        <v>9.8709999999998702E-2</v>
      </c>
      <c r="EW245">
        <v>0</v>
      </c>
      <c r="EX245">
        <v>0</v>
      </c>
      <c r="EY245">
        <v>0</v>
      </c>
      <c r="EZ245">
        <v>-1</v>
      </c>
      <c r="FA245">
        <v>-1</v>
      </c>
      <c r="FB245">
        <v>-1</v>
      </c>
      <c r="FC245">
        <v>-1</v>
      </c>
      <c r="FD245">
        <v>4.3</v>
      </c>
      <c r="FE245">
        <v>4</v>
      </c>
      <c r="FF245">
        <v>1.24146</v>
      </c>
      <c r="FG245">
        <v>2.5964399999999999</v>
      </c>
      <c r="FH245">
        <v>2.19604</v>
      </c>
      <c r="FI245">
        <v>2.5756800000000002</v>
      </c>
      <c r="FJ245">
        <v>2.4462899999999999</v>
      </c>
      <c r="FK245">
        <v>2.32422</v>
      </c>
      <c r="FL245">
        <v>31.717300000000002</v>
      </c>
      <c r="FM245">
        <v>24.157499999999999</v>
      </c>
      <c r="FN245">
        <v>19</v>
      </c>
      <c r="FO245">
        <v>865.59900000000005</v>
      </c>
      <c r="FP245">
        <v>579.49800000000005</v>
      </c>
      <c r="FQ245">
        <v>18.302</v>
      </c>
      <c r="FR245">
        <v>25.312899999999999</v>
      </c>
      <c r="FS245">
        <v>30.0001</v>
      </c>
      <c r="FT245">
        <v>25.325900000000001</v>
      </c>
      <c r="FU245">
        <v>25.327200000000001</v>
      </c>
      <c r="FV245">
        <v>24.9129</v>
      </c>
      <c r="FW245">
        <v>29.9986</v>
      </c>
      <c r="FX245">
        <v>0.74630700000000005</v>
      </c>
      <c r="FY245">
        <v>18.334700000000002</v>
      </c>
      <c r="FZ245">
        <v>410</v>
      </c>
      <c r="GA245">
        <v>13.879099999999999</v>
      </c>
      <c r="GB245">
        <v>99.897599999999997</v>
      </c>
      <c r="GC245">
        <v>99.706699999999998</v>
      </c>
    </row>
    <row r="246" spans="1:185" x14ac:dyDescent="0.2">
      <c r="A246">
        <v>231</v>
      </c>
      <c r="B246">
        <v>1771003321.0999999</v>
      </c>
      <c r="C246">
        <v>4698</v>
      </c>
      <c r="D246" t="s">
        <v>767</v>
      </c>
      <c r="E246" t="s">
        <v>768</v>
      </c>
      <c r="F246">
        <v>15</v>
      </c>
      <c r="G246">
        <v>1771003313.03333</v>
      </c>
      <c r="H246">
        <f t="shared" si="39"/>
        <v>1.4527492838280094E-3</v>
      </c>
      <c r="I246">
        <v>0</v>
      </c>
      <c r="J246">
        <f t="shared" si="51"/>
        <v>2.2995838475226981E-4</v>
      </c>
      <c r="K246">
        <f t="shared" si="40"/>
        <v>4.1119443470651607E-3</v>
      </c>
      <c r="L246">
        <f t="shared" si="41"/>
        <v>71.72888342107882</v>
      </c>
      <c r="M246">
        <f t="shared" si="42"/>
        <v>1.5771627567132045</v>
      </c>
      <c r="N246">
        <f t="shared" si="43"/>
        <v>2.1987833652095117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26293.91635136697</v>
      </c>
      <c r="T246">
        <f t="shared" si="47"/>
        <v>500.00093333333302</v>
      </c>
      <c r="U246">
        <f t="shared" si="48"/>
        <v>421.50089380019961</v>
      </c>
      <c r="V246">
        <f t="shared" si="49"/>
        <v>0.84300021400000025</v>
      </c>
      <c r="W246">
        <f t="shared" si="50"/>
        <v>0.15870040508000008</v>
      </c>
      <c r="X246">
        <v>1</v>
      </c>
      <c r="Y246">
        <v>1771003313.03333</v>
      </c>
      <c r="Z246">
        <v>409.262133333333</v>
      </c>
      <c r="AA246">
        <v>410.01046666666701</v>
      </c>
      <c r="AB246">
        <v>15.706293333333299</v>
      </c>
      <c r="AC246">
        <v>13.91888</v>
      </c>
      <c r="AD246">
        <v>410.133733333333</v>
      </c>
      <c r="AE246">
        <v>15.6075866666667</v>
      </c>
      <c r="AF246">
        <v>800.00073333333296</v>
      </c>
      <c r="AG246">
        <v>100.35186666666699</v>
      </c>
      <c r="AH246">
        <v>6.4108206666666695E-2</v>
      </c>
      <c r="AI246">
        <v>18.9534533333333</v>
      </c>
      <c r="AJ246">
        <v>999.9</v>
      </c>
      <c r="AK246">
        <v>999.9</v>
      </c>
      <c r="AL246">
        <v>0</v>
      </c>
      <c r="AM246">
        <v>0</v>
      </c>
      <c r="AN246">
        <v>4995.9333333333298</v>
      </c>
      <c r="AO246">
        <v>0</v>
      </c>
      <c r="AP246">
        <v>1.7502500000000001</v>
      </c>
      <c r="AQ246">
        <v>-0.74843139999999997</v>
      </c>
      <c r="AR246">
        <v>415.79253333333298</v>
      </c>
      <c r="AS246">
        <v>415.798</v>
      </c>
      <c r="AT246">
        <v>1.78741333333333</v>
      </c>
      <c r="AU246">
        <v>410.01046666666701</v>
      </c>
      <c r="AV246">
        <v>13.91888</v>
      </c>
      <c r="AW246">
        <v>1.5761559999999999</v>
      </c>
      <c r="AX246">
        <v>1.3967860000000001</v>
      </c>
      <c r="AY246">
        <v>13.727593333333299</v>
      </c>
      <c r="AZ246">
        <v>11.8826466666667</v>
      </c>
      <c r="BA246">
        <v>500.00093333333302</v>
      </c>
      <c r="BB246">
        <v>0.89999479999999998</v>
      </c>
      <c r="BC246">
        <v>0</v>
      </c>
      <c r="BD246">
        <v>0.10000526666666699</v>
      </c>
      <c r="BE246">
        <v>0</v>
      </c>
      <c r="BF246">
        <v>24</v>
      </c>
      <c r="BG246">
        <v>8244.3973333333306</v>
      </c>
      <c r="BH246">
        <v>1771003067.0999999</v>
      </c>
      <c r="BI246" t="s">
        <v>748</v>
      </c>
      <c r="BJ246">
        <v>1771003045.0999999</v>
      </c>
      <c r="BK246">
        <v>1771003067.0999999</v>
      </c>
      <c r="BL246">
        <v>13</v>
      </c>
      <c r="BM246">
        <v>3.6999999999999998E-2</v>
      </c>
      <c r="BN246">
        <v>2E-3</v>
      </c>
      <c r="BO246">
        <v>-0.872</v>
      </c>
      <c r="BP246">
        <v>9.9000000000000005E-2</v>
      </c>
      <c r="BQ246">
        <v>410</v>
      </c>
      <c r="BR246">
        <v>14</v>
      </c>
      <c r="BS246">
        <v>0.37</v>
      </c>
      <c r="BT246">
        <v>7.0000000000000007E-2</v>
      </c>
      <c r="BU246">
        <v>-0.71058960000000004</v>
      </c>
      <c r="BV246">
        <v>-0.873448511278196</v>
      </c>
      <c r="BW246">
        <v>9.6242204385290298E-2</v>
      </c>
      <c r="BX246">
        <v>0</v>
      </c>
      <c r="BY246">
        <v>0</v>
      </c>
      <c r="BZ246">
        <v>0</v>
      </c>
      <c r="CA246">
        <v>0</v>
      </c>
      <c r="CB246">
        <v>-1</v>
      </c>
      <c r="CC246">
        <v>1.7770165</v>
      </c>
      <c r="CD246">
        <v>0.26724406015037599</v>
      </c>
      <c r="CE246">
        <v>2.6507079672230999E-2</v>
      </c>
      <c r="CF246">
        <v>0</v>
      </c>
      <c r="CG246">
        <v>0</v>
      </c>
      <c r="CH246">
        <v>2</v>
      </c>
      <c r="CI246" t="s">
        <v>299</v>
      </c>
      <c r="CJ246">
        <v>3.5325500000000001</v>
      </c>
      <c r="CK246">
        <v>2.7020200000000001</v>
      </c>
      <c r="CL246">
        <v>9.8102300000000003E-2</v>
      </c>
      <c r="CM246">
        <v>9.6860299999999996E-2</v>
      </c>
      <c r="CN246">
        <v>8.8347200000000001E-2</v>
      </c>
      <c r="CO246">
        <v>7.9851500000000006E-2</v>
      </c>
      <c r="CP246">
        <v>31634.2</v>
      </c>
      <c r="CQ246">
        <v>27805.5</v>
      </c>
      <c r="CR246">
        <v>32462.6</v>
      </c>
      <c r="CS246">
        <v>30713.9</v>
      </c>
      <c r="CT246">
        <v>40067.9</v>
      </c>
      <c r="CU246">
        <v>39741.9</v>
      </c>
      <c r="CV246">
        <v>47405</v>
      </c>
      <c r="CW246">
        <v>46836.3</v>
      </c>
      <c r="CX246">
        <v>2.6261399999999999</v>
      </c>
      <c r="CY246">
        <v>2.1360399999999999</v>
      </c>
      <c r="CZ246">
        <v>0</v>
      </c>
      <c r="DA246">
        <v>0</v>
      </c>
      <c r="DB246">
        <v>999.9</v>
      </c>
      <c r="DC246">
        <v>999.9</v>
      </c>
      <c r="DD246">
        <v>52.069000000000003</v>
      </c>
      <c r="DE246">
        <v>27.271000000000001</v>
      </c>
      <c r="DF246">
        <v>18.8687</v>
      </c>
      <c r="DG246">
        <v>30.450099999999999</v>
      </c>
      <c r="DH246">
        <v>16.590499999999999</v>
      </c>
      <c r="DI246">
        <v>2</v>
      </c>
      <c r="DJ246">
        <v>-0.13561200000000001</v>
      </c>
      <c r="DK246">
        <v>1.75837</v>
      </c>
      <c r="DL246">
        <v>20.2148</v>
      </c>
      <c r="DM246">
        <v>5.2509499999999996</v>
      </c>
      <c r="DN246">
        <v>12.033899999999999</v>
      </c>
      <c r="DO246">
        <v>4.9675200000000004</v>
      </c>
      <c r="DP246">
        <v>3.2909999999999999</v>
      </c>
      <c r="DQ246">
        <v>9999</v>
      </c>
      <c r="DR246">
        <v>9999</v>
      </c>
      <c r="DS246">
        <v>597.6</v>
      </c>
      <c r="DT246">
        <v>9999</v>
      </c>
      <c r="DU246">
        <v>1.87113</v>
      </c>
      <c r="DV246">
        <v>1.8761099999999999</v>
      </c>
      <c r="DW246">
        <v>1.87636</v>
      </c>
      <c r="DX246">
        <v>1.8828199999999999</v>
      </c>
      <c r="DY246">
        <v>1.8756200000000001</v>
      </c>
      <c r="DZ246">
        <v>1.87469</v>
      </c>
      <c r="EA246">
        <v>1.8708800000000001</v>
      </c>
      <c r="EB246">
        <v>1.8746799999999999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-0.871</v>
      </c>
      <c r="EQ246">
        <v>9.8699999999999996E-2</v>
      </c>
      <c r="ER246">
        <v>-0.87179999999995095</v>
      </c>
      <c r="ES246">
        <v>0</v>
      </c>
      <c r="ET246">
        <v>0</v>
      </c>
      <c r="EU246">
        <v>0</v>
      </c>
      <c r="EV246">
        <v>9.8709999999998702E-2</v>
      </c>
      <c r="EW246">
        <v>0</v>
      </c>
      <c r="EX246">
        <v>0</v>
      </c>
      <c r="EY246">
        <v>0</v>
      </c>
      <c r="EZ246">
        <v>-1</v>
      </c>
      <c r="FA246">
        <v>-1</v>
      </c>
      <c r="FB246">
        <v>-1</v>
      </c>
      <c r="FC246">
        <v>-1</v>
      </c>
      <c r="FD246">
        <v>4.5999999999999996</v>
      </c>
      <c r="FE246">
        <v>4.2</v>
      </c>
      <c r="FF246">
        <v>1.24146</v>
      </c>
      <c r="FG246">
        <v>2.5988799999999999</v>
      </c>
      <c r="FH246">
        <v>2.19604</v>
      </c>
      <c r="FI246">
        <v>2.5744600000000002</v>
      </c>
      <c r="FJ246">
        <v>2.4462899999999999</v>
      </c>
      <c r="FK246">
        <v>2.2729499999999998</v>
      </c>
      <c r="FL246">
        <v>31.7392</v>
      </c>
      <c r="FM246">
        <v>24.148800000000001</v>
      </c>
      <c r="FN246">
        <v>19</v>
      </c>
      <c r="FO246">
        <v>865.59400000000005</v>
      </c>
      <c r="FP246">
        <v>578.95699999999999</v>
      </c>
      <c r="FQ246">
        <v>18.417200000000001</v>
      </c>
      <c r="FR246">
        <v>25.3171</v>
      </c>
      <c r="FS246">
        <v>30.0002</v>
      </c>
      <c r="FT246">
        <v>25.326799999999999</v>
      </c>
      <c r="FU246">
        <v>25.329699999999999</v>
      </c>
      <c r="FV246">
        <v>24.912700000000001</v>
      </c>
      <c r="FW246">
        <v>30.5974</v>
      </c>
      <c r="FX246">
        <v>0.37141200000000002</v>
      </c>
      <c r="FY246">
        <v>18.435700000000001</v>
      </c>
      <c r="FZ246">
        <v>410</v>
      </c>
      <c r="GA246">
        <v>13.7217</v>
      </c>
      <c r="GB246">
        <v>99.892499999999998</v>
      </c>
      <c r="GC246">
        <v>99.707400000000007</v>
      </c>
    </row>
    <row r="247" spans="1:185" x14ac:dyDescent="0.2">
      <c r="A247">
        <v>232</v>
      </c>
      <c r="B247">
        <v>1771003336.0999999</v>
      </c>
      <c r="C247">
        <v>4713</v>
      </c>
      <c r="D247" t="s">
        <v>769</v>
      </c>
      <c r="E247" t="s">
        <v>770</v>
      </c>
      <c r="F247">
        <v>15</v>
      </c>
      <c r="G247">
        <v>1771003328.03333</v>
      </c>
      <c r="H247">
        <f t="shared" si="39"/>
        <v>1.4695625497031996E-3</v>
      </c>
      <c r="I247">
        <v>0</v>
      </c>
      <c r="J247">
        <f t="shared" si="51"/>
        <v>-5.3737544035601314E-4</v>
      </c>
      <c r="K247">
        <f t="shared" si="40"/>
        <v>-9.608946882297794E-3</v>
      </c>
      <c r="L247">
        <f t="shared" si="41"/>
        <v>71.050189307279851</v>
      </c>
      <c r="M247">
        <f t="shared" si="42"/>
        <v>1.5648468151568693</v>
      </c>
      <c r="N247">
        <f t="shared" si="43"/>
        <v>2.2024527033829226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26337.889626323733</v>
      </c>
      <c r="T247">
        <f t="shared" si="47"/>
        <v>499.99880000000002</v>
      </c>
      <c r="U247">
        <f t="shared" si="48"/>
        <v>421.499032199895</v>
      </c>
      <c r="V247">
        <f t="shared" si="49"/>
        <v>0.84300008760000023</v>
      </c>
      <c r="W247">
        <f t="shared" si="50"/>
        <v>0.15869980325600005</v>
      </c>
      <c r="X247">
        <v>1</v>
      </c>
      <c r="Y247">
        <v>1771003328.03333</v>
      </c>
      <c r="Z247">
        <v>409.27519999999998</v>
      </c>
      <c r="AA247">
        <v>410.01499999999999</v>
      </c>
      <c r="AB247">
        <v>15.5836733333333</v>
      </c>
      <c r="AC247">
        <v>13.775366666666701</v>
      </c>
      <c r="AD247">
        <v>410.14686666666699</v>
      </c>
      <c r="AE247">
        <v>15.484973333333301</v>
      </c>
      <c r="AF247">
        <v>800.00886666666702</v>
      </c>
      <c r="AG247">
        <v>100.3516</v>
      </c>
      <c r="AH247">
        <v>6.4186553333333299E-2</v>
      </c>
      <c r="AI247">
        <v>18.980166666666701</v>
      </c>
      <c r="AJ247">
        <v>999.9</v>
      </c>
      <c r="AK247">
        <v>999.9</v>
      </c>
      <c r="AL247">
        <v>0</v>
      </c>
      <c r="AM247">
        <v>0</v>
      </c>
      <c r="AN247">
        <v>5003.5666666666702</v>
      </c>
      <c r="AO247">
        <v>0</v>
      </c>
      <c r="AP247">
        <v>1.7502500000000001</v>
      </c>
      <c r="AQ247">
        <v>-0.740010733333333</v>
      </c>
      <c r="AR247">
        <v>415.75420000000003</v>
      </c>
      <c r="AS247">
        <v>415.74213333333302</v>
      </c>
      <c r="AT247">
        <v>1.8083146666666701</v>
      </c>
      <c r="AU247">
        <v>410.01499999999999</v>
      </c>
      <c r="AV247">
        <v>13.775366666666701</v>
      </c>
      <c r="AW247">
        <v>1.5638479999999999</v>
      </c>
      <c r="AX247">
        <v>1.3823799999999999</v>
      </c>
      <c r="AY247">
        <v>13.6070733333333</v>
      </c>
      <c r="AZ247">
        <v>11.725666666666701</v>
      </c>
      <c r="BA247">
        <v>499.99880000000002</v>
      </c>
      <c r="BB247">
        <v>0.90000326666666697</v>
      </c>
      <c r="BC247">
        <v>0</v>
      </c>
      <c r="BD247">
        <v>9.9996946666666697E-2</v>
      </c>
      <c r="BE247">
        <v>0</v>
      </c>
      <c r="BF247">
        <v>24</v>
      </c>
      <c r="BG247">
        <v>8244.3773333333302</v>
      </c>
      <c r="BH247">
        <v>1771003067.0999999</v>
      </c>
      <c r="BI247" t="s">
        <v>748</v>
      </c>
      <c r="BJ247">
        <v>1771003045.0999999</v>
      </c>
      <c r="BK247">
        <v>1771003067.0999999</v>
      </c>
      <c r="BL247">
        <v>13</v>
      </c>
      <c r="BM247">
        <v>3.6999999999999998E-2</v>
      </c>
      <c r="BN247">
        <v>2E-3</v>
      </c>
      <c r="BO247">
        <v>-0.872</v>
      </c>
      <c r="BP247">
        <v>9.9000000000000005E-2</v>
      </c>
      <c r="BQ247">
        <v>410</v>
      </c>
      <c r="BR247">
        <v>14</v>
      </c>
      <c r="BS247">
        <v>0.37</v>
      </c>
      <c r="BT247">
        <v>7.0000000000000007E-2</v>
      </c>
      <c r="BU247">
        <v>-0.76168400000000003</v>
      </c>
      <c r="BV247">
        <v>0.36454309090908998</v>
      </c>
      <c r="BW247">
        <v>5.6031706715292597E-2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1.8085619047618999</v>
      </c>
      <c r="CD247">
        <v>4.0399480519482098E-2</v>
      </c>
      <c r="CE247">
        <v>9.8211286418849793E-3</v>
      </c>
      <c r="CF247">
        <v>1</v>
      </c>
      <c r="CG247">
        <v>2</v>
      </c>
      <c r="CH247">
        <v>2</v>
      </c>
      <c r="CI247" t="s">
        <v>304</v>
      </c>
      <c r="CJ247">
        <v>3.5324900000000001</v>
      </c>
      <c r="CK247">
        <v>2.7019299999999999</v>
      </c>
      <c r="CL247">
        <v>9.8119499999999998E-2</v>
      </c>
      <c r="CM247">
        <v>9.6862500000000004E-2</v>
      </c>
      <c r="CN247">
        <v>8.7870500000000004E-2</v>
      </c>
      <c r="CO247">
        <v>7.9333399999999998E-2</v>
      </c>
      <c r="CP247">
        <v>31634.7</v>
      </c>
      <c r="CQ247">
        <v>27805.3</v>
      </c>
      <c r="CR247">
        <v>32463.8</v>
      </c>
      <c r="CS247">
        <v>30713.8</v>
      </c>
      <c r="CT247">
        <v>40090.9</v>
      </c>
      <c r="CU247">
        <v>39764.6</v>
      </c>
      <c r="CV247">
        <v>47406.7</v>
      </c>
      <c r="CW247">
        <v>46836</v>
      </c>
      <c r="CX247">
        <v>2.6259600000000001</v>
      </c>
      <c r="CY247">
        <v>2.13578</v>
      </c>
      <c r="CZ247">
        <v>0</v>
      </c>
      <c r="DA247">
        <v>0</v>
      </c>
      <c r="DB247">
        <v>999.9</v>
      </c>
      <c r="DC247">
        <v>999.9</v>
      </c>
      <c r="DD247">
        <v>52.045000000000002</v>
      </c>
      <c r="DE247">
        <v>27.271000000000001</v>
      </c>
      <c r="DF247">
        <v>18.860199999999999</v>
      </c>
      <c r="DG247">
        <v>30.120100000000001</v>
      </c>
      <c r="DH247">
        <v>16.578499999999998</v>
      </c>
      <c r="DI247">
        <v>2</v>
      </c>
      <c r="DJ247">
        <v>-0.13486000000000001</v>
      </c>
      <c r="DK247">
        <v>1.81413</v>
      </c>
      <c r="DL247">
        <v>20.2135</v>
      </c>
      <c r="DM247">
        <v>5.2477200000000002</v>
      </c>
      <c r="DN247">
        <v>12.033899999999999</v>
      </c>
      <c r="DO247">
        <v>4.9671200000000004</v>
      </c>
      <c r="DP247">
        <v>3.2906399999999998</v>
      </c>
      <c r="DQ247">
        <v>9999</v>
      </c>
      <c r="DR247">
        <v>9999</v>
      </c>
      <c r="DS247">
        <v>597.6</v>
      </c>
      <c r="DT247">
        <v>9999</v>
      </c>
      <c r="DU247">
        <v>1.8710800000000001</v>
      </c>
      <c r="DV247">
        <v>1.8761099999999999</v>
      </c>
      <c r="DW247">
        <v>1.8763700000000001</v>
      </c>
      <c r="DX247">
        <v>1.8828</v>
      </c>
      <c r="DY247">
        <v>1.87561</v>
      </c>
      <c r="DZ247">
        <v>1.87469</v>
      </c>
      <c r="EA247">
        <v>1.87087</v>
      </c>
      <c r="EB247">
        <v>1.8746799999999999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-0.872</v>
      </c>
      <c r="EQ247">
        <v>9.8699999999999996E-2</v>
      </c>
      <c r="ER247">
        <v>-0.87179999999995095</v>
      </c>
      <c r="ES247">
        <v>0</v>
      </c>
      <c r="ET247">
        <v>0</v>
      </c>
      <c r="EU247">
        <v>0</v>
      </c>
      <c r="EV247">
        <v>9.8709999999998702E-2</v>
      </c>
      <c r="EW247">
        <v>0</v>
      </c>
      <c r="EX247">
        <v>0</v>
      </c>
      <c r="EY247">
        <v>0</v>
      </c>
      <c r="EZ247">
        <v>-1</v>
      </c>
      <c r="FA247">
        <v>-1</v>
      </c>
      <c r="FB247">
        <v>-1</v>
      </c>
      <c r="FC247">
        <v>-1</v>
      </c>
      <c r="FD247">
        <v>4.8</v>
      </c>
      <c r="FE247">
        <v>4.5</v>
      </c>
      <c r="FF247">
        <v>1.2402299999999999</v>
      </c>
      <c r="FG247">
        <v>2.5878899999999998</v>
      </c>
      <c r="FH247">
        <v>2.19604</v>
      </c>
      <c r="FI247">
        <v>2.5756800000000002</v>
      </c>
      <c r="FJ247">
        <v>2.4462899999999999</v>
      </c>
      <c r="FK247">
        <v>2.2924799999999999</v>
      </c>
      <c r="FL247">
        <v>31.7392</v>
      </c>
      <c r="FM247">
        <v>24.14</v>
      </c>
      <c r="FN247">
        <v>19</v>
      </c>
      <c r="FO247">
        <v>865.48099999999999</v>
      </c>
      <c r="FP247">
        <v>578.79</v>
      </c>
      <c r="FQ247">
        <v>18.481200000000001</v>
      </c>
      <c r="FR247">
        <v>25.321000000000002</v>
      </c>
      <c r="FS247">
        <v>30.000399999999999</v>
      </c>
      <c r="FT247">
        <v>25.330200000000001</v>
      </c>
      <c r="FU247">
        <v>25.332699999999999</v>
      </c>
      <c r="FV247">
        <v>24.910299999999999</v>
      </c>
      <c r="FW247">
        <v>30.881</v>
      </c>
      <c r="FX247">
        <v>0.37141200000000002</v>
      </c>
      <c r="FY247">
        <v>18.480799999999999</v>
      </c>
      <c r="FZ247">
        <v>410</v>
      </c>
      <c r="GA247">
        <v>13.6455</v>
      </c>
      <c r="GB247">
        <v>99.896100000000004</v>
      </c>
      <c r="GC247">
        <v>99.706900000000005</v>
      </c>
    </row>
    <row r="248" spans="1:185" x14ac:dyDescent="0.2">
      <c r="A248">
        <v>233</v>
      </c>
      <c r="B248">
        <v>1771003351.0999999</v>
      </c>
      <c r="C248">
        <v>4728</v>
      </c>
      <c r="D248" t="s">
        <v>771</v>
      </c>
      <c r="E248" t="s">
        <v>772</v>
      </c>
      <c r="F248">
        <v>15</v>
      </c>
      <c r="G248">
        <v>1771003343.03333</v>
      </c>
      <c r="H248">
        <f t="shared" si="39"/>
        <v>1.4543524446025905E-3</v>
      </c>
      <c r="I248">
        <v>0</v>
      </c>
      <c r="J248">
        <f t="shared" si="51"/>
        <v>4.1590308613867746E-3</v>
      </c>
      <c r="K248">
        <f t="shared" si="40"/>
        <v>7.4368688309288056E-2</v>
      </c>
      <c r="L248">
        <f t="shared" si="41"/>
        <v>70.486234162284106</v>
      </c>
      <c r="M248">
        <f t="shared" si="42"/>
        <v>1.554997371960426</v>
      </c>
      <c r="N248">
        <f t="shared" si="43"/>
        <v>2.2061007946321474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26281.443117497733</v>
      </c>
      <c r="T248">
        <f t="shared" si="47"/>
        <v>499.99933333333303</v>
      </c>
      <c r="U248">
        <f t="shared" si="48"/>
        <v>421.49952459988413</v>
      </c>
      <c r="V248">
        <f t="shared" si="49"/>
        <v>0.84300017319999965</v>
      </c>
      <c r="W248">
        <f t="shared" si="50"/>
        <v>0.15869986135199995</v>
      </c>
      <c r="X248">
        <v>1</v>
      </c>
      <c r="Y248">
        <v>1771003343.03333</v>
      </c>
      <c r="Z248">
        <v>409.169733333333</v>
      </c>
      <c r="AA248">
        <v>410.00653333333298</v>
      </c>
      <c r="AB248">
        <v>15.485659999999999</v>
      </c>
      <c r="AC248">
        <v>13.6958866666667</v>
      </c>
      <c r="AD248">
        <v>410.04140000000001</v>
      </c>
      <c r="AE248">
        <v>15.386946666666701</v>
      </c>
      <c r="AF248">
        <v>800.0068</v>
      </c>
      <c r="AG248">
        <v>100.35120000000001</v>
      </c>
      <c r="AH248">
        <v>6.4111453333333304E-2</v>
      </c>
      <c r="AI248">
        <v>19.006686666666699</v>
      </c>
      <c r="AJ248">
        <v>999.9</v>
      </c>
      <c r="AK248">
        <v>999.9</v>
      </c>
      <c r="AL248">
        <v>0</v>
      </c>
      <c r="AM248">
        <v>0</v>
      </c>
      <c r="AN248">
        <v>4994.7</v>
      </c>
      <c r="AO248">
        <v>0</v>
      </c>
      <c r="AP248">
        <v>1.7502500000000001</v>
      </c>
      <c r="AQ248">
        <v>-0.83676159999999999</v>
      </c>
      <c r="AR248">
        <v>415.60573333333298</v>
      </c>
      <c r="AS248">
        <v>415.69973333333297</v>
      </c>
      <c r="AT248">
        <v>1.78976</v>
      </c>
      <c r="AU248">
        <v>410.00653333333298</v>
      </c>
      <c r="AV248">
        <v>13.6958866666667</v>
      </c>
      <c r="AW248">
        <v>1.5540039999999999</v>
      </c>
      <c r="AX248">
        <v>1.374398</v>
      </c>
      <c r="AY248">
        <v>13.510106666666699</v>
      </c>
      <c r="AZ248">
        <v>11.638073333333301</v>
      </c>
      <c r="BA248">
        <v>499.99933333333303</v>
      </c>
      <c r="BB248">
        <v>0.90000273333333303</v>
      </c>
      <c r="BC248">
        <v>0</v>
      </c>
      <c r="BD248">
        <v>9.9997559999999999E-2</v>
      </c>
      <c r="BE248">
        <v>0</v>
      </c>
      <c r="BF248">
        <v>24</v>
      </c>
      <c r="BG248">
        <v>8244.3886666666695</v>
      </c>
      <c r="BH248">
        <v>1771003067.0999999</v>
      </c>
      <c r="BI248" t="s">
        <v>748</v>
      </c>
      <c r="BJ248">
        <v>1771003045.0999999</v>
      </c>
      <c r="BK248">
        <v>1771003067.0999999</v>
      </c>
      <c r="BL248">
        <v>13</v>
      </c>
      <c r="BM248">
        <v>3.6999999999999998E-2</v>
      </c>
      <c r="BN248">
        <v>2E-3</v>
      </c>
      <c r="BO248">
        <v>-0.872</v>
      </c>
      <c r="BP248">
        <v>9.9000000000000005E-2</v>
      </c>
      <c r="BQ248">
        <v>410</v>
      </c>
      <c r="BR248">
        <v>14</v>
      </c>
      <c r="BS248">
        <v>0.37</v>
      </c>
      <c r="BT248">
        <v>7.0000000000000007E-2</v>
      </c>
      <c r="BU248">
        <v>-0.80355085000000004</v>
      </c>
      <c r="BV248">
        <v>-0.73228569924812004</v>
      </c>
      <c r="BW248">
        <v>8.1613535498270801E-2</v>
      </c>
      <c r="BX248">
        <v>0</v>
      </c>
      <c r="BY248">
        <v>0</v>
      </c>
      <c r="BZ248">
        <v>0</v>
      </c>
      <c r="CA248">
        <v>0</v>
      </c>
      <c r="CB248">
        <v>-1</v>
      </c>
      <c r="CC248">
        <v>1.7971755</v>
      </c>
      <c r="CD248">
        <v>-0.129923458646615</v>
      </c>
      <c r="CE248">
        <v>1.52263828518135E-2</v>
      </c>
      <c r="CF248">
        <v>0</v>
      </c>
      <c r="CG248">
        <v>0</v>
      </c>
      <c r="CH248">
        <v>2</v>
      </c>
      <c r="CI248" t="s">
        <v>299</v>
      </c>
      <c r="CJ248">
        <v>3.5324800000000001</v>
      </c>
      <c r="CK248">
        <v>2.7021799999999998</v>
      </c>
      <c r="CL248">
        <v>9.8077999999999999E-2</v>
      </c>
      <c r="CM248">
        <v>9.6856499999999998E-2</v>
      </c>
      <c r="CN248">
        <v>8.7552000000000005E-2</v>
      </c>
      <c r="CO248">
        <v>7.9155299999999998E-2</v>
      </c>
      <c r="CP248">
        <v>31634.400000000001</v>
      </c>
      <c r="CQ248">
        <v>27804.799999999999</v>
      </c>
      <c r="CR248">
        <v>32462</v>
      </c>
      <c r="CS248">
        <v>30713</v>
      </c>
      <c r="CT248">
        <v>40103.4</v>
      </c>
      <c r="CU248">
        <v>39772.1</v>
      </c>
      <c r="CV248">
        <v>47404.3</v>
      </c>
      <c r="CW248">
        <v>46835.5</v>
      </c>
      <c r="CX248">
        <v>2.6258400000000002</v>
      </c>
      <c r="CY248">
        <v>2.1352600000000002</v>
      </c>
      <c r="CZ248">
        <v>0</v>
      </c>
      <c r="DA248">
        <v>0</v>
      </c>
      <c r="DB248">
        <v>999.9</v>
      </c>
      <c r="DC248">
        <v>999.9</v>
      </c>
      <c r="DD248">
        <v>52.033000000000001</v>
      </c>
      <c r="DE248">
        <v>27.280999999999999</v>
      </c>
      <c r="DF248">
        <v>18.865400000000001</v>
      </c>
      <c r="DG248">
        <v>30.450099999999999</v>
      </c>
      <c r="DH248">
        <v>16.4984</v>
      </c>
      <c r="DI248">
        <v>2</v>
      </c>
      <c r="DJ248">
        <v>-0.13062399999999999</v>
      </c>
      <c r="DK248">
        <v>2.7831299999999999</v>
      </c>
      <c r="DL248">
        <v>20.197299999999998</v>
      </c>
      <c r="DM248">
        <v>5.2511900000000002</v>
      </c>
      <c r="DN248">
        <v>12.033899999999999</v>
      </c>
      <c r="DO248">
        <v>4.9674399999999999</v>
      </c>
      <c r="DP248">
        <v>3.2909999999999999</v>
      </c>
      <c r="DQ248">
        <v>9999</v>
      </c>
      <c r="DR248">
        <v>9999</v>
      </c>
      <c r="DS248">
        <v>597.6</v>
      </c>
      <c r="DT248">
        <v>9999</v>
      </c>
      <c r="DU248">
        <v>1.8710899999999999</v>
      </c>
      <c r="DV248">
        <v>1.8761399999999999</v>
      </c>
      <c r="DW248">
        <v>1.87635</v>
      </c>
      <c r="DX248">
        <v>1.88279</v>
      </c>
      <c r="DY248">
        <v>1.87561</v>
      </c>
      <c r="DZ248">
        <v>1.87469</v>
      </c>
      <c r="EA248">
        <v>1.8708800000000001</v>
      </c>
      <c r="EB248">
        <v>1.8746799999999999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-0.872</v>
      </c>
      <c r="EQ248">
        <v>9.8699999999999996E-2</v>
      </c>
      <c r="ER248">
        <v>-0.87179999999995095</v>
      </c>
      <c r="ES248">
        <v>0</v>
      </c>
      <c r="ET248">
        <v>0</v>
      </c>
      <c r="EU248">
        <v>0</v>
      </c>
      <c r="EV248">
        <v>9.8709999999998702E-2</v>
      </c>
      <c r="EW248">
        <v>0</v>
      </c>
      <c r="EX248">
        <v>0</v>
      </c>
      <c r="EY248">
        <v>0</v>
      </c>
      <c r="EZ248">
        <v>-1</v>
      </c>
      <c r="FA248">
        <v>-1</v>
      </c>
      <c r="FB248">
        <v>-1</v>
      </c>
      <c r="FC248">
        <v>-1</v>
      </c>
      <c r="FD248">
        <v>5.0999999999999996</v>
      </c>
      <c r="FE248">
        <v>4.7</v>
      </c>
      <c r="FF248">
        <v>1.24146</v>
      </c>
      <c r="FG248">
        <v>2.5939899999999998</v>
      </c>
      <c r="FH248">
        <v>2.19604</v>
      </c>
      <c r="FI248">
        <v>2.5744600000000002</v>
      </c>
      <c r="FJ248">
        <v>2.4462899999999999</v>
      </c>
      <c r="FK248">
        <v>2.3132299999999999</v>
      </c>
      <c r="FL248">
        <v>31.7392</v>
      </c>
      <c r="FM248">
        <v>24.122499999999999</v>
      </c>
      <c r="FN248">
        <v>19</v>
      </c>
      <c r="FO248">
        <v>865.41800000000001</v>
      </c>
      <c r="FP248">
        <v>578.43399999999997</v>
      </c>
      <c r="FQ248">
        <v>18.250900000000001</v>
      </c>
      <c r="FR248">
        <v>25.325199999999999</v>
      </c>
      <c r="FS248">
        <v>30.002199999999998</v>
      </c>
      <c r="FT248">
        <v>25.333100000000002</v>
      </c>
      <c r="FU248">
        <v>25.336500000000001</v>
      </c>
      <c r="FV248">
        <v>24.9101</v>
      </c>
      <c r="FW248">
        <v>31.444199999999999</v>
      </c>
      <c r="FX248">
        <v>0</v>
      </c>
      <c r="FY248">
        <v>18.186</v>
      </c>
      <c r="FZ248">
        <v>410</v>
      </c>
      <c r="GA248">
        <v>13.5967</v>
      </c>
      <c r="GB248">
        <v>99.890799999999999</v>
      </c>
      <c r="GC248">
        <v>99.705200000000005</v>
      </c>
    </row>
    <row r="249" spans="1:185" x14ac:dyDescent="0.2">
      <c r="A249">
        <v>234</v>
      </c>
      <c r="B249">
        <v>1771003366.0999999</v>
      </c>
      <c r="C249">
        <v>4743</v>
      </c>
      <c r="D249" t="s">
        <v>773</v>
      </c>
      <c r="E249" t="s">
        <v>774</v>
      </c>
      <c r="F249">
        <v>15</v>
      </c>
      <c r="G249">
        <v>1771003358.03333</v>
      </c>
      <c r="H249">
        <f t="shared" si="39"/>
        <v>1.4503226262766809E-3</v>
      </c>
      <c r="I249">
        <v>0</v>
      </c>
      <c r="J249">
        <f t="shared" si="51"/>
        <v>7.3678303727295249E-3</v>
      </c>
      <c r="K249">
        <f t="shared" si="40"/>
        <v>0.13174604824224018</v>
      </c>
      <c r="L249">
        <f t="shared" si="41"/>
        <v>70.14817389088843</v>
      </c>
      <c r="M249">
        <f t="shared" si="42"/>
        <v>1.5478227041832424</v>
      </c>
      <c r="N249">
        <f t="shared" si="43"/>
        <v>2.2065046291736605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26317.281983564044</v>
      </c>
      <c r="T249">
        <f t="shared" si="47"/>
        <v>499.99959999999999</v>
      </c>
      <c r="U249">
        <f t="shared" si="48"/>
        <v>421.49975919992301</v>
      </c>
      <c r="V249">
        <f t="shared" si="49"/>
        <v>0.84300019280000027</v>
      </c>
      <c r="W249">
        <f t="shared" si="50"/>
        <v>0.15869988436800006</v>
      </c>
      <c r="X249">
        <v>1</v>
      </c>
      <c r="Y249">
        <v>1771003358.03333</v>
      </c>
      <c r="Z249">
        <v>409.10273333333299</v>
      </c>
      <c r="AA249">
        <v>410.00906666666702</v>
      </c>
      <c r="AB249">
        <v>15.4142333333333</v>
      </c>
      <c r="AC249">
        <v>13.629300000000001</v>
      </c>
      <c r="AD249">
        <v>409.97446666666701</v>
      </c>
      <c r="AE249">
        <v>15.315519999999999</v>
      </c>
      <c r="AF249">
        <v>800.01139999999998</v>
      </c>
      <c r="AG249">
        <v>100.35120000000001</v>
      </c>
      <c r="AH249">
        <v>6.3959853333333302E-2</v>
      </c>
      <c r="AI249">
        <v>19.009620000000002</v>
      </c>
      <c r="AJ249">
        <v>999.9</v>
      </c>
      <c r="AK249">
        <v>999.9</v>
      </c>
      <c r="AL249">
        <v>0</v>
      </c>
      <c r="AM249">
        <v>0</v>
      </c>
      <c r="AN249">
        <v>5000.6333333333296</v>
      </c>
      <c r="AO249">
        <v>0</v>
      </c>
      <c r="AP249">
        <v>1.7502500000000001</v>
      </c>
      <c r="AQ249">
        <v>-0.90626026666666704</v>
      </c>
      <c r="AR249">
        <v>415.50746666666703</v>
      </c>
      <c r="AS249">
        <v>415.67433333333298</v>
      </c>
      <c r="AT249">
        <v>1.7849120000000001</v>
      </c>
      <c r="AU249">
        <v>410.00906666666702</v>
      </c>
      <c r="AV249">
        <v>13.629300000000001</v>
      </c>
      <c r="AW249">
        <v>1.54683666666667</v>
      </c>
      <c r="AX249">
        <v>1.367718</v>
      </c>
      <c r="AY249">
        <v>13.439133333333301</v>
      </c>
      <c r="AZ249">
        <v>11.564353333333299</v>
      </c>
      <c r="BA249">
        <v>499.99959999999999</v>
      </c>
      <c r="BB249">
        <v>0.90000246666666694</v>
      </c>
      <c r="BC249">
        <v>0</v>
      </c>
      <c r="BD249">
        <v>9.9997840000000005E-2</v>
      </c>
      <c r="BE249">
        <v>0</v>
      </c>
      <c r="BF249">
        <v>24</v>
      </c>
      <c r="BG249">
        <v>8244.3933333333298</v>
      </c>
      <c r="BH249">
        <v>1771003067.0999999</v>
      </c>
      <c r="BI249" t="s">
        <v>748</v>
      </c>
      <c r="BJ249">
        <v>1771003045.0999999</v>
      </c>
      <c r="BK249">
        <v>1771003067.0999999</v>
      </c>
      <c r="BL249">
        <v>13</v>
      </c>
      <c r="BM249">
        <v>3.6999999999999998E-2</v>
      </c>
      <c r="BN249">
        <v>2E-3</v>
      </c>
      <c r="BO249">
        <v>-0.872</v>
      </c>
      <c r="BP249">
        <v>9.9000000000000005E-2</v>
      </c>
      <c r="BQ249">
        <v>410</v>
      </c>
      <c r="BR249">
        <v>14</v>
      </c>
      <c r="BS249">
        <v>0.37</v>
      </c>
      <c r="BT249">
        <v>7.0000000000000007E-2</v>
      </c>
      <c r="BU249">
        <v>-0.89900000000000002</v>
      </c>
      <c r="BV249">
        <v>-0.15312849350649399</v>
      </c>
      <c r="BW249">
        <v>2.32195479530256E-2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1.7856319047619</v>
      </c>
      <c r="CD249">
        <v>6.5890909090882696E-3</v>
      </c>
      <c r="CE249">
        <v>7.8709632853005106E-3</v>
      </c>
      <c r="CF249">
        <v>1</v>
      </c>
      <c r="CG249">
        <v>2</v>
      </c>
      <c r="CH249">
        <v>2</v>
      </c>
      <c r="CI249" t="s">
        <v>304</v>
      </c>
      <c r="CJ249">
        <v>3.5325199999999999</v>
      </c>
      <c r="CK249">
        <v>2.7021099999999998</v>
      </c>
      <c r="CL249">
        <v>9.8067399999999999E-2</v>
      </c>
      <c r="CM249">
        <v>9.6857799999999994E-2</v>
      </c>
      <c r="CN249">
        <v>8.7281700000000004E-2</v>
      </c>
      <c r="CO249">
        <v>7.8859299999999993E-2</v>
      </c>
      <c r="CP249">
        <v>31634.799999999999</v>
      </c>
      <c r="CQ249">
        <v>27804.799999999999</v>
      </c>
      <c r="CR249">
        <v>32462.1</v>
      </c>
      <c r="CS249">
        <v>30713.1</v>
      </c>
      <c r="CT249">
        <v>40115.800000000003</v>
      </c>
      <c r="CU249">
        <v>39785.1</v>
      </c>
      <c r="CV249">
        <v>47404.5</v>
      </c>
      <c r="CW249">
        <v>46835.4</v>
      </c>
      <c r="CX249">
        <v>2.6256599999999999</v>
      </c>
      <c r="CY249">
        <v>2.1351599999999999</v>
      </c>
      <c r="CZ249">
        <v>0</v>
      </c>
      <c r="DA249">
        <v>0</v>
      </c>
      <c r="DB249">
        <v>999.9</v>
      </c>
      <c r="DC249">
        <v>999.9</v>
      </c>
      <c r="DD249">
        <v>52.033000000000001</v>
      </c>
      <c r="DE249">
        <v>27.280999999999999</v>
      </c>
      <c r="DF249">
        <v>18.866800000000001</v>
      </c>
      <c r="DG249">
        <v>30.180099999999999</v>
      </c>
      <c r="DH249">
        <v>16.578499999999998</v>
      </c>
      <c r="DI249">
        <v>2</v>
      </c>
      <c r="DJ249">
        <v>-0.132356</v>
      </c>
      <c r="DK249">
        <v>2.2625099999999998</v>
      </c>
      <c r="DL249">
        <v>20.207999999999998</v>
      </c>
      <c r="DM249">
        <v>5.2510700000000003</v>
      </c>
      <c r="DN249">
        <v>12.033899999999999</v>
      </c>
      <c r="DO249">
        <v>4.9675200000000004</v>
      </c>
      <c r="DP249">
        <v>3.2909999999999999</v>
      </c>
      <c r="DQ249">
        <v>9999</v>
      </c>
      <c r="DR249">
        <v>9999</v>
      </c>
      <c r="DS249">
        <v>597.6</v>
      </c>
      <c r="DT249">
        <v>9999</v>
      </c>
      <c r="DU249">
        <v>1.8710500000000001</v>
      </c>
      <c r="DV249">
        <v>1.8760699999999999</v>
      </c>
      <c r="DW249">
        <v>1.8763099999999999</v>
      </c>
      <c r="DX249">
        <v>1.8828</v>
      </c>
      <c r="DY249">
        <v>1.87561</v>
      </c>
      <c r="DZ249">
        <v>1.87466</v>
      </c>
      <c r="EA249">
        <v>1.87086</v>
      </c>
      <c r="EB249">
        <v>1.87463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-0.872</v>
      </c>
      <c r="EQ249">
        <v>9.8799999999999999E-2</v>
      </c>
      <c r="ER249">
        <v>-0.87179999999995095</v>
      </c>
      <c r="ES249">
        <v>0</v>
      </c>
      <c r="ET249">
        <v>0</v>
      </c>
      <c r="EU249">
        <v>0</v>
      </c>
      <c r="EV249">
        <v>9.8709999999998702E-2</v>
      </c>
      <c r="EW249">
        <v>0</v>
      </c>
      <c r="EX249">
        <v>0</v>
      </c>
      <c r="EY249">
        <v>0</v>
      </c>
      <c r="EZ249">
        <v>-1</v>
      </c>
      <c r="FA249">
        <v>-1</v>
      </c>
      <c r="FB249">
        <v>-1</v>
      </c>
      <c r="FC249">
        <v>-1</v>
      </c>
      <c r="FD249">
        <v>5.3</v>
      </c>
      <c r="FE249">
        <v>5</v>
      </c>
      <c r="FF249">
        <v>1.24146</v>
      </c>
      <c r="FG249">
        <v>2.6000999999999999</v>
      </c>
      <c r="FH249">
        <v>2.19604</v>
      </c>
      <c r="FI249">
        <v>2.5744600000000002</v>
      </c>
      <c r="FJ249">
        <v>2.4462899999999999</v>
      </c>
      <c r="FK249">
        <v>2.2839399999999999</v>
      </c>
      <c r="FL249">
        <v>31.7392</v>
      </c>
      <c r="FM249">
        <v>24.14</v>
      </c>
      <c r="FN249">
        <v>19</v>
      </c>
      <c r="FO249">
        <v>865.31899999999996</v>
      </c>
      <c r="FP249">
        <v>578.399</v>
      </c>
      <c r="FQ249">
        <v>18.136299999999999</v>
      </c>
      <c r="FR249">
        <v>25.330400000000001</v>
      </c>
      <c r="FS249">
        <v>29.9999</v>
      </c>
      <c r="FT249">
        <v>25.337399999999999</v>
      </c>
      <c r="FU249">
        <v>25.340299999999999</v>
      </c>
      <c r="FV249">
        <v>24.908899999999999</v>
      </c>
      <c r="FW249">
        <v>31.444199999999999</v>
      </c>
      <c r="FX249">
        <v>0</v>
      </c>
      <c r="FY249">
        <v>18.153600000000001</v>
      </c>
      <c r="FZ249">
        <v>410</v>
      </c>
      <c r="GA249">
        <v>13.658200000000001</v>
      </c>
      <c r="GB249">
        <v>99.891199999999998</v>
      </c>
      <c r="GC249">
        <v>99.705200000000005</v>
      </c>
    </row>
    <row r="250" spans="1:185" x14ac:dyDescent="0.2">
      <c r="A250">
        <v>235</v>
      </c>
      <c r="B250">
        <v>1771003381.0999999</v>
      </c>
      <c r="C250">
        <v>4758</v>
      </c>
      <c r="D250" t="s">
        <v>775</v>
      </c>
      <c r="E250" t="s">
        <v>776</v>
      </c>
      <c r="F250">
        <v>15</v>
      </c>
      <c r="G250">
        <v>1771003373.03333</v>
      </c>
      <c r="H250">
        <f t="shared" si="39"/>
        <v>1.438021310557872E-3</v>
      </c>
      <c r="I250">
        <v>0</v>
      </c>
      <c r="J250">
        <f t="shared" si="51"/>
        <v>9.1952064946549377E-3</v>
      </c>
      <c r="K250">
        <f t="shared" si="40"/>
        <v>0.16442182530776372</v>
      </c>
      <c r="L250">
        <f t="shared" si="41"/>
        <v>70.041491280134665</v>
      </c>
      <c r="M250">
        <f t="shared" si="42"/>
        <v>1.5437639681085269</v>
      </c>
      <c r="N250">
        <f t="shared" si="43"/>
        <v>2.204070672816147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26289.37784612177</v>
      </c>
      <c r="T250">
        <f t="shared" si="47"/>
        <v>499.9984</v>
      </c>
      <c r="U250">
        <f t="shared" si="48"/>
        <v>421.49858010022763</v>
      </c>
      <c r="V250">
        <f t="shared" si="49"/>
        <v>0.8429998578000002</v>
      </c>
      <c r="W250">
        <f t="shared" si="50"/>
        <v>0.15869950158800006</v>
      </c>
      <c r="X250">
        <v>1</v>
      </c>
      <c r="Y250">
        <v>1771003373.03333</v>
      </c>
      <c r="Z250">
        <v>409.05040000000002</v>
      </c>
      <c r="AA250">
        <v>409.99119999999999</v>
      </c>
      <c r="AB250">
        <v>15.373813333333301</v>
      </c>
      <c r="AC250">
        <v>13.6039333333333</v>
      </c>
      <c r="AD250">
        <v>409.92219999999998</v>
      </c>
      <c r="AE250">
        <v>15.2751</v>
      </c>
      <c r="AF250">
        <v>800.00533333333306</v>
      </c>
      <c r="AG250">
        <v>100.350866666667</v>
      </c>
      <c r="AH250">
        <v>6.4296093333333304E-2</v>
      </c>
      <c r="AI250">
        <v>18.9919333333333</v>
      </c>
      <c r="AJ250">
        <v>999.9</v>
      </c>
      <c r="AK250">
        <v>999.9</v>
      </c>
      <c r="AL250">
        <v>0</v>
      </c>
      <c r="AM250">
        <v>0</v>
      </c>
      <c r="AN250">
        <v>4995.8</v>
      </c>
      <c r="AO250">
        <v>0</v>
      </c>
      <c r="AP250">
        <v>1.7502500000000001</v>
      </c>
      <c r="AQ250">
        <v>-0.94091599999999997</v>
      </c>
      <c r="AR250">
        <v>415.43740000000003</v>
      </c>
      <c r="AS250">
        <v>415.64586666666702</v>
      </c>
      <c r="AT250">
        <v>1.769876</v>
      </c>
      <c r="AU250">
        <v>409.99119999999999</v>
      </c>
      <c r="AV250">
        <v>13.6039333333333</v>
      </c>
      <c r="AW250">
        <v>1.5427773333333299</v>
      </c>
      <c r="AX250">
        <v>1.3651679999999999</v>
      </c>
      <c r="AY250">
        <v>13.398846666666699</v>
      </c>
      <c r="AZ250">
        <v>11.53618</v>
      </c>
      <c r="BA250">
        <v>499.9984</v>
      </c>
      <c r="BB250">
        <v>0.90000686666666696</v>
      </c>
      <c r="BC250">
        <v>0</v>
      </c>
      <c r="BD250">
        <v>9.9993206666666695E-2</v>
      </c>
      <c r="BE250">
        <v>0</v>
      </c>
      <c r="BF250">
        <v>24</v>
      </c>
      <c r="BG250">
        <v>8244.384</v>
      </c>
      <c r="BH250">
        <v>1771003067.0999999</v>
      </c>
      <c r="BI250" t="s">
        <v>748</v>
      </c>
      <c r="BJ250">
        <v>1771003045.0999999</v>
      </c>
      <c r="BK250">
        <v>1771003067.0999999</v>
      </c>
      <c r="BL250">
        <v>13</v>
      </c>
      <c r="BM250">
        <v>3.6999999999999998E-2</v>
      </c>
      <c r="BN250">
        <v>2E-3</v>
      </c>
      <c r="BO250">
        <v>-0.872</v>
      </c>
      <c r="BP250">
        <v>9.9000000000000005E-2</v>
      </c>
      <c r="BQ250">
        <v>410</v>
      </c>
      <c r="BR250">
        <v>14</v>
      </c>
      <c r="BS250">
        <v>0.37</v>
      </c>
      <c r="BT250">
        <v>7.0000000000000007E-2</v>
      </c>
      <c r="BU250">
        <v>-0.93422554999999996</v>
      </c>
      <c r="BV250">
        <v>-0.23874239097744401</v>
      </c>
      <c r="BW250">
        <v>2.74472101159207E-2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1.7739119999999999</v>
      </c>
      <c r="CD250">
        <v>-0.100540150375939</v>
      </c>
      <c r="CE250">
        <v>9.9439783788984604E-3</v>
      </c>
      <c r="CF250">
        <v>0</v>
      </c>
      <c r="CG250">
        <v>1</v>
      </c>
      <c r="CH250">
        <v>2</v>
      </c>
      <c r="CI250" t="s">
        <v>290</v>
      </c>
      <c r="CJ250">
        <v>3.5324900000000001</v>
      </c>
      <c r="CK250">
        <v>2.70208</v>
      </c>
      <c r="CL250">
        <v>9.8059599999999997E-2</v>
      </c>
      <c r="CM250">
        <v>9.6853099999999998E-2</v>
      </c>
      <c r="CN250">
        <v>8.7165699999999999E-2</v>
      </c>
      <c r="CO250">
        <v>7.8840199999999999E-2</v>
      </c>
      <c r="CP250">
        <v>31634.7</v>
      </c>
      <c r="CQ250">
        <v>27804.400000000001</v>
      </c>
      <c r="CR250">
        <v>32461.7</v>
      </c>
      <c r="CS250">
        <v>30712.6</v>
      </c>
      <c r="CT250">
        <v>40120.6</v>
      </c>
      <c r="CU250">
        <v>39785.599999999999</v>
      </c>
      <c r="CV250">
        <v>47404</v>
      </c>
      <c r="CW250">
        <v>46835.1</v>
      </c>
      <c r="CX250">
        <v>2.6257199999999998</v>
      </c>
      <c r="CY250">
        <v>2.1347399999999999</v>
      </c>
      <c r="CZ250">
        <v>0</v>
      </c>
      <c r="DA250">
        <v>0</v>
      </c>
      <c r="DB250">
        <v>999.9</v>
      </c>
      <c r="DC250">
        <v>999.9</v>
      </c>
      <c r="DD250">
        <v>52.008000000000003</v>
      </c>
      <c r="DE250">
        <v>27.280999999999999</v>
      </c>
      <c r="DF250">
        <v>18.8581</v>
      </c>
      <c r="DG250">
        <v>30.330100000000002</v>
      </c>
      <c r="DH250">
        <v>16.558499999999999</v>
      </c>
      <c r="DI250">
        <v>2</v>
      </c>
      <c r="DJ250">
        <v>-0.13276399999999999</v>
      </c>
      <c r="DK250">
        <v>2.14032</v>
      </c>
      <c r="DL250">
        <v>20.21</v>
      </c>
      <c r="DM250">
        <v>5.2516699999999998</v>
      </c>
      <c r="DN250">
        <v>12.033899999999999</v>
      </c>
      <c r="DO250">
        <v>4.9675200000000004</v>
      </c>
      <c r="DP250">
        <v>3.2909999999999999</v>
      </c>
      <c r="DQ250">
        <v>9999</v>
      </c>
      <c r="DR250">
        <v>9999</v>
      </c>
      <c r="DS250">
        <v>597.6</v>
      </c>
      <c r="DT250">
        <v>9999</v>
      </c>
      <c r="DU250">
        <v>1.8710599999999999</v>
      </c>
      <c r="DV250">
        <v>1.87608</v>
      </c>
      <c r="DW250">
        <v>1.8763300000000001</v>
      </c>
      <c r="DX250">
        <v>1.88279</v>
      </c>
      <c r="DY250">
        <v>1.87561</v>
      </c>
      <c r="DZ250">
        <v>1.87466</v>
      </c>
      <c r="EA250">
        <v>1.87087</v>
      </c>
      <c r="EB250">
        <v>1.8746799999999999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-0.872</v>
      </c>
      <c r="EQ250">
        <v>9.8699999999999996E-2</v>
      </c>
      <c r="ER250">
        <v>-0.87179999999995095</v>
      </c>
      <c r="ES250">
        <v>0</v>
      </c>
      <c r="ET250">
        <v>0</v>
      </c>
      <c r="EU250">
        <v>0</v>
      </c>
      <c r="EV250">
        <v>9.8709999999998702E-2</v>
      </c>
      <c r="EW250">
        <v>0</v>
      </c>
      <c r="EX250">
        <v>0</v>
      </c>
      <c r="EY250">
        <v>0</v>
      </c>
      <c r="EZ250">
        <v>-1</v>
      </c>
      <c r="FA250">
        <v>-1</v>
      </c>
      <c r="FB250">
        <v>-1</v>
      </c>
      <c r="FC250">
        <v>-1</v>
      </c>
      <c r="FD250">
        <v>5.6</v>
      </c>
      <c r="FE250">
        <v>5.2</v>
      </c>
      <c r="FF250">
        <v>1.24146</v>
      </c>
      <c r="FG250">
        <v>2.5939899999999998</v>
      </c>
      <c r="FH250">
        <v>2.19604</v>
      </c>
      <c r="FI250">
        <v>2.5744600000000002</v>
      </c>
      <c r="FJ250">
        <v>2.4462899999999999</v>
      </c>
      <c r="FK250">
        <v>2.2741699999999998</v>
      </c>
      <c r="FL250">
        <v>31.7392</v>
      </c>
      <c r="FM250">
        <v>24.148800000000001</v>
      </c>
      <c r="FN250">
        <v>19</v>
      </c>
      <c r="FO250">
        <v>865.40899999999999</v>
      </c>
      <c r="FP250">
        <v>578.10699999999997</v>
      </c>
      <c r="FQ250">
        <v>18.172599999999999</v>
      </c>
      <c r="FR250">
        <v>25.3355</v>
      </c>
      <c r="FS250">
        <v>30</v>
      </c>
      <c r="FT250">
        <v>25.339500000000001</v>
      </c>
      <c r="FU250">
        <v>25.3429</v>
      </c>
      <c r="FV250">
        <v>24.910599999999999</v>
      </c>
      <c r="FW250">
        <v>31.444199999999999</v>
      </c>
      <c r="FX250">
        <v>0</v>
      </c>
      <c r="FY250">
        <v>18.183299999999999</v>
      </c>
      <c r="FZ250">
        <v>410</v>
      </c>
      <c r="GA250">
        <v>13.661799999999999</v>
      </c>
      <c r="GB250">
        <v>99.890100000000004</v>
      </c>
      <c r="GC250">
        <v>99.704099999999997</v>
      </c>
    </row>
    <row r="251" spans="1:185" x14ac:dyDescent="0.2">
      <c r="A251">
        <v>236</v>
      </c>
      <c r="B251">
        <v>1771003396.0999999</v>
      </c>
      <c r="C251">
        <v>4773</v>
      </c>
      <c r="D251" t="s">
        <v>777</v>
      </c>
      <c r="E251" t="s">
        <v>778</v>
      </c>
      <c r="F251">
        <v>15</v>
      </c>
      <c r="G251">
        <v>1771003388.03333</v>
      </c>
      <c r="H251">
        <f t="shared" si="39"/>
        <v>1.4136721680799076E-3</v>
      </c>
      <c r="I251">
        <v>0</v>
      </c>
      <c r="J251">
        <f t="shared" si="51"/>
        <v>9.8749407395041181E-3</v>
      </c>
      <c r="K251">
        <f t="shared" si="40"/>
        <v>0.17657632616940977</v>
      </c>
      <c r="L251">
        <f t="shared" si="41"/>
        <v>69.94660953570569</v>
      </c>
      <c r="M251">
        <f t="shared" si="42"/>
        <v>1.5411481167142507</v>
      </c>
      <c r="N251">
        <f t="shared" si="43"/>
        <v>2.2033206855116259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26303.378961055729</v>
      </c>
      <c r="T251">
        <f t="shared" si="47"/>
        <v>499.99979999999999</v>
      </c>
      <c r="U251">
        <f t="shared" si="48"/>
        <v>421.49969850005328</v>
      </c>
      <c r="V251">
        <f t="shared" si="49"/>
        <v>0.84299973420000029</v>
      </c>
      <c r="W251">
        <f t="shared" si="50"/>
        <v>0.15869934849200004</v>
      </c>
      <c r="X251">
        <v>1</v>
      </c>
      <c r="Y251">
        <v>1771003388.03333</v>
      </c>
      <c r="Z251">
        <v>409.04626666666701</v>
      </c>
      <c r="AA251">
        <v>409.9898</v>
      </c>
      <c r="AB251">
        <v>15.347706666666699</v>
      </c>
      <c r="AC251">
        <v>13.607753333333299</v>
      </c>
      <c r="AD251">
        <v>409.91806666666702</v>
      </c>
      <c r="AE251">
        <v>15.249000000000001</v>
      </c>
      <c r="AF251">
        <v>800.00739999999996</v>
      </c>
      <c r="AG251">
        <v>100.351333333333</v>
      </c>
      <c r="AH251">
        <v>6.4197806666666704E-2</v>
      </c>
      <c r="AI251">
        <v>18.98648</v>
      </c>
      <c r="AJ251">
        <v>999.9</v>
      </c>
      <c r="AK251">
        <v>999.9</v>
      </c>
      <c r="AL251">
        <v>0</v>
      </c>
      <c r="AM251">
        <v>0</v>
      </c>
      <c r="AN251">
        <v>4998</v>
      </c>
      <c r="AO251">
        <v>0</v>
      </c>
      <c r="AP251">
        <v>1.7502500000000001</v>
      </c>
      <c r="AQ251">
        <v>-0.94360966666666701</v>
      </c>
      <c r="AR251">
        <v>415.42206666666698</v>
      </c>
      <c r="AS251">
        <v>415.64593333333301</v>
      </c>
      <c r="AT251">
        <v>1.73995266666667</v>
      </c>
      <c r="AU251">
        <v>409.9898</v>
      </c>
      <c r="AV251">
        <v>13.607753333333299</v>
      </c>
      <c r="AW251">
        <v>1.5401653333333301</v>
      </c>
      <c r="AX251">
        <v>1.365556</v>
      </c>
      <c r="AY251">
        <v>13.3728266666667</v>
      </c>
      <c r="AZ251">
        <v>11.540466666666701</v>
      </c>
      <c r="BA251">
        <v>499.99979999999999</v>
      </c>
      <c r="BB251">
        <v>0.90000866666666701</v>
      </c>
      <c r="BC251">
        <v>0</v>
      </c>
      <c r="BD251">
        <v>9.9991326666666699E-2</v>
      </c>
      <c r="BE251">
        <v>0</v>
      </c>
      <c r="BF251">
        <v>24</v>
      </c>
      <c r="BG251">
        <v>8244.4093333333294</v>
      </c>
      <c r="BH251">
        <v>1771003067.0999999</v>
      </c>
      <c r="BI251" t="s">
        <v>748</v>
      </c>
      <c r="BJ251">
        <v>1771003045.0999999</v>
      </c>
      <c r="BK251">
        <v>1771003067.0999999</v>
      </c>
      <c r="BL251">
        <v>13</v>
      </c>
      <c r="BM251">
        <v>3.6999999999999998E-2</v>
      </c>
      <c r="BN251">
        <v>2E-3</v>
      </c>
      <c r="BO251">
        <v>-0.872</v>
      </c>
      <c r="BP251">
        <v>9.9000000000000005E-2</v>
      </c>
      <c r="BQ251">
        <v>410</v>
      </c>
      <c r="BR251">
        <v>14</v>
      </c>
      <c r="BS251">
        <v>0.37</v>
      </c>
      <c r="BT251">
        <v>7.0000000000000007E-2</v>
      </c>
      <c r="BU251">
        <v>-0.94961554999999997</v>
      </c>
      <c r="BV251">
        <v>9.0239142857141505E-2</v>
      </c>
      <c r="BW251">
        <v>1.7261894425221701E-2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1.747109</v>
      </c>
      <c r="CD251">
        <v>-0.13624060150375999</v>
      </c>
      <c r="CE251">
        <v>1.35318568201116E-2</v>
      </c>
      <c r="CF251">
        <v>0</v>
      </c>
      <c r="CG251">
        <v>1</v>
      </c>
      <c r="CH251">
        <v>2</v>
      </c>
      <c r="CI251" t="s">
        <v>290</v>
      </c>
      <c r="CJ251">
        <v>3.5325099999999998</v>
      </c>
      <c r="CK251">
        <v>2.7022900000000001</v>
      </c>
      <c r="CL251">
        <v>9.8059999999999994E-2</v>
      </c>
      <c r="CM251">
        <v>9.6856499999999998E-2</v>
      </c>
      <c r="CN251">
        <v>8.7098599999999998E-2</v>
      </c>
      <c r="CO251">
        <v>7.8932299999999997E-2</v>
      </c>
      <c r="CP251">
        <v>31634.5</v>
      </c>
      <c r="CQ251">
        <v>27804.3</v>
      </c>
      <c r="CR251">
        <v>32461.599999999999</v>
      </c>
      <c r="CS251">
        <v>30712.6</v>
      </c>
      <c r="CT251">
        <v>40123.5</v>
      </c>
      <c r="CU251">
        <v>39781.599999999999</v>
      </c>
      <c r="CV251">
        <v>47403.8</v>
      </c>
      <c r="CW251">
        <v>46835.1</v>
      </c>
      <c r="CX251">
        <v>2.62568</v>
      </c>
      <c r="CY251">
        <v>2.1345200000000002</v>
      </c>
      <c r="CZ251">
        <v>0</v>
      </c>
      <c r="DA251">
        <v>0</v>
      </c>
      <c r="DB251">
        <v>999.9</v>
      </c>
      <c r="DC251">
        <v>999.9</v>
      </c>
      <c r="DD251">
        <v>51.984000000000002</v>
      </c>
      <c r="DE251">
        <v>27.300999999999998</v>
      </c>
      <c r="DF251">
        <v>18.8706</v>
      </c>
      <c r="DG251">
        <v>30.600100000000001</v>
      </c>
      <c r="DH251">
        <v>16.534500000000001</v>
      </c>
      <c r="DI251">
        <v>2</v>
      </c>
      <c r="DJ251">
        <v>-0.132301</v>
      </c>
      <c r="DK251">
        <v>2.1064099999999999</v>
      </c>
      <c r="DL251">
        <v>20.2102</v>
      </c>
      <c r="DM251">
        <v>5.2505899999999999</v>
      </c>
      <c r="DN251">
        <v>12.033899999999999</v>
      </c>
      <c r="DO251">
        <v>4.9672000000000001</v>
      </c>
      <c r="DP251">
        <v>3.2909999999999999</v>
      </c>
      <c r="DQ251">
        <v>9999</v>
      </c>
      <c r="DR251">
        <v>9999</v>
      </c>
      <c r="DS251">
        <v>597.6</v>
      </c>
      <c r="DT251">
        <v>9999</v>
      </c>
      <c r="DU251">
        <v>1.8710500000000001</v>
      </c>
      <c r="DV251">
        <v>1.87608</v>
      </c>
      <c r="DW251">
        <v>1.87632</v>
      </c>
      <c r="DX251">
        <v>1.8827799999999999</v>
      </c>
      <c r="DY251">
        <v>1.8755999999999999</v>
      </c>
      <c r="DZ251">
        <v>1.87466</v>
      </c>
      <c r="EA251">
        <v>1.8708499999999999</v>
      </c>
      <c r="EB251">
        <v>1.8746400000000001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-0.872</v>
      </c>
      <c r="EQ251">
        <v>9.8699999999999996E-2</v>
      </c>
      <c r="ER251">
        <v>-0.87179999999995095</v>
      </c>
      <c r="ES251">
        <v>0</v>
      </c>
      <c r="ET251">
        <v>0</v>
      </c>
      <c r="EU251">
        <v>0</v>
      </c>
      <c r="EV251">
        <v>9.8709999999998702E-2</v>
      </c>
      <c r="EW251">
        <v>0</v>
      </c>
      <c r="EX251">
        <v>0</v>
      </c>
      <c r="EY251">
        <v>0</v>
      </c>
      <c r="EZ251">
        <v>-1</v>
      </c>
      <c r="FA251">
        <v>-1</v>
      </c>
      <c r="FB251">
        <v>-1</v>
      </c>
      <c r="FC251">
        <v>-1</v>
      </c>
      <c r="FD251">
        <v>5.8</v>
      </c>
      <c r="FE251">
        <v>5.5</v>
      </c>
      <c r="FF251">
        <v>1.24146</v>
      </c>
      <c r="FG251">
        <v>2.5964399999999999</v>
      </c>
      <c r="FH251">
        <v>2.19604</v>
      </c>
      <c r="FI251">
        <v>2.5744600000000002</v>
      </c>
      <c r="FJ251">
        <v>2.4462899999999999</v>
      </c>
      <c r="FK251">
        <v>2.3071299999999999</v>
      </c>
      <c r="FL251">
        <v>31.761099999999999</v>
      </c>
      <c r="FM251">
        <v>24.148800000000001</v>
      </c>
      <c r="FN251">
        <v>19</v>
      </c>
      <c r="FO251">
        <v>865.40700000000004</v>
      </c>
      <c r="FP251">
        <v>577.96100000000001</v>
      </c>
      <c r="FQ251">
        <v>18.2028</v>
      </c>
      <c r="FR251">
        <v>25.340499999999999</v>
      </c>
      <c r="FS251">
        <v>30.0001</v>
      </c>
      <c r="FT251">
        <v>25.341699999999999</v>
      </c>
      <c r="FU251">
        <v>25.345099999999999</v>
      </c>
      <c r="FV251">
        <v>24.911000000000001</v>
      </c>
      <c r="FW251">
        <v>31.167300000000001</v>
      </c>
      <c r="FX251">
        <v>0</v>
      </c>
      <c r="FY251">
        <v>18.211400000000001</v>
      </c>
      <c r="FZ251">
        <v>410</v>
      </c>
      <c r="GA251">
        <v>13.680899999999999</v>
      </c>
      <c r="GB251">
        <v>99.889600000000002</v>
      </c>
      <c r="GC251">
        <v>99.704099999999997</v>
      </c>
    </row>
    <row r="252" spans="1:185" x14ac:dyDescent="0.2">
      <c r="A252">
        <v>237</v>
      </c>
      <c r="B252">
        <v>1771003411.0999999</v>
      </c>
      <c r="C252">
        <v>4788</v>
      </c>
      <c r="D252" t="s">
        <v>779</v>
      </c>
      <c r="E252" t="s">
        <v>780</v>
      </c>
      <c r="F252">
        <v>15</v>
      </c>
      <c r="G252">
        <v>1771003403.03333</v>
      </c>
      <c r="H252">
        <f t="shared" si="39"/>
        <v>1.4002911585530775E-3</v>
      </c>
      <c r="I252">
        <v>0</v>
      </c>
      <c r="J252">
        <f t="shared" si="51"/>
        <v>1.0550966136455564E-2</v>
      </c>
      <c r="K252">
        <f t="shared" si="40"/>
        <v>0.18866450817878327</v>
      </c>
      <c r="L252">
        <f t="shared" si="41"/>
        <v>69.949055529761139</v>
      </c>
      <c r="M252">
        <f t="shared" si="42"/>
        <v>1.5409878501414036</v>
      </c>
      <c r="N252">
        <f t="shared" si="43"/>
        <v>2.2030145203115166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26355.171614924802</v>
      </c>
      <c r="T252">
        <f t="shared" si="47"/>
        <v>499.99886666666703</v>
      </c>
      <c r="U252">
        <f t="shared" si="48"/>
        <v>421.49877160061908</v>
      </c>
      <c r="V252">
        <f t="shared" si="49"/>
        <v>0.84299945399999998</v>
      </c>
      <c r="W252">
        <f t="shared" si="50"/>
        <v>0.15869902476</v>
      </c>
      <c r="X252">
        <v>1</v>
      </c>
      <c r="Y252">
        <v>1771003403.03333</v>
      </c>
      <c r="Z252">
        <v>409.04753333333298</v>
      </c>
      <c r="AA252">
        <v>409.99933333333303</v>
      </c>
      <c r="AB252">
        <v>15.345933333333299</v>
      </c>
      <c r="AC252">
        <v>13.622453333333301</v>
      </c>
      <c r="AD252">
        <v>409.91953333333299</v>
      </c>
      <c r="AE252">
        <v>15.2472266666667</v>
      </c>
      <c r="AF252">
        <v>800.01066666666702</v>
      </c>
      <c r="AG252">
        <v>100.3524</v>
      </c>
      <c r="AH252">
        <v>6.4291293333333305E-2</v>
      </c>
      <c r="AI252">
        <v>18.984253333333299</v>
      </c>
      <c r="AJ252">
        <v>999.9</v>
      </c>
      <c r="AK252">
        <v>999.9</v>
      </c>
      <c r="AL252">
        <v>0</v>
      </c>
      <c r="AM252">
        <v>0</v>
      </c>
      <c r="AN252">
        <v>5006.4333333333298</v>
      </c>
      <c r="AO252">
        <v>0</v>
      </c>
      <c r="AP252">
        <v>1.7502500000000001</v>
      </c>
      <c r="AQ252">
        <v>-0.95157879999999995</v>
      </c>
      <c r="AR252">
        <v>415.4228</v>
      </c>
      <c r="AS252">
        <v>415.66153333333301</v>
      </c>
      <c r="AT252">
        <v>1.7234906666666701</v>
      </c>
      <c r="AU252">
        <v>409.99933333333303</v>
      </c>
      <c r="AV252">
        <v>13.622453333333301</v>
      </c>
      <c r="AW252">
        <v>1.54000133333333</v>
      </c>
      <c r="AX252">
        <v>1.36704266666667</v>
      </c>
      <c r="AY252">
        <v>13.3711866666667</v>
      </c>
      <c r="AZ252">
        <v>11.55692</v>
      </c>
      <c r="BA252">
        <v>499.99886666666703</v>
      </c>
      <c r="BB252">
        <v>0.90001240000000005</v>
      </c>
      <c r="BC252">
        <v>0</v>
      </c>
      <c r="BD252">
        <v>9.9987400000000004E-2</v>
      </c>
      <c r="BE252">
        <v>0</v>
      </c>
      <c r="BF252">
        <v>24</v>
      </c>
      <c r="BG252">
        <v>8244.4</v>
      </c>
      <c r="BH252">
        <v>1771003067.0999999</v>
      </c>
      <c r="BI252" t="s">
        <v>748</v>
      </c>
      <c r="BJ252">
        <v>1771003045.0999999</v>
      </c>
      <c r="BK252">
        <v>1771003067.0999999</v>
      </c>
      <c r="BL252">
        <v>13</v>
      </c>
      <c r="BM252">
        <v>3.6999999999999998E-2</v>
      </c>
      <c r="BN252">
        <v>2E-3</v>
      </c>
      <c r="BO252">
        <v>-0.872</v>
      </c>
      <c r="BP252">
        <v>9.9000000000000005E-2</v>
      </c>
      <c r="BQ252">
        <v>410</v>
      </c>
      <c r="BR252">
        <v>14</v>
      </c>
      <c r="BS252">
        <v>0.37</v>
      </c>
      <c r="BT252">
        <v>7.0000000000000007E-2</v>
      </c>
      <c r="BU252">
        <v>-0.94863439999999999</v>
      </c>
      <c r="BV252">
        <v>-4.6712932330828398E-2</v>
      </c>
      <c r="BW252">
        <v>1.15450566538237E-2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1.7236659999999999</v>
      </c>
      <c r="CD252">
        <v>4.1963909774440401E-3</v>
      </c>
      <c r="CE252">
        <v>2.95941615863669E-3</v>
      </c>
      <c r="CF252">
        <v>1</v>
      </c>
      <c r="CG252">
        <v>2</v>
      </c>
      <c r="CH252">
        <v>2</v>
      </c>
      <c r="CI252" t="s">
        <v>304</v>
      </c>
      <c r="CJ252">
        <v>3.53254</v>
      </c>
      <c r="CK252">
        <v>2.7018900000000001</v>
      </c>
      <c r="CL252">
        <v>9.8062099999999999E-2</v>
      </c>
      <c r="CM252">
        <v>9.6859200000000006E-2</v>
      </c>
      <c r="CN252">
        <v>8.7113200000000002E-2</v>
      </c>
      <c r="CO252">
        <v>7.8926499999999997E-2</v>
      </c>
      <c r="CP252">
        <v>31634.400000000001</v>
      </c>
      <c r="CQ252">
        <v>27804</v>
      </c>
      <c r="CR252">
        <v>32461.599999999999</v>
      </c>
      <c r="CS252">
        <v>30712.3</v>
      </c>
      <c r="CT252">
        <v>40123.1</v>
      </c>
      <c r="CU252">
        <v>39781.199999999997</v>
      </c>
      <c r="CV252">
        <v>47404</v>
      </c>
      <c r="CW252">
        <v>46834.400000000001</v>
      </c>
      <c r="CX252">
        <v>2.62554</v>
      </c>
      <c r="CY252">
        <v>2.1345200000000002</v>
      </c>
      <c r="CZ252">
        <v>0</v>
      </c>
      <c r="DA252">
        <v>0</v>
      </c>
      <c r="DB252">
        <v>999.9</v>
      </c>
      <c r="DC252">
        <v>999.9</v>
      </c>
      <c r="DD252">
        <v>51.959000000000003</v>
      </c>
      <c r="DE252">
        <v>27.311</v>
      </c>
      <c r="DF252">
        <v>18.873100000000001</v>
      </c>
      <c r="DG252">
        <v>30.240100000000002</v>
      </c>
      <c r="DH252">
        <v>16.602599999999999</v>
      </c>
      <c r="DI252">
        <v>2</v>
      </c>
      <c r="DJ252">
        <v>-0.13251199999999999</v>
      </c>
      <c r="DK252">
        <v>2.0596700000000001</v>
      </c>
      <c r="DL252">
        <v>20.210799999999999</v>
      </c>
      <c r="DM252">
        <v>5.2502399999999998</v>
      </c>
      <c r="DN252">
        <v>12.033899999999999</v>
      </c>
      <c r="DO252">
        <v>4.9672400000000003</v>
      </c>
      <c r="DP252">
        <v>3.2909999999999999</v>
      </c>
      <c r="DQ252">
        <v>9999</v>
      </c>
      <c r="DR252">
        <v>9999</v>
      </c>
      <c r="DS252">
        <v>597.70000000000005</v>
      </c>
      <c r="DT252">
        <v>9999</v>
      </c>
      <c r="DU252">
        <v>1.8711</v>
      </c>
      <c r="DV252">
        <v>1.87609</v>
      </c>
      <c r="DW252">
        <v>1.87635</v>
      </c>
      <c r="DX252">
        <v>1.8828</v>
      </c>
      <c r="DY252">
        <v>1.8755999999999999</v>
      </c>
      <c r="DZ252">
        <v>1.8746799999999999</v>
      </c>
      <c r="EA252">
        <v>1.87087</v>
      </c>
      <c r="EB252">
        <v>1.87466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-0.872</v>
      </c>
      <c r="EQ252">
        <v>9.8699999999999996E-2</v>
      </c>
      <c r="ER252">
        <v>-0.87179999999995095</v>
      </c>
      <c r="ES252">
        <v>0</v>
      </c>
      <c r="ET252">
        <v>0</v>
      </c>
      <c r="EU252">
        <v>0</v>
      </c>
      <c r="EV252">
        <v>9.8709999999998702E-2</v>
      </c>
      <c r="EW252">
        <v>0</v>
      </c>
      <c r="EX252">
        <v>0</v>
      </c>
      <c r="EY252">
        <v>0</v>
      </c>
      <c r="EZ252">
        <v>-1</v>
      </c>
      <c r="FA252">
        <v>-1</v>
      </c>
      <c r="FB252">
        <v>-1</v>
      </c>
      <c r="FC252">
        <v>-1</v>
      </c>
      <c r="FD252">
        <v>6.1</v>
      </c>
      <c r="FE252">
        <v>5.7</v>
      </c>
      <c r="FF252">
        <v>1.24146</v>
      </c>
      <c r="FG252">
        <v>2.6000999999999999</v>
      </c>
      <c r="FH252">
        <v>2.19604</v>
      </c>
      <c r="FI252">
        <v>2.5744600000000002</v>
      </c>
      <c r="FJ252">
        <v>2.4462899999999999</v>
      </c>
      <c r="FK252">
        <v>2.2607400000000002</v>
      </c>
      <c r="FL252">
        <v>31.761099999999999</v>
      </c>
      <c r="FM252">
        <v>24.14</v>
      </c>
      <c r="FN252">
        <v>19</v>
      </c>
      <c r="FO252">
        <v>865.31100000000004</v>
      </c>
      <c r="FP252">
        <v>577.98500000000001</v>
      </c>
      <c r="FQ252">
        <v>18.234100000000002</v>
      </c>
      <c r="FR252">
        <v>25.343599999999999</v>
      </c>
      <c r="FS252">
        <v>30.0001</v>
      </c>
      <c r="FT252">
        <v>25.343800000000002</v>
      </c>
      <c r="FU252">
        <v>25.347100000000001</v>
      </c>
      <c r="FV252">
        <v>24.911100000000001</v>
      </c>
      <c r="FW252">
        <v>31.167300000000001</v>
      </c>
      <c r="FX252">
        <v>0</v>
      </c>
      <c r="FY252">
        <v>18.2441</v>
      </c>
      <c r="FZ252">
        <v>410</v>
      </c>
      <c r="GA252">
        <v>13.6868</v>
      </c>
      <c r="GB252">
        <v>99.889899999999997</v>
      </c>
      <c r="GC252">
        <v>99.7029</v>
      </c>
    </row>
    <row r="253" spans="1:185" x14ac:dyDescent="0.2">
      <c r="A253">
        <v>238</v>
      </c>
      <c r="B253">
        <v>1771003426.0999999</v>
      </c>
      <c r="C253">
        <v>4803</v>
      </c>
      <c r="D253" t="s">
        <v>781</v>
      </c>
      <c r="E253" t="s">
        <v>782</v>
      </c>
      <c r="F253">
        <v>15</v>
      </c>
      <c r="G253">
        <v>1771003418.03333</v>
      </c>
      <c r="H253">
        <f t="shared" si="39"/>
        <v>1.3754390369616475E-3</v>
      </c>
      <c r="I253">
        <v>0</v>
      </c>
      <c r="J253">
        <f t="shared" si="51"/>
        <v>1.0262827013522812E-2</v>
      </c>
      <c r="K253">
        <f t="shared" si="40"/>
        <v>0.1835122192592554</v>
      </c>
      <c r="L253">
        <f t="shared" si="41"/>
        <v>69.96073174130089</v>
      </c>
      <c r="M253">
        <f t="shared" si="42"/>
        <v>1.541472742439727</v>
      </c>
      <c r="N253">
        <f t="shared" si="43"/>
        <v>2.2033399366658251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26301.890246934006</v>
      </c>
      <c r="T253">
        <f t="shared" si="47"/>
        <v>500.00099999999998</v>
      </c>
      <c r="U253">
        <f t="shared" si="48"/>
        <v>421.50059939951274</v>
      </c>
      <c r="V253">
        <f t="shared" si="49"/>
        <v>0.84299951279999996</v>
      </c>
      <c r="W253">
        <f t="shared" si="50"/>
        <v>0.15869909380799999</v>
      </c>
      <c r="X253">
        <v>1</v>
      </c>
      <c r="Y253">
        <v>1771003418.03333</v>
      </c>
      <c r="Z253">
        <v>409.054666666667</v>
      </c>
      <c r="AA253">
        <v>409.98733333333303</v>
      </c>
      <c r="AB253">
        <v>15.3507466666667</v>
      </c>
      <c r="AC253">
        <v>13.657859999999999</v>
      </c>
      <c r="AD253">
        <v>409.92646666666701</v>
      </c>
      <c r="AE253">
        <v>15.2520333333333</v>
      </c>
      <c r="AF253">
        <v>800.00926666666703</v>
      </c>
      <c r="AG253">
        <v>100.35266666666701</v>
      </c>
      <c r="AH253">
        <v>6.4125813333333295E-2</v>
      </c>
      <c r="AI253">
        <v>18.986619999999998</v>
      </c>
      <c r="AJ253">
        <v>999.9</v>
      </c>
      <c r="AK253">
        <v>999.9</v>
      </c>
      <c r="AL253">
        <v>0</v>
      </c>
      <c r="AM253">
        <v>0</v>
      </c>
      <c r="AN253">
        <v>4997.7</v>
      </c>
      <c r="AO253">
        <v>0</v>
      </c>
      <c r="AP253">
        <v>1.7502500000000001</v>
      </c>
      <c r="AQ253">
        <v>-0.93265379999999998</v>
      </c>
      <c r="AR253">
        <v>415.43166666666701</v>
      </c>
      <c r="AS253">
        <v>415.66446666666701</v>
      </c>
      <c r="AT253">
        <v>1.69287733333333</v>
      </c>
      <c r="AU253">
        <v>409.98733333333303</v>
      </c>
      <c r="AV253">
        <v>13.657859999999999</v>
      </c>
      <c r="AW253">
        <v>1.5404846666666701</v>
      </c>
      <c r="AX253">
        <v>1.3706</v>
      </c>
      <c r="AY253">
        <v>13.376006666666701</v>
      </c>
      <c r="AZ253">
        <v>11.596206666666699</v>
      </c>
      <c r="BA253">
        <v>500.00099999999998</v>
      </c>
      <c r="BB253">
        <v>0.90001160000000002</v>
      </c>
      <c r="BC253">
        <v>0</v>
      </c>
      <c r="BD253">
        <v>9.9988240000000006E-2</v>
      </c>
      <c r="BE253">
        <v>0</v>
      </c>
      <c r="BF253">
        <v>24</v>
      </c>
      <c r="BG253">
        <v>8244.4320000000007</v>
      </c>
      <c r="BH253">
        <v>1771003067.0999999</v>
      </c>
      <c r="BI253" t="s">
        <v>748</v>
      </c>
      <c r="BJ253">
        <v>1771003045.0999999</v>
      </c>
      <c r="BK253">
        <v>1771003067.0999999</v>
      </c>
      <c r="BL253">
        <v>13</v>
      </c>
      <c r="BM253">
        <v>3.6999999999999998E-2</v>
      </c>
      <c r="BN253">
        <v>2E-3</v>
      </c>
      <c r="BO253">
        <v>-0.872</v>
      </c>
      <c r="BP253">
        <v>9.9000000000000005E-2</v>
      </c>
      <c r="BQ253">
        <v>410</v>
      </c>
      <c r="BR253">
        <v>14</v>
      </c>
      <c r="BS253">
        <v>0.37</v>
      </c>
      <c r="BT253">
        <v>7.0000000000000007E-2</v>
      </c>
      <c r="BU253">
        <v>-0.936758857142857</v>
      </c>
      <c r="BV253">
        <v>4.1754623376622703E-2</v>
      </c>
      <c r="BW253">
        <v>2.1474916914935901E-2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1.7018500000000001</v>
      </c>
      <c r="CD253">
        <v>-0.20377558441558299</v>
      </c>
      <c r="CE253">
        <v>2.26072925444529E-2</v>
      </c>
      <c r="CF253">
        <v>0</v>
      </c>
      <c r="CG253">
        <v>1</v>
      </c>
      <c r="CH253">
        <v>2</v>
      </c>
      <c r="CI253" t="s">
        <v>290</v>
      </c>
      <c r="CJ253">
        <v>3.5324900000000001</v>
      </c>
      <c r="CK253">
        <v>2.7019799999999998</v>
      </c>
      <c r="CL253">
        <v>9.8063300000000006E-2</v>
      </c>
      <c r="CM253">
        <v>9.6853599999999998E-2</v>
      </c>
      <c r="CN253">
        <v>8.7172200000000005E-2</v>
      </c>
      <c r="CO253">
        <v>7.9184599999999994E-2</v>
      </c>
      <c r="CP253">
        <v>31633.7</v>
      </c>
      <c r="CQ253">
        <v>27804.5</v>
      </c>
      <c r="CR253">
        <v>32460.9</v>
      </c>
      <c r="CS253">
        <v>30712.7</v>
      </c>
      <c r="CT253">
        <v>40119.199999999997</v>
      </c>
      <c r="CU253">
        <v>39770.5</v>
      </c>
      <c r="CV253">
        <v>47402.6</v>
      </c>
      <c r="CW253">
        <v>46835.199999999997</v>
      </c>
      <c r="CX253">
        <v>2.62554</v>
      </c>
      <c r="CY253">
        <v>2.1346599999999998</v>
      </c>
      <c r="CZ253">
        <v>0</v>
      </c>
      <c r="DA253">
        <v>0</v>
      </c>
      <c r="DB253">
        <v>999.9</v>
      </c>
      <c r="DC253">
        <v>999.9</v>
      </c>
      <c r="DD253">
        <v>51.911000000000001</v>
      </c>
      <c r="DE253">
        <v>27.311</v>
      </c>
      <c r="DF253">
        <v>18.855699999999999</v>
      </c>
      <c r="DG253">
        <v>30.510100000000001</v>
      </c>
      <c r="DH253">
        <v>16.618600000000001</v>
      </c>
      <c r="DI253">
        <v>2</v>
      </c>
      <c r="DJ253">
        <v>-0.132325</v>
      </c>
      <c r="DK253">
        <v>2.0365500000000001</v>
      </c>
      <c r="DL253">
        <v>20.210899999999999</v>
      </c>
      <c r="DM253">
        <v>5.2496400000000003</v>
      </c>
      <c r="DN253">
        <v>12.033899999999999</v>
      </c>
      <c r="DO253">
        <v>4.9671200000000004</v>
      </c>
      <c r="DP253">
        <v>3.2909999999999999</v>
      </c>
      <c r="DQ253">
        <v>9999</v>
      </c>
      <c r="DR253">
        <v>9999</v>
      </c>
      <c r="DS253">
        <v>597.70000000000005</v>
      </c>
      <c r="DT253">
        <v>9999</v>
      </c>
      <c r="DU253">
        <v>1.87107</v>
      </c>
      <c r="DV253">
        <v>1.87608</v>
      </c>
      <c r="DW253">
        <v>1.87636</v>
      </c>
      <c r="DX253">
        <v>1.88279</v>
      </c>
      <c r="DY253">
        <v>1.87561</v>
      </c>
      <c r="DZ253">
        <v>1.8746799999999999</v>
      </c>
      <c r="EA253">
        <v>1.87086</v>
      </c>
      <c r="EB253">
        <v>1.8746799999999999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-0.872</v>
      </c>
      <c r="EQ253">
        <v>9.8699999999999996E-2</v>
      </c>
      <c r="ER253">
        <v>-0.87179999999995095</v>
      </c>
      <c r="ES253">
        <v>0</v>
      </c>
      <c r="ET253">
        <v>0</v>
      </c>
      <c r="EU253">
        <v>0</v>
      </c>
      <c r="EV253">
        <v>9.8709999999998702E-2</v>
      </c>
      <c r="EW253">
        <v>0</v>
      </c>
      <c r="EX253">
        <v>0</v>
      </c>
      <c r="EY253">
        <v>0</v>
      </c>
      <c r="EZ253">
        <v>-1</v>
      </c>
      <c r="FA253">
        <v>-1</v>
      </c>
      <c r="FB253">
        <v>-1</v>
      </c>
      <c r="FC253">
        <v>-1</v>
      </c>
      <c r="FD253">
        <v>6.3</v>
      </c>
      <c r="FE253">
        <v>6</v>
      </c>
      <c r="FF253">
        <v>1.24146</v>
      </c>
      <c r="FG253">
        <v>2.5915499999999998</v>
      </c>
      <c r="FH253">
        <v>2.19604</v>
      </c>
      <c r="FI253">
        <v>2.5744600000000002</v>
      </c>
      <c r="FJ253">
        <v>2.4462899999999999</v>
      </c>
      <c r="FK253">
        <v>2.2814899999999998</v>
      </c>
      <c r="FL253">
        <v>31.761099999999999</v>
      </c>
      <c r="FM253">
        <v>24.148800000000001</v>
      </c>
      <c r="FN253">
        <v>19</v>
      </c>
      <c r="FO253">
        <v>865.34500000000003</v>
      </c>
      <c r="FP253">
        <v>578.11599999999999</v>
      </c>
      <c r="FQ253">
        <v>18.267299999999999</v>
      </c>
      <c r="FR253">
        <v>25.346900000000002</v>
      </c>
      <c r="FS253">
        <v>30.0002</v>
      </c>
      <c r="FT253">
        <v>25.3459</v>
      </c>
      <c r="FU253">
        <v>25.349299999999999</v>
      </c>
      <c r="FV253">
        <v>24.912299999999998</v>
      </c>
      <c r="FW253">
        <v>30.880500000000001</v>
      </c>
      <c r="FX253">
        <v>0</v>
      </c>
      <c r="FY253">
        <v>18.273299999999999</v>
      </c>
      <c r="FZ253">
        <v>410</v>
      </c>
      <c r="GA253">
        <v>13.6845</v>
      </c>
      <c r="GB253">
        <v>99.887299999999996</v>
      </c>
      <c r="GC253">
        <v>99.704400000000007</v>
      </c>
    </row>
    <row r="254" spans="1:185" x14ac:dyDescent="0.2">
      <c r="A254">
        <v>239</v>
      </c>
      <c r="B254">
        <v>1771003441.0999999</v>
      </c>
      <c r="C254">
        <v>4818</v>
      </c>
      <c r="D254" t="s">
        <v>783</v>
      </c>
      <c r="E254" t="s">
        <v>784</v>
      </c>
      <c r="F254">
        <v>15</v>
      </c>
      <c r="G254">
        <v>1771003433.03333</v>
      </c>
      <c r="H254">
        <f t="shared" si="39"/>
        <v>1.366080598528778E-3</v>
      </c>
      <c r="I254">
        <v>0</v>
      </c>
      <c r="J254">
        <f t="shared" si="51"/>
        <v>1.111515338999489E-2</v>
      </c>
      <c r="K254">
        <f t="shared" si="40"/>
        <v>0.19875288390979409</v>
      </c>
      <c r="L254">
        <f t="shared" si="41"/>
        <v>69.982855697134397</v>
      </c>
      <c r="M254">
        <f t="shared" si="42"/>
        <v>1.5426910861525307</v>
      </c>
      <c r="N254">
        <f t="shared" si="43"/>
        <v>2.2043843035340722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26328.154004380511</v>
      </c>
      <c r="T254">
        <f t="shared" si="47"/>
        <v>499.99939999999998</v>
      </c>
      <c r="U254">
        <f t="shared" si="48"/>
        <v>421.49923680030867</v>
      </c>
      <c r="V254">
        <f t="shared" si="49"/>
        <v>0.84299948519999957</v>
      </c>
      <c r="W254">
        <f t="shared" si="50"/>
        <v>0.15869905079199995</v>
      </c>
      <c r="X254">
        <v>1</v>
      </c>
      <c r="Y254">
        <v>1771003433.03333</v>
      </c>
      <c r="Z254">
        <v>409.05353333333301</v>
      </c>
      <c r="AA254">
        <v>410.00046666666702</v>
      </c>
      <c r="AB254">
        <v>15.362726666666701</v>
      </c>
      <c r="AC254">
        <v>13.681373333333299</v>
      </c>
      <c r="AD254">
        <v>409.92533333333301</v>
      </c>
      <c r="AE254">
        <v>15.264013333333301</v>
      </c>
      <c r="AF254">
        <v>800.006666666667</v>
      </c>
      <c r="AG254">
        <v>100.353333333333</v>
      </c>
      <c r="AH254">
        <v>6.4458353333333301E-2</v>
      </c>
      <c r="AI254">
        <v>18.994213333333299</v>
      </c>
      <c r="AJ254">
        <v>999.9</v>
      </c>
      <c r="AK254">
        <v>999.9</v>
      </c>
      <c r="AL254">
        <v>0</v>
      </c>
      <c r="AM254">
        <v>0</v>
      </c>
      <c r="AN254">
        <v>5002.1000000000004</v>
      </c>
      <c r="AO254">
        <v>0</v>
      </c>
      <c r="AP254">
        <v>1.7502500000000001</v>
      </c>
      <c r="AQ254">
        <v>-0.94683013333333299</v>
      </c>
      <c r="AR254">
        <v>415.43579999999997</v>
      </c>
      <c r="AS254">
        <v>415.68753333333302</v>
      </c>
      <c r="AT254">
        <v>1.68134733333333</v>
      </c>
      <c r="AU254">
        <v>410.00046666666702</v>
      </c>
      <c r="AV254">
        <v>13.681373333333299</v>
      </c>
      <c r="AW254">
        <v>1.5417019999999999</v>
      </c>
      <c r="AX254">
        <v>1.3729726666666699</v>
      </c>
      <c r="AY254">
        <v>13.3881266666667</v>
      </c>
      <c r="AZ254">
        <v>11.622393333333299</v>
      </c>
      <c r="BA254">
        <v>499.99939999999998</v>
      </c>
      <c r="BB254">
        <v>0.90001213333333296</v>
      </c>
      <c r="BC254">
        <v>0</v>
      </c>
      <c r="BD254">
        <v>9.9987693333333294E-2</v>
      </c>
      <c r="BE254">
        <v>0</v>
      </c>
      <c r="BF254">
        <v>24</v>
      </c>
      <c r="BG254">
        <v>8244.4093333333294</v>
      </c>
      <c r="BH254">
        <v>1771003067.0999999</v>
      </c>
      <c r="BI254" t="s">
        <v>748</v>
      </c>
      <c r="BJ254">
        <v>1771003045.0999999</v>
      </c>
      <c r="BK254">
        <v>1771003067.0999999</v>
      </c>
      <c r="BL254">
        <v>13</v>
      </c>
      <c r="BM254">
        <v>3.6999999999999998E-2</v>
      </c>
      <c r="BN254">
        <v>2E-3</v>
      </c>
      <c r="BO254">
        <v>-0.872</v>
      </c>
      <c r="BP254">
        <v>9.9000000000000005E-2</v>
      </c>
      <c r="BQ254">
        <v>410</v>
      </c>
      <c r="BR254">
        <v>14</v>
      </c>
      <c r="BS254">
        <v>0.37</v>
      </c>
      <c r="BT254">
        <v>7.0000000000000007E-2</v>
      </c>
      <c r="BU254">
        <v>-0.94339445</v>
      </c>
      <c r="BV254">
        <v>0.123265488721805</v>
      </c>
      <c r="BW254">
        <v>3.9744879519851298E-2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1.680172</v>
      </c>
      <c r="CD254">
        <v>2.7029774436091301E-2</v>
      </c>
      <c r="CE254">
        <v>2.7065080823821799E-3</v>
      </c>
      <c r="CF254">
        <v>1</v>
      </c>
      <c r="CG254">
        <v>2</v>
      </c>
      <c r="CH254">
        <v>2</v>
      </c>
      <c r="CI254" t="s">
        <v>304</v>
      </c>
      <c r="CJ254">
        <v>3.5325600000000001</v>
      </c>
      <c r="CK254">
        <v>2.7022900000000001</v>
      </c>
      <c r="CL254">
        <v>9.8066200000000006E-2</v>
      </c>
      <c r="CM254">
        <v>9.6856300000000006E-2</v>
      </c>
      <c r="CN254">
        <v>8.7192599999999995E-2</v>
      </c>
      <c r="CO254">
        <v>7.9181500000000002E-2</v>
      </c>
      <c r="CP254">
        <v>31634</v>
      </c>
      <c r="CQ254">
        <v>27804.7</v>
      </c>
      <c r="CR254">
        <v>32461.3</v>
      </c>
      <c r="CS254">
        <v>30713</v>
      </c>
      <c r="CT254">
        <v>40119</v>
      </c>
      <c r="CU254">
        <v>39771.199999999997</v>
      </c>
      <c r="CV254">
        <v>47403.5</v>
      </c>
      <c r="CW254">
        <v>46835.9</v>
      </c>
      <c r="CX254">
        <v>2.6252800000000001</v>
      </c>
      <c r="CY254">
        <v>2.13422</v>
      </c>
      <c r="CZ254">
        <v>0</v>
      </c>
      <c r="DA254">
        <v>0</v>
      </c>
      <c r="DB254">
        <v>999.9</v>
      </c>
      <c r="DC254">
        <v>999.9</v>
      </c>
      <c r="DD254">
        <v>51.911000000000001</v>
      </c>
      <c r="DE254">
        <v>27.332000000000001</v>
      </c>
      <c r="DF254">
        <v>18.878499999999999</v>
      </c>
      <c r="DG254">
        <v>30.3901</v>
      </c>
      <c r="DH254">
        <v>16.490400000000001</v>
      </c>
      <c r="DI254">
        <v>2</v>
      </c>
      <c r="DJ254">
        <v>-0.13214799999999999</v>
      </c>
      <c r="DK254">
        <v>2.0503100000000001</v>
      </c>
      <c r="DL254">
        <v>20.210999999999999</v>
      </c>
      <c r="DM254">
        <v>5.25047</v>
      </c>
      <c r="DN254">
        <v>12.033899999999999</v>
      </c>
      <c r="DO254">
        <v>4.9671599999999998</v>
      </c>
      <c r="DP254">
        <v>3.2909999999999999</v>
      </c>
      <c r="DQ254">
        <v>9999</v>
      </c>
      <c r="DR254">
        <v>9999</v>
      </c>
      <c r="DS254">
        <v>597.70000000000005</v>
      </c>
      <c r="DT254">
        <v>9999</v>
      </c>
      <c r="DU254">
        <v>1.87114</v>
      </c>
      <c r="DV254">
        <v>1.87612</v>
      </c>
      <c r="DW254">
        <v>1.87636</v>
      </c>
      <c r="DX254">
        <v>1.8828199999999999</v>
      </c>
      <c r="DY254">
        <v>1.87561</v>
      </c>
      <c r="DZ254">
        <v>1.87469</v>
      </c>
      <c r="EA254">
        <v>1.8708800000000001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-0.872</v>
      </c>
      <c r="EQ254">
        <v>9.8699999999999996E-2</v>
      </c>
      <c r="ER254">
        <v>-0.87179999999995095</v>
      </c>
      <c r="ES254">
        <v>0</v>
      </c>
      <c r="ET254">
        <v>0</v>
      </c>
      <c r="EU254">
        <v>0</v>
      </c>
      <c r="EV254">
        <v>9.8709999999998702E-2</v>
      </c>
      <c r="EW254">
        <v>0</v>
      </c>
      <c r="EX254">
        <v>0</v>
      </c>
      <c r="EY254">
        <v>0</v>
      </c>
      <c r="EZ254">
        <v>-1</v>
      </c>
      <c r="FA254">
        <v>-1</v>
      </c>
      <c r="FB254">
        <v>-1</v>
      </c>
      <c r="FC254">
        <v>-1</v>
      </c>
      <c r="FD254">
        <v>6.6</v>
      </c>
      <c r="FE254">
        <v>6.2</v>
      </c>
      <c r="FF254">
        <v>1.24146</v>
      </c>
      <c r="FG254">
        <v>2.5915499999999998</v>
      </c>
      <c r="FH254">
        <v>2.19604</v>
      </c>
      <c r="FI254">
        <v>2.5744600000000002</v>
      </c>
      <c r="FJ254">
        <v>2.4462899999999999</v>
      </c>
      <c r="FK254">
        <v>2.2741699999999998</v>
      </c>
      <c r="FL254">
        <v>31.761099999999999</v>
      </c>
      <c r="FM254">
        <v>24.148800000000001</v>
      </c>
      <c r="FN254">
        <v>19</v>
      </c>
      <c r="FO254">
        <v>865.13699999999994</v>
      </c>
      <c r="FP254">
        <v>577.779</v>
      </c>
      <c r="FQ254">
        <v>18.2852</v>
      </c>
      <c r="FR254">
        <v>25.3491</v>
      </c>
      <c r="FS254">
        <v>30.0001</v>
      </c>
      <c r="FT254">
        <v>25.347999999999999</v>
      </c>
      <c r="FU254">
        <v>25.349299999999999</v>
      </c>
      <c r="FV254">
        <v>24.911100000000001</v>
      </c>
      <c r="FW254">
        <v>30.880500000000001</v>
      </c>
      <c r="FX254">
        <v>0</v>
      </c>
      <c r="FY254">
        <v>18.286200000000001</v>
      </c>
      <c r="FZ254">
        <v>410</v>
      </c>
      <c r="GA254">
        <v>13.685</v>
      </c>
      <c r="GB254">
        <v>99.888800000000003</v>
      </c>
      <c r="GC254">
        <v>99.705699999999993</v>
      </c>
    </row>
    <row r="255" spans="1:185" x14ac:dyDescent="0.2">
      <c r="A255">
        <v>240</v>
      </c>
      <c r="B255">
        <v>1771003456.0999999</v>
      </c>
      <c r="C255">
        <v>4833</v>
      </c>
      <c r="D255" t="s">
        <v>785</v>
      </c>
      <c r="E255" t="s">
        <v>786</v>
      </c>
      <c r="F255">
        <v>15</v>
      </c>
      <c r="G255">
        <v>1771003448.03333</v>
      </c>
      <c r="H255">
        <f t="shared" si="39"/>
        <v>1.3681305996305277E-3</v>
      </c>
      <c r="I255">
        <v>0</v>
      </c>
      <c r="J255">
        <f t="shared" si="51"/>
        <v>1.0488584768448555E-2</v>
      </c>
      <c r="K255">
        <f t="shared" si="40"/>
        <v>0.18754905107633865</v>
      </c>
      <c r="L255">
        <f t="shared" si="41"/>
        <v>69.972941063505885</v>
      </c>
      <c r="M255">
        <f t="shared" si="42"/>
        <v>1.5428871334282717</v>
      </c>
      <c r="N255">
        <f t="shared" si="43"/>
        <v>2.2049768238667879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26313.190923919628</v>
      </c>
      <c r="T255">
        <f t="shared" si="47"/>
        <v>500.000133333333</v>
      </c>
      <c r="U255">
        <f t="shared" si="48"/>
        <v>421.49975309990401</v>
      </c>
      <c r="V255">
        <f t="shared" si="49"/>
        <v>0.84299928140000024</v>
      </c>
      <c r="W255">
        <f t="shared" si="50"/>
        <v>0.15869881412400005</v>
      </c>
      <c r="X255">
        <v>1</v>
      </c>
      <c r="Y255">
        <v>1771003448.03333</v>
      </c>
      <c r="Z255">
        <v>409.066933333333</v>
      </c>
      <c r="AA255">
        <v>410.00093333333302</v>
      </c>
      <c r="AB255">
        <v>15.364793333333299</v>
      </c>
      <c r="AC255">
        <v>13.68092</v>
      </c>
      <c r="AD255">
        <v>409.93866666666702</v>
      </c>
      <c r="AE255">
        <v>15.2660933333333</v>
      </c>
      <c r="AF255">
        <v>800.00646666666705</v>
      </c>
      <c r="AG255">
        <v>100.35266666666701</v>
      </c>
      <c r="AH255">
        <v>6.4377673333333302E-2</v>
      </c>
      <c r="AI255">
        <v>18.998519999999999</v>
      </c>
      <c r="AJ255">
        <v>999.9</v>
      </c>
      <c r="AK255">
        <v>999.9</v>
      </c>
      <c r="AL255">
        <v>0</v>
      </c>
      <c r="AM255">
        <v>0</v>
      </c>
      <c r="AN255">
        <v>4999.7333333333299</v>
      </c>
      <c r="AO255">
        <v>0</v>
      </c>
      <c r="AP255">
        <v>1.7502500000000001</v>
      </c>
      <c r="AQ255">
        <v>-0.93406573333333298</v>
      </c>
      <c r="AR255">
        <v>415.450066666667</v>
      </c>
      <c r="AS255">
        <v>415.68793333333298</v>
      </c>
      <c r="AT255">
        <v>1.68385266666667</v>
      </c>
      <c r="AU255">
        <v>410.00093333333302</v>
      </c>
      <c r="AV255">
        <v>13.68092</v>
      </c>
      <c r="AW255">
        <v>1.5418953333333301</v>
      </c>
      <c r="AX255">
        <v>1.37291733333333</v>
      </c>
      <c r="AY255">
        <v>13.3900666666667</v>
      </c>
      <c r="AZ255">
        <v>11.6217733333333</v>
      </c>
      <c r="BA255">
        <v>500.000133333333</v>
      </c>
      <c r="BB255">
        <v>0.90001486666666697</v>
      </c>
      <c r="BC255">
        <v>0</v>
      </c>
      <c r="BD255">
        <v>9.9984820000000002E-2</v>
      </c>
      <c r="BE255">
        <v>0</v>
      </c>
      <c r="BF255">
        <v>24</v>
      </c>
      <c r="BG255">
        <v>8244.4380000000001</v>
      </c>
      <c r="BH255">
        <v>1771003067.0999999</v>
      </c>
      <c r="BI255" t="s">
        <v>748</v>
      </c>
      <c r="BJ255">
        <v>1771003045.0999999</v>
      </c>
      <c r="BK255">
        <v>1771003067.0999999</v>
      </c>
      <c r="BL255">
        <v>13</v>
      </c>
      <c r="BM255">
        <v>3.6999999999999998E-2</v>
      </c>
      <c r="BN255">
        <v>2E-3</v>
      </c>
      <c r="BO255">
        <v>-0.872</v>
      </c>
      <c r="BP255">
        <v>9.9000000000000005E-2</v>
      </c>
      <c r="BQ255">
        <v>410</v>
      </c>
      <c r="BR255">
        <v>14</v>
      </c>
      <c r="BS255">
        <v>0.37</v>
      </c>
      <c r="BT255">
        <v>7.0000000000000007E-2</v>
      </c>
      <c r="BU255">
        <v>-0.92683776190476197</v>
      </c>
      <c r="BV255">
        <v>-4.8243740259741402E-2</v>
      </c>
      <c r="BW255">
        <v>2.5355403349947899E-2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1.6835619047619099</v>
      </c>
      <c r="CD255">
        <v>1.16875324675306E-2</v>
      </c>
      <c r="CE255">
        <v>1.91646405317717E-3</v>
      </c>
      <c r="CF255">
        <v>1</v>
      </c>
      <c r="CG255">
        <v>2</v>
      </c>
      <c r="CH255">
        <v>2</v>
      </c>
      <c r="CI255" t="s">
        <v>304</v>
      </c>
      <c r="CJ255">
        <v>3.53254</v>
      </c>
      <c r="CK255">
        <v>2.7022200000000001</v>
      </c>
      <c r="CL255">
        <v>9.80573E-2</v>
      </c>
      <c r="CM255">
        <v>9.6861699999999995E-2</v>
      </c>
      <c r="CN255">
        <v>8.7199899999999997E-2</v>
      </c>
      <c r="CO255">
        <v>7.9181600000000005E-2</v>
      </c>
      <c r="CP255">
        <v>31633.8</v>
      </c>
      <c r="CQ255">
        <v>27804.799999999999</v>
      </c>
      <c r="CR255">
        <v>32460.799999999999</v>
      </c>
      <c r="CS255">
        <v>30713.3</v>
      </c>
      <c r="CT255">
        <v>40118.199999999997</v>
      </c>
      <c r="CU255">
        <v>39771.4</v>
      </c>
      <c r="CV255">
        <v>47402.9</v>
      </c>
      <c r="CW255">
        <v>46836.2</v>
      </c>
      <c r="CX255">
        <v>2.6253199999999999</v>
      </c>
      <c r="CY255">
        <v>2.1342400000000001</v>
      </c>
      <c r="CZ255">
        <v>0</v>
      </c>
      <c r="DA255">
        <v>0</v>
      </c>
      <c r="DB255">
        <v>999.9</v>
      </c>
      <c r="DC255">
        <v>999.9</v>
      </c>
      <c r="DD255">
        <v>51.886000000000003</v>
      </c>
      <c r="DE255">
        <v>27.332000000000001</v>
      </c>
      <c r="DF255">
        <v>18.868500000000001</v>
      </c>
      <c r="DG255">
        <v>30.4801</v>
      </c>
      <c r="DH255">
        <v>16.482399999999998</v>
      </c>
      <c r="DI255">
        <v>2</v>
      </c>
      <c r="DJ255">
        <v>-0.13200400000000001</v>
      </c>
      <c r="DK255">
        <v>2.0550999999999999</v>
      </c>
      <c r="DL255">
        <v>20.210799999999999</v>
      </c>
      <c r="DM255">
        <v>5.2510700000000003</v>
      </c>
      <c r="DN255">
        <v>12.033899999999999</v>
      </c>
      <c r="DO255">
        <v>4.9677199999999999</v>
      </c>
      <c r="DP255">
        <v>3.2909999999999999</v>
      </c>
      <c r="DQ255">
        <v>9999</v>
      </c>
      <c r="DR255">
        <v>9999</v>
      </c>
      <c r="DS255">
        <v>597.70000000000005</v>
      </c>
      <c r="DT255">
        <v>9999</v>
      </c>
      <c r="DU255">
        <v>1.8710500000000001</v>
      </c>
      <c r="DV255">
        <v>1.87608</v>
      </c>
      <c r="DW255">
        <v>1.8763700000000001</v>
      </c>
      <c r="DX255">
        <v>1.88279</v>
      </c>
      <c r="DY255">
        <v>1.87561</v>
      </c>
      <c r="DZ255">
        <v>1.8746799999999999</v>
      </c>
      <c r="EA255">
        <v>1.87087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-0.872</v>
      </c>
      <c r="EQ255">
        <v>9.8699999999999996E-2</v>
      </c>
      <c r="ER255">
        <v>-0.87179999999995095</v>
      </c>
      <c r="ES255">
        <v>0</v>
      </c>
      <c r="ET255">
        <v>0</v>
      </c>
      <c r="EU255">
        <v>0</v>
      </c>
      <c r="EV255">
        <v>9.8709999999998702E-2</v>
      </c>
      <c r="EW255">
        <v>0</v>
      </c>
      <c r="EX255">
        <v>0</v>
      </c>
      <c r="EY255">
        <v>0</v>
      </c>
      <c r="EZ255">
        <v>-1</v>
      </c>
      <c r="FA255">
        <v>-1</v>
      </c>
      <c r="FB255">
        <v>-1</v>
      </c>
      <c r="FC255">
        <v>-1</v>
      </c>
      <c r="FD255">
        <v>6.8</v>
      </c>
      <c r="FE255">
        <v>6.5</v>
      </c>
      <c r="FF255">
        <v>1.24146</v>
      </c>
      <c r="FG255">
        <v>2.5952099999999998</v>
      </c>
      <c r="FH255">
        <v>2.19604</v>
      </c>
      <c r="FI255">
        <v>2.5744600000000002</v>
      </c>
      <c r="FJ255">
        <v>2.4462899999999999</v>
      </c>
      <c r="FK255">
        <v>2.3107899999999999</v>
      </c>
      <c r="FL255">
        <v>31.761099999999999</v>
      </c>
      <c r="FM255">
        <v>24.148800000000001</v>
      </c>
      <c r="FN255">
        <v>19</v>
      </c>
      <c r="FO255">
        <v>865.18799999999999</v>
      </c>
      <c r="FP255">
        <v>577.81799999999998</v>
      </c>
      <c r="FQ255">
        <v>18.290500000000002</v>
      </c>
      <c r="FR255">
        <v>25.351199999999999</v>
      </c>
      <c r="FS255">
        <v>30.0001</v>
      </c>
      <c r="FT255">
        <v>25.3489</v>
      </c>
      <c r="FU255">
        <v>25.351400000000002</v>
      </c>
      <c r="FV255">
        <v>24.9101</v>
      </c>
      <c r="FW255">
        <v>30.880500000000001</v>
      </c>
      <c r="FX255">
        <v>0</v>
      </c>
      <c r="FY255">
        <v>18.290199999999999</v>
      </c>
      <c r="FZ255">
        <v>410</v>
      </c>
      <c r="GA255">
        <v>13.6851</v>
      </c>
      <c r="GB255">
        <v>99.887500000000003</v>
      </c>
      <c r="GC255">
        <v>99.706500000000005</v>
      </c>
    </row>
    <row r="256" spans="1:185" x14ac:dyDescent="0.2">
      <c r="A256">
        <v>241</v>
      </c>
      <c r="B256">
        <v>1771003471.0999999</v>
      </c>
      <c r="C256">
        <v>4848</v>
      </c>
      <c r="D256" t="s">
        <v>787</v>
      </c>
      <c r="E256" t="s">
        <v>788</v>
      </c>
      <c r="F256">
        <v>15</v>
      </c>
      <c r="G256">
        <v>1771003463.03333</v>
      </c>
      <c r="H256">
        <f t="shared" si="39"/>
        <v>1.369428061926815E-3</v>
      </c>
      <c r="I256">
        <v>0</v>
      </c>
      <c r="J256">
        <f t="shared" si="51"/>
        <v>1.0848156109660136E-2</v>
      </c>
      <c r="K256">
        <f t="shared" si="40"/>
        <v>0.19397863765329432</v>
      </c>
      <c r="L256">
        <f t="shared" si="41"/>
        <v>69.953883176003771</v>
      </c>
      <c r="M256">
        <f t="shared" si="42"/>
        <v>1.5430227135624859</v>
      </c>
      <c r="N256">
        <f t="shared" si="43"/>
        <v>2.2057713503627028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26294.12596304559</v>
      </c>
      <c r="T256">
        <f t="shared" si="47"/>
        <v>500.00080000000003</v>
      </c>
      <c r="U256">
        <f t="shared" si="48"/>
        <v>421.50036409950337</v>
      </c>
      <c r="V256">
        <f t="shared" si="49"/>
        <v>0.84299937939999969</v>
      </c>
      <c r="W256">
        <f t="shared" si="50"/>
        <v>0.15869892920399994</v>
      </c>
      <c r="X256">
        <v>1</v>
      </c>
      <c r="Y256">
        <v>1771003463.03333</v>
      </c>
      <c r="Z256">
        <v>409.04546666666698</v>
      </c>
      <c r="AA256">
        <v>409.988133333333</v>
      </c>
      <c r="AB256">
        <v>15.36618</v>
      </c>
      <c r="AC256">
        <v>13.680706666666699</v>
      </c>
      <c r="AD256">
        <v>409.91719999999998</v>
      </c>
      <c r="AE256">
        <v>15.267480000000001</v>
      </c>
      <c r="AF256">
        <v>800.00386666666702</v>
      </c>
      <c r="AG256">
        <v>100.35233333333299</v>
      </c>
      <c r="AH256">
        <v>6.4472506666666707E-2</v>
      </c>
      <c r="AI256">
        <v>19.004293333333301</v>
      </c>
      <c r="AJ256">
        <v>999.9</v>
      </c>
      <c r="AK256">
        <v>999.9</v>
      </c>
      <c r="AL256">
        <v>0</v>
      </c>
      <c r="AM256">
        <v>0</v>
      </c>
      <c r="AN256">
        <v>4996.7</v>
      </c>
      <c r="AO256">
        <v>0</v>
      </c>
      <c r="AP256">
        <v>1.7502500000000001</v>
      </c>
      <c r="AQ256">
        <v>-0.94278019999999996</v>
      </c>
      <c r="AR256">
        <v>415.42913333333303</v>
      </c>
      <c r="AS256">
        <v>415.674933333333</v>
      </c>
      <c r="AT256">
        <v>1.6854899999999999</v>
      </c>
      <c r="AU256">
        <v>409.988133333333</v>
      </c>
      <c r="AV256">
        <v>13.680706666666699</v>
      </c>
      <c r="AW256">
        <v>1.5420326666666699</v>
      </c>
      <c r="AX256">
        <v>1.3728899999999999</v>
      </c>
      <c r="AY256">
        <v>13.3914333333333</v>
      </c>
      <c r="AZ256">
        <v>11.6214733333333</v>
      </c>
      <c r="BA256">
        <v>500.00080000000003</v>
      </c>
      <c r="BB256">
        <v>0.900013533333333</v>
      </c>
      <c r="BC256">
        <v>0</v>
      </c>
      <c r="BD256">
        <v>9.9986220000000001E-2</v>
      </c>
      <c r="BE256">
        <v>0</v>
      </c>
      <c r="BF256">
        <v>24</v>
      </c>
      <c r="BG256">
        <v>8244.44</v>
      </c>
      <c r="BH256">
        <v>1771003067.0999999</v>
      </c>
      <c r="BI256" t="s">
        <v>748</v>
      </c>
      <c r="BJ256">
        <v>1771003045.0999999</v>
      </c>
      <c r="BK256">
        <v>1771003067.0999999</v>
      </c>
      <c r="BL256">
        <v>13</v>
      </c>
      <c r="BM256">
        <v>3.6999999999999998E-2</v>
      </c>
      <c r="BN256">
        <v>2E-3</v>
      </c>
      <c r="BO256">
        <v>-0.872</v>
      </c>
      <c r="BP256">
        <v>9.9000000000000005E-2</v>
      </c>
      <c r="BQ256">
        <v>410</v>
      </c>
      <c r="BR256">
        <v>14</v>
      </c>
      <c r="BS256">
        <v>0.37</v>
      </c>
      <c r="BT256">
        <v>7.0000000000000007E-2</v>
      </c>
      <c r="BU256">
        <v>-0.93885085000000001</v>
      </c>
      <c r="BV256">
        <v>9.41223609022558E-2</v>
      </c>
      <c r="BW256">
        <v>3.9256180759563199E-2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1.6855315</v>
      </c>
      <c r="CD256">
        <v>-5.7730827067666397E-3</v>
      </c>
      <c r="CE256">
        <v>1.17802493606885E-3</v>
      </c>
      <c r="CF256">
        <v>1</v>
      </c>
      <c r="CG256">
        <v>2</v>
      </c>
      <c r="CH256">
        <v>2</v>
      </c>
      <c r="CI256" t="s">
        <v>304</v>
      </c>
      <c r="CJ256">
        <v>3.53261</v>
      </c>
      <c r="CK256">
        <v>2.7025199999999998</v>
      </c>
      <c r="CL256">
        <v>9.8062499999999997E-2</v>
      </c>
      <c r="CM256">
        <v>9.6855399999999994E-2</v>
      </c>
      <c r="CN256">
        <v>8.7184999999999999E-2</v>
      </c>
      <c r="CO256">
        <v>7.9178499999999999E-2</v>
      </c>
      <c r="CP256">
        <v>31634.1</v>
      </c>
      <c r="CQ256">
        <v>27804.9</v>
      </c>
      <c r="CR256">
        <v>32461.3</v>
      </c>
      <c r="CS256">
        <v>30713.200000000001</v>
      </c>
      <c r="CT256">
        <v>40119.300000000003</v>
      </c>
      <c r="CU256">
        <v>39771.5</v>
      </c>
      <c r="CV256">
        <v>47403.4</v>
      </c>
      <c r="CW256">
        <v>46836.1</v>
      </c>
      <c r="CX256">
        <v>2.6253600000000001</v>
      </c>
      <c r="CY256">
        <v>2.1339600000000001</v>
      </c>
      <c r="CZ256">
        <v>0</v>
      </c>
      <c r="DA256">
        <v>0</v>
      </c>
      <c r="DB256">
        <v>999.9</v>
      </c>
      <c r="DC256">
        <v>999.9</v>
      </c>
      <c r="DD256">
        <v>51.862000000000002</v>
      </c>
      <c r="DE256">
        <v>27.341999999999999</v>
      </c>
      <c r="DF256">
        <v>18.870799999999999</v>
      </c>
      <c r="DG256">
        <v>30.4801</v>
      </c>
      <c r="DH256">
        <v>16.462299999999999</v>
      </c>
      <c r="DI256">
        <v>2</v>
      </c>
      <c r="DJ256">
        <v>-0.13139400000000001</v>
      </c>
      <c r="DK256">
        <v>2.1967699999999999</v>
      </c>
      <c r="DL256">
        <v>20.208400000000001</v>
      </c>
      <c r="DM256">
        <v>5.2515499999999999</v>
      </c>
      <c r="DN256">
        <v>12.033899999999999</v>
      </c>
      <c r="DO256">
        <v>4.9676799999999997</v>
      </c>
      <c r="DP256">
        <v>3.2909999999999999</v>
      </c>
      <c r="DQ256">
        <v>9999</v>
      </c>
      <c r="DR256">
        <v>9999</v>
      </c>
      <c r="DS256">
        <v>597.70000000000005</v>
      </c>
      <c r="DT256">
        <v>9999</v>
      </c>
      <c r="DU256">
        <v>1.87107</v>
      </c>
      <c r="DV256">
        <v>1.87609</v>
      </c>
      <c r="DW256">
        <v>1.8763700000000001</v>
      </c>
      <c r="DX256">
        <v>1.8827799999999999</v>
      </c>
      <c r="DY256">
        <v>1.87561</v>
      </c>
      <c r="DZ256">
        <v>1.8746700000000001</v>
      </c>
      <c r="EA256">
        <v>1.8708800000000001</v>
      </c>
      <c r="EB256">
        <v>1.8746799999999999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-0.872</v>
      </c>
      <c r="EQ256">
        <v>9.8699999999999996E-2</v>
      </c>
      <c r="ER256">
        <v>-0.87179999999995095</v>
      </c>
      <c r="ES256">
        <v>0</v>
      </c>
      <c r="ET256">
        <v>0</v>
      </c>
      <c r="EU256">
        <v>0</v>
      </c>
      <c r="EV256">
        <v>9.8709999999998702E-2</v>
      </c>
      <c r="EW256">
        <v>0</v>
      </c>
      <c r="EX256">
        <v>0</v>
      </c>
      <c r="EY256">
        <v>0</v>
      </c>
      <c r="EZ256">
        <v>-1</v>
      </c>
      <c r="FA256">
        <v>-1</v>
      </c>
      <c r="FB256">
        <v>-1</v>
      </c>
      <c r="FC256">
        <v>-1</v>
      </c>
      <c r="FD256">
        <v>7.1</v>
      </c>
      <c r="FE256">
        <v>6.7</v>
      </c>
      <c r="FF256">
        <v>1.24146</v>
      </c>
      <c r="FG256">
        <v>2.5939899999999998</v>
      </c>
      <c r="FH256">
        <v>2.19604</v>
      </c>
      <c r="FI256">
        <v>2.5744600000000002</v>
      </c>
      <c r="FJ256">
        <v>2.4462899999999999</v>
      </c>
      <c r="FK256">
        <v>2.3046899999999999</v>
      </c>
      <c r="FL256">
        <v>31.783000000000001</v>
      </c>
      <c r="FM256">
        <v>24.148800000000001</v>
      </c>
      <c r="FN256">
        <v>19</v>
      </c>
      <c r="FO256">
        <v>865.24599999999998</v>
      </c>
      <c r="FP256">
        <v>577.60199999999998</v>
      </c>
      <c r="FQ256">
        <v>18.2209</v>
      </c>
      <c r="FR256">
        <v>25.351299999999998</v>
      </c>
      <c r="FS256">
        <v>30.0001</v>
      </c>
      <c r="FT256">
        <v>25.350200000000001</v>
      </c>
      <c r="FU256">
        <v>25.351400000000002</v>
      </c>
      <c r="FV256">
        <v>24.9133</v>
      </c>
      <c r="FW256">
        <v>30.880500000000001</v>
      </c>
      <c r="FX256">
        <v>0</v>
      </c>
      <c r="FY256">
        <v>18.22</v>
      </c>
      <c r="FZ256">
        <v>410</v>
      </c>
      <c r="GA256">
        <v>13.685499999999999</v>
      </c>
      <c r="GB256">
        <v>99.8887</v>
      </c>
      <c r="GC256">
        <v>99.706199999999995</v>
      </c>
    </row>
    <row r="257" spans="1:185" x14ac:dyDescent="0.2">
      <c r="A257">
        <v>242</v>
      </c>
      <c r="B257">
        <v>1771003486.0999999</v>
      </c>
      <c r="C257">
        <v>4863</v>
      </c>
      <c r="D257" t="s">
        <v>789</v>
      </c>
      <c r="E257" t="s">
        <v>790</v>
      </c>
      <c r="F257">
        <v>15</v>
      </c>
      <c r="G257">
        <v>1771003478.03333</v>
      </c>
      <c r="H257">
        <f t="shared" si="39"/>
        <v>1.3656866342719575E-3</v>
      </c>
      <c r="I257">
        <v>0</v>
      </c>
      <c r="J257">
        <f t="shared" si="51"/>
        <v>1.1426067723729257E-2</v>
      </c>
      <c r="K257">
        <f t="shared" si="40"/>
        <v>0.20431242216449974</v>
      </c>
      <c r="L257">
        <f t="shared" si="41"/>
        <v>69.940027389072611</v>
      </c>
      <c r="M257">
        <f t="shared" si="42"/>
        <v>1.5425219968652335</v>
      </c>
      <c r="N257">
        <f t="shared" si="43"/>
        <v>2.2054924117834078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26335.627436802948</v>
      </c>
      <c r="T257">
        <f t="shared" si="47"/>
        <v>499.99906666666698</v>
      </c>
      <c r="U257">
        <f t="shared" si="48"/>
        <v>421.49901060037854</v>
      </c>
      <c r="V257">
        <f t="shared" si="49"/>
        <v>0.8429995948000002</v>
      </c>
      <c r="W257">
        <f t="shared" si="50"/>
        <v>0.15869890904800005</v>
      </c>
      <c r="X257">
        <v>1</v>
      </c>
      <c r="Y257">
        <v>1771003478.03333</v>
      </c>
      <c r="Z257">
        <v>409.04433333333299</v>
      </c>
      <c r="AA257">
        <v>409.99799999999999</v>
      </c>
      <c r="AB257">
        <v>15.3610133333333</v>
      </c>
      <c r="AC257">
        <v>13.68014</v>
      </c>
      <c r="AD257">
        <v>409.9162</v>
      </c>
      <c r="AE257">
        <v>15.262313333333299</v>
      </c>
      <c r="AF257">
        <v>800.00573333333296</v>
      </c>
      <c r="AG257">
        <v>100.353666666667</v>
      </c>
      <c r="AH257">
        <v>6.4317706666666696E-2</v>
      </c>
      <c r="AI257">
        <v>19.002266666666699</v>
      </c>
      <c r="AJ257">
        <v>999.9</v>
      </c>
      <c r="AK257">
        <v>999.9</v>
      </c>
      <c r="AL257">
        <v>0</v>
      </c>
      <c r="AM257">
        <v>0</v>
      </c>
      <c r="AN257">
        <v>5003.4333333333298</v>
      </c>
      <c r="AO257">
        <v>0</v>
      </c>
      <c r="AP257">
        <v>1.7502500000000001</v>
      </c>
      <c r="AQ257">
        <v>-0.95357653333333303</v>
      </c>
      <c r="AR257">
        <v>415.42566666666698</v>
      </c>
      <c r="AS257">
        <v>415.68453333333298</v>
      </c>
      <c r="AT257">
        <v>1.6808593333333299</v>
      </c>
      <c r="AU257">
        <v>409.99799999999999</v>
      </c>
      <c r="AV257">
        <v>13.68014</v>
      </c>
      <c r="AW257">
        <v>1.54153266666667</v>
      </c>
      <c r="AX257">
        <v>1.3728526666666701</v>
      </c>
      <c r="AY257">
        <v>13.3864533333333</v>
      </c>
      <c r="AZ257">
        <v>11.6210533333333</v>
      </c>
      <c r="BA257">
        <v>499.99906666666698</v>
      </c>
      <c r="BB257">
        <v>0.90001466666666696</v>
      </c>
      <c r="BC257">
        <v>0</v>
      </c>
      <c r="BD257">
        <v>9.9985373333333294E-2</v>
      </c>
      <c r="BE257">
        <v>0</v>
      </c>
      <c r="BF257">
        <v>24.00666</v>
      </c>
      <c r="BG257">
        <v>8244.4093333333294</v>
      </c>
      <c r="BH257">
        <v>1771003067.0999999</v>
      </c>
      <c r="BI257" t="s">
        <v>748</v>
      </c>
      <c r="BJ257">
        <v>1771003045.0999999</v>
      </c>
      <c r="BK257">
        <v>1771003067.0999999</v>
      </c>
      <c r="BL257">
        <v>13</v>
      </c>
      <c r="BM257">
        <v>3.6999999999999998E-2</v>
      </c>
      <c r="BN257">
        <v>2E-3</v>
      </c>
      <c r="BO257">
        <v>-0.872</v>
      </c>
      <c r="BP257">
        <v>9.9000000000000005E-2</v>
      </c>
      <c r="BQ257">
        <v>410</v>
      </c>
      <c r="BR257">
        <v>14</v>
      </c>
      <c r="BS257">
        <v>0.37</v>
      </c>
      <c r="BT257">
        <v>7.0000000000000007E-2</v>
      </c>
      <c r="BU257">
        <v>-0.94420066666666702</v>
      </c>
      <c r="BV257">
        <v>-0.136080311688311</v>
      </c>
      <c r="BW257">
        <v>2.48795804078333E-2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1.6818528571428599</v>
      </c>
      <c r="CD257">
        <v>-1.1335324675325701E-2</v>
      </c>
      <c r="CE257">
        <v>1.9753749321202402E-3</v>
      </c>
      <c r="CF257">
        <v>1</v>
      </c>
      <c r="CG257">
        <v>2</v>
      </c>
      <c r="CH257">
        <v>2</v>
      </c>
      <c r="CI257" t="s">
        <v>304</v>
      </c>
      <c r="CJ257">
        <v>3.53254</v>
      </c>
      <c r="CK257">
        <v>2.7021099999999998</v>
      </c>
      <c r="CL257">
        <v>9.8065200000000005E-2</v>
      </c>
      <c r="CM257">
        <v>9.6858399999999997E-2</v>
      </c>
      <c r="CN257">
        <v>8.7185200000000004E-2</v>
      </c>
      <c r="CO257">
        <v>7.9176700000000003E-2</v>
      </c>
      <c r="CP257">
        <v>31633.9</v>
      </c>
      <c r="CQ257">
        <v>27805.9</v>
      </c>
      <c r="CR257">
        <v>32461.200000000001</v>
      </c>
      <c r="CS257">
        <v>30714.400000000001</v>
      </c>
      <c r="CT257">
        <v>40119.4</v>
      </c>
      <c r="CU257">
        <v>39773.199999999997</v>
      </c>
      <c r="CV257">
        <v>47403.5</v>
      </c>
      <c r="CW257">
        <v>46838</v>
      </c>
      <c r="CX257">
        <v>2.62534</v>
      </c>
      <c r="CY257">
        <v>2.1340599999999998</v>
      </c>
      <c r="CZ257">
        <v>0</v>
      </c>
      <c r="DA257">
        <v>0</v>
      </c>
      <c r="DB257">
        <v>999.9</v>
      </c>
      <c r="DC257">
        <v>999.9</v>
      </c>
      <c r="DD257">
        <v>51.837000000000003</v>
      </c>
      <c r="DE257">
        <v>27.352</v>
      </c>
      <c r="DF257">
        <v>18.874700000000001</v>
      </c>
      <c r="DG257">
        <v>30.270099999999999</v>
      </c>
      <c r="DH257">
        <v>16.6587</v>
      </c>
      <c r="DI257">
        <v>2</v>
      </c>
      <c r="DJ257">
        <v>-0.13162399999999999</v>
      </c>
      <c r="DK257">
        <v>2.1405599999999998</v>
      </c>
      <c r="DL257">
        <v>20.209399999999999</v>
      </c>
      <c r="DM257">
        <v>5.2515499999999999</v>
      </c>
      <c r="DN257">
        <v>12.033899999999999</v>
      </c>
      <c r="DO257">
        <v>4.9677600000000002</v>
      </c>
      <c r="DP257">
        <v>3.2909999999999999</v>
      </c>
      <c r="DQ257">
        <v>9999</v>
      </c>
      <c r="DR257">
        <v>9999</v>
      </c>
      <c r="DS257">
        <v>597.70000000000005</v>
      </c>
      <c r="DT257">
        <v>9999</v>
      </c>
      <c r="DU257">
        <v>1.8710599999999999</v>
      </c>
      <c r="DV257">
        <v>1.87609</v>
      </c>
      <c r="DW257">
        <v>1.8763700000000001</v>
      </c>
      <c r="DX257">
        <v>1.88279</v>
      </c>
      <c r="DY257">
        <v>1.87561</v>
      </c>
      <c r="DZ257">
        <v>1.8746700000000001</v>
      </c>
      <c r="EA257">
        <v>1.8708800000000001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-0.872</v>
      </c>
      <c r="EQ257">
        <v>9.8699999999999996E-2</v>
      </c>
      <c r="ER257">
        <v>-0.87179999999995095</v>
      </c>
      <c r="ES257">
        <v>0</v>
      </c>
      <c r="ET257">
        <v>0</v>
      </c>
      <c r="EU257">
        <v>0</v>
      </c>
      <c r="EV257">
        <v>9.8709999999998702E-2</v>
      </c>
      <c r="EW257">
        <v>0</v>
      </c>
      <c r="EX257">
        <v>0</v>
      </c>
      <c r="EY257">
        <v>0</v>
      </c>
      <c r="EZ257">
        <v>-1</v>
      </c>
      <c r="FA257">
        <v>-1</v>
      </c>
      <c r="FB257">
        <v>-1</v>
      </c>
      <c r="FC257">
        <v>-1</v>
      </c>
      <c r="FD257">
        <v>7.3</v>
      </c>
      <c r="FE257">
        <v>7</v>
      </c>
      <c r="FF257">
        <v>1.24146</v>
      </c>
      <c r="FG257">
        <v>2.5964399999999999</v>
      </c>
      <c r="FH257">
        <v>2.19604</v>
      </c>
      <c r="FI257">
        <v>2.5744600000000002</v>
      </c>
      <c r="FJ257">
        <v>2.4462899999999999</v>
      </c>
      <c r="FK257">
        <v>2.2668499999999998</v>
      </c>
      <c r="FL257">
        <v>31.783000000000001</v>
      </c>
      <c r="FM257">
        <v>24.148800000000001</v>
      </c>
      <c r="FN257">
        <v>19</v>
      </c>
      <c r="FO257">
        <v>865.24099999999999</v>
      </c>
      <c r="FP257">
        <v>577.70299999999997</v>
      </c>
      <c r="FQ257">
        <v>18.212399999999999</v>
      </c>
      <c r="FR257">
        <v>25.353400000000001</v>
      </c>
      <c r="FS257">
        <v>30</v>
      </c>
      <c r="FT257">
        <v>25.351099999999999</v>
      </c>
      <c r="FU257">
        <v>25.3535</v>
      </c>
      <c r="FV257">
        <v>24.913799999999998</v>
      </c>
      <c r="FW257">
        <v>30.880500000000001</v>
      </c>
      <c r="FX257">
        <v>0</v>
      </c>
      <c r="FY257">
        <v>18.213200000000001</v>
      </c>
      <c r="FZ257">
        <v>410</v>
      </c>
      <c r="GA257">
        <v>13.685499999999999</v>
      </c>
      <c r="GB257">
        <v>99.888800000000003</v>
      </c>
      <c r="GC257">
        <v>99.710300000000004</v>
      </c>
    </row>
    <row r="258" spans="1:185" x14ac:dyDescent="0.2">
      <c r="A258">
        <v>243</v>
      </c>
      <c r="B258">
        <v>1771003501.0999999</v>
      </c>
      <c r="C258">
        <v>4878</v>
      </c>
      <c r="D258" t="s">
        <v>791</v>
      </c>
      <c r="E258" t="s">
        <v>792</v>
      </c>
      <c r="F258">
        <v>15</v>
      </c>
      <c r="G258">
        <v>1771003493.03333</v>
      </c>
      <c r="H258">
        <f t="shared" si="39"/>
        <v>1.3666385473234887E-3</v>
      </c>
      <c r="I258">
        <v>0</v>
      </c>
      <c r="J258">
        <f t="shared" si="51"/>
        <v>1.0932401581826134E-2</v>
      </c>
      <c r="K258">
        <f t="shared" si="40"/>
        <v>0.19548505236138158</v>
      </c>
      <c r="L258">
        <f t="shared" si="41"/>
        <v>69.943247375329392</v>
      </c>
      <c r="M258">
        <f t="shared" si="42"/>
        <v>1.5425532262068964</v>
      </c>
      <c r="N258">
        <f t="shared" si="43"/>
        <v>2.2054355267910974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26297.433844586994</v>
      </c>
      <c r="T258">
        <f t="shared" si="47"/>
        <v>500.00139999999999</v>
      </c>
      <c r="U258">
        <f t="shared" si="48"/>
        <v>421.50092079927379</v>
      </c>
      <c r="V258">
        <f t="shared" si="49"/>
        <v>0.84299948120000023</v>
      </c>
      <c r="W258">
        <f t="shared" si="50"/>
        <v>0.15869904079200006</v>
      </c>
      <c r="X258">
        <v>1</v>
      </c>
      <c r="Y258">
        <v>1771003493.03333</v>
      </c>
      <c r="Z258">
        <v>409.05386666666698</v>
      </c>
      <c r="AA258">
        <v>409.99700000000001</v>
      </c>
      <c r="AB258">
        <v>15.361606666666701</v>
      </c>
      <c r="AC258">
        <v>13.6795666666667</v>
      </c>
      <c r="AD258">
        <v>409.92573333333303</v>
      </c>
      <c r="AE258">
        <v>15.2629</v>
      </c>
      <c r="AF258">
        <v>800.00760000000002</v>
      </c>
      <c r="AG258">
        <v>100.351733333333</v>
      </c>
      <c r="AH258">
        <v>6.4405400000000002E-2</v>
      </c>
      <c r="AI258">
        <v>19.001853333333301</v>
      </c>
      <c r="AJ258">
        <v>999.9</v>
      </c>
      <c r="AK258">
        <v>999.9</v>
      </c>
      <c r="AL258">
        <v>0</v>
      </c>
      <c r="AM258">
        <v>0</v>
      </c>
      <c r="AN258">
        <v>4997.2333333333299</v>
      </c>
      <c r="AO258">
        <v>0</v>
      </c>
      <c r="AP258">
        <v>1.7502500000000001</v>
      </c>
      <c r="AQ258">
        <v>-0.94304399999999999</v>
      </c>
      <c r="AR258">
        <v>415.43573333333302</v>
      </c>
      <c r="AS258">
        <v>415.683333333333</v>
      </c>
      <c r="AT258">
        <v>1.6820346666666699</v>
      </c>
      <c r="AU258">
        <v>409.99700000000001</v>
      </c>
      <c r="AV258">
        <v>13.6795666666667</v>
      </c>
      <c r="AW258">
        <v>1.5415639999999999</v>
      </c>
      <c r="AX258">
        <v>1.37277</v>
      </c>
      <c r="AY258">
        <v>13.386746666666699</v>
      </c>
      <c r="AZ258">
        <v>11.6201266666667</v>
      </c>
      <c r="BA258">
        <v>500.00139999999999</v>
      </c>
      <c r="BB258">
        <v>0.900012266666667</v>
      </c>
      <c r="BC258">
        <v>0</v>
      </c>
      <c r="BD258">
        <v>9.9987560000000003E-2</v>
      </c>
      <c r="BE258">
        <v>0</v>
      </c>
      <c r="BF258">
        <v>24.477793333333299</v>
      </c>
      <c r="BG258">
        <v>8244.4433333333309</v>
      </c>
      <c r="BH258">
        <v>1771003067.0999999</v>
      </c>
      <c r="BI258" t="s">
        <v>748</v>
      </c>
      <c r="BJ258">
        <v>1771003045.0999999</v>
      </c>
      <c r="BK258">
        <v>1771003067.0999999</v>
      </c>
      <c r="BL258">
        <v>13</v>
      </c>
      <c r="BM258">
        <v>3.6999999999999998E-2</v>
      </c>
      <c r="BN258">
        <v>2E-3</v>
      </c>
      <c r="BO258">
        <v>-0.872</v>
      </c>
      <c r="BP258">
        <v>9.9000000000000005E-2</v>
      </c>
      <c r="BQ258">
        <v>410</v>
      </c>
      <c r="BR258">
        <v>14</v>
      </c>
      <c r="BS258">
        <v>0.37</v>
      </c>
      <c r="BT258">
        <v>7.0000000000000007E-2</v>
      </c>
      <c r="BU258">
        <v>-0.94415274999999999</v>
      </c>
      <c r="BV258">
        <v>-3.22601052631597E-2</v>
      </c>
      <c r="BW258">
        <v>1.4525292943259299E-2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1.6819744999999999</v>
      </c>
      <c r="CD258">
        <v>-6.8165413533974903E-4</v>
      </c>
      <c r="CE258">
        <v>7.6578374884818498E-4</v>
      </c>
      <c r="CF258">
        <v>1</v>
      </c>
      <c r="CG258">
        <v>2</v>
      </c>
      <c r="CH258">
        <v>2</v>
      </c>
      <c r="CI258" t="s">
        <v>304</v>
      </c>
      <c r="CJ258">
        <v>3.5324800000000001</v>
      </c>
      <c r="CK258">
        <v>2.7021500000000001</v>
      </c>
      <c r="CL258">
        <v>9.8063399999999995E-2</v>
      </c>
      <c r="CM258">
        <v>9.6852999999999995E-2</v>
      </c>
      <c r="CN258">
        <v>8.7173799999999996E-2</v>
      </c>
      <c r="CO258">
        <v>7.9172500000000007E-2</v>
      </c>
      <c r="CP258">
        <v>31633.8</v>
      </c>
      <c r="CQ258">
        <v>27805.9</v>
      </c>
      <c r="CR258">
        <v>32461</v>
      </c>
      <c r="CS258">
        <v>30714.2</v>
      </c>
      <c r="CT258">
        <v>40119.599999999999</v>
      </c>
      <c r="CU258">
        <v>39773.199999999997</v>
      </c>
      <c r="CV258">
        <v>47403.1</v>
      </c>
      <c r="CW258">
        <v>46837.8</v>
      </c>
      <c r="CX258">
        <v>2.6252200000000001</v>
      </c>
      <c r="CY258">
        <v>2.13408</v>
      </c>
      <c r="CZ258">
        <v>0</v>
      </c>
      <c r="DA258">
        <v>0</v>
      </c>
      <c r="DB258">
        <v>999.9</v>
      </c>
      <c r="DC258">
        <v>999.9</v>
      </c>
      <c r="DD258">
        <v>51.813000000000002</v>
      </c>
      <c r="DE258">
        <v>27.372</v>
      </c>
      <c r="DF258">
        <v>18.888999999999999</v>
      </c>
      <c r="DG258">
        <v>30.4801</v>
      </c>
      <c r="DH258">
        <v>16.598600000000001</v>
      </c>
      <c r="DI258">
        <v>2</v>
      </c>
      <c r="DJ258">
        <v>-0.13158500000000001</v>
      </c>
      <c r="DK258">
        <v>2.1520199999999998</v>
      </c>
      <c r="DL258">
        <v>20.2089</v>
      </c>
      <c r="DM258">
        <v>5.2480799999999999</v>
      </c>
      <c r="DN258">
        <v>12.033899999999999</v>
      </c>
      <c r="DO258">
        <v>4.9669600000000003</v>
      </c>
      <c r="DP258">
        <v>3.2906</v>
      </c>
      <c r="DQ258">
        <v>9999</v>
      </c>
      <c r="DR258">
        <v>9999</v>
      </c>
      <c r="DS258">
        <v>597.70000000000005</v>
      </c>
      <c r="DT258">
        <v>9999</v>
      </c>
      <c r="DU258">
        <v>1.87107</v>
      </c>
      <c r="DV258">
        <v>1.87609</v>
      </c>
      <c r="DW258">
        <v>1.8763300000000001</v>
      </c>
      <c r="DX258">
        <v>1.88279</v>
      </c>
      <c r="DY258">
        <v>1.8755999999999999</v>
      </c>
      <c r="DZ258">
        <v>1.8746700000000001</v>
      </c>
      <c r="EA258">
        <v>1.87086</v>
      </c>
      <c r="EB258">
        <v>1.87466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-0.872</v>
      </c>
      <c r="EQ258">
        <v>9.8799999999999999E-2</v>
      </c>
      <c r="ER258">
        <v>-0.87179999999995095</v>
      </c>
      <c r="ES258">
        <v>0</v>
      </c>
      <c r="ET258">
        <v>0</v>
      </c>
      <c r="EU258">
        <v>0</v>
      </c>
      <c r="EV258">
        <v>9.8709999999998702E-2</v>
      </c>
      <c r="EW258">
        <v>0</v>
      </c>
      <c r="EX258">
        <v>0</v>
      </c>
      <c r="EY258">
        <v>0</v>
      </c>
      <c r="EZ258">
        <v>-1</v>
      </c>
      <c r="FA258">
        <v>-1</v>
      </c>
      <c r="FB258">
        <v>-1</v>
      </c>
      <c r="FC258">
        <v>-1</v>
      </c>
      <c r="FD258">
        <v>7.6</v>
      </c>
      <c r="FE258">
        <v>7.2</v>
      </c>
      <c r="FF258">
        <v>1.24146</v>
      </c>
      <c r="FG258">
        <v>2.5927699999999998</v>
      </c>
      <c r="FH258">
        <v>2.19604</v>
      </c>
      <c r="FI258">
        <v>2.5744600000000002</v>
      </c>
      <c r="FJ258">
        <v>2.4462899999999999</v>
      </c>
      <c r="FK258">
        <v>2.2851599999999999</v>
      </c>
      <c r="FL258">
        <v>31.783000000000001</v>
      </c>
      <c r="FM258">
        <v>24.14</v>
      </c>
      <c r="FN258">
        <v>19</v>
      </c>
      <c r="FO258">
        <v>865.15</v>
      </c>
      <c r="FP258">
        <v>577.74199999999996</v>
      </c>
      <c r="FQ258">
        <v>18.208500000000001</v>
      </c>
      <c r="FR258">
        <v>25.3551</v>
      </c>
      <c r="FS258">
        <v>30.0001</v>
      </c>
      <c r="FT258">
        <v>25.3523</v>
      </c>
      <c r="FU258">
        <v>25.355699999999999</v>
      </c>
      <c r="FV258">
        <v>24.913599999999999</v>
      </c>
      <c r="FW258">
        <v>30.880500000000001</v>
      </c>
      <c r="FX258">
        <v>0</v>
      </c>
      <c r="FY258">
        <v>18.2074</v>
      </c>
      <c r="FZ258">
        <v>410</v>
      </c>
      <c r="GA258">
        <v>13.6861</v>
      </c>
      <c r="GB258">
        <v>99.888099999999994</v>
      </c>
      <c r="GC258">
        <v>99.709699999999998</v>
      </c>
    </row>
    <row r="259" spans="1:185" x14ac:dyDescent="0.2">
      <c r="A259">
        <v>244</v>
      </c>
      <c r="B259">
        <v>1771003516.0999999</v>
      </c>
      <c r="C259">
        <v>4893</v>
      </c>
      <c r="D259" t="s">
        <v>793</v>
      </c>
      <c r="E259" t="s">
        <v>794</v>
      </c>
      <c r="F259">
        <v>15</v>
      </c>
      <c r="G259">
        <v>1771003508.03333</v>
      </c>
      <c r="H259">
        <f t="shared" si="39"/>
        <v>1.3652734090725609E-3</v>
      </c>
      <c r="I259">
        <v>0</v>
      </c>
      <c r="J259">
        <f t="shared" si="51"/>
        <v>1.0545886608732203E-2</v>
      </c>
      <c r="K259">
        <f t="shared" si="40"/>
        <v>0.18857367985203913</v>
      </c>
      <c r="L259">
        <f t="shared" si="41"/>
        <v>69.938686269364837</v>
      </c>
      <c r="M259">
        <f t="shared" si="42"/>
        <v>1.5423089034835167</v>
      </c>
      <c r="N259">
        <f t="shared" si="43"/>
        <v>2.2052300175376507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26327.260406681977</v>
      </c>
      <c r="T259">
        <f t="shared" si="47"/>
        <v>499.99906666666698</v>
      </c>
      <c r="U259">
        <f t="shared" si="48"/>
        <v>421.49890590057373</v>
      </c>
      <c r="V259">
        <f t="shared" si="49"/>
        <v>0.84299938539999963</v>
      </c>
      <c r="W259">
        <f t="shared" si="50"/>
        <v>0.15869894420399994</v>
      </c>
      <c r="X259">
        <v>1</v>
      </c>
      <c r="Y259">
        <v>1771003508.03333</v>
      </c>
      <c r="Z259">
        <v>409.053</v>
      </c>
      <c r="AA259">
        <v>409.98680000000002</v>
      </c>
      <c r="AB259">
        <v>15.359260000000001</v>
      </c>
      <c r="AC259">
        <v>13.678886666666701</v>
      </c>
      <c r="AD259">
        <v>409.9246</v>
      </c>
      <c r="AE259">
        <v>15.26056</v>
      </c>
      <c r="AF259">
        <v>800.003066666667</v>
      </c>
      <c r="AG259">
        <v>100.351266666667</v>
      </c>
      <c r="AH259">
        <v>6.4306966666666701E-2</v>
      </c>
      <c r="AI259">
        <v>19.000360000000001</v>
      </c>
      <c r="AJ259">
        <v>999.9</v>
      </c>
      <c r="AK259">
        <v>999.9</v>
      </c>
      <c r="AL259">
        <v>0</v>
      </c>
      <c r="AM259">
        <v>0</v>
      </c>
      <c r="AN259">
        <v>5002.1333333333296</v>
      </c>
      <c r="AO259">
        <v>0</v>
      </c>
      <c r="AP259">
        <v>1.7502500000000001</v>
      </c>
      <c r="AQ259">
        <v>-0.93393353333333295</v>
      </c>
      <c r="AR259">
        <v>415.43366666666702</v>
      </c>
      <c r="AS259">
        <v>415.67273333333299</v>
      </c>
      <c r="AT259">
        <v>1.6803713333333301</v>
      </c>
      <c r="AU259">
        <v>409.98680000000002</v>
      </c>
      <c r="AV259">
        <v>13.678886666666701</v>
      </c>
      <c r="AW259">
        <v>1.54132</v>
      </c>
      <c r="AX259">
        <v>1.3726940000000001</v>
      </c>
      <c r="AY259">
        <v>13.3843266666667</v>
      </c>
      <c r="AZ259">
        <v>11.6192933333333</v>
      </c>
      <c r="BA259">
        <v>499.99906666666698</v>
      </c>
      <c r="BB259">
        <v>0.900013333333333</v>
      </c>
      <c r="BC259">
        <v>0</v>
      </c>
      <c r="BD259">
        <v>9.9986420000000006E-2</v>
      </c>
      <c r="BE259">
        <v>0</v>
      </c>
      <c r="BF259">
        <v>24.666699999999999</v>
      </c>
      <c r="BG259">
        <v>8244.4113333333298</v>
      </c>
      <c r="BH259">
        <v>1771003067.0999999</v>
      </c>
      <c r="BI259" t="s">
        <v>748</v>
      </c>
      <c r="BJ259">
        <v>1771003045.0999999</v>
      </c>
      <c r="BK259">
        <v>1771003067.0999999</v>
      </c>
      <c r="BL259">
        <v>13</v>
      </c>
      <c r="BM259">
        <v>3.6999999999999998E-2</v>
      </c>
      <c r="BN259">
        <v>2E-3</v>
      </c>
      <c r="BO259">
        <v>-0.872</v>
      </c>
      <c r="BP259">
        <v>9.9000000000000005E-2</v>
      </c>
      <c r="BQ259">
        <v>410</v>
      </c>
      <c r="BR259">
        <v>14</v>
      </c>
      <c r="BS259">
        <v>0.37</v>
      </c>
      <c r="BT259">
        <v>7.0000000000000007E-2</v>
      </c>
      <c r="BU259">
        <v>-0.93913633333333302</v>
      </c>
      <c r="BV259">
        <v>9.1637532467533506E-2</v>
      </c>
      <c r="BW259">
        <v>1.76885444348093E-2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1.6807909523809501</v>
      </c>
      <c r="CD259">
        <v>-8.5784415584455199E-3</v>
      </c>
      <c r="CE259">
        <v>1.8178084784704601E-3</v>
      </c>
      <c r="CF259">
        <v>1</v>
      </c>
      <c r="CG259">
        <v>2</v>
      </c>
      <c r="CH259">
        <v>2</v>
      </c>
      <c r="CI259" t="s">
        <v>304</v>
      </c>
      <c r="CJ259">
        <v>3.5325299999999999</v>
      </c>
      <c r="CK259">
        <v>2.7021700000000002</v>
      </c>
      <c r="CL259">
        <v>9.8058699999999999E-2</v>
      </c>
      <c r="CM259">
        <v>9.6856100000000001E-2</v>
      </c>
      <c r="CN259">
        <v>8.7164000000000005E-2</v>
      </c>
      <c r="CO259">
        <v>7.9166600000000004E-2</v>
      </c>
      <c r="CP259">
        <v>31633.9</v>
      </c>
      <c r="CQ259">
        <v>27805.200000000001</v>
      </c>
      <c r="CR259">
        <v>32461</v>
      </c>
      <c r="CS259">
        <v>30713.599999999999</v>
      </c>
      <c r="CT259">
        <v>40120.400000000001</v>
      </c>
      <c r="CU259">
        <v>39772.6</v>
      </c>
      <c r="CV259">
        <v>47403.5</v>
      </c>
      <c r="CW259">
        <v>46836.800000000003</v>
      </c>
      <c r="CX259">
        <v>2.6252800000000001</v>
      </c>
      <c r="CY259">
        <v>2.13388</v>
      </c>
      <c r="CZ259">
        <v>0</v>
      </c>
      <c r="DA259">
        <v>0</v>
      </c>
      <c r="DB259">
        <v>999.9</v>
      </c>
      <c r="DC259">
        <v>999.9</v>
      </c>
      <c r="DD259">
        <v>51.789000000000001</v>
      </c>
      <c r="DE259">
        <v>27.372</v>
      </c>
      <c r="DF259">
        <v>18.878399999999999</v>
      </c>
      <c r="DG259">
        <v>30.4801</v>
      </c>
      <c r="DH259">
        <v>16.502400000000002</v>
      </c>
      <c r="DI259">
        <v>2</v>
      </c>
      <c r="DJ259">
        <v>-0.13142300000000001</v>
      </c>
      <c r="DK259">
        <v>2.1261399999999999</v>
      </c>
      <c r="DL259">
        <v>20.21</v>
      </c>
      <c r="DM259">
        <v>5.2513100000000001</v>
      </c>
      <c r="DN259">
        <v>12.033899999999999</v>
      </c>
      <c r="DO259">
        <v>4.9674800000000001</v>
      </c>
      <c r="DP259">
        <v>3.2909999999999999</v>
      </c>
      <c r="DQ259">
        <v>9999</v>
      </c>
      <c r="DR259">
        <v>9999</v>
      </c>
      <c r="DS259">
        <v>597.70000000000005</v>
      </c>
      <c r="DT259">
        <v>9999</v>
      </c>
      <c r="DU259">
        <v>1.87103</v>
      </c>
      <c r="DV259">
        <v>1.87609</v>
      </c>
      <c r="DW259">
        <v>1.87635</v>
      </c>
      <c r="DX259">
        <v>1.88279</v>
      </c>
      <c r="DY259">
        <v>1.8755900000000001</v>
      </c>
      <c r="DZ259">
        <v>1.8746799999999999</v>
      </c>
      <c r="EA259">
        <v>1.87086</v>
      </c>
      <c r="EB259">
        <v>1.87466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-0.872</v>
      </c>
      <c r="EQ259">
        <v>9.8799999999999999E-2</v>
      </c>
      <c r="ER259">
        <v>-0.87179999999995095</v>
      </c>
      <c r="ES259">
        <v>0</v>
      </c>
      <c r="ET259">
        <v>0</v>
      </c>
      <c r="EU259">
        <v>0</v>
      </c>
      <c r="EV259">
        <v>9.8709999999998702E-2</v>
      </c>
      <c r="EW259">
        <v>0</v>
      </c>
      <c r="EX259">
        <v>0</v>
      </c>
      <c r="EY259">
        <v>0</v>
      </c>
      <c r="EZ259">
        <v>-1</v>
      </c>
      <c r="FA259">
        <v>-1</v>
      </c>
      <c r="FB259">
        <v>-1</v>
      </c>
      <c r="FC259">
        <v>-1</v>
      </c>
      <c r="FD259">
        <v>7.8</v>
      </c>
      <c r="FE259">
        <v>7.5</v>
      </c>
      <c r="FF259">
        <v>1.24146</v>
      </c>
      <c r="FG259">
        <v>2.5927699999999998</v>
      </c>
      <c r="FH259">
        <v>2.19604</v>
      </c>
      <c r="FI259">
        <v>2.5744600000000002</v>
      </c>
      <c r="FJ259">
        <v>2.4462899999999999</v>
      </c>
      <c r="FK259">
        <v>2.2839399999999999</v>
      </c>
      <c r="FL259">
        <v>31.783000000000001</v>
      </c>
      <c r="FM259">
        <v>24.148800000000001</v>
      </c>
      <c r="FN259">
        <v>19</v>
      </c>
      <c r="FO259">
        <v>865.24</v>
      </c>
      <c r="FP259">
        <v>577.58900000000006</v>
      </c>
      <c r="FQ259">
        <v>18.2058</v>
      </c>
      <c r="FR259">
        <v>25.355899999999998</v>
      </c>
      <c r="FS259">
        <v>30.0002</v>
      </c>
      <c r="FT259">
        <v>25.354399999999998</v>
      </c>
      <c r="FU259">
        <v>25.355699999999999</v>
      </c>
      <c r="FV259">
        <v>24.914899999999999</v>
      </c>
      <c r="FW259">
        <v>30.880500000000001</v>
      </c>
      <c r="FX259">
        <v>0</v>
      </c>
      <c r="FY259">
        <v>18.217700000000001</v>
      </c>
      <c r="FZ259">
        <v>410</v>
      </c>
      <c r="GA259">
        <v>13.6877</v>
      </c>
      <c r="GB259">
        <v>99.888499999999993</v>
      </c>
      <c r="GC259">
        <v>99.707599999999999</v>
      </c>
    </row>
    <row r="260" spans="1:185" x14ac:dyDescent="0.2">
      <c r="A260">
        <v>245</v>
      </c>
      <c r="B260">
        <v>1771003531.0999999</v>
      </c>
      <c r="C260">
        <v>4908</v>
      </c>
      <c r="D260" t="s">
        <v>795</v>
      </c>
      <c r="E260" t="s">
        <v>796</v>
      </c>
      <c r="F260">
        <v>15</v>
      </c>
      <c r="G260">
        <v>1771003523.03333</v>
      </c>
      <c r="H260">
        <f t="shared" si="39"/>
        <v>1.3659869520827189E-3</v>
      </c>
      <c r="I260">
        <v>0</v>
      </c>
      <c r="J260">
        <f t="shared" si="51"/>
        <v>1.0087159354674692E-2</v>
      </c>
      <c r="K260">
        <f t="shared" si="40"/>
        <v>0.1803710611860638</v>
      </c>
      <c r="L260">
        <f t="shared" si="41"/>
        <v>69.944431780363885</v>
      </c>
      <c r="M260">
        <f t="shared" si="42"/>
        <v>1.5422655681302941</v>
      </c>
      <c r="N260">
        <f t="shared" si="43"/>
        <v>2.2049869144312186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26312.537537974564</v>
      </c>
      <c r="T260">
        <f t="shared" si="47"/>
        <v>499.99953333333298</v>
      </c>
      <c r="U260">
        <f t="shared" si="48"/>
        <v>421.49926600031762</v>
      </c>
      <c r="V260">
        <f t="shared" si="49"/>
        <v>0.84299931880000001</v>
      </c>
      <c r="W260">
        <f t="shared" si="50"/>
        <v>0.15869886864800001</v>
      </c>
      <c r="X260">
        <v>1</v>
      </c>
      <c r="Y260">
        <v>1771003523.03333</v>
      </c>
      <c r="Z260">
        <v>409.06959999999998</v>
      </c>
      <c r="AA260">
        <v>409.993533333333</v>
      </c>
      <c r="AB260">
        <v>15.358973333333299</v>
      </c>
      <c r="AC260">
        <v>13.6777333333333</v>
      </c>
      <c r="AD260">
        <v>409.94139999999999</v>
      </c>
      <c r="AE260">
        <v>15.260260000000001</v>
      </c>
      <c r="AF260">
        <v>800.00879999999995</v>
      </c>
      <c r="AG260">
        <v>100.3502</v>
      </c>
      <c r="AH260">
        <v>6.4426333333333294E-2</v>
      </c>
      <c r="AI260">
        <v>18.9985933333333</v>
      </c>
      <c r="AJ260">
        <v>999.9</v>
      </c>
      <c r="AK260">
        <v>999.9</v>
      </c>
      <c r="AL260">
        <v>0</v>
      </c>
      <c r="AM260">
        <v>0</v>
      </c>
      <c r="AN260">
        <v>4999.7333333333299</v>
      </c>
      <c r="AO260">
        <v>0</v>
      </c>
      <c r="AP260">
        <v>1.7502500000000001</v>
      </c>
      <c r="AQ260">
        <v>-0.92390753333333298</v>
      </c>
      <c r="AR260">
        <v>415.45046666666701</v>
      </c>
      <c r="AS260">
        <v>415.67906666666698</v>
      </c>
      <c r="AT260">
        <v>1.6812386666666701</v>
      </c>
      <c r="AU260">
        <v>409.993533333333</v>
      </c>
      <c r="AV260">
        <v>13.6777333333333</v>
      </c>
      <c r="AW260">
        <v>1.541274</v>
      </c>
      <c r="AX260">
        <v>1.3725620000000001</v>
      </c>
      <c r="AY260">
        <v>13.38388</v>
      </c>
      <c r="AZ260">
        <v>11.617853333333301</v>
      </c>
      <c r="BA260">
        <v>499.99953333333298</v>
      </c>
      <c r="BB260">
        <v>0.90001419999999999</v>
      </c>
      <c r="BC260">
        <v>0</v>
      </c>
      <c r="BD260">
        <v>9.9985506666666696E-2</v>
      </c>
      <c r="BE260">
        <v>0</v>
      </c>
      <c r="BF260">
        <v>24.67558</v>
      </c>
      <c r="BG260">
        <v>8244.42133333333</v>
      </c>
      <c r="BH260">
        <v>1771003067.0999999</v>
      </c>
      <c r="BI260" t="s">
        <v>748</v>
      </c>
      <c r="BJ260">
        <v>1771003045.0999999</v>
      </c>
      <c r="BK260">
        <v>1771003067.0999999</v>
      </c>
      <c r="BL260">
        <v>13</v>
      </c>
      <c r="BM260">
        <v>3.6999999999999998E-2</v>
      </c>
      <c r="BN260">
        <v>2E-3</v>
      </c>
      <c r="BO260">
        <v>-0.872</v>
      </c>
      <c r="BP260">
        <v>9.9000000000000005E-2</v>
      </c>
      <c r="BQ260">
        <v>410</v>
      </c>
      <c r="BR260">
        <v>14</v>
      </c>
      <c r="BS260">
        <v>0.37</v>
      </c>
      <c r="BT260">
        <v>7.0000000000000007E-2</v>
      </c>
      <c r="BU260">
        <v>-0.9248963</v>
      </c>
      <c r="BV260">
        <v>5.8246736842106198E-2</v>
      </c>
      <c r="BW260">
        <v>1.9664211588823002E-2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1.6809885</v>
      </c>
      <c r="CD260">
        <v>1.3549624060149E-2</v>
      </c>
      <c r="CE260">
        <v>2.1254605971412301E-3</v>
      </c>
      <c r="CF260">
        <v>1</v>
      </c>
      <c r="CG260">
        <v>2</v>
      </c>
      <c r="CH260">
        <v>2</v>
      </c>
      <c r="CI260" t="s">
        <v>304</v>
      </c>
      <c r="CJ260">
        <v>3.5325899999999999</v>
      </c>
      <c r="CK260">
        <v>2.70221</v>
      </c>
      <c r="CL260">
        <v>9.8058199999999998E-2</v>
      </c>
      <c r="CM260">
        <v>9.6854200000000001E-2</v>
      </c>
      <c r="CN260">
        <v>8.7179300000000001E-2</v>
      </c>
      <c r="CO260">
        <v>7.9161300000000004E-2</v>
      </c>
      <c r="CP260">
        <v>31634.3</v>
      </c>
      <c r="CQ260">
        <v>27805.599999999999</v>
      </c>
      <c r="CR260">
        <v>32461.3</v>
      </c>
      <c r="CS260">
        <v>30713.9</v>
      </c>
      <c r="CT260">
        <v>40119.9</v>
      </c>
      <c r="CU260">
        <v>39773.300000000003</v>
      </c>
      <c r="CV260">
        <v>47403.7</v>
      </c>
      <c r="CW260">
        <v>46837.3</v>
      </c>
      <c r="CX260">
        <v>2.6251199999999999</v>
      </c>
      <c r="CY260">
        <v>2.1339800000000002</v>
      </c>
      <c r="CZ260">
        <v>0</v>
      </c>
      <c r="DA260">
        <v>0</v>
      </c>
      <c r="DB260">
        <v>999.9</v>
      </c>
      <c r="DC260">
        <v>999.9</v>
      </c>
      <c r="DD260">
        <v>51.74</v>
      </c>
      <c r="DE260">
        <v>27.372</v>
      </c>
      <c r="DF260">
        <v>18.862400000000001</v>
      </c>
      <c r="DG260">
        <v>30.3901</v>
      </c>
      <c r="DH260">
        <v>16.442299999999999</v>
      </c>
      <c r="DI260">
        <v>2</v>
      </c>
      <c r="DJ260">
        <v>-0.13147200000000001</v>
      </c>
      <c r="DK260">
        <v>2.12323</v>
      </c>
      <c r="DL260">
        <v>20.209700000000002</v>
      </c>
      <c r="DM260">
        <v>5.25143</v>
      </c>
      <c r="DN260">
        <v>12.033899999999999</v>
      </c>
      <c r="DO260">
        <v>4.9673999999999996</v>
      </c>
      <c r="DP260">
        <v>3.2909999999999999</v>
      </c>
      <c r="DQ260">
        <v>9999</v>
      </c>
      <c r="DR260">
        <v>9999</v>
      </c>
      <c r="DS260">
        <v>597.70000000000005</v>
      </c>
      <c r="DT260">
        <v>9999</v>
      </c>
      <c r="DU260">
        <v>1.87103</v>
      </c>
      <c r="DV260">
        <v>1.8760699999999999</v>
      </c>
      <c r="DW260">
        <v>1.8763300000000001</v>
      </c>
      <c r="DX260">
        <v>1.8827799999999999</v>
      </c>
      <c r="DY260">
        <v>1.87558</v>
      </c>
      <c r="DZ260">
        <v>1.87463</v>
      </c>
      <c r="EA260">
        <v>1.87083</v>
      </c>
      <c r="EB260">
        <v>1.87463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-0.872</v>
      </c>
      <c r="EQ260">
        <v>9.8699999999999996E-2</v>
      </c>
      <c r="ER260">
        <v>-0.87179999999995095</v>
      </c>
      <c r="ES260">
        <v>0</v>
      </c>
      <c r="ET260">
        <v>0</v>
      </c>
      <c r="EU260">
        <v>0</v>
      </c>
      <c r="EV260">
        <v>9.8709999999998702E-2</v>
      </c>
      <c r="EW260">
        <v>0</v>
      </c>
      <c r="EX260">
        <v>0</v>
      </c>
      <c r="EY260">
        <v>0</v>
      </c>
      <c r="EZ260">
        <v>-1</v>
      </c>
      <c r="FA260">
        <v>-1</v>
      </c>
      <c r="FB260">
        <v>-1</v>
      </c>
      <c r="FC260">
        <v>-1</v>
      </c>
      <c r="FD260">
        <v>8.1</v>
      </c>
      <c r="FE260">
        <v>7.7</v>
      </c>
      <c r="FF260">
        <v>1.24146</v>
      </c>
      <c r="FG260">
        <v>2.5915499999999998</v>
      </c>
      <c r="FH260">
        <v>2.19604</v>
      </c>
      <c r="FI260">
        <v>2.5744600000000002</v>
      </c>
      <c r="FJ260">
        <v>2.4462899999999999</v>
      </c>
      <c r="FK260">
        <v>2.31934</v>
      </c>
      <c r="FL260">
        <v>31.8049</v>
      </c>
      <c r="FM260">
        <v>24.148800000000001</v>
      </c>
      <c r="FN260">
        <v>19</v>
      </c>
      <c r="FO260">
        <v>865.11199999999997</v>
      </c>
      <c r="FP260">
        <v>577.69000000000005</v>
      </c>
      <c r="FQ260">
        <v>18.219899999999999</v>
      </c>
      <c r="FR260">
        <v>25.357600000000001</v>
      </c>
      <c r="FS260">
        <v>30.0001</v>
      </c>
      <c r="FT260">
        <v>25.355699999999999</v>
      </c>
      <c r="FU260">
        <v>25.357800000000001</v>
      </c>
      <c r="FV260">
        <v>24.916499999999999</v>
      </c>
      <c r="FW260">
        <v>30.880500000000001</v>
      </c>
      <c r="FX260">
        <v>0</v>
      </c>
      <c r="FY260">
        <v>18.220500000000001</v>
      </c>
      <c r="FZ260">
        <v>410</v>
      </c>
      <c r="GA260">
        <v>13.6914</v>
      </c>
      <c r="GB260">
        <v>99.889200000000002</v>
      </c>
      <c r="GC260">
        <v>99.708799999999997</v>
      </c>
    </row>
    <row r="261" spans="1:185" x14ac:dyDescent="0.2">
      <c r="A261">
        <v>246</v>
      </c>
      <c r="B261">
        <v>1771003546.0999999</v>
      </c>
      <c r="C261">
        <v>4923</v>
      </c>
      <c r="D261" t="s">
        <v>797</v>
      </c>
      <c r="E261" t="s">
        <v>798</v>
      </c>
      <c r="F261">
        <v>15</v>
      </c>
      <c r="G261">
        <v>1771003538.03333</v>
      </c>
      <c r="H261">
        <f t="shared" si="39"/>
        <v>1.3652272218569312E-3</v>
      </c>
      <c r="I261">
        <v>0</v>
      </c>
      <c r="J261">
        <f t="shared" si="51"/>
        <v>1.0632004119742907E-2</v>
      </c>
      <c r="K261">
        <f t="shared" si="40"/>
        <v>0.19011356896269391</v>
      </c>
      <c r="L261">
        <f t="shared" si="41"/>
        <v>69.93385543878864</v>
      </c>
      <c r="M261">
        <f t="shared" si="42"/>
        <v>1.5421401400721744</v>
      </c>
      <c r="N261">
        <f t="shared" si="43"/>
        <v>2.2051410299007057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26338.430412743084</v>
      </c>
      <c r="T261">
        <f t="shared" si="47"/>
        <v>499.99939999999998</v>
      </c>
      <c r="U261">
        <f t="shared" si="48"/>
        <v>421.49917210038632</v>
      </c>
      <c r="V261">
        <f t="shared" si="49"/>
        <v>0.84299935579999963</v>
      </c>
      <c r="W261">
        <f t="shared" si="50"/>
        <v>0.15869889618799993</v>
      </c>
      <c r="X261">
        <v>1</v>
      </c>
      <c r="Y261">
        <v>1771003538.03333</v>
      </c>
      <c r="Z261">
        <v>409.07153333333298</v>
      </c>
      <c r="AA261">
        <v>410.00726666666702</v>
      </c>
      <c r="AB261">
        <v>15.3576933333333</v>
      </c>
      <c r="AC261">
        <v>13.6773733333333</v>
      </c>
      <c r="AD261">
        <v>409.94333333333299</v>
      </c>
      <c r="AE261">
        <v>15.258979999999999</v>
      </c>
      <c r="AF261">
        <v>800.00266666666698</v>
      </c>
      <c r="AG261">
        <v>100.350333333333</v>
      </c>
      <c r="AH261">
        <v>6.4495026666666705E-2</v>
      </c>
      <c r="AI261">
        <v>18.9997133333333</v>
      </c>
      <c r="AJ261">
        <v>999.9</v>
      </c>
      <c r="AK261">
        <v>999.9</v>
      </c>
      <c r="AL261">
        <v>0</v>
      </c>
      <c r="AM261">
        <v>0</v>
      </c>
      <c r="AN261">
        <v>5004</v>
      </c>
      <c r="AO261">
        <v>0</v>
      </c>
      <c r="AP261">
        <v>1.7502500000000001</v>
      </c>
      <c r="AQ261">
        <v>-0.93563033333333301</v>
      </c>
      <c r="AR261">
        <v>415.452</v>
      </c>
      <c r="AS261">
        <v>415.69293333333297</v>
      </c>
      <c r="AT261">
        <v>1.680326</v>
      </c>
      <c r="AU261">
        <v>410.00726666666702</v>
      </c>
      <c r="AV261">
        <v>13.6773733333333</v>
      </c>
      <c r="AW261">
        <v>1.5411506666666701</v>
      </c>
      <c r="AX261">
        <v>1.37253133333333</v>
      </c>
      <c r="AY261">
        <v>13.3826533333333</v>
      </c>
      <c r="AZ261">
        <v>11.6175</v>
      </c>
      <c r="BA261">
        <v>499.99939999999998</v>
      </c>
      <c r="BB261">
        <v>0.90001393333333302</v>
      </c>
      <c r="BC261">
        <v>0</v>
      </c>
      <c r="BD261">
        <v>9.9985806666666593E-2</v>
      </c>
      <c r="BE261">
        <v>0</v>
      </c>
      <c r="BF261">
        <v>24.671140000000001</v>
      </c>
      <c r="BG261">
        <v>8244.4159999999993</v>
      </c>
      <c r="BH261">
        <v>1771003067.0999999</v>
      </c>
      <c r="BI261" t="s">
        <v>748</v>
      </c>
      <c r="BJ261">
        <v>1771003045.0999999</v>
      </c>
      <c r="BK261">
        <v>1771003067.0999999</v>
      </c>
      <c r="BL261">
        <v>13</v>
      </c>
      <c r="BM261">
        <v>3.6999999999999998E-2</v>
      </c>
      <c r="BN261">
        <v>2E-3</v>
      </c>
      <c r="BO261">
        <v>-0.872</v>
      </c>
      <c r="BP261">
        <v>9.9000000000000005E-2</v>
      </c>
      <c r="BQ261">
        <v>410</v>
      </c>
      <c r="BR261">
        <v>14</v>
      </c>
      <c r="BS261">
        <v>0.37</v>
      </c>
      <c r="BT261">
        <v>7.0000000000000007E-2</v>
      </c>
      <c r="BU261">
        <v>-0.92993895238095203</v>
      </c>
      <c r="BV261">
        <v>-8.8893506493541803E-4</v>
      </c>
      <c r="BW261">
        <v>2.87009639583863E-2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1.6811980952381</v>
      </c>
      <c r="CD261">
        <v>-9.0872727272721596E-3</v>
      </c>
      <c r="CE261">
        <v>3.0180814136635198E-3</v>
      </c>
      <c r="CF261">
        <v>1</v>
      </c>
      <c r="CG261">
        <v>2</v>
      </c>
      <c r="CH261">
        <v>2</v>
      </c>
      <c r="CI261" t="s">
        <v>304</v>
      </c>
      <c r="CJ261">
        <v>3.5325799999999998</v>
      </c>
      <c r="CK261">
        <v>2.70242</v>
      </c>
      <c r="CL261">
        <v>9.80597E-2</v>
      </c>
      <c r="CM261">
        <v>9.68532E-2</v>
      </c>
      <c r="CN261">
        <v>8.7154800000000004E-2</v>
      </c>
      <c r="CO261">
        <v>7.9160599999999998E-2</v>
      </c>
      <c r="CP261">
        <v>31634.7</v>
      </c>
      <c r="CQ261">
        <v>27805.200000000001</v>
      </c>
      <c r="CR261">
        <v>32461.8</v>
      </c>
      <c r="CS261">
        <v>30713.5</v>
      </c>
      <c r="CT261">
        <v>40121.9</v>
      </c>
      <c r="CU261">
        <v>39772.699999999997</v>
      </c>
      <c r="CV261">
        <v>47404.800000000003</v>
      </c>
      <c r="CW261">
        <v>46836.6</v>
      </c>
      <c r="CX261">
        <v>2.6253000000000002</v>
      </c>
      <c r="CY261">
        <v>2.1337799999999998</v>
      </c>
      <c r="CZ261">
        <v>0</v>
      </c>
      <c r="DA261">
        <v>0</v>
      </c>
      <c r="DB261">
        <v>999.9</v>
      </c>
      <c r="DC261">
        <v>999.9</v>
      </c>
      <c r="DD261">
        <v>51.715000000000003</v>
      </c>
      <c r="DE261">
        <v>27.402000000000001</v>
      </c>
      <c r="DF261">
        <v>18.886500000000002</v>
      </c>
      <c r="DG261">
        <v>30.420100000000001</v>
      </c>
      <c r="DH261">
        <v>16.522400000000001</v>
      </c>
      <c r="DI261">
        <v>2</v>
      </c>
      <c r="DJ261">
        <v>-0.13117899999999999</v>
      </c>
      <c r="DK261">
        <v>2.1226400000000001</v>
      </c>
      <c r="DL261">
        <v>20.209700000000002</v>
      </c>
      <c r="DM261">
        <v>5.2516699999999998</v>
      </c>
      <c r="DN261">
        <v>12.033899999999999</v>
      </c>
      <c r="DO261">
        <v>4.9676</v>
      </c>
      <c r="DP261">
        <v>3.2909999999999999</v>
      </c>
      <c r="DQ261">
        <v>9999</v>
      </c>
      <c r="DR261">
        <v>9999</v>
      </c>
      <c r="DS261">
        <v>597.70000000000005</v>
      </c>
      <c r="DT261">
        <v>9999</v>
      </c>
      <c r="DU261">
        <v>1.8710599999999999</v>
      </c>
      <c r="DV261">
        <v>1.87608</v>
      </c>
      <c r="DW261">
        <v>1.8763300000000001</v>
      </c>
      <c r="DX261">
        <v>1.88279</v>
      </c>
      <c r="DY261">
        <v>1.8755999999999999</v>
      </c>
      <c r="DZ261">
        <v>1.87466</v>
      </c>
      <c r="EA261">
        <v>1.87086</v>
      </c>
      <c r="EB261">
        <v>1.8746799999999999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-0.872</v>
      </c>
      <c r="EQ261">
        <v>9.8699999999999996E-2</v>
      </c>
      <c r="ER261">
        <v>-0.87179999999995095</v>
      </c>
      <c r="ES261">
        <v>0</v>
      </c>
      <c r="ET261">
        <v>0</v>
      </c>
      <c r="EU261">
        <v>0</v>
      </c>
      <c r="EV261">
        <v>9.8709999999998702E-2</v>
      </c>
      <c r="EW261">
        <v>0</v>
      </c>
      <c r="EX261">
        <v>0</v>
      </c>
      <c r="EY261">
        <v>0</v>
      </c>
      <c r="EZ261">
        <v>-1</v>
      </c>
      <c r="FA261">
        <v>-1</v>
      </c>
      <c r="FB261">
        <v>-1</v>
      </c>
      <c r="FC261">
        <v>-1</v>
      </c>
      <c r="FD261">
        <v>8.3000000000000007</v>
      </c>
      <c r="FE261">
        <v>8</v>
      </c>
      <c r="FF261">
        <v>1.24146</v>
      </c>
      <c r="FG261">
        <v>2.5939899999999998</v>
      </c>
      <c r="FH261">
        <v>2.19604</v>
      </c>
      <c r="FI261">
        <v>2.5744600000000002</v>
      </c>
      <c r="FJ261">
        <v>2.4462899999999999</v>
      </c>
      <c r="FK261">
        <v>2.3022499999999999</v>
      </c>
      <c r="FL261">
        <v>31.8049</v>
      </c>
      <c r="FM261">
        <v>24.148800000000001</v>
      </c>
      <c r="FN261">
        <v>19</v>
      </c>
      <c r="FO261">
        <v>865.29300000000001</v>
      </c>
      <c r="FP261">
        <v>577.55999999999995</v>
      </c>
      <c r="FQ261">
        <v>18.221399999999999</v>
      </c>
      <c r="FR261">
        <v>25.3597</v>
      </c>
      <c r="FS261">
        <v>30.0002</v>
      </c>
      <c r="FT261">
        <v>25.3566</v>
      </c>
      <c r="FU261">
        <v>25.36</v>
      </c>
      <c r="FV261">
        <v>24.914300000000001</v>
      </c>
      <c r="FW261">
        <v>30.880500000000001</v>
      </c>
      <c r="FX261">
        <v>0</v>
      </c>
      <c r="FY261">
        <v>18.221499999999999</v>
      </c>
      <c r="FZ261">
        <v>410</v>
      </c>
      <c r="GA261">
        <v>13.6942</v>
      </c>
      <c r="GB261">
        <v>99.891199999999998</v>
      </c>
      <c r="GC261">
        <v>99.707300000000004</v>
      </c>
    </row>
    <row r="262" spans="1:185" x14ac:dyDescent="0.2">
      <c r="A262">
        <v>247</v>
      </c>
      <c r="B262">
        <v>1771003561.0999999</v>
      </c>
      <c r="C262">
        <v>4938</v>
      </c>
      <c r="D262" t="s">
        <v>799</v>
      </c>
      <c r="E262" t="s">
        <v>800</v>
      </c>
      <c r="F262">
        <v>15</v>
      </c>
      <c r="G262">
        <v>1771003553.03333</v>
      </c>
      <c r="H262">
        <f t="shared" si="39"/>
        <v>1.3594412833639795E-3</v>
      </c>
      <c r="I262">
        <v>0</v>
      </c>
      <c r="J262">
        <f t="shared" si="51"/>
        <v>1.041012009749377E-2</v>
      </c>
      <c r="K262">
        <f t="shared" si="40"/>
        <v>0.18614600434453787</v>
      </c>
      <c r="L262">
        <f t="shared" si="41"/>
        <v>69.891060680774274</v>
      </c>
      <c r="M262">
        <f t="shared" si="42"/>
        <v>1.5413759915325618</v>
      </c>
      <c r="N262">
        <f t="shared" si="43"/>
        <v>2.2053979100027674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26291.300654702813</v>
      </c>
      <c r="T262">
        <f t="shared" si="47"/>
        <v>499.99933333333303</v>
      </c>
      <c r="U262">
        <f t="shared" si="48"/>
        <v>421.49928740020073</v>
      </c>
      <c r="V262">
        <f t="shared" si="49"/>
        <v>0.84299969880000036</v>
      </c>
      <c r="W262">
        <f t="shared" si="50"/>
        <v>0.15869851944800006</v>
      </c>
      <c r="X262">
        <v>1</v>
      </c>
      <c r="Y262">
        <v>1771003553.03333</v>
      </c>
      <c r="Z262">
        <v>409.06619999999998</v>
      </c>
      <c r="AA262">
        <v>409.99400000000003</v>
      </c>
      <c r="AB262">
        <v>15.3502666666667</v>
      </c>
      <c r="AC262">
        <v>13.6770666666667</v>
      </c>
      <c r="AD262">
        <v>409.93793333333298</v>
      </c>
      <c r="AE262">
        <v>15.251566666666699</v>
      </c>
      <c r="AF262">
        <v>800.00806666666699</v>
      </c>
      <c r="AG262">
        <v>100.349133333333</v>
      </c>
      <c r="AH262">
        <v>6.4496280000000003E-2</v>
      </c>
      <c r="AI262">
        <v>19.001580000000001</v>
      </c>
      <c r="AJ262">
        <v>999.9</v>
      </c>
      <c r="AK262">
        <v>999.9</v>
      </c>
      <c r="AL262">
        <v>0</v>
      </c>
      <c r="AM262">
        <v>0</v>
      </c>
      <c r="AN262">
        <v>4996.3333333333303</v>
      </c>
      <c r="AO262">
        <v>0</v>
      </c>
      <c r="AP262">
        <v>1.7502500000000001</v>
      </c>
      <c r="AQ262">
        <v>-0.92766313333333394</v>
      </c>
      <c r="AR262">
        <v>415.44333333333299</v>
      </c>
      <c r="AS262">
        <v>415.67913333333303</v>
      </c>
      <c r="AT262">
        <v>1.6732226666666701</v>
      </c>
      <c r="AU262">
        <v>409.99400000000003</v>
      </c>
      <c r="AV262">
        <v>13.6770666666667</v>
      </c>
      <c r="AW262">
        <v>1.540384</v>
      </c>
      <c r="AX262">
        <v>1.3724799999999999</v>
      </c>
      <c r="AY262">
        <v>13.375019999999999</v>
      </c>
      <c r="AZ262">
        <v>11.61694</v>
      </c>
      <c r="BA262">
        <v>499.99933333333303</v>
      </c>
      <c r="BB262">
        <v>0.90002086666666703</v>
      </c>
      <c r="BC262">
        <v>0</v>
      </c>
      <c r="BD262">
        <v>9.9979506666666704E-2</v>
      </c>
      <c r="BE262">
        <v>0</v>
      </c>
      <c r="BF262">
        <v>24.875553333333301</v>
      </c>
      <c r="BG262">
        <v>8244.43</v>
      </c>
      <c r="BH262">
        <v>1771003067.0999999</v>
      </c>
      <c r="BI262" t="s">
        <v>748</v>
      </c>
      <c r="BJ262">
        <v>1771003045.0999999</v>
      </c>
      <c r="BK262">
        <v>1771003067.0999999</v>
      </c>
      <c r="BL262">
        <v>13</v>
      </c>
      <c r="BM262">
        <v>3.6999999999999998E-2</v>
      </c>
      <c r="BN262">
        <v>2E-3</v>
      </c>
      <c r="BO262">
        <v>-0.872</v>
      </c>
      <c r="BP262">
        <v>9.9000000000000005E-2</v>
      </c>
      <c r="BQ262">
        <v>410</v>
      </c>
      <c r="BR262">
        <v>14</v>
      </c>
      <c r="BS262">
        <v>0.37</v>
      </c>
      <c r="BT262">
        <v>7.0000000000000007E-2</v>
      </c>
      <c r="BU262">
        <v>-0.92551419999999995</v>
      </c>
      <c r="BV262">
        <v>2.75745563909775E-2</v>
      </c>
      <c r="BW262">
        <v>2.0993647519190198E-2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1.6753674999999999</v>
      </c>
      <c r="CD262">
        <v>-3.7968270676687697E-2</v>
      </c>
      <c r="CE262">
        <v>4.99416146615225E-3</v>
      </c>
      <c r="CF262">
        <v>1</v>
      </c>
      <c r="CG262">
        <v>2</v>
      </c>
      <c r="CH262">
        <v>2</v>
      </c>
      <c r="CI262" t="s">
        <v>304</v>
      </c>
      <c r="CJ262">
        <v>3.5325099999999998</v>
      </c>
      <c r="CK262">
        <v>2.7023600000000001</v>
      </c>
      <c r="CL262">
        <v>9.8060900000000006E-2</v>
      </c>
      <c r="CM262">
        <v>9.6852300000000002E-2</v>
      </c>
      <c r="CN262">
        <v>8.7153800000000003E-2</v>
      </c>
      <c r="CO262">
        <v>7.9156799999999999E-2</v>
      </c>
      <c r="CP262">
        <v>31634.7</v>
      </c>
      <c r="CQ262">
        <v>27805.3</v>
      </c>
      <c r="CR262">
        <v>32461.8</v>
      </c>
      <c r="CS262">
        <v>30713.599999999999</v>
      </c>
      <c r="CT262">
        <v>40121.599999999999</v>
      </c>
      <c r="CU262">
        <v>39773</v>
      </c>
      <c r="CV262">
        <v>47404.4</v>
      </c>
      <c r="CW262">
        <v>46836.7</v>
      </c>
      <c r="CX262">
        <v>2.6252</v>
      </c>
      <c r="CY262">
        <v>2.1337199999999998</v>
      </c>
      <c r="CZ262">
        <v>0</v>
      </c>
      <c r="DA262">
        <v>0</v>
      </c>
      <c r="DB262">
        <v>999.9</v>
      </c>
      <c r="DC262">
        <v>999.9</v>
      </c>
      <c r="DD262">
        <v>51.715000000000003</v>
      </c>
      <c r="DE262">
        <v>27.402000000000001</v>
      </c>
      <c r="DF262">
        <v>18.885400000000001</v>
      </c>
      <c r="DG262">
        <v>30.3001</v>
      </c>
      <c r="DH262">
        <v>16.602599999999999</v>
      </c>
      <c r="DI262">
        <v>2</v>
      </c>
      <c r="DJ262">
        <v>-0.131323</v>
      </c>
      <c r="DK262">
        <v>2.1459000000000001</v>
      </c>
      <c r="DL262">
        <v>20.209399999999999</v>
      </c>
      <c r="DM262">
        <v>5.2510700000000003</v>
      </c>
      <c r="DN262">
        <v>12.033899999999999</v>
      </c>
      <c r="DO262">
        <v>4.9675599999999998</v>
      </c>
      <c r="DP262">
        <v>3.2909999999999999</v>
      </c>
      <c r="DQ262">
        <v>9999</v>
      </c>
      <c r="DR262">
        <v>9999</v>
      </c>
      <c r="DS262">
        <v>597.70000000000005</v>
      </c>
      <c r="DT262">
        <v>9999</v>
      </c>
      <c r="DU262">
        <v>1.8710500000000001</v>
      </c>
      <c r="DV262">
        <v>1.8760699999999999</v>
      </c>
      <c r="DW262">
        <v>1.87635</v>
      </c>
      <c r="DX262">
        <v>1.8828</v>
      </c>
      <c r="DY262">
        <v>1.8755999999999999</v>
      </c>
      <c r="DZ262">
        <v>1.8746400000000001</v>
      </c>
      <c r="EA262">
        <v>1.8708499999999999</v>
      </c>
      <c r="EB262">
        <v>1.8746700000000001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-0.871</v>
      </c>
      <c r="EQ262">
        <v>9.8699999999999996E-2</v>
      </c>
      <c r="ER262">
        <v>-0.87179999999995095</v>
      </c>
      <c r="ES262">
        <v>0</v>
      </c>
      <c r="ET262">
        <v>0</v>
      </c>
      <c r="EU262">
        <v>0</v>
      </c>
      <c r="EV262">
        <v>9.8709999999998702E-2</v>
      </c>
      <c r="EW262">
        <v>0</v>
      </c>
      <c r="EX262">
        <v>0</v>
      </c>
      <c r="EY262">
        <v>0</v>
      </c>
      <c r="EZ262">
        <v>-1</v>
      </c>
      <c r="FA262">
        <v>-1</v>
      </c>
      <c r="FB262">
        <v>-1</v>
      </c>
      <c r="FC262">
        <v>-1</v>
      </c>
      <c r="FD262">
        <v>8.6</v>
      </c>
      <c r="FE262">
        <v>8.1999999999999993</v>
      </c>
      <c r="FF262">
        <v>1.24146</v>
      </c>
      <c r="FG262">
        <v>2.5964399999999999</v>
      </c>
      <c r="FH262">
        <v>2.19604</v>
      </c>
      <c r="FI262">
        <v>2.5744600000000002</v>
      </c>
      <c r="FJ262">
        <v>2.4462899999999999</v>
      </c>
      <c r="FK262">
        <v>2.2814899999999998</v>
      </c>
      <c r="FL262">
        <v>31.783000000000001</v>
      </c>
      <c r="FM262">
        <v>24.148800000000001</v>
      </c>
      <c r="FN262">
        <v>19</v>
      </c>
      <c r="FO262">
        <v>865.23400000000004</v>
      </c>
      <c r="FP262">
        <v>577.51400000000001</v>
      </c>
      <c r="FQ262">
        <v>18.219100000000001</v>
      </c>
      <c r="FR262">
        <v>25.360600000000002</v>
      </c>
      <c r="FS262">
        <v>30.0001</v>
      </c>
      <c r="FT262">
        <v>25.358699999999999</v>
      </c>
      <c r="FU262">
        <v>25.36</v>
      </c>
      <c r="FV262">
        <v>24.9147</v>
      </c>
      <c r="FW262">
        <v>30.880500000000001</v>
      </c>
      <c r="FX262">
        <v>0</v>
      </c>
      <c r="FY262">
        <v>18.216200000000001</v>
      </c>
      <c r="FZ262">
        <v>410</v>
      </c>
      <c r="GA262">
        <v>13.699</v>
      </c>
      <c r="GB262">
        <v>99.890799999999999</v>
      </c>
      <c r="GC262">
        <v>99.707499999999996</v>
      </c>
    </row>
    <row r="263" spans="1:185" x14ac:dyDescent="0.2">
      <c r="A263">
        <v>248</v>
      </c>
      <c r="B263">
        <v>1771003576.0999999</v>
      </c>
      <c r="C263">
        <v>4953</v>
      </c>
      <c r="D263" t="s">
        <v>801</v>
      </c>
      <c r="E263" t="s">
        <v>802</v>
      </c>
      <c r="F263">
        <v>15</v>
      </c>
      <c r="G263">
        <v>1771003568.03333</v>
      </c>
      <c r="H263">
        <f t="shared" si="39"/>
        <v>1.366029683918506E-3</v>
      </c>
      <c r="I263">
        <v>0</v>
      </c>
      <c r="J263">
        <f t="shared" si="51"/>
        <v>1.094871074930814E-2</v>
      </c>
      <c r="K263">
        <f t="shared" si="40"/>
        <v>0.19577668073190271</v>
      </c>
      <c r="L263">
        <f t="shared" si="41"/>
        <v>69.929302074845069</v>
      </c>
      <c r="M263">
        <f t="shared" si="42"/>
        <v>1.542081431197986</v>
      </c>
      <c r="N263">
        <f t="shared" si="43"/>
        <v>2.2052006604434604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26324.0415167024</v>
      </c>
      <c r="T263">
        <f t="shared" si="47"/>
        <v>500.00006666666701</v>
      </c>
      <c r="U263">
        <f t="shared" si="48"/>
        <v>421.49984219997157</v>
      </c>
      <c r="V263">
        <f t="shared" si="49"/>
        <v>0.84299957199999964</v>
      </c>
      <c r="W263">
        <f t="shared" si="50"/>
        <v>0.15869828039999995</v>
      </c>
      <c r="X263">
        <v>1</v>
      </c>
      <c r="Y263">
        <v>1771003568.03333</v>
      </c>
      <c r="Z263">
        <v>409.05880000000002</v>
      </c>
      <c r="AA263">
        <v>410.00200000000001</v>
      </c>
      <c r="AB263">
        <v>15.35746</v>
      </c>
      <c r="AC263">
        <v>13.6761533333333</v>
      </c>
      <c r="AD263">
        <v>409.93060000000003</v>
      </c>
      <c r="AE263">
        <v>15.258753333333299</v>
      </c>
      <c r="AF263">
        <v>800.00333333333299</v>
      </c>
      <c r="AG263">
        <v>100.34820000000001</v>
      </c>
      <c r="AH263">
        <v>6.4331186666666706E-2</v>
      </c>
      <c r="AI263">
        <v>19.000146666666701</v>
      </c>
      <c r="AJ263">
        <v>999.9</v>
      </c>
      <c r="AK263">
        <v>999.9</v>
      </c>
      <c r="AL263">
        <v>0</v>
      </c>
      <c r="AM263">
        <v>0</v>
      </c>
      <c r="AN263">
        <v>5001.7333333333299</v>
      </c>
      <c r="AO263">
        <v>0</v>
      </c>
      <c r="AP263">
        <v>1.7502500000000001</v>
      </c>
      <c r="AQ263">
        <v>-0.94317626666666698</v>
      </c>
      <c r="AR263">
        <v>415.43893333333301</v>
      </c>
      <c r="AS263">
        <v>415.68700000000001</v>
      </c>
      <c r="AT263">
        <v>1.6813226666666701</v>
      </c>
      <c r="AU263">
        <v>410.00200000000001</v>
      </c>
      <c r="AV263">
        <v>13.6761533333333</v>
      </c>
      <c r="AW263">
        <v>1.54109266666667</v>
      </c>
      <c r="AX263">
        <v>1.372374</v>
      </c>
      <c r="AY263">
        <v>13.3820866666667</v>
      </c>
      <c r="AZ263">
        <v>11.6158066666667</v>
      </c>
      <c r="BA263">
        <v>500.00006666666701</v>
      </c>
      <c r="BB263">
        <v>0.90002393333333297</v>
      </c>
      <c r="BC263">
        <v>0</v>
      </c>
      <c r="BD263">
        <v>9.9976400000000007E-2</v>
      </c>
      <c r="BE263">
        <v>0</v>
      </c>
      <c r="BF263">
        <v>25</v>
      </c>
      <c r="BG263">
        <v>8244.4506666666693</v>
      </c>
      <c r="BH263">
        <v>1771003067.0999999</v>
      </c>
      <c r="BI263" t="s">
        <v>748</v>
      </c>
      <c r="BJ263">
        <v>1771003045.0999999</v>
      </c>
      <c r="BK263">
        <v>1771003067.0999999</v>
      </c>
      <c r="BL263">
        <v>13</v>
      </c>
      <c r="BM263">
        <v>3.6999999999999998E-2</v>
      </c>
      <c r="BN263">
        <v>2E-3</v>
      </c>
      <c r="BO263">
        <v>-0.872</v>
      </c>
      <c r="BP263">
        <v>9.9000000000000005E-2</v>
      </c>
      <c r="BQ263">
        <v>410</v>
      </c>
      <c r="BR263">
        <v>14</v>
      </c>
      <c r="BS263">
        <v>0.37</v>
      </c>
      <c r="BT263">
        <v>7.0000000000000007E-2</v>
      </c>
      <c r="BU263">
        <v>-0.93716576190476197</v>
      </c>
      <c r="BV263">
        <v>-0.10065374025974</v>
      </c>
      <c r="BW263">
        <v>2.3851976863074598E-2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1.6790014285714301</v>
      </c>
      <c r="CD263">
        <v>2.1102857142860799E-2</v>
      </c>
      <c r="CE263">
        <v>4.9460386127873797E-3</v>
      </c>
      <c r="CF263">
        <v>1</v>
      </c>
      <c r="CG263">
        <v>2</v>
      </c>
      <c r="CH263">
        <v>2</v>
      </c>
      <c r="CI263" t="s">
        <v>304</v>
      </c>
      <c r="CJ263">
        <v>3.5325600000000001</v>
      </c>
      <c r="CK263">
        <v>2.7021799999999998</v>
      </c>
      <c r="CL263">
        <v>9.8058800000000002E-2</v>
      </c>
      <c r="CM263">
        <v>9.6846600000000005E-2</v>
      </c>
      <c r="CN263">
        <v>8.7133600000000005E-2</v>
      </c>
      <c r="CO263">
        <v>7.9153899999999999E-2</v>
      </c>
      <c r="CP263">
        <v>31635.1</v>
      </c>
      <c r="CQ263">
        <v>27805.7</v>
      </c>
      <c r="CR263">
        <v>32462.2</v>
      </c>
      <c r="CS263">
        <v>30713.8</v>
      </c>
      <c r="CT263">
        <v>40123.199999999997</v>
      </c>
      <c r="CU263">
        <v>39773.4</v>
      </c>
      <c r="CV263">
        <v>47405.2</v>
      </c>
      <c r="CW263">
        <v>46837.1</v>
      </c>
      <c r="CX263">
        <v>2.6252399999999998</v>
      </c>
      <c r="CY263">
        <v>2.1334399999999998</v>
      </c>
      <c r="CZ263">
        <v>0</v>
      </c>
      <c r="DA263">
        <v>0</v>
      </c>
      <c r="DB263">
        <v>999.9</v>
      </c>
      <c r="DC263">
        <v>999.9</v>
      </c>
      <c r="DD263">
        <v>51.66</v>
      </c>
      <c r="DE263">
        <v>27.411999999999999</v>
      </c>
      <c r="DF263">
        <v>18.876300000000001</v>
      </c>
      <c r="DG263">
        <v>30.3001</v>
      </c>
      <c r="DH263">
        <v>16.5825</v>
      </c>
      <c r="DI263">
        <v>2</v>
      </c>
      <c r="DJ263">
        <v>-0.13097200000000001</v>
      </c>
      <c r="DK263">
        <v>2.1298300000000001</v>
      </c>
      <c r="DL263">
        <v>20.209800000000001</v>
      </c>
      <c r="DM263">
        <v>5.2513100000000001</v>
      </c>
      <c r="DN263">
        <v>12.033899999999999</v>
      </c>
      <c r="DO263">
        <v>4.9676</v>
      </c>
      <c r="DP263">
        <v>3.2909999999999999</v>
      </c>
      <c r="DQ263">
        <v>9999</v>
      </c>
      <c r="DR263">
        <v>9999</v>
      </c>
      <c r="DS263">
        <v>597.70000000000005</v>
      </c>
      <c r="DT263">
        <v>9999</v>
      </c>
      <c r="DU263">
        <v>1.8710599999999999</v>
      </c>
      <c r="DV263">
        <v>1.87609</v>
      </c>
      <c r="DW263">
        <v>1.87636</v>
      </c>
      <c r="DX263">
        <v>1.88279</v>
      </c>
      <c r="DY263">
        <v>1.87561</v>
      </c>
      <c r="DZ263">
        <v>1.8746799999999999</v>
      </c>
      <c r="EA263">
        <v>1.87087</v>
      </c>
      <c r="EB263">
        <v>1.8746799999999999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-0.872</v>
      </c>
      <c r="EQ263">
        <v>9.8699999999999996E-2</v>
      </c>
      <c r="ER263">
        <v>-0.87179999999995095</v>
      </c>
      <c r="ES263">
        <v>0</v>
      </c>
      <c r="ET263">
        <v>0</v>
      </c>
      <c r="EU263">
        <v>0</v>
      </c>
      <c r="EV263">
        <v>9.8709999999998702E-2</v>
      </c>
      <c r="EW263">
        <v>0</v>
      </c>
      <c r="EX263">
        <v>0</v>
      </c>
      <c r="EY263">
        <v>0</v>
      </c>
      <c r="EZ263">
        <v>-1</v>
      </c>
      <c r="FA263">
        <v>-1</v>
      </c>
      <c r="FB263">
        <v>-1</v>
      </c>
      <c r="FC263">
        <v>-1</v>
      </c>
      <c r="FD263">
        <v>8.8000000000000007</v>
      </c>
      <c r="FE263">
        <v>8.5</v>
      </c>
      <c r="FF263">
        <v>1.24146</v>
      </c>
      <c r="FG263">
        <v>2.6013199999999999</v>
      </c>
      <c r="FH263">
        <v>2.19604</v>
      </c>
      <c r="FI263">
        <v>2.5744600000000002</v>
      </c>
      <c r="FJ263">
        <v>2.4462899999999999</v>
      </c>
      <c r="FK263">
        <v>2.2363300000000002</v>
      </c>
      <c r="FL263">
        <v>31.8049</v>
      </c>
      <c r="FM263">
        <v>24.14</v>
      </c>
      <c r="FN263">
        <v>19</v>
      </c>
      <c r="FO263">
        <v>865.279</v>
      </c>
      <c r="FP263">
        <v>577.32299999999998</v>
      </c>
      <c r="FQ263">
        <v>18.2178</v>
      </c>
      <c r="FR263">
        <v>25.361899999999999</v>
      </c>
      <c r="FS263">
        <v>30.0001</v>
      </c>
      <c r="FT263">
        <v>25.359100000000002</v>
      </c>
      <c r="FU263">
        <v>25.362100000000002</v>
      </c>
      <c r="FV263">
        <v>24.9147</v>
      </c>
      <c r="FW263">
        <v>30.880500000000001</v>
      </c>
      <c r="FX263">
        <v>0</v>
      </c>
      <c r="FY263">
        <v>18.218</v>
      </c>
      <c r="FZ263">
        <v>410</v>
      </c>
      <c r="GA263">
        <v>13.7043</v>
      </c>
      <c r="GB263">
        <v>99.892200000000003</v>
      </c>
      <c r="GC263">
        <v>99.708399999999997</v>
      </c>
    </row>
    <row r="264" spans="1:185" x14ac:dyDescent="0.2">
      <c r="A264">
        <v>249</v>
      </c>
      <c r="B264">
        <v>1771003591.0999999</v>
      </c>
      <c r="C264">
        <v>4968</v>
      </c>
      <c r="D264" t="s">
        <v>803</v>
      </c>
      <c r="E264" t="s">
        <v>804</v>
      </c>
      <c r="F264">
        <v>15</v>
      </c>
      <c r="G264">
        <v>1771003583.03333</v>
      </c>
      <c r="H264">
        <f t="shared" si="39"/>
        <v>1.3639284587273319E-3</v>
      </c>
      <c r="I264">
        <v>0</v>
      </c>
      <c r="J264">
        <f t="shared" si="51"/>
        <v>1.1022333612005065E-2</v>
      </c>
      <c r="K264">
        <f t="shared" si="40"/>
        <v>0.1970931498591646</v>
      </c>
      <c r="L264">
        <f t="shared" si="41"/>
        <v>69.911840498375796</v>
      </c>
      <c r="M264">
        <f t="shared" si="42"/>
        <v>1.5417419065355389</v>
      </c>
      <c r="N264">
        <f t="shared" si="43"/>
        <v>2.2052657969594676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26322.589681614139</v>
      </c>
      <c r="T264">
        <f t="shared" si="47"/>
        <v>499.999666666667</v>
      </c>
      <c r="U264">
        <f t="shared" si="48"/>
        <v>421.49950110014561</v>
      </c>
      <c r="V264">
        <f t="shared" si="49"/>
        <v>0.84299956420000011</v>
      </c>
      <c r="W264">
        <f t="shared" si="50"/>
        <v>0.158698273892</v>
      </c>
      <c r="X264">
        <v>1</v>
      </c>
      <c r="Y264">
        <v>1771003583.03333</v>
      </c>
      <c r="Z264">
        <v>409.04079999999999</v>
      </c>
      <c r="AA264">
        <v>409.98453333333299</v>
      </c>
      <c r="AB264">
        <v>15.354186666666701</v>
      </c>
      <c r="AC264">
        <v>13.675473333333301</v>
      </c>
      <c r="AD264">
        <v>409.912466666667</v>
      </c>
      <c r="AE264">
        <v>15.255473333333301</v>
      </c>
      <c r="AF264">
        <v>800.00940000000003</v>
      </c>
      <c r="AG264">
        <v>100.347466666667</v>
      </c>
      <c r="AH264">
        <v>6.4358460000000006E-2</v>
      </c>
      <c r="AI264">
        <v>19.000620000000001</v>
      </c>
      <c r="AJ264">
        <v>999.9</v>
      </c>
      <c r="AK264">
        <v>999.9</v>
      </c>
      <c r="AL264">
        <v>0</v>
      </c>
      <c r="AM264">
        <v>0</v>
      </c>
      <c r="AN264">
        <v>5001.5333333333301</v>
      </c>
      <c r="AO264">
        <v>0</v>
      </c>
      <c r="AP264">
        <v>1.7502500000000001</v>
      </c>
      <c r="AQ264">
        <v>-0.943815133333333</v>
      </c>
      <c r="AR264">
        <v>415.41906666666699</v>
      </c>
      <c r="AS264">
        <v>415.66893333333297</v>
      </c>
      <c r="AT264">
        <v>1.678698</v>
      </c>
      <c r="AU264">
        <v>409.98453333333299</v>
      </c>
      <c r="AV264">
        <v>13.675473333333301</v>
      </c>
      <c r="AW264">
        <v>1.54075266666667</v>
      </c>
      <c r="AX264">
        <v>1.3723000000000001</v>
      </c>
      <c r="AY264">
        <v>13.378693333333301</v>
      </c>
      <c r="AZ264">
        <v>11.6149666666667</v>
      </c>
      <c r="BA264">
        <v>499.999666666667</v>
      </c>
      <c r="BB264">
        <v>0.90002400000000005</v>
      </c>
      <c r="BC264">
        <v>0</v>
      </c>
      <c r="BD264">
        <v>9.9976326666666698E-2</v>
      </c>
      <c r="BE264">
        <v>0</v>
      </c>
      <c r="BF264">
        <v>25</v>
      </c>
      <c r="BG264">
        <v>8244.4433333333309</v>
      </c>
      <c r="BH264">
        <v>1771003067.0999999</v>
      </c>
      <c r="BI264" t="s">
        <v>748</v>
      </c>
      <c r="BJ264">
        <v>1771003045.0999999</v>
      </c>
      <c r="BK264">
        <v>1771003067.0999999</v>
      </c>
      <c r="BL264">
        <v>13</v>
      </c>
      <c r="BM264">
        <v>3.6999999999999998E-2</v>
      </c>
      <c r="BN264">
        <v>2E-3</v>
      </c>
      <c r="BO264">
        <v>-0.872</v>
      </c>
      <c r="BP264">
        <v>9.9000000000000005E-2</v>
      </c>
      <c r="BQ264">
        <v>410</v>
      </c>
      <c r="BR264">
        <v>14</v>
      </c>
      <c r="BS264">
        <v>0.37</v>
      </c>
      <c r="BT264">
        <v>7.0000000000000007E-2</v>
      </c>
      <c r="BU264">
        <v>-0.94279025000000005</v>
      </c>
      <c r="BV264">
        <v>-6.5778721804511595E-2</v>
      </c>
      <c r="BW264">
        <v>1.8434187738750499E-2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1.6785890000000001</v>
      </c>
      <c r="CD264">
        <v>8.3557894736855601E-3</v>
      </c>
      <c r="CE264">
        <v>1.69884637327809E-3</v>
      </c>
      <c r="CF264">
        <v>1</v>
      </c>
      <c r="CG264">
        <v>2</v>
      </c>
      <c r="CH264">
        <v>2</v>
      </c>
      <c r="CI264" t="s">
        <v>304</v>
      </c>
      <c r="CJ264">
        <v>3.5324599999999999</v>
      </c>
      <c r="CK264">
        <v>2.702</v>
      </c>
      <c r="CL264">
        <v>9.8053600000000005E-2</v>
      </c>
      <c r="CM264">
        <v>9.6849299999999999E-2</v>
      </c>
      <c r="CN264">
        <v>8.7134100000000006E-2</v>
      </c>
      <c r="CO264">
        <v>7.9146499999999995E-2</v>
      </c>
      <c r="CP264">
        <v>31635.200000000001</v>
      </c>
      <c r="CQ264">
        <v>27806.3</v>
      </c>
      <c r="CR264">
        <v>32462.1</v>
      </c>
      <c r="CS264">
        <v>30714.6</v>
      </c>
      <c r="CT264">
        <v>40123</v>
      </c>
      <c r="CU264">
        <v>39774.9</v>
      </c>
      <c r="CV264">
        <v>47405</v>
      </c>
      <c r="CW264">
        <v>46838.5</v>
      </c>
      <c r="CX264">
        <v>2.6253799999999998</v>
      </c>
      <c r="CY264">
        <v>2.1334399999999998</v>
      </c>
      <c r="CZ264">
        <v>0</v>
      </c>
      <c r="DA264">
        <v>0</v>
      </c>
      <c r="DB264">
        <v>999.9</v>
      </c>
      <c r="DC264">
        <v>999.9</v>
      </c>
      <c r="DD264">
        <v>51.636000000000003</v>
      </c>
      <c r="DE264">
        <v>27.411999999999999</v>
      </c>
      <c r="DF264">
        <v>18.866700000000002</v>
      </c>
      <c r="DG264">
        <v>30.120100000000001</v>
      </c>
      <c r="DH264">
        <v>16.534500000000001</v>
      </c>
      <c r="DI264">
        <v>2</v>
      </c>
      <c r="DJ264">
        <v>-0.13112599999999999</v>
      </c>
      <c r="DK264">
        <v>2.1285500000000002</v>
      </c>
      <c r="DL264">
        <v>20.209399999999999</v>
      </c>
      <c r="DM264">
        <v>5.2513100000000001</v>
      </c>
      <c r="DN264">
        <v>12.033899999999999</v>
      </c>
      <c r="DO264">
        <v>4.9677199999999999</v>
      </c>
      <c r="DP264">
        <v>3.2909999999999999</v>
      </c>
      <c r="DQ264">
        <v>9999</v>
      </c>
      <c r="DR264">
        <v>9999</v>
      </c>
      <c r="DS264">
        <v>597.70000000000005</v>
      </c>
      <c r="DT264">
        <v>9999</v>
      </c>
      <c r="DU264">
        <v>1.8710599999999999</v>
      </c>
      <c r="DV264">
        <v>1.87608</v>
      </c>
      <c r="DW264">
        <v>1.87636</v>
      </c>
      <c r="DX264">
        <v>1.88279</v>
      </c>
      <c r="DY264">
        <v>1.87561</v>
      </c>
      <c r="DZ264">
        <v>1.87466</v>
      </c>
      <c r="EA264">
        <v>1.87086</v>
      </c>
      <c r="EB264">
        <v>1.8746799999999999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-0.872</v>
      </c>
      <c r="EQ264">
        <v>9.8699999999999996E-2</v>
      </c>
      <c r="ER264">
        <v>-0.87179999999995095</v>
      </c>
      <c r="ES264">
        <v>0</v>
      </c>
      <c r="ET264">
        <v>0</v>
      </c>
      <c r="EU264">
        <v>0</v>
      </c>
      <c r="EV264">
        <v>9.8709999999998702E-2</v>
      </c>
      <c r="EW264">
        <v>0</v>
      </c>
      <c r="EX264">
        <v>0</v>
      </c>
      <c r="EY264">
        <v>0</v>
      </c>
      <c r="EZ264">
        <v>-1</v>
      </c>
      <c r="FA264">
        <v>-1</v>
      </c>
      <c r="FB264">
        <v>-1</v>
      </c>
      <c r="FC264">
        <v>-1</v>
      </c>
      <c r="FD264">
        <v>9.1</v>
      </c>
      <c r="FE264">
        <v>8.6999999999999993</v>
      </c>
      <c r="FF264">
        <v>1.24146</v>
      </c>
      <c r="FG264">
        <v>2.5927699999999998</v>
      </c>
      <c r="FH264">
        <v>2.19604</v>
      </c>
      <c r="FI264">
        <v>2.5744600000000002</v>
      </c>
      <c r="FJ264">
        <v>2.4462899999999999</v>
      </c>
      <c r="FK264">
        <v>2.3095699999999999</v>
      </c>
      <c r="FL264">
        <v>31.8049</v>
      </c>
      <c r="FM264">
        <v>24.148800000000001</v>
      </c>
      <c r="FN264">
        <v>19</v>
      </c>
      <c r="FO264">
        <v>865.43700000000001</v>
      </c>
      <c r="FP264">
        <v>577.32299999999998</v>
      </c>
      <c r="FQ264">
        <v>18.217300000000002</v>
      </c>
      <c r="FR264">
        <v>25.364000000000001</v>
      </c>
      <c r="FS264">
        <v>30</v>
      </c>
      <c r="FT264">
        <v>25.360900000000001</v>
      </c>
      <c r="FU264">
        <v>25.362100000000002</v>
      </c>
      <c r="FV264">
        <v>24.9162</v>
      </c>
      <c r="FW264">
        <v>30.880500000000001</v>
      </c>
      <c r="FX264">
        <v>0</v>
      </c>
      <c r="FY264">
        <v>18.2163</v>
      </c>
      <c r="FZ264">
        <v>410</v>
      </c>
      <c r="GA264">
        <v>13.7111</v>
      </c>
      <c r="GB264">
        <v>99.891800000000003</v>
      </c>
      <c r="GC264">
        <v>99.711100000000002</v>
      </c>
    </row>
    <row r="265" spans="1:185" x14ac:dyDescent="0.2">
      <c r="A265">
        <v>250</v>
      </c>
      <c r="B265">
        <v>1771003606.0999999</v>
      </c>
      <c r="C265">
        <v>4983</v>
      </c>
      <c r="D265" t="s">
        <v>805</v>
      </c>
      <c r="E265" t="s">
        <v>806</v>
      </c>
      <c r="F265">
        <v>15</v>
      </c>
      <c r="G265">
        <v>1771003598.03333</v>
      </c>
      <c r="H265">
        <f t="shared" si="39"/>
        <v>1.3627902804608679E-3</v>
      </c>
      <c r="I265">
        <v>0</v>
      </c>
      <c r="J265">
        <f t="shared" si="51"/>
        <v>1.1067667880776299E-2</v>
      </c>
      <c r="K265">
        <f t="shared" si="40"/>
        <v>0.19790378344577211</v>
      </c>
      <c r="L265">
        <f t="shared" si="41"/>
        <v>69.89352134783509</v>
      </c>
      <c r="M265">
        <f t="shared" si="42"/>
        <v>1.5414450079853839</v>
      </c>
      <c r="N265">
        <f t="shared" si="43"/>
        <v>2.2054190120342665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26305.394176971644</v>
      </c>
      <c r="T265">
        <f t="shared" si="47"/>
        <v>499.999866666667</v>
      </c>
      <c r="U265">
        <f t="shared" si="48"/>
        <v>421.4996239000705</v>
      </c>
      <c r="V265">
        <f t="shared" si="49"/>
        <v>0.84299947259999974</v>
      </c>
      <c r="W265">
        <f t="shared" si="50"/>
        <v>0.15869859055599994</v>
      </c>
      <c r="X265">
        <v>1</v>
      </c>
      <c r="Y265">
        <v>1771003598.03333</v>
      </c>
      <c r="Z265">
        <v>409.05840000000001</v>
      </c>
      <c r="AA265">
        <v>410.00259999999997</v>
      </c>
      <c r="AB265">
        <v>15.351433333333301</v>
      </c>
      <c r="AC265">
        <v>13.674106666666701</v>
      </c>
      <c r="AD265">
        <v>409.93020000000001</v>
      </c>
      <c r="AE265">
        <v>15.2527266666667</v>
      </c>
      <c r="AF265">
        <v>800.004866666667</v>
      </c>
      <c r="AG265">
        <v>100.346466666667</v>
      </c>
      <c r="AH265">
        <v>6.4027553333333306E-2</v>
      </c>
      <c r="AI265">
        <v>19.001733333333299</v>
      </c>
      <c r="AJ265">
        <v>999.9</v>
      </c>
      <c r="AK265">
        <v>999.9</v>
      </c>
      <c r="AL265">
        <v>0</v>
      </c>
      <c r="AM265">
        <v>0</v>
      </c>
      <c r="AN265">
        <v>4998.7666666666701</v>
      </c>
      <c r="AO265">
        <v>0</v>
      </c>
      <c r="AP265">
        <v>1.7502500000000001</v>
      </c>
      <c r="AQ265">
        <v>-0.944053066666667</v>
      </c>
      <c r="AR265">
        <v>415.43593333333303</v>
      </c>
      <c r="AS265">
        <v>415.6866</v>
      </c>
      <c r="AT265">
        <v>1.6773146666666701</v>
      </c>
      <c r="AU265">
        <v>410.00259999999997</v>
      </c>
      <c r="AV265">
        <v>13.674106666666701</v>
      </c>
      <c r="AW265">
        <v>1.540462</v>
      </c>
      <c r="AX265">
        <v>1.3721506666666701</v>
      </c>
      <c r="AY265">
        <v>13.3758</v>
      </c>
      <c r="AZ265">
        <v>11.6133066666667</v>
      </c>
      <c r="BA265">
        <v>499.999866666667</v>
      </c>
      <c r="BB265">
        <v>0.90001893333333305</v>
      </c>
      <c r="BC265">
        <v>0</v>
      </c>
      <c r="BD265">
        <v>9.9981113333333302E-2</v>
      </c>
      <c r="BE265">
        <v>0</v>
      </c>
      <c r="BF265">
        <v>25</v>
      </c>
      <c r="BG265">
        <v>8244.4353333333293</v>
      </c>
      <c r="BH265">
        <v>1771003067.0999999</v>
      </c>
      <c r="BI265" t="s">
        <v>748</v>
      </c>
      <c r="BJ265">
        <v>1771003045.0999999</v>
      </c>
      <c r="BK265">
        <v>1771003067.0999999</v>
      </c>
      <c r="BL265">
        <v>13</v>
      </c>
      <c r="BM265">
        <v>3.6999999999999998E-2</v>
      </c>
      <c r="BN265">
        <v>2E-3</v>
      </c>
      <c r="BO265">
        <v>-0.872</v>
      </c>
      <c r="BP265">
        <v>9.9000000000000005E-2</v>
      </c>
      <c r="BQ265">
        <v>410</v>
      </c>
      <c r="BR265">
        <v>14</v>
      </c>
      <c r="BS265">
        <v>0.37</v>
      </c>
      <c r="BT265">
        <v>7.0000000000000007E-2</v>
      </c>
      <c r="BU265">
        <v>-0.94530228571428598</v>
      </c>
      <c r="BV265">
        <v>3.8393142857143098E-2</v>
      </c>
      <c r="BW265">
        <v>1.10424290467134E-2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1.6782052380952399</v>
      </c>
      <c r="CD265">
        <v>-2.0167792207792599E-2</v>
      </c>
      <c r="CE265">
        <v>2.6926241741673899E-3</v>
      </c>
      <c r="CF265">
        <v>1</v>
      </c>
      <c r="CG265">
        <v>2</v>
      </c>
      <c r="CH265">
        <v>2</v>
      </c>
      <c r="CI265" t="s">
        <v>304</v>
      </c>
      <c r="CJ265">
        <v>3.5325700000000002</v>
      </c>
      <c r="CK265">
        <v>2.7018</v>
      </c>
      <c r="CL265">
        <v>9.8053399999999999E-2</v>
      </c>
      <c r="CM265">
        <v>9.6843799999999994E-2</v>
      </c>
      <c r="CN265">
        <v>8.7087399999999995E-2</v>
      </c>
      <c r="CO265">
        <v>7.9139799999999996E-2</v>
      </c>
      <c r="CP265">
        <v>31634.3</v>
      </c>
      <c r="CQ265">
        <v>27806.2</v>
      </c>
      <c r="CR265">
        <v>32461.200000000001</v>
      </c>
      <c r="CS265">
        <v>30714.3</v>
      </c>
      <c r="CT265">
        <v>40124.1</v>
      </c>
      <c r="CU265">
        <v>39775</v>
      </c>
      <c r="CV265">
        <v>47403.7</v>
      </c>
      <c r="CW265">
        <v>46838.2</v>
      </c>
      <c r="CX265">
        <v>2.6252399999999998</v>
      </c>
      <c r="CY265">
        <v>2.1333000000000002</v>
      </c>
      <c r="CZ265">
        <v>0</v>
      </c>
      <c r="DA265">
        <v>0</v>
      </c>
      <c r="DB265">
        <v>999.9</v>
      </c>
      <c r="DC265">
        <v>999.9</v>
      </c>
      <c r="DD265">
        <v>51.612000000000002</v>
      </c>
      <c r="DE265">
        <v>27.411999999999999</v>
      </c>
      <c r="DF265">
        <v>18.859300000000001</v>
      </c>
      <c r="DG265">
        <v>30.210100000000001</v>
      </c>
      <c r="DH265">
        <v>16.478400000000001</v>
      </c>
      <c r="DI265">
        <v>2</v>
      </c>
      <c r="DJ265">
        <v>-0.13117699999999999</v>
      </c>
      <c r="DK265">
        <v>2.13496</v>
      </c>
      <c r="DL265">
        <v>20.209499999999998</v>
      </c>
      <c r="DM265">
        <v>5.2511900000000002</v>
      </c>
      <c r="DN265">
        <v>12.033899999999999</v>
      </c>
      <c r="DO265">
        <v>4.9675200000000004</v>
      </c>
      <c r="DP265">
        <v>3.2909999999999999</v>
      </c>
      <c r="DQ265">
        <v>9999</v>
      </c>
      <c r="DR265">
        <v>9999</v>
      </c>
      <c r="DS265">
        <v>597.70000000000005</v>
      </c>
      <c r="DT265">
        <v>9999</v>
      </c>
      <c r="DU265">
        <v>1.8710800000000001</v>
      </c>
      <c r="DV265">
        <v>1.87609</v>
      </c>
      <c r="DW265">
        <v>1.8763700000000001</v>
      </c>
      <c r="DX265">
        <v>1.8828199999999999</v>
      </c>
      <c r="DY265">
        <v>1.87561</v>
      </c>
      <c r="DZ265">
        <v>1.87469</v>
      </c>
      <c r="EA265">
        <v>1.8708499999999999</v>
      </c>
      <c r="EB265">
        <v>1.8746799999999999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-0.871</v>
      </c>
      <c r="EQ265">
        <v>9.8699999999999996E-2</v>
      </c>
      <c r="ER265">
        <v>-0.87179999999995095</v>
      </c>
      <c r="ES265">
        <v>0</v>
      </c>
      <c r="ET265">
        <v>0</v>
      </c>
      <c r="EU265">
        <v>0</v>
      </c>
      <c r="EV265">
        <v>9.8709999999998702E-2</v>
      </c>
      <c r="EW265">
        <v>0</v>
      </c>
      <c r="EX265">
        <v>0</v>
      </c>
      <c r="EY265">
        <v>0</v>
      </c>
      <c r="EZ265">
        <v>-1</v>
      </c>
      <c r="FA265">
        <v>-1</v>
      </c>
      <c r="FB265">
        <v>-1</v>
      </c>
      <c r="FC265">
        <v>-1</v>
      </c>
      <c r="FD265">
        <v>9.3000000000000007</v>
      </c>
      <c r="FE265">
        <v>9</v>
      </c>
      <c r="FF265">
        <v>1.24146</v>
      </c>
      <c r="FG265">
        <v>2.5952099999999998</v>
      </c>
      <c r="FH265">
        <v>2.19604</v>
      </c>
      <c r="FI265">
        <v>2.5744600000000002</v>
      </c>
      <c r="FJ265">
        <v>2.4462899999999999</v>
      </c>
      <c r="FK265">
        <v>2.2997999999999998</v>
      </c>
      <c r="FL265">
        <v>31.8049</v>
      </c>
      <c r="FM265">
        <v>24.148800000000001</v>
      </c>
      <c r="FN265">
        <v>19</v>
      </c>
      <c r="FO265">
        <v>865.30600000000004</v>
      </c>
      <c r="FP265">
        <v>577.23900000000003</v>
      </c>
      <c r="FQ265">
        <v>18.213699999999999</v>
      </c>
      <c r="FR265">
        <v>25.364000000000001</v>
      </c>
      <c r="FS265">
        <v>30.0001</v>
      </c>
      <c r="FT265">
        <v>25.360900000000001</v>
      </c>
      <c r="FU265">
        <v>25.3642</v>
      </c>
      <c r="FV265">
        <v>24.918099999999999</v>
      </c>
      <c r="FW265">
        <v>30.880500000000001</v>
      </c>
      <c r="FX265">
        <v>0</v>
      </c>
      <c r="FY265">
        <v>18.211500000000001</v>
      </c>
      <c r="FZ265">
        <v>410</v>
      </c>
      <c r="GA265">
        <v>13.722</v>
      </c>
      <c r="GB265">
        <v>99.889099999999999</v>
      </c>
      <c r="GC265">
        <v>99.710400000000007</v>
      </c>
    </row>
    <row r="266" spans="1:185" x14ac:dyDescent="0.2">
      <c r="A266">
        <v>251</v>
      </c>
      <c r="B266">
        <v>1771003621.0999999</v>
      </c>
      <c r="C266">
        <v>4998</v>
      </c>
      <c r="D266" t="s">
        <v>807</v>
      </c>
      <c r="E266" t="s">
        <v>808</v>
      </c>
      <c r="F266">
        <v>15</v>
      </c>
      <c r="G266">
        <v>1771003613.03333</v>
      </c>
      <c r="H266">
        <f t="shared" si="39"/>
        <v>1.3597752303213294E-3</v>
      </c>
      <c r="I266">
        <v>0</v>
      </c>
      <c r="J266">
        <f t="shared" si="51"/>
        <v>1.1047685162117619E-2</v>
      </c>
      <c r="K266">
        <f t="shared" si="40"/>
        <v>0.19754646737262233</v>
      </c>
      <c r="L266">
        <f t="shared" si="41"/>
        <v>69.870106884333993</v>
      </c>
      <c r="M266">
        <f t="shared" si="42"/>
        <v>1.5409754179869235</v>
      </c>
      <c r="N266">
        <f t="shared" si="43"/>
        <v>2.2054859892198548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26276.478818503929</v>
      </c>
      <c r="T266">
        <f t="shared" si="47"/>
        <v>500.00066666666697</v>
      </c>
      <c r="U266">
        <f t="shared" si="48"/>
        <v>421.50037739975392</v>
      </c>
      <c r="V266">
        <f t="shared" si="49"/>
        <v>0.84299963079999962</v>
      </c>
      <c r="W266">
        <f t="shared" si="50"/>
        <v>0.15869834944799996</v>
      </c>
      <c r="X266">
        <v>1</v>
      </c>
      <c r="Y266">
        <v>1771003613.03333</v>
      </c>
      <c r="Z266">
        <v>409.054933333333</v>
      </c>
      <c r="AA266">
        <v>409.99713333333301</v>
      </c>
      <c r="AB266">
        <v>15.346773333333299</v>
      </c>
      <c r="AC266">
        <v>13.673159999999999</v>
      </c>
      <c r="AD266">
        <v>409.926533333333</v>
      </c>
      <c r="AE266">
        <v>15.2480733333333</v>
      </c>
      <c r="AF266">
        <v>800.00980000000004</v>
      </c>
      <c r="AG266">
        <v>100.3462</v>
      </c>
      <c r="AH266">
        <v>6.4184939999999996E-2</v>
      </c>
      <c r="AI266">
        <v>19.002220000000001</v>
      </c>
      <c r="AJ266">
        <v>999.9</v>
      </c>
      <c r="AK266">
        <v>999.9</v>
      </c>
      <c r="AL266">
        <v>0</v>
      </c>
      <c r="AM266">
        <v>0</v>
      </c>
      <c r="AN266">
        <v>4994.0333333333301</v>
      </c>
      <c r="AO266">
        <v>0</v>
      </c>
      <c r="AP266">
        <v>1.7502500000000001</v>
      </c>
      <c r="AQ266">
        <v>-0.94227280000000002</v>
      </c>
      <c r="AR266">
        <v>415.43033333333301</v>
      </c>
      <c r="AS266">
        <v>415.68066666666698</v>
      </c>
      <c r="AT266">
        <v>1.67362066666667</v>
      </c>
      <c r="AU266">
        <v>409.99713333333301</v>
      </c>
      <c r="AV266">
        <v>13.673159999999999</v>
      </c>
      <c r="AW266">
        <v>1.5399913333333299</v>
      </c>
      <c r="AX266">
        <v>1.37204866666667</v>
      </c>
      <c r="AY266">
        <v>13.371086666666701</v>
      </c>
      <c r="AZ266">
        <v>11.6121933333333</v>
      </c>
      <c r="BA266">
        <v>500.00066666666697</v>
      </c>
      <c r="BB266">
        <v>0.90002313333333295</v>
      </c>
      <c r="BC266">
        <v>0</v>
      </c>
      <c r="BD266">
        <v>9.9977239999999995E-2</v>
      </c>
      <c r="BE266">
        <v>0</v>
      </c>
      <c r="BF266">
        <v>25</v>
      </c>
      <c r="BG266">
        <v>8244.4586666666692</v>
      </c>
      <c r="BH266">
        <v>1771003067.0999999</v>
      </c>
      <c r="BI266" t="s">
        <v>748</v>
      </c>
      <c r="BJ266">
        <v>1771003045.0999999</v>
      </c>
      <c r="BK266">
        <v>1771003067.0999999</v>
      </c>
      <c r="BL266">
        <v>13</v>
      </c>
      <c r="BM266">
        <v>3.6999999999999998E-2</v>
      </c>
      <c r="BN266">
        <v>2E-3</v>
      </c>
      <c r="BO266">
        <v>-0.872</v>
      </c>
      <c r="BP266">
        <v>9.9000000000000005E-2</v>
      </c>
      <c r="BQ266">
        <v>410</v>
      </c>
      <c r="BR266">
        <v>14</v>
      </c>
      <c r="BS266">
        <v>0.37</v>
      </c>
      <c r="BT266">
        <v>7.0000000000000007E-2</v>
      </c>
      <c r="BU266">
        <v>-0.94146105000000002</v>
      </c>
      <c r="BV266">
        <v>-8.1551954887217698E-2</v>
      </c>
      <c r="BW266">
        <v>1.83878083454092E-2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1.674107</v>
      </c>
      <c r="CD266">
        <v>-1.0721503759398201E-2</v>
      </c>
      <c r="CE266">
        <v>2.9242419530538101E-3</v>
      </c>
      <c r="CF266">
        <v>1</v>
      </c>
      <c r="CG266">
        <v>2</v>
      </c>
      <c r="CH266">
        <v>2</v>
      </c>
      <c r="CI266" t="s">
        <v>304</v>
      </c>
      <c r="CJ266">
        <v>3.5325799999999998</v>
      </c>
      <c r="CK266">
        <v>2.702</v>
      </c>
      <c r="CL266">
        <v>9.8055299999999998E-2</v>
      </c>
      <c r="CM266">
        <v>9.6847199999999994E-2</v>
      </c>
      <c r="CN266">
        <v>8.7096999999999994E-2</v>
      </c>
      <c r="CO266">
        <v>7.9138700000000006E-2</v>
      </c>
      <c r="CP266">
        <v>31633.4</v>
      </c>
      <c r="CQ266">
        <v>27807</v>
      </c>
      <c r="CR266">
        <v>32460.3</v>
      </c>
      <c r="CS266">
        <v>30715.4</v>
      </c>
      <c r="CT266">
        <v>40122.6</v>
      </c>
      <c r="CU266">
        <v>39776.400000000001</v>
      </c>
      <c r="CV266">
        <v>47402.6</v>
      </c>
      <c r="CW266">
        <v>46839.8</v>
      </c>
      <c r="CX266">
        <v>2.6251199999999999</v>
      </c>
      <c r="CY266">
        <v>2.1334200000000001</v>
      </c>
      <c r="CZ266">
        <v>0</v>
      </c>
      <c r="DA266">
        <v>0</v>
      </c>
      <c r="DB266">
        <v>999.9</v>
      </c>
      <c r="DC266">
        <v>999.9</v>
      </c>
      <c r="DD266">
        <v>51.598999999999997</v>
      </c>
      <c r="DE266">
        <v>27.422000000000001</v>
      </c>
      <c r="DF266">
        <v>18.865400000000001</v>
      </c>
      <c r="DG266">
        <v>30.4801</v>
      </c>
      <c r="DH266">
        <v>16.450299999999999</v>
      </c>
      <c r="DI266">
        <v>2</v>
      </c>
      <c r="DJ266">
        <v>-0.130967</v>
      </c>
      <c r="DK266">
        <v>2.1457099999999998</v>
      </c>
      <c r="DL266">
        <v>20.209299999999999</v>
      </c>
      <c r="DM266">
        <v>5.2505899999999999</v>
      </c>
      <c r="DN266">
        <v>12.033899999999999</v>
      </c>
      <c r="DO266">
        <v>4.9676400000000003</v>
      </c>
      <c r="DP266">
        <v>3.2909999999999999</v>
      </c>
      <c r="DQ266">
        <v>9999</v>
      </c>
      <c r="DR266">
        <v>9999</v>
      </c>
      <c r="DS266">
        <v>597.70000000000005</v>
      </c>
      <c r="DT266">
        <v>9999</v>
      </c>
      <c r="DU266">
        <v>1.87107</v>
      </c>
      <c r="DV266">
        <v>1.8761099999999999</v>
      </c>
      <c r="DW266">
        <v>1.8763700000000001</v>
      </c>
      <c r="DX266">
        <v>1.8828199999999999</v>
      </c>
      <c r="DY266">
        <v>1.87561</v>
      </c>
      <c r="DZ266">
        <v>1.87469</v>
      </c>
      <c r="EA266">
        <v>1.8708800000000001</v>
      </c>
      <c r="EB266">
        <v>1.8746799999999999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-0.872</v>
      </c>
      <c r="EQ266">
        <v>9.8699999999999996E-2</v>
      </c>
      <c r="ER266">
        <v>-0.87179999999995095</v>
      </c>
      <c r="ES266">
        <v>0</v>
      </c>
      <c r="ET266">
        <v>0</v>
      </c>
      <c r="EU266">
        <v>0</v>
      </c>
      <c r="EV266">
        <v>9.8709999999998702E-2</v>
      </c>
      <c r="EW266">
        <v>0</v>
      </c>
      <c r="EX266">
        <v>0</v>
      </c>
      <c r="EY266">
        <v>0</v>
      </c>
      <c r="EZ266">
        <v>-1</v>
      </c>
      <c r="FA266">
        <v>-1</v>
      </c>
      <c r="FB266">
        <v>-1</v>
      </c>
      <c r="FC266">
        <v>-1</v>
      </c>
      <c r="FD266">
        <v>9.6</v>
      </c>
      <c r="FE266">
        <v>9.1999999999999993</v>
      </c>
      <c r="FF266">
        <v>1.24146</v>
      </c>
      <c r="FG266">
        <v>2.5915499999999998</v>
      </c>
      <c r="FH266">
        <v>2.19604</v>
      </c>
      <c r="FI266">
        <v>2.5744600000000002</v>
      </c>
      <c r="FJ266">
        <v>2.4462899999999999</v>
      </c>
      <c r="FK266">
        <v>2.3095699999999999</v>
      </c>
      <c r="FL266">
        <v>31.826899999999998</v>
      </c>
      <c r="FM266">
        <v>24.148800000000001</v>
      </c>
      <c r="FN266">
        <v>19</v>
      </c>
      <c r="FO266">
        <v>865.22900000000004</v>
      </c>
      <c r="FP266">
        <v>577.33100000000002</v>
      </c>
      <c r="FQ266">
        <v>18.2043</v>
      </c>
      <c r="FR266">
        <v>25.364000000000001</v>
      </c>
      <c r="FS266">
        <v>30.0001</v>
      </c>
      <c r="FT266">
        <v>25.363</v>
      </c>
      <c r="FU266">
        <v>25.3642</v>
      </c>
      <c r="FV266">
        <v>24.916399999999999</v>
      </c>
      <c r="FW266">
        <v>30.880500000000001</v>
      </c>
      <c r="FX266">
        <v>0</v>
      </c>
      <c r="FY266">
        <v>18.2042</v>
      </c>
      <c r="FZ266">
        <v>410</v>
      </c>
      <c r="GA266">
        <v>13.733000000000001</v>
      </c>
      <c r="GB266">
        <v>99.886499999999998</v>
      </c>
      <c r="GC266">
        <v>99.713700000000003</v>
      </c>
    </row>
    <row r="267" spans="1:185" x14ac:dyDescent="0.2">
      <c r="A267">
        <v>252</v>
      </c>
      <c r="B267">
        <v>1771003636.0999999</v>
      </c>
      <c r="C267">
        <v>5013</v>
      </c>
      <c r="D267" t="s">
        <v>809</v>
      </c>
      <c r="E267" t="s">
        <v>810</v>
      </c>
      <c r="F267">
        <v>15</v>
      </c>
      <c r="G267">
        <v>1771003628.03333</v>
      </c>
      <c r="H267">
        <f t="shared" si="39"/>
        <v>1.362564925719991E-3</v>
      </c>
      <c r="I267">
        <v>0</v>
      </c>
      <c r="J267">
        <f t="shared" si="51"/>
        <v>1.0305259007658142E-2</v>
      </c>
      <c r="K267">
        <f t="shared" si="40"/>
        <v>0.18427095653516484</v>
      </c>
      <c r="L267">
        <f t="shared" si="41"/>
        <v>69.888612938709571</v>
      </c>
      <c r="M267">
        <f t="shared" si="42"/>
        <v>1.5411892833932275</v>
      </c>
      <c r="N267">
        <f t="shared" si="43"/>
        <v>2.2052079996848826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26295.538721249748</v>
      </c>
      <c r="T267">
        <f t="shared" si="47"/>
        <v>499.99926666666698</v>
      </c>
      <c r="U267">
        <f t="shared" si="48"/>
        <v>421.49919240027816</v>
      </c>
      <c r="V267">
        <f t="shared" si="49"/>
        <v>0.84299962120000016</v>
      </c>
      <c r="W267">
        <f t="shared" si="50"/>
        <v>0.15869835143200006</v>
      </c>
      <c r="X267">
        <v>1</v>
      </c>
      <c r="Y267">
        <v>1771003628.03333</v>
      </c>
      <c r="Z267">
        <v>409.06953333333303</v>
      </c>
      <c r="AA267">
        <v>409.9966</v>
      </c>
      <c r="AB267">
        <v>15.3492533333333</v>
      </c>
      <c r="AC267">
        <v>13.672193333333301</v>
      </c>
      <c r="AD267">
        <v>409.94153333333298</v>
      </c>
      <c r="AE267">
        <v>15.2505466666667</v>
      </c>
      <c r="AF267">
        <v>800.00153333333401</v>
      </c>
      <c r="AG267">
        <v>100.343933333333</v>
      </c>
      <c r="AH267">
        <v>6.416144E-2</v>
      </c>
      <c r="AI267">
        <v>19.0002</v>
      </c>
      <c r="AJ267">
        <v>999.9</v>
      </c>
      <c r="AK267">
        <v>999.9</v>
      </c>
      <c r="AL267">
        <v>0</v>
      </c>
      <c r="AM267">
        <v>0</v>
      </c>
      <c r="AN267">
        <v>4997.2333333333299</v>
      </c>
      <c r="AO267">
        <v>0</v>
      </c>
      <c r="AP267">
        <v>1.7502500000000001</v>
      </c>
      <c r="AQ267">
        <v>-0.92683099999999996</v>
      </c>
      <c r="AR267">
        <v>415.44633333333297</v>
      </c>
      <c r="AS267">
        <v>415.6798</v>
      </c>
      <c r="AT267">
        <v>1.6770606666666701</v>
      </c>
      <c r="AU267">
        <v>409.9966</v>
      </c>
      <c r="AV267">
        <v>13.672193333333301</v>
      </c>
      <c r="AW267">
        <v>1.540206</v>
      </c>
      <c r="AX267">
        <v>1.3719220000000001</v>
      </c>
      <c r="AY267">
        <v>13.373226666666699</v>
      </c>
      <c r="AZ267">
        <v>11.610799999999999</v>
      </c>
      <c r="BA267">
        <v>499.99926666666698</v>
      </c>
      <c r="BB267">
        <v>0.90002306666666698</v>
      </c>
      <c r="BC267">
        <v>0</v>
      </c>
      <c r="BD267">
        <v>9.99772933333333E-2</v>
      </c>
      <c r="BE267">
        <v>0</v>
      </c>
      <c r="BF267">
        <v>25</v>
      </c>
      <c r="BG267">
        <v>8244.4386666666705</v>
      </c>
      <c r="BH267">
        <v>1771003067.0999999</v>
      </c>
      <c r="BI267" t="s">
        <v>748</v>
      </c>
      <c r="BJ267">
        <v>1771003045.0999999</v>
      </c>
      <c r="BK267">
        <v>1771003067.0999999</v>
      </c>
      <c r="BL267">
        <v>13</v>
      </c>
      <c r="BM267">
        <v>3.6999999999999998E-2</v>
      </c>
      <c r="BN267">
        <v>2E-3</v>
      </c>
      <c r="BO267">
        <v>-0.872</v>
      </c>
      <c r="BP267">
        <v>9.9000000000000005E-2</v>
      </c>
      <c r="BQ267">
        <v>410</v>
      </c>
      <c r="BR267">
        <v>14</v>
      </c>
      <c r="BS267">
        <v>0.37</v>
      </c>
      <c r="BT267">
        <v>7.0000000000000007E-2</v>
      </c>
      <c r="BU267">
        <v>-0.93543347619047601</v>
      </c>
      <c r="BV267">
        <v>0.121557896103896</v>
      </c>
      <c r="BW267">
        <v>1.9456911582896998E-2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1.6757566666666699</v>
      </c>
      <c r="CD267">
        <v>3.1272467532467499E-2</v>
      </c>
      <c r="CE267">
        <v>3.5667022695152401E-3</v>
      </c>
      <c r="CF267">
        <v>1</v>
      </c>
      <c r="CG267">
        <v>2</v>
      </c>
      <c r="CH267">
        <v>2</v>
      </c>
      <c r="CI267" t="s">
        <v>304</v>
      </c>
      <c r="CJ267">
        <v>3.5324599999999999</v>
      </c>
      <c r="CK267">
        <v>2.7019000000000002</v>
      </c>
      <c r="CL267">
        <v>9.8048399999999994E-2</v>
      </c>
      <c r="CM267">
        <v>9.6840599999999999E-2</v>
      </c>
      <c r="CN267">
        <v>8.7124999999999994E-2</v>
      </c>
      <c r="CO267">
        <v>7.9137100000000002E-2</v>
      </c>
      <c r="CP267">
        <v>31634.1</v>
      </c>
      <c r="CQ267">
        <v>27807</v>
      </c>
      <c r="CR267">
        <v>32460.799999999999</v>
      </c>
      <c r="CS267">
        <v>30715.1</v>
      </c>
      <c r="CT267">
        <v>40121.9</v>
      </c>
      <c r="CU267">
        <v>39776.1</v>
      </c>
      <c r="CV267">
        <v>47403.1</v>
      </c>
      <c r="CW267">
        <v>46839.3</v>
      </c>
      <c r="CX267">
        <v>2.6252200000000001</v>
      </c>
      <c r="CY267">
        <v>2.1334</v>
      </c>
      <c r="CZ267">
        <v>0</v>
      </c>
      <c r="DA267">
        <v>0</v>
      </c>
      <c r="DB267">
        <v>999.9</v>
      </c>
      <c r="DC267">
        <v>999.9</v>
      </c>
      <c r="DD267">
        <v>51.575000000000003</v>
      </c>
      <c r="DE267">
        <v>27.422000000000001</v>
      </c>
      <c r="DF267">
        <v>18.8583</v>
      </c>
      <c r="DG267">
        <v>30.360099999999999</v>
      </c>
      <c r="DH267">
        <v>16.614599999999999</v>
      </c>
      <c r="DI267">
        <v>2</v>
      </c>
      <c r="DJ267">
        <v>-0.13098599999999999</v>
      </c>
      <c r="DK267">
        <v>2.1241400000000001</v>
      </c>
      <c r="DL267">
        <v>20.209099999999999</v>
      </c>
      <c r="DM267">
        <v>5.2478400000000001</v>
      </c>
      <c r="DN267">
        <v>12.033899999999999</v>
      </c>
      <c r="DO267">
        <v>4.9671200000000004</v>
      </c>
      <c r="DP267">
        <v>3.2906</v>
      </c>
      <c r="DQ267">
        <v>9999</v>
      </c>
      <c r="DR267">
        <v>9999</v>
      </c>
      <c r="DS267">
        <v>597.70000000000005</v>
      </c>
      <c r="DT267">
        <v>9999</v>
      </c>
      <c r="DU267">
        <v>1.8710800000000001</v>
      </c>
      <c r="DV267">
        <v>1.8761099999999999</v>
      </c>
      <c r="DW267">
        <v>1.8763700000000001</v>
      </c>
      <c r="DX267">
        <v>1.88283</v>
      </c>
      <c r="DY267">
        <v>1.87561</v>
      </c>
      <c r="DZ267">
        <v>1.8746799999999999</v>
      </c>
      <c r="EA267">
        <v>1.87087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-0.872</v>
      </c>
      <c r="EQ267">
        <v>9.8699999999999996E-2</v>
      </c>
      <c r="ER267">
        <v>-0.87179999999995095</v>
      </c>
      <c r="ES267">
        <v>0</v>
      </c>
      <c r="ET267">
        <v>0</v>
      </c>
      <c r="EU267">
        <v>0</v>
      </c>
      <c r="EV267">
        <v>9.8709999999998702E-2</v>
      </c>
      <c r="EW267">
        <v>0</v>
      </c>
      <c r="EX267">
        <v>0</v>
      </c>
      <c r="EY267">
        <v>0</v>
      </c>
      <c r="EZ267">
        <v>-1</v>
      </c>
      <c r="FA267">
        <v>-1</v>
      </c>
      <c r="FB267">
        <v>-1</v>
      </c>
      <c r="FC267">
        <v>-1</v>
      </c>
      <c r="FD267">
        <v>9.8000000000000007</v>
      </c>
      <c r="FE267">
        <v>9.5</v>
      </c>
      <c r="FF267">
        <v>1.24146</v>
      </c>
      <c r="FG267">
        <v>2.5964399999999999</v>
      </c>
      <c r="FH267">
        <v>2.19604</v>
      </c>
      <c r="FI267">
        <v>2.5744600000000002</v>
      </c>
      <c r="FJ267">
        <v>2.4462899999999999</v>
      </c>
      <c r="FK267">
        <v>2.2814899999999998</v>
      </c>
      <c r="FL267">
        <v>31.826899999999998</v>
      </c>
      <c r="FM267">
        <v>24.148800000000001</v>
      </c>
      <c r="FN267">
        <v>19</v>
      </c>
      <c r="FO267">
        <v>865.322</v>
      </c>
      <c r="FP267">
        <v>577.32899999999995</v>
      </c>
      <c r="FQ267">
        <v>18.2028</v>
      </c>
      <c r="FR267">
        <v>25.364000000000001</v>
      </c>
      <c r="FS267">
        <v>30.0001</v>
      </c>
      <c r="FT267">
        <v>25.363</v>
      </c>
      <c r="FU267">
        <v>25.365400000000001</v>
      </c>
      <c r="FV267">
        <v>24.918399999999998</v>
      </c>
      <c r="FW267">
        <v>30.603999999999999</v>
      </c>
      <c r="FX267">
        <v>0</v>
      </c>
      <c r="FY267">
        <v>18.210100000000001</v>
      </c>
      <c r="FZ267">
        <v>410</v>
      </c>
      <c r="GA267">
        <v>13.7325</v>
      </c>
      <c r="GB267">
        <v>99.887799999999999</v>
      </c>
      <c r="GC267">
        <v>99.712800000000001</v>
      </c>
    </row>
    <row r="268" spans="1:185" x14ac:dyDescent="0.2">
      <c r="A268">
        <v>253</v>
      </c>
      <c r="B268">
        <v>1771003651.0999999</v>
      </c>
      <c r="C268">
        <v>5028</v>
      </c>
      <c r="D268" t="s">
        <v>811</v>
      </c>
      <c r="E268" t="s">
        <v>812</v>
      </c>
      <c r="F268">
        <v>15</v>
      </c>
      <c r="G268">
        <v>1771003643.03333</v>
      </c>
      <c r="H268">
        <f t="shared" si="39"/>
        <v>1.3533420889806184E-3</v>
      </c>
      <c r="I268">
        <v>0</v>
      </c>
      <c r="J268">
        <f t="shared" si="51"/>
        <v>1.1863926889054967E-2</v>
      </c>
      <c r="K268">
        <f t="shared" si="40"/>
        <v>0.21214189322993324</v>
      </c>
      <c r="L268">
        <f t="shared" si="41"/>
        <v>69.941995283885348</v>
      </c>
      <c r="M268">
        <f t="shared" si="42"/>
        <v>1.5423003861813223</v>
      </c>
      <c r="N268">
        <f t="shared" si="43"/>
        <v>2.2051135085885498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26346.742432449286</v>
      </c>
      <c r="T268">
        <f t="shared" si="47"/>
        <v>499.99926666666698</v>
      </c>
      <c r="U268">
        <f t="shared" si="48"/>
        <v>421.49912080038291</v>
      </c>
      <c r="V268">
        <f t="shared" si="49"/>
        <v>0.84299947799999964</v>
      </c>
      <c r="W268">
        <f t="shared" si="50"/>
        <v>0.15869817531999997</v>
      </c>
      <c r="X268">
        <v>1</v>
      </c>
      <c r="Y268">
        <v>1771003643.03333</v>
      </c>
      <c r="Z268">
        <v>409.04413333333298</v>
      </c>
      <c r="AA268">
        <v>410.00126666666699</v>
      </c>
      <c r="AB268">
        <v>15.360566666666699</v>
      </c>
      <c r="AC268">
        <v>13.694900000000001</v>
      </c>
      <c r="AD268">
        <v>409.93113333333298</v>
      </c>
      <c r="AE268">
        <v>15.26186</v>
      </c>
      <c r="AF268">
        <v>800.01239999999996</v>
      </c>
      <c r="AG268">
        <v>100.34253333333299</v>
      </c>
      <c r="AH268">
        <v>6.3943826666666703E-2</v>
      </c>
      <c r="AI268">
        <v>18.999513333333301</v>
      </c>
      <c r="AJ268">
        <v>999.9</v>
      </c>
      <c r="AK268">
        <v>999.9</v>
      </c>
      <c r="AL268">
        <v>0</v>
      </c>
      <c r="AM268">
        <v>0</v>
      </c>
      <c r="AN268">
        <v>5005.7</v>
      </c>
      <c r="AO268">
        <v>0</v>
      </c>
      <c r="AP268">
        <v>1.7502500000000001</v>
      </c>
      <c r="AQ268">
        <v>-0.9420634</v>
      </c>
      <c r="AR268">
        <v>415.44060000000002</v>
      </c>
      <c r="AS268">
        <v>415.69406666666703</v>
      </c>
      <c r="AT268">
        <v>1.66566533333333</v>
      </c>
      <c r="AU268">
        <v>410.00126666666699</v>
      </c>
      <c r="AV268">
        <v>13.694900000000001</v>
      </c>
      <c r="AW268">
        <v>1.5413206666666699</v>
      </c>
      <c r="AX268">
        <v>1.3741813333333299</v>
      </c>
      <c r="AY268">
        <v>13.384320000000001</v>
      </c>
      <c r="AZ268">
        <v>11.6356933333333</v>
      </c>
      <c r="BA268">
        <v>499.99926666666698</v>
      </c>
      <c r="BB268">
        <v>0.90002513333333301</v>
      </c>
      <c r="BC268">
        <v>0</v>
      </c>
      <c r="BD268">
        <v>9.9975133333333299E-2</v>
      </c>
      <c r="BE268">
        <v>0</v>
      </c>
      <c r="BF268">
        <v>25</v>
      </c>
      <c r="BG268">
        <v>8244.4380000000001</v>
      </c>
      <c r="BH268">
        <v>1771003671.0999999</v>
      </c>
      <c r="BI268" t="s">
        <v>813</v>
      </c>
      <c r="BJ268">
        <v>1771003671.0999999</v>
      </c>
      <c r="BK268">
        <v>1771003067.0999999</v>
      </c>
      <c r="BL268">
        <v>14</v>
      </c>
      <c r="BM268">
        <v>-1.4999999999999999E-2</v>
      </c>
      <c r="BN268">
        <v>2E-3</v>
      </c>
      <c r="BO268">
        <v>-0.88700000000000001</v>
      </c>
      <c r="BP268">
        <v>9.9000000000000005E-2</v>
      </c>
      <c r="BQ268">
        <v>410</v>
      </c>
      <c r="BR268">
        <v>14</v>
      </c>
      <c r="BS268">
        <v>0.22</v>
      </c>
      <c r="BT268">
        <v>7.0000000000000007E-2</v>
      </c>
      <c r="BU268">
        <v>-0.93931275000000003</v>
      </c>
      <c r="BV268">
        <v>-7.8752255639096297E-2</v>
      </c>
      <c r="BW268">
        <v>1.3038434828901E-2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1.6694985</v>
      </c>
      <c r="CD268">
        <v>-7.9735488721802597E-2</v>
      </c>
      <c r="CE268">
        <v>8.2392058324816508E-3</v>
      </c>
      <c r="CF268">
        <v>1</v>
      </c>
      <c r="CG268">
        <v>2</v>
      </c>
      <c r="CH268">
        <v>2</v>
      </c>
      <c r="CI268" t="s">
        <v>304</v>
      </c>
      <c r="CJ268">
        <v>3.5324800000000001</v>
      </c>
      <c r="CK268">
        <v>2.7019799999999998</v>
      </c>
      <c r="CL268">
        <v>9.8049700000000004E-2</v>
      </c>
      <c r="CM268">
        <v>9.6843499999999999E-2</v>
      </c>
      <c r="CN268">
        <v>8.7169499999999997E-2</v>
      </c>
      <c r="CO268">
        <v>7.9258700000000001E-2</v>
      </c>
      <c r="CP268">
        <v>31634.2</v>
      </c>
      <c r="CQ268">
        <v>27806.9</v>
      </c>
      <c r="CR268">
        <v>32461</v>
      </c>
      <c r="CS268">
        <v>30715.1</v>
      </c>
      <c r="CT268">
        <v>40120.400000000001</v>
      </c>
      <c r="CU268">
        <v>39770.699999999997</v>
      </c>
      <c r="CV268">
        <v>47403.7</v>
      </c>
      <c r="CW268">
        <v>46839.4</v>
      </c>
      <c r="CX268">
        <v>2.6251799999999998</v>
      </c>
      <c r="CY268">
        <v>2.1332599999999999</v>
      </c>
      <c r="CZ268">
        <v>0</v>
      </c>
      <c r="DA268">
        <v>0</v>
      </c>
      <c r="DB268">
        <v>999.9</v>
      </c>
      <c r="DC268">
        <v>999.9</v>
      </c>
      <c r="DD268">
        <v>51.55</v>
      </c>
      <c r="DE268">
        <v>27.442</v>
      </c>
      <c r="DF268">
        <v>18.8719</v>
      </c>
      <c r="DG268">
        <v>30.240100000000002</v>
      </c>
      <c r="DH268">
        <v>16.5825</v>
      </c>
      <c r="DI268">
        <v>2</v>
      </c>
      <c r="DJ268">
        <v>-0.13102800000000001</v>
      </c>
      <c r="DK268">
        <v>2.1297999999999999</v>
      </c>
      <c r="DL268">
        <v>20.209499999999998</v>
      </c>
      <c r="DM268">
        <v>5.2502399999999998</v>
      </c>
      <c r="DN268">
        <v>12.033899999999999</v>
      </c>
      <c r="DO268">
        <v>4.9673999999999996</v>
      </c>
      <c r="DP268">
        <v>3.2909999999999999</v>
      </c>
      <c r="DQ268">
        <v>9999</v>
      </c>
      <c r="DR268">
        <v>9999</v>
      </c>
      <c r="DS268">
        <v>597.70000000000005</v>
      </c>
      <c r="DT268">
        <v>9999</v>
      </c>
      <c r="DU268">
        <v>1.8710599999999999</v>
      </c>
      <c r="DV268">
        <v>1.87609</v>
      </c>
      <c r="DW268">
        <v>1.87636</v>
      </c>
      <c r="DX268">
        <v>1.8828100000000001</v>
      </c>
      <c r="DY268">
        <v>1.87561</v>
      </c>
      <c r="DZ268">
        <v>1.8746799999999999</v>
      </c>
      <c r="EA268">
        <v>1.8708499999999999</v>
      </c>
      <c r="EB268">
        <v>1.8746799999999999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-0.88700000000000001</v>
      </c>
      <c r="EQ268">
        <v>9.8699999999999996E-2</v>
      </c>
      <c r="ER268">
        <v>-0.87179999999995095</v>
      </c>
      <c r="ES268">
        <v>0</v>
      </c>
      <c r="ET268">
        <v>0</v>
      </c>
      <c r="EU268">
        <v>0</v>
      </c>
      <c r="EV268">
        <v>9.8709999999998702E-2</v>
      </c>
      <c r="EW268">
        <v>0</v>
      </c>
      <c r="EX268">
        <v>0</v>
      </c>
      <c r="EY268">
        <v>0</v>
      </c>
      <c r="EZ268">
        <v>-1</v>
      </c>
      <c r="FA268">
        <v>-1</v>
      </c>
      <c r="FB268">
        <v>-1</v>
      </c>
      <c r="FC268">
        <v>-1</v>
      </c>
      <c r="FD268">
        <v>10.1</v>
      </c>
      <c r="FE268">
        <v>9.6999999999999993</v>
      </c>
      <c r="FF268">
        <v>1.24146</v>
      </c>
      <c r="FG268">
        <v>2.5976599999999999</v>
      </c>
      <c r="FH268">
        <v>2.19604</v>
      </c>
      <c r="FI268">
        <v>2.5744600000000002</v>
      </c>
      <c r="FJ268">
        <v>2.4462899999999999</v>
      </c>
      <c r="FK268">
        <v>2.2753899999999998</v>
      </c>
      <c r="FL268">
        <v>31.8049</v>
      </c>
      <c r="FM268">
        <v>24.148800000000001</v>
      </c>
      <c r="FN268">
        <v>19</v>
      </c>
      <c r="FO268">
        <v>865.28499999999997</v>
      </c>
      <c r="FP268">
        <v>577.23199999999997</v>
      </c>
      <c r="FQ268">
        <v>18.212700000000002</v>
      </c>
      <c r="FR268">
        <v>25.366099999999999</v>
      </c>
      <c r="FS268">
        <v>30.0001</v>
      </c>
      <c r="FT268">
        <v>25.363</v>
      </c>
      <c r="FU268">
        <v>25.366299999999999</v>
      </c>
      <c r="FV268">
        <v>24.918399999999998</v>
      </c>
      <c r="FW268">
        <v>30.603999999999999</v>
      </c>
      <c r="FX268">
        <v>0</v>
      </c>
      <c r="FY268">
        <v>18.211200000000002</v>
      </c>
      <c r="FZ268">
        <v>410</v>
      </c>
      <c r="GA268">
        <v>13.731199999999999</v>
      </c>
      <c r="GB268">
        <v>99.888800000000003</v>
      </c>
      <c r="GC268">
        <v>99.712900000000005</v>
      </c>
    </row>
    <row r="269" spans="1:185" x14ac:dyDescent="0.2">
      <c r="A269">
        <v>254</v>
      </c>
      <c r="B269">
        <v>1771003673.0999999</v>
      </c>
      <c r="C269">
        <v>5050</v>
      </c>
      <c r="D269" t="s">
        <v>814</v>
      </c>
      <c r="E269" t="s">
        <v>815</v>
      </c>
      <c r="F269">
        <v>15</v>
      </c>
      <c r="G269">
        <v>1771003672.0999999</v>
      </c>
      <c r="H269">
        <f t="shared" si="39"/>
        <v>1.581790441242365E-5</v>
      </c>
      <c r="I269">
        <v>0</v>
      </c>
      <c r="J269">
        <f t="shared" si="51"/>
        <v>2.1895433308688375E-4</v>
      </c>
      <c r="K269">
        <f t="shared" si="40"/>
        <v>3.9151781013418655E-3</v>
      </c>
      <c r="L269">
        <f t="shared" si="41"/>
        <v>62.44410607854244</v>
      </c>
      <c r="M269">
        <f t="shared" si="42"/>
        <v>1.37760685490309</v>
      </c>
      <c r="N269">
        <f t="shared" si="43"/>
        <v>2.2061439284122839</v>
      </c>
      <c r="O269">
        <v>475</v>
      </c>
      <c r="P269">
        <v>59</v>
      </c>
      <c r="Q269">
        <f t="shared" si="44"/>
        <v>1</v>
      </c>
      <c r="R269">
        <f t="shared" si="45"/>
        <v>0</v>
      </c>
      <c r="S269">
        <f t="shared" si="46"/>
        <v>26061.1358193257</v>
      </c>
      <c r="T269">
        <f t="shared" si="47"/>
        <v>499.99700000000001</v>
      </c>
      <c r="U269">
        <f t="shared" si="48"/>
        <v>421.49726250125099</v>
      </c>
      <c r="V269">
        <f t="shared" si="49"/>
        <v>0.842999583</v>
      </c>
      <c r="W269">
        <f t="shared" si="50"/>
        <v>0.15869915238000001</v>
      </c>
      <c r="X269">
        <v>1</v>
      </c>
      <c r="Y269">
        <v>1771003672.0999999</v>
      </c>
      <c r="Z269">
        <v>410.005</v>
      </c>
      <c r="AA269">
        <v>410.01799999999997</v>
      </c>
      <c r="AB269">
        <v>13.719099999999999</v>
      </c>
      <c r="AC269">
        <v>13.6996</v>
      </c>
      <c r="AD269">
        <v>410.892</v>
      </c>
      <c r="AE269">
        <v>13.626099999999999</v>
      </c>
      <c r="AF269">
        <v>800.04600000000005</v>
      </c>
      <c r="AG269">
        <v>100.34</v>
      </c>
      <c r="AH269">
        <v>7.5249899999999995E-2</v>
      </c>
      <c r="AI269">
        <v>19.007000000000001</v>
      </c>
      <c r="AJ269">
        <v>999.9</v>
      </c>
      <c r="AK269">
        <v>999.9</v>
      </c>
      <c r="AL269">
        <v>0</v>
      </c>
      <c r="AM269">
        <v>0</v>
      </c>
      <c r="AN269">
        <v>4959</v>
      </c>
      <c r="AO269">
        <v>0</v>
      </c>
      <c r="AP269">
        <v>1.7502500000000001</v>
      </c>
      <c r="AQ269">
        <v>-1.2847900000000001E-2</v>
      </c>
      <c r="AR269">
        <v>415.71</v>
      </c>
      <c r="AS269">
        <v>415.71300000000002</v>
      </c>
      <c r="AT269">
        <v>2.5256199999999999E-2</v>
      </c>
      <c r="AU269">
        <v>410.01799999999997</v>
      </c>
      <c r="AV269">
        <v>13.6996</v>
      </c>
      <c r="AW269">
        <v>1.3771500000000001</v>
      </c>
      <c r="AX269">
        <v>1.37462</v>
      </c>
      <c r="AY269">
        <v>11.6684</v>
      </c>
      <c r="AZ269">
        <v>11.640499999999999</v>
      </c>
      <c r="BA269">
        <v>499.99700000000001</v>
      </c>
      <c r="BB269">
        <v>0.90001100000000001</v>
      </c>
      <c r="BC269">
        <v>0</v>
      </c>
      <c r="BD269">
        <v>9.9988900000000006E-2</v>
      </c>
      <c r="BE269">
        <v>0</v>
      </c>
      <c r="BF269">
        <v>25</v>
      </c>
      <c r="BG269">
        <v>8244.3700000000008</v>
      </c>
      <c r="BH269">
        <v>1771003693.0999999</v>
      </c>
      <c r="BI269" t="s">
        <v>816</v>
      </c>
      <c r="BJ269">
        <v>1771003671.0999999</v>
      </c>
      <c r="BK269">
        <v>1771003693.0999999</v>
      </c>
      <c r="BL269">
        <v>15</v>
      </c>
      <c r="BM269">
        <v>-1.4999999999999999E-2</v>
      </c>
      <c r="BN269">
        <v>-6.0000000000000001E-3</v>
      </c>
      <c r="BO269">
        <v>-0.88700000000000001</v>
      </c>
      <c r="BP269">
        <v>9.2999999999999999E-2</v>
      </c>
      <c r="BQ269">
        <v>410</v>
      </c>
      <c r="BR269">
        <v>14</v>
      </c>
      <c r="BS269">
        <v>0.22</v>
      </c>
      <c r="BT269">
        <v>0.13</v>
      </c>
      <c r="BU269">
        <v>-0.13162690099999999</v>
      </c>
      <c r="BV269">
        <v>2.0477154550376002</v>
      </c>
      <c r="BW269">
        <v>0.27050735204071102</v>
      </c>
      <c r="BX269">
        <v>0</v>
      </c>
      <c r="BY269">
        <v>0</v>
      </c>
      <c r="BZ269">
        <v>0</v>
      </c>
      <c r="CA269">
        <v>0</v>
      </c>
      <c r="CB269">
        <v>-1</v>
      </c>
      <c r="CC269">
        <v>0.27337623999999999</v>
      </c>
      <c r="CD269">
        <v>-3.6079323338345901</v>
      </c>
      <c r="CE269">
        <v>0.47340792071690002</v>
      </c>
      <c r="CF269">
        <v>0</v>
      </c>
      <c r="CG269">
        <v>0</v>
      </c>
      <c r="CH269">
        <v>2</v>
      </c>
      <c r="CI269" t="s">
        <v>299</v>
      </c>
      <c r="CJ269">
        <v>3.5340199999999999</v>
      </c>
      <c r="CK269">
        <v>2.7117900000000001</v>
      </c>
      <c r="CL269">
        <v>9.8191899999999999E-2</v>
      </c>
      <c r="CM269">
        <v>9.6836199999999997E-2</v>
      </c>
      <c r="CN269">
        <v>8.0365300000000001E-2</v>
      </c>
      <c r="CO269">
        <v>7.9248100000000002E-2</v>
      </c>
      <c r="CP269">
        <v>31629.5</v>
      </c>
      <c r="CQ269">
        <v>27807.8</v>
      </c>
      <c r="CR269">
        <v>32461.4</v>
      </c>
      <c r="CS269">
        <v>30715.9</v>
      </c>
      <c r="CT269">
        <v>40429.300000000003</v>
      </c>
      <c r="CU269">
        <v>39772.199999999997</v>
      </c>
      <c r="CV269">
        <v>47404.6</v>
      </c>
      <c r="CW269">
        <v>46840.6</v>
      </c>
      <c r="CX269">
        <v>1.6922200000000001</v>
      </c>
      <c r="CY269">
        <v>1.6102399999999999</v>
      </c>
      <c r="CZ269">
        <v>0</v>
      </c>
      <c r="DA269">
        <v>0</v>
      </c>
      <c r="DB269">
        <v>999.9</v>
      </c>
      <c r="DC269">
        <v>999.9</v>
      </c>
      <c r="DD269">
        <v>51.502000000000002</v>
      </c>
      <c r="DE269">
        <v>27.452000000000002</v>
      </c>
      <c r="DF269">
        <v>18.864899999999999</v>
      </c>
      <c r="DG269">
        <v>30.6401</v>
      </c>
      <c r="DH269">
        <v>16.738800000000001</v>
      </c>
      <c r="DI269">
        <v>2</v>
      </c>
      <c r="DJ269">
        <v>-0.130634</v>
      </c>
      <c r="DK269">
        <v>2.2108099999999999</v>
      </c>
      <c r="DL269">
        <v>20.206499999999998</v>
      </c>
      <c r="DM269">
        <v>5.2437699999999996</v>
      </c>
      <c r="DN269">
        <v>12.033899999999999</v>
      </c>
      <c r="DO269">
        <v>4.9660799999999998</v>
      </c>
      <c r="DP269">
        <v>3.2898200000000002</v>
      </c>
      <c r="DQ269">
        <v>9999</v>
      </c>
      <c r="DR269">
        <v>9999</v>
      </c>
      <c r="DS269">
        <v>597.70000000000005</v>
      </c>
      <c r="DT269">
        <v>9999</v>
      </c>
      <c r="DU269">
        <v>1.8710500000000001</v>
      </c>
      <c r="DV269">
        <v>1.87608</v>
      </c>
      <c r="DW269">
        <v>1.87632</v>
      </c>
      <c r="DX269">
        <v>1.88279</v>
      </c>
      <c r="DY269">
        <v>1.8755999999999999</v>
      </c>
      <c r="DZ269">
        <v>1.8746799999999999</v>
      </c>
      <c r="EA269">
        <v>1.87086</v>
      </c>
      <c r="EB269">
        <v>1.87466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-0.88700000000000001</v>
      </c>
      <c r="EQ269">
        <v>9.2999999999999999E-2</v>
      </c>
      <c r="ER269">
        <v>-0.88700000000005697</v>
      </c>
      <c r="ES269">
        <v>0</v>
      </c>
      <c r="ET269">
        <v>0</v>
      </c>
      <c r="EU269">
        <v>0</v>
      </c>
      <c r="EV269">
        <v>9.8709999999998702E-2</v>
      </c>
      <c r="EW269">
        <v>0</v>
      </c>
      <c r="EX269">
        <v>0</v>
      </c>
      <c r="EY269">
        <v>0</v>
      </c>
      <c r="EZ269">
        <v>-1</v>
      </c>
      <c r="FA269">
        <v>-1</v>
      </c>
      <c r="FB269">
        <v>-1</v>
      </c>
      <c r="FC269">
        <v>-1</v>
      </c>
      <c r="FD269">
        <v>0</v>
      </c>
      <c r="FE269">
        <v>10.1</v>
      </c>
      <c r="FF269">
        <v>1.24146</v>
      </c>
      <c r="FG269">
        <v>2.5952099999999998</v>
      </c>
      <c r="FH269">
        <v>2.19604</v>
      </c>
      <c r="FI269">
        <v>2.5744600000000002</v>
      </c>
      <c r="FJ269">
        <v>2.4462899999999999</v>
      </c>
      <c r="FK269">
        <v>2.3120099999999999</v>
      </c>
      <c r="FL269">
        <v>31.826899999999998</v>
      </c>
      <c r="FM269">
        <v>24.148800000000001</v>
      </c>
      <c r="FN269">
        <v>19</v>
      </c>
      <c r="FO269">
        <v>300.29700000000003</v>
      </c>
      <c r="FP269">
        <v>280.63900000000001</v>
      </c>
      <c r="FQ269">
        <v>18.195900000000002</v>
      </c>
      <c r="FR269">
        <v>25.368300000000001</v>
      </c>
      <c r="FS269">
        <v>30.000299999999999</v>
      </c>
      <c r="FT269">
        <v>25.3813</v>
      </c>
      <c r="FU269">
        <v>25.383299999999998</v>
      </c>
      <c r="FV269">
        <v>24.918500000000002</v>
      </c>
      <c r="FW269">
        <v>27.8721</v>
      </c>
      <c r="FX269">
        <v>0</v>
      </c>
      <c r="FY269">
        <v>18.190100000000001</v>
      </c>
      <c r="FZ269">
        <v>410</v>
      </c>
      <c r="GA269">
        <v>14.318899999999999</v>
      </c>
      <c r="GB269">
        <v>99.8904</v>
      </c>
      <c r="GC269">
        <v>99.715500000000006</v>
      </c>
    </row>
    <row r="270" spans="1:185" x14ac:dyDescent="0.2">
      <c r="A270">
        <v>255</v>
      </c>
      <c r="B270">
        <v>1771003695.0999999</v>
      </c>
      <c r="C270">
        <v>5072</v>
      </c>
      <c r="D270" t="s">
        <v>817</v>
      </c>
      <c r="E270" t="s">
        <v>818</v>
      </c>
      <c r="F270">
        <v>15</v>
      </c>
      <c r="G270">
        <v>1771003694.0999999</v>
      </c>
      <c r="H270">
        <f t="shared" si="39"/>
        <v>6.4927551287691518E-7</v>
      </c>
      <c r="I270">
        <v>0</v>
      </c>
      <c r="J270">
        <f t="shared" si="51"/>
        <v>-9.5440063567240122E-4</v>
      </c>
      <c r="K270">
        <f t="shared" si="40"/>
        <v>-1.7065880432741168E-2</v>
      </c>
      <c r="L270">
        <f t="shared" si="41"/>
        <v>65.055515405789649</v>
      </c>
      <c r="M270">
        <f t="shared" si="42"/>
        <v>1.4355407395989199</v>
      </c>
      <c r="N270">
        <f t="shared" si="43"/>
        <v>2.2066395610650456</v>
      </c>
      <c r="O270">
        <v>474</v>
      </c>
      <c r="P270">
        <v>59</v>
      </c>
      <c r="Q270">
        <f t="shared" si="44"/>
        <v>1</v>
      </c>
      <c r="R270">
        <f t="shared" si="45"/>
        <v>0</v>
      </c>
      <c r="S270">
        <f t="shared" si="46"/>
        <v>26207.47689152318</v>
      </c>
      <c r="T270">
        <f t="shared" si="47"/>
        <v>499.99900000000002</v>
      </c>
      <c r="U270">
        <f t="shared" si="48"/>
        <v>421.49862300106804</v>
      </c>
      <c r="V270">
        <f t="shared" si="49"/>
        <v>0.84299893200000009</v>
      </c>
      <c r="W270">
        <f t="shared" si="50"/>
        <v>0.15869810951999999</v>
      </c>
      <c r="X270">
        <v>1</v>
      </c>
      <c r="Y270">
        <v>1771003694.0999999</v>
      </c>
      <c r="Z270">
        <v>409.762</v>
      </c>
      <c r="AA270">
        <v>409.74099999999999</v>
      </c>
      <c r="AB270">
        <v>14.2958</v>
      </c>
      <c r="AC270">
        <v>14.295</v>
      </c>
      <c r="AD270">
        <v>410.649</v>
      </c>
      <c r="AE270">
        <v>14.2033</v>
      </c>
      <c r="AF270">
        <v>799.99199999999996</v>
      </c>
      <c r="AG270">
        <v>100.342</v>
      </c>
      <c r="AH270">
        <v>7.4957399999999993E-2</v>
      </c>
      <c r="AI270">
        <v>19.0106</v>
      </c>
      <c r="AJ270">
        <v>999.9</v>
      </c>
      <c r="AK270">
        <v>999.9</v>
      </c>
      <c r="AL270">
        <v>0</v>
      </c>
      <c r="AM270">
        <v>0</v>
      </c>
      <c r="AN270">
        <v>4983</v>
      </c>
      <c r="AO270">
        <v>0</v>
      </c>
      <c r="AP270">
        <v>1.7389600000000001</v>
      </c>
      <c r="AQ270">
        <v>2.1087600000000001E-2</v>
      </c>
      <c r="AR270">
        <v>415.70400000000001</v>
      </c>
      <c r="AS270">
        <v>415.68299999999999</v>
      </c>
      <c r="AT270">
        <v>8.3541900000000001E-4</v>
      </c>
      <c r="AU270">
        <v>409.74099999999999</v>
      </c>
      <c r="AV270">
        <v>14.295</v>
      </c>
      <c r="AW270">
        <v>1.4344699999999999</v>
      </c>
      <c r="AX270">
        <v>1.4343900000000001</v>
      </c>
      <c r="AY270">
        <v>12.287000000000001</v>
      </c>
      <c r="AZ270">
        <v>12.286099999999999</v>
      </c>
      <c r="BA270">
        <v>499.99900000000002</v>
      </c>
      <c r="BB270">
        <v>0.90002400000000005</v>
      </c>
      <c r="BC270">
        <v>0</v>
      </c>
      <c r="BD270">
        <v>9.9975599999999998E-2</v>
      </c>
      <c r="BE270">
        <v>0</v>
      </c>
      <c r="BF270">
        <v>25</v>
      </c>
      <c r="BG270">
        <v>8244.43</v>
      </c>
      <c r="BH270">
        <v>1771003693.0999999</v>
      </c>
      <c r="BI270" t="s">
        <v>816</v>
      </c>
      <c r="BJ270">
        <v>1771003671.0999999</v>
      </c>
      <c r="BK270">
        <v>1771003693.0999999</v>
      </c>
      <c r="BL270">
        <v>15</v>
      </c>
      <c r="BM270">
        <v>-1.4999999999999999E-2</v>
      </c>
      <c r="BN270">
        <v>-6.0000000000000001E-3</v>
      </c>
      <c r="BO270">
        <v>-0.88700000000000001</v>
      </c>
      <c r="BP270">
        <v>9.2999999999999999E-2</v>
      </c>
      <c r="BQ270">
        <v>410</v>
      </c>
      <c r="BR270">
        <v>14</v>
      </c>
      <c r="BS270">
        <v>0.22</v>
      </c>
      <c r="BT270">
        <v>0.13</v>
      </c>
      <c r="BU270">
        <v>-3.9431767E-2</v>
      </c>
      <c r="BV270">
        <v>0.57839856180451099</v>
      </c>
      <c r="BW270">
        <v>7.3178023115141794E-2</v>
      </c>
      <c r="BX270">
        <v>0</v>
      </c>
      <c r="BY270">
        <v>0</v>
      </c>
      <c r="BZ270">
        <v>0</v>
      </c>
      <c r="CA270">
        <v>0</v>
      </c>
      <c r="CB270">
        <v>-1</v>
      </c>
      <c r="CC270">
        <v>0.14002580945000001</v>
      </c>
      <c r="CD270">
        <v>-1.8851234936390999</v>
      </c>
      <c r="CE270">
        <v>0.24102791522160799</v>
      </c>
      <c r="CF270">
        <v>0</v>
      </c>
      <c r="CG270">
        <v>0</v>
      </c>
      <c r="CH270">
        <v>2</v>
      </c>
      <c r="CI270" t="s">
        <v>299</v>
      </c>
      <c r="CJ270">
        <v>3.5337999999999998</v>
      </c>
      <c r="CK270">
        <v>2.7115800000000001</v>
      </c>
      <c r="CL270">
        <v>9.8156900000000005E-2</v>
      </c>
      <c r="CM270">
        <v>9.6799700000000002E-2</v>
      </c>
      <c r="CN270">
        <v>8.2865999999999995E-2</v>
      </c>
      <c r="CO270">
        <v>8.1788600000000003E-2</v>
      </c>
      <c r="CP270">
        <v>31630.6</v>
      </c>
      <c r="CQ270">
        <v>27808.9</v>
      </c>
      <c r="CR270">
        <v>32461.200000000001</v>
      </c>
      <c r="CS270">
        <v>30715.8</v>
      </c>
      <c r="CT270">
        <v>40315.5</v>
      </c>
      <c r="CU270">
        <v>39659.199999999997</v>
      </c>
      <c r="CV270">
        <v>47403.8</v>
      </c>
      <c r="CW270">
        <v>46840.3</v>
      </c>
      <c r="CX270">
        <v>1.6923600000000001</v>
      </c>
      <c r="CY270">
        <v>1.6091</v>
      </c>
      <c r="CZ270">
        <v>0</v>
      </c>
      <c r="DA270">
        <v>0</v>
      </c>
      <c r="DB270">
        <v>999.9</v>
      </c>
      <c r="DC270">
        <v>999.9</v>
      </c>
      <c r="DD270">
        <v>51.453000000000003</v>
      </c>
      <c r="DE270">
        <v>27.452000000000002</v>
      </c>
      <c r="DF270">
        <v>18.8443</v>
      </c>
      <c r="DG270">
        <v>30.380099999999999</v>
      </c>
      <c r="DH270">
        <v>16.870999999999999</v>
      </c>
      <c r="DI270">
        <v>2</v>
      </c>
      <c r="DJ270">
        <v>-0.12973799999999999</v>
      </c>
      <c r="DK270">
        <v>2.29087</v>
      </c>
      <c r="DL270">
        <v>20.205200000000001</v>
      </c>
      <c r="DM270">
        <v>5.2424499999999998</v>
      </c>
      <c r="DN270">
        <v>12.033899999999999</v>
      </c>
      <c r="DO270">
        <v>4.9656399999999996</v>
      </c>
      <c r="DP270">
        <v>3.2898000000000001</v>
      </c>
      <c r="DQ270">
        <v>9999</v>
      </c>
      <c r="DR270">
        <v>9999</v>
      </c>
      <c r="DS270">
        <v>597.70000000000005</v>
      </c>
      <c r="DT270">
        <v>9999</v>
      </c>
      <c r="DU270">
        <v>1.87103</v>
      </c>
      <c r="DV270">
        <v>1.8760699999999999</v>
      </c>
      <c r="DW270">
        <v>1.8763099999999999</v>
      </c>
      <c r="DX270">
        <v>1.88279</v>
      </c>
      <c r="DY270">
        <v>1.8755999999999999</v>
      </c>
      <c r="DZ270">
        <v>1.87466</v>
      </c>
      <c r="EA270">
        <v>1.8708100000000001</v>
      </c>
      <c r="EB270">
        <v>1.8746100000000001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-0.88700000000000001</v>
      </c>
      <c r="EQ270">
        <v>9.2600000000000002E-2</v>
      </c>
      <c r="ER270">
        <v>-0.88700000000005697</v>
      </c>
      <c r="ES270">
        <v>0</v>
      </c>
      <c r="ET270">
        <v>0</v>
      </c>
      <c r="EU270">
        <v>0</v>
      </c>
      <c r="EV270">
        <v>9.2509999999998996E-2</v>
      </c>
      <c r="EW270">
        <v>0</v>
      </c>
      <c r="EX270">
        <v>0</v>
      </c>
      <c r="EY270">
        <v>0</v>
      </c>
      <c r="EZ270">
        <v>-1</v>
      </c>
      <c r="FA270">
        <v>-1</v>
      </c>
      <c r="FB270">
        <v>-1</v>
      </c>
      <c r="FC270">
        <v>-1</v>
      </c>
      <c r="FD270">
        <v>0.4</v>
      </c>
      <c r="FE270">
        <v>0</v>
      </c>
      <c r="FF270">
        <v>1.24146</v>
      </c>
      <c r="FG270">
        <v>2.6000999999999999</v>
      </c>
      <c r="FH270">
        <v>2.19604</v>
      </c>
      <c r="FI270">
        <v>2.5744600000000002</v>
      </c>
      <c r="FJ270">
        <v>2.4462899999999999</v>
      </c>
      <c r="FK270">
        <v>2.2692899999999998</v>
      </c>
      <c r="FL270">
        <v>31.848800000000001</v>
      </c>
      <c r="FM270">
        <v>24.14</v>
      </c>
      <c r="FN270">
        <v>19</v>
      </c>
      <c r="FO270">
        <v>300.35899999999998</v>
      </c>
      <c r="FP270">
        <v>280.02699999999999</v>
      </c>
      <c r="FQ270">
        <v>18.152799999999999</v>
      </c>
      <c r="FR270">
        <v>25.373000000000001</v>
      </c>
      <c r="FS270">
        <v>30.000299999999999</v>
      </c>
      <c r="FT270">
        <v>25.3886</v>
      </c>
      <c r="FU270">
        <v>25.389700000000001</v>
      </c>
      <c r="FV270">
        <v>24.922999999999998</v>
      </c>
      <c r="FW270">
        <v>29.2563</v>
      </c>
      <c r="FX270">
        <v>0</v>
      </c>
      <c r="FY270">
        <v>18.139399999999998</v>
      </c>
      <c r="FZ270">
        <v>410</v>
      </c>
      <c r="GA270">
        <v>14.079700000000001</v>
      </c>
      <c r="GB270">
        <v>99.889099999999999</v>
      </c>
      <c r="GC270">
        <v>99.715000000000003</v>
      </c>
    </row>
    <row r="271" spans="1:185" x14ac:dyDescent="0.2">
      <c r="A271">
        <v>256</v>
      </c>
      <c r="B271">
        <v>1771003784.0999999</v>
      </c>
      <c r="C271">
        <v>5161</v>
      </c>
      <c r="D271" t="s">
        <v>819</v>
      </c>
      <c r="E271" t="s">
        <v>820</v>
      </c>
      <c r="F271">
        <v>15</v>
      </c>
      <c r="G271">
        <v>1771003775.5999999</v>
      </c>
      <c r="H271">
        <f t="shared" si="39"/>
        <v>-2.0046038999717037E-3</v>
      </c>
      <c r="I271">
        <v>0</v>
      </c>
      <c r="J271">
        <f t="shared" si="51"/>
        <v>-0.87828159213163426</v>
      </c>
      <c r="K271">
        <f t="shared" si="40"/>
        <v>-15.704776461130608</v>
      </c>
      <c r="L271">
        <f t="shared" si="41"/>
        <v>60.628434645671206</v>
      </c>
      <c r="M271">
        <f t="shared" si="42"/>
        <v>1.3442023349756158</v>
      </c>
      <c r="N271">
        <f t="shared" si="43"/>
        <v>2.2171153565674158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26333.395244931668</v>
      </c>
      <c r="T271">
        <f t="shared" si="47"/>
        <v>799.83299999999997</v>
      </c>
      <c r="U271">
        <f t="shared" si="48"/>
        <v>674.25943450500392</v>
      </c>
      <c r="V271">
        <f t="shared" si="49"/>
        <v>0.84300026943749995</v>
      </c>
      <c r="W271">
        <f t="shared" si="50"/>
        <v>0.15870051525375001</v>
      </c>
      <c r="X271">
        <v>1</v>
      </c>
      <c r="Y271">
        <v>1771003775.5999999</v>
      </c>
      <c r="Z271">
        <v>430.72743750000001</v>
      </c>
      <c r="AA271">
        <v>410.0215</v>
      </c>
      <c r="AB271">
        <v>13.389356250000001</v>
      </c>
      <c r="AC271">
        <v>15.86104375</v>
      </c>
      <c r="AD271">
        <v>431.61443750000001</v>
      </c>
      <c r="AE271">
        <v>13.296843750000001</v>
      </c>
      <c r="AF271">
        <v>800.16731249999998</v>
      </c>
      <c r="AG271">
        <v>100.33925000000001</v>
      </c>
      <c r="AH271">
        <v>5.4100500000000003E-2</v>
      </c>
      <c r="AI271">
        <v>19.086525000000002</v>
      </c>
      <c r="AJ271">
        <v>999.9</v>
      </c>
      <c r="AK271">
        <v>999.9</v>
      </c>
      <c r="AL271">
        <v>0</v>
      </c>
      <c r="AM271">
        <v>0</v>
      </c>
      <c r="AN271">
        <v>5004.9375</v>
      </c>
      <c r="AO271">
        <v>0</v>
      </c>
      <c r="AP271">
        <v>1.6446756250000001</v>
      </c>
      <c r="AQ271">
        <v>20.705970000000001</v>
      </c>
      <c r="AR271">
        <v>436.55431249999998</v>
      </c>
      <c r="AS271">
        <v>416.62981250000001</v>
      </c>
      <c r="AT271">
        <v>-2.4716930000000001</v>
      </c>
      <c r="AU271">
        <v>410.0215</v>
      </c>
      <c r="AV271">
        <v>15.86104375</v>
      </c>
      <c r="AW271">
        <v>1.3434768749999999</v>
      </c>
      <c r="AX271">
        <v>1.5914831250000001</v>
      </c>
      <c r="AY271">
        <v>11.213409374999999</v>
      </c>
      <c r="AZ271">
        <v>13.87655625</v>
      </c>
      <c r="BA271">
        <v>799.83299999999997</v>
      </c>
      <c r="BB271">
        <v>0.89999337499999998</v>
      </c>
      <c r="BC271">
        <v>0</v>
      </c>
      <c r="BD271">
        <v>0.10000670624999999</v>
      </c>
      <c r="BE271">
        <v>0</v>
      </c>
      <c r="BF271">
        <v>25</v>
      </c>
      <c r="BG271">
        <v>13188.231250000001</v>
      </c>
      <c r="BH271">
        <v>1771003693.0999999</v>
      </c>
      <c r="BI271" t="s">
        <v>816</v>
      </c>
      <c r="BJ271">
        <v>1771003671.0999999</v>
      </c>
      <c r="BK271">
        <v>1771003693.0999999</v>
      </c>
      <c r="BL271">
        <v>15</v>
      </c>
      <c r="BM271">
        <v>-1.4999999999999999E-2</v>
      </c>
      <c r="BN271">
        <v>-6.0000000000000001E-3</v>
      </c>
      <c r="BO271">
        <v>-0.88700000000000001</v>
      </c>
      <c r="BP271">
        <v>9.2999999999999999E-2</v>
      </c>
      <c r="BQ271">
        <v>410</v>
      </c>
      <c r="BR271">
        <v>14</v>
      </c>
      <c r="BS271">
        <v>0.22</v>
      </c>
      <c r="BT271">
        <v>0.13</v>
      </c>
      <c r="BU271">
        <v>15.62936275</v>
      </c>
      <c r="BV271">
        <v>127.691114932331</v>
      </c>
      <c r="BW271">
        <v>14.4879094712316</v>
      </c>
      <c r="BX271">
        <v>0</v>
      </c>
      <c r="BY271">
        <v>0</v>
      </c>
      <c r="BZ271">
        <v>0</v>
      </c>
      <c r="CA271">
        <v>0</v>
      </c>
      <c r="CB271">
        <v>-1</v>
      </c>
      <c r="CC271">
        <v>-1.9826434500000001</v>
      </c>
      <c r="CD271">
        <v>-12.729643533834601</v>
      </c>
      <c r="CE271">
        <v>1.5750784933302699</v>
      </c>
      <c r="CF271">
        <v>0</v>
      </c>
      <c r="CG271">
        <v>0</v>
      </c>
      <c r="CH271">
        <v>2</v>
      </c>
      <c r="CI271" t="s">
        <v>299</v>
      </c>
      <c r="CJ271">
        <v>3.53261</v>
      </c>
      <c r="CK271">
        <v>2.7017899999999999</v>
      </c>
      <c r="CL271">
        <v>0.10177700000000001</v>
      </c>
      <c r="CM271">
        <v>9.6845100000000003E-2</v>
      </c>
      <c r="CN271">
        <v>8.1087999999999993E-2</v>
      </c>
      <c r="CO271">
        <v>8.8081599999999996E-2</v>
      </c>
      <c r="CP271">
        <v>31502.1</v>
      </c>
      <c r="CQ271">
        <v>27806.2</v>
      </c>
      <c r="CR271">
        <v>32459.8</v>
      </c>
      <c r="CS271">
        <v>30714.400000000001</v>
      </c>
      <c r="CT271">
        <v>40395.4</v>
      </c>
      <c r="CU271">
        <v>39377.699999999997</v>
      </c>
      <c r="CV271">
        <v>47402.7</v>
      </c>
      <c r="CW271">
        <v>46838.5</v>
      </c>
      <c r="CX271">
        <v>2.6223200000000002</v>
      </c>
      <c r="CY271">
        <v>2.1366200000000002</v>
      </c>
      <c r="CZ271">
        <v>0</v>
      </c>
      <c r="DA271">
        <v>0</v>
      </c>
      <c r="DB271">
        <v>999.9</v>
      </c>
      <c r="DC271">
        <v>999.9</v>
      </c>
      <c r="DD271">
        <v>51.305999999999997</v>
      </c>
      <c r="DE271">
        <v>27.513000000000002</v>
      </c>
      <c r="DF271">
        <v>18.8614</v>
      </c>
      <c r="DG271">
        <v>30.370100000000001</v>
      </c>
      <c r="DH271">
        <v>16.5184</v>
      </c>
      <c r="DI271">
        <v>2</v>
      </c>
      <c r="DJ271">
        <v>-0.124626</v>
      </c>
      <c r="DK271">
        <v>3.0732200000000001</v>
      </c>
      <c r="DL271">
        <v>20.1798</v>
      </c>
      <c r="DM271">
        <v>5.2484400000000004</v>
      </c>
      <c r="DN271">
        <v>12.033899999999999</v>
      </c>
      <c r="DO271">
        <v>4.9670800000000002</v>
      </c>
      <c r="DP271">
        <v>3.2906399999999998</v>
      </c>
      <c r="DQ271">
        <v>9999</v>
      </c>
      <c r="DR271">
        <v>9999</v>
      </c>
      <c r="DS271">
        <v>597.79999999999995</v>
      </c>
      <c r="DT271">
        <v>9999</v>
      </c>
      <c r="DU271">
        <v>1.8710599999999999</v>
      </c>
      <c r="DV271">
        <v>1.87608</v>
      </c>
      <c r="DW271">
        <v>1.87632</v>
      </c>
      <c r="DX271">
        <v>1.8827799999999999</v>
      </c>
      <c r="DY271">
        <v>1.8755999999999999</v>
      </c>
      <c r="DZ271">
        <v>1.8746799999999999</v>
      </c>
      <c r="EA271">
        <v>1.87086</v>
      </c>
      <c r="EB271">
        <v>1.8746400000000001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-0.88700000000000001</v>
      </c>
      <c r="EQ271">
        <v>9.2499999999999999E-2</v>
      </c>
      <c r="ER271">
        <v>-0.88700000000005697</v>
      </c>
      <c r="ES271">
        <v>0</v>
      </c>
      <c r="ET271">
        <v>0</v>
      </c>
      <c r="EU271">
        <v>0</v>
      </c>
      <c r="EV271">
        <v>9.2509999999998996E-2</v>
      </c>
      <c r="EW271">
        <v>0</v>
      </c>
      <c r="EX271">
        <v>0</v>
      </c>
      <c r="EY271">
        <v>0</v>
      </c>
      <c r="EZ271">
        <v>-1</v>
      </c>
      <c r="FA271">
        <v>-1</v>
      </c>
      <c r="FB271">
        <v>-1</v>
      </c>
      <c r="FC271">
        <v>-1</v>
      </c>
      <c r="FD271">
        <v>1.9</v>
      </c>
      <c r="FE271">
        <v>1.5</v>
      </c>
      <c r="FF271">
        <v>1.2439</v>
      </c>
      <c r="FG271">
        <v>2.5964399999999999</v>
      </c>
      <c r="FH271">
        <v>2.19604</v>
      </c>
      <c r="FI271">
        <v>2.5732400000000002</v>
      </c>
      <c r="FJ271">
        <v>2.4462899999999999</v>
      </c>
      <c r="FK271">
        <v>2.2534200000000002</v>
      </c>
      <c r="FL271">
        <v>31.870699999999999</v>
      </c>
      <c r="FM271">
        <v>24.1313</v>
      </c>
      <c r="FN271">
        <v>19</v>
      </c>
      <c r="FO271">
        <v>863.24599999999998</v>
      </c>
      <c r="FP271">
        <v>580.25400000000002</v>
      </c>
      <c r="FQ271">
        <v>17.777999999999999</v>
      </c>
      <c r="FR271">
        <v>25.4145</v>
      </c>
      <c r="FS271">
        <v>30.0015</v>
      </c>
      <c r="FT271">
        <v>25.401499999999999</v>
      </c>
      <c r="FU271">
        <v>25.4055</v>
      </c>
      <c r="FV271">
        <v>24.956199999999999</v>
      </c>
      <c r="FW271">
        <v>20.0899</v>
      </c>
      <c r="FX271">
        <v>0.77905800000000003</v>
      </c>
      <c r="FY271">
        <v>17.639500000000002</v>
      </c>
      <c r="FZ271">
        <v>410</v>
      </c>
      <c r="GA271">
        <v>15.7681</v>
      </c>
      <c r="GB271">
        <v>99.885999999999996</v>
      </c>
      <c r="GC271">
        <v>99.710899999999995</v>
      </c>
    </row>
    <row r="272" spans="1:185" x14ac:dyDescent="0.2">
      <c r="A272">
        <v>257</v>
      </c>
      <c r="B272">
        <v>1771003799.0999999</v>
      </c>
      <c r="C272">
        <v>5176</v>
      </c>
      <c r="D272" t="s">
        <v>821</v>
      </c>
      <c r="E272" t="s">
        <v>822</v>
      </c>
      <c r="F272">
        <v>15</v>
      </c>
      <c r="G272">
        <v>1771003791.03333</v>
      </c>
      <c r="H272">
        <f t="shared" ref="H272:H307" si="52">AF272*Q272*(AB272-AC272)/(1000*X272*(1000-Q272*AB272))</f>
        <v>-7.8116685256721997E-4</v>
      </c>
      <c r="I272">
        <v>0</v>
      </c>
      <c r="J272">
        <f t="shared" si="51"/>
        <v>-0.51843895444512844</v>
      </c>
      <c r="K272">
        <f t="shared" ref="K272:K307" si="53">AF272*Q272*(AA272-Z272*(1000-Q272*AC272)/(1000-Q272*AB272))/(1000*X272)</f>
        <v>-9.2703387629268708</v>
      </c>
      <c r="L272">
        <f t="shared" ref="L272:L307" si="54">(M272/N272*100)</f>
        <v>68.156912560075881</v>
      </c>
      <c r="M272">
        <f t="shared" ref="M272:M307" si="55">AB272*(AG272+AH272)/1000</f>
        <v>1.5036890041296467</v>
      </c>
      <c r="N272">
        <f t="shared" ref="N272:N307" si="56">0.61365*EXP(17.502*AI272/(240.97+AI272))</f>
        <v>2.2062164315383899</v>
      </c>
      <c r="O272">
        <v>0</v>
      </c>
      <c r="P272">
        <v>0</v>
      </c>
      <c r="Q272">
        <f t="shared" ref="Q272:Q307" si="57">IF(O272*$H$13&gt;=S272,1,(S272/(S272-O272*$H$13)))</f>
        <v>1</v>
      </c>
      <c r="R272">
        <f t="shared" ref="R272:R307" si="58">(Q272-1)*100</f>
        <v>0</v>
      </c>
      <c r="S272">
        <f t="shared" ref="S272:S307" si="59">MAX(0,($B$13+$C$13*AN272)/(1+$D$13*AN272)*AG272/(AI272+273)*$E$13)</f>
        <v>26305.215611923701</v>
      </c>
      <c r="T272">
        <f t="shared" ref="T272:T307" si="60">$B$11*AO272+$C$11*AP272+$D$11*BA272</f>
        <v>799.99913333333302</v>
      </c>
      <c r="U272">
        <f t="shared" ref="U272:U307" si="61">T272*V272</f>
        <v>674.39956219968246</v>
      </c>
      <c r="V272">
        <f t="shared" ref="V272:V307" si="62">($B$11*$D$9+$C$11*$D$9+$D$11*(BB272*$E$9+BC272*$F$9+BD272*$G$9+BE272*$H$9))/($B$11+$C$11+$D$11)</f>
        <v>0.84300036599999995</v>
      </c>
      <c r="W272">
        <f t="shared" ref="W272:W307" si="63">($B$11*$L$9+$C$11*$L$9+$D$11*(BB272*$M$9+BC272*$N$9+BD272*$O$9+BE272*$P$9))/($B$11+$C$11+$D$11)</f>
        <v>0.158700915</v>
      </c>
      <c r="X272">
        <v>1</v>
      </c>
      <c r="Y272">
        <v>1771003791.03333</v>
      </c>
      <c r="Z272">
        <v>421.94233333333301</v>
      </c>
      <c r="AA272">
        <v>409.94266666666698</v>
      </c>
      <c r="AB272">
        <v>14.97648</v>
      </c>
      <c r="AC272">
        <v>15.9382933333333</v>
      </c>
      <c r="AD272">
        <v>422.82933333333301</v>
      </c>
      <c r="AE272">
        <v>14.8839666666667</v>
      </c>
      <c r="AF272">
        <v>800.01773333333301</v>
      </c>
      <c r="AG272">
        <v>100.339266666667</v>
      </c>
      <c r="AH272">
        <v>6.4099420000000004E-2</v>
      </c>
      <c r="AI272">
        <v>19.007526666666699</v>
      </c>
      <c r="AJ272">
        <v>999.9</v>
      </c>
      <c r="AK272">
        <v>999.9</v>
      </c>
      <c r="AL272">
        <v>0</v>
      </c>
      <c r="AM272">
        <v>0</v>
      </c>
      <c r="AN272">
        <v>4999.1333333333296</v>
      </c>
      <c r="AO272">
        <v>0</v>
      </c>
      <c r="AP272">
        <v>1.7013986666666701</v>
      </c>
      <c r="AQ272">
        <v>11.999779999999999</v>
      </c>
      <c r="AR272">
        <v>428.35533333333302</v>
      </c>
      <c r="AS272">
        <v>416.582333333333</v>
      </c>
      <c r="AT272">
        <v>-0.961805466666667</v>
      </c>
      <c r="AU272">
        <v>409.94266666666698</v>
      </c>
      <c r="AV272">
        <v>15.9382933333333</v>
      </c>
      <c r="AW272">
        <v>1.50272733333333</v>
      </c>
      <c r="AX272">
        <v>1.5992346666666699</v>
      </c>
      <c r="AY272">
        <v>12.986413333333299</v>
      </c>
      <c r="AZ272">
        <v>13.951126666666701</v>
      </c>
      <c r="BA272">
        <v>799.99913333333302</v>
      </c>
      <c r="BB272">
        <v>0.8999878</v>
      </c>
      <c r="BC272">
        <v>0</v>
      </c>
      <c r="BD272">
        <v>0.1000122</v>
      </c>
      <c r="BE272">
        <v>0</v>
      </c>
      <c r="BF272">
        <v>25</v>
      </c>
      <c r="BG272">
        <v>13190.9533333333</v>
      </c>
      <c r="BH272">
        <v>1771003693.0999999</v>
      </c>
      <c r="BI272" t="s">
        <v>816</v>
      </c>
      <c r="BJ272">
        <v>1771003671.0999999</v>
      </c>
      <c r="BK272">
        <v>1771003693.0999999</v>
      </c>
      <c r="BL272">
        <v>15</v>
      </c>
      <c r="BM272">
        <v>-1.4999999999999999E-2</v>
      </c>
      <c r="BN272">
        <v>-6.0000000000000001E-3</v>
      </c>
      <c r="BO272">
        <v>-0.88700000000000001</v>
      </c>
      <c r="BP272">
        <v>9.2999999999999999E-2</v>
      </c>
      <c r="BQ272">
        <v>410</v>
      </c>
      <c r="BR272">
        <v>14</v>
      </c>
      <c r="BS272">
        <v>0.22</v>
      </c>
      <c r="BT272">
        <v>0.13</v>
      </c>
      <c r="BU272">
        <v>15.340635000000001</v>
      </c>
      <c r="BV272">
        <v>-73.193110375939796</v>
      </c>
      <c r="BW272">
        <v>7.1772109656693903</v>
      </c>
      <c r="BX272">
        <v>0</v>
      </c>
      <c r="BY272">
        <v>0</v>
      </c>
      <c r="BZ272">
        <v>0</v>
      </c>
      <c r="CA272">
        <v>0</v>
      </c>
      <c r="CB272">
        <v>-1</v>
      </c>
      <c r="CC272">
        <v>-1.3808486</v>
      </c>
      <c r="CD272">
        <v>8.6440421954887192</v>
      </c>
      <c r="CE272">
        <v>0.87118474958560899</v>
      </c>
      <c r="CF272">
        <v>0</v>
      </c>
      <c r="CG272">
        <v>0</v>
      </c>
      <c r="CH272">
        <v>2</v>
      </c>
      <c r="CI272" t="s">
        <v>299</v>
      </c>
      <c r="CJ272">
        <v>3.5324900000000001</v>
      </c>
      <c r="CK272">
        <v>2.7021700000000002</v>
      </c>
      <c r="CL272">
        <v>9.92281E-2</v>
      </c>
      <c r="CM272">
        <v>9.6861500000000003E-2</v>
      </c>
      <c r="CN272">
        <v>8.8956300000000002E-2</v>
      </c>
      <c r="CO272">
        <v>8.8798100000000005E-2</v>
      </c>
      <c r="CP272">
        <v>31590.799999999999</v>
      </c>
      <c r="CQ272">
        <v>27804.9</v>
      </c>
      <c r="CR272">
        <v>32459</v>
      </c>
      <c r="CS272">
        <v>30713.5</v>
      </c>
      <c r="CT272">
        <v>40037.4</v>
      </c>
      <c r="CU272">
        <v>39344.400000000001</v>
      </c>
      <c r="CV272">
        <v>47401.2</v>
      </c>
      <c r="CW272">
        <v>46836.800000000003</v>
      </c>
      <c r="CX272">
        <v>2.6221999999999999</v>
      </c>
      <c r="CY272">
        <v>2.1365799999999999</v>
      </c>
      <c r="CZ272">
        <v>0</v>
      </c>
      <c r="DA272">
        <v>0</v>
      </c>
      <c r="DB272">
        <v>999.9</v>
      </c>
      <c r="DC272">
        <v>999.9</v>
      </c>
      <c r="DD272">
        <v>51.281999999999996</v>
      </c>
      <c r="DE272">
        <v>27.513000000000002</v>
      </c>
      <c r="DF272">
        <v>18.8505</v>
      </c>
      <c r="DG272">
        <v>30.430099999999999</v>
      </c>
      <c r="DH272">
        <v>16.502400000000002</v>
      </c>
      <c r="DI272">
        <v>2</v>
      </c>
      <c r="DJ272">
        <v>-0.123774</v>
      </c>
      <c r="DK272">
        <v>2.79583</v>
      </c>
      <c r="DL272">
        <v>20.1858</v>
      </c>
      <c r="DM272">
        <v>5.2516699999999998</v>
      </c>
      <c r="DN272">
        <v>12.033899999999999</v>
      </c>
      <c r="DO272">
        <v>4.9675599999999998</v>
      </c>
      <c r="DP272">
        <v>3.2909999999999999</v>
      </c>
      <c r="DQ272">
        <v>9999</v>
      </c>
      <c r="DR272">
        <v>9999</v>
      </c>
      <c r="DS272">
        <v>597.79999999999995</v>
      </c>
      <c r="DT272">
        <v>9999</v>
      </c>
      <c r="DU272">
        <v>1.87107</v>
      </c>
      <c r="DV272">
        <v>1.87608</v>
      </c>
      <c r="DW272">
        <v>1.8763399999999999</v>
      </c>
      <c r="DX272">
        <v>1.88279</v>
      </c>
      <c r="DY272">
        <v>1.87561</v>
      </c>
      <c r="DZ272">
        <v>1.8746799999999999</v>
      </c>
      <c r="EA272">
        <v>1.87087</v>
      </c>
      <c r="EB272">
        <v>1.8746700000000001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-0.88700000000000001</v>
      </c>
      <c r="EQ272">
        <v>9.2499999999999999E-2</v>
      </c>
      <c r="ER272">
        <v>-0.88700000000005697</v>
      </c>
      <c r="ES272">
        <v>0</v>
      </c>
      <c r="ET272">
        <v>0</v>
      </c>
      <c r="EU272">
        <v>0</v>
      </c>
      <c r="EV272">
        <v>9.2509999999998996E-2</v>
      </c>
      <c r="EW272">
        <v>0</v>
      </c>
      <c r="EX272">
        <v>0</v>
      </c>
      <c r="EY272">
        <v>0</v>
      </c>
      <c r="EZ272">
        <v>-1</v>
      </c>
      <c r="FA272">
        <v>-1</v>
      </c>
      <c r="FB272">
        <v>-1</v>
      </c>
      <c r="FC272">
        <v>-1</v>
      </c>
      <c r="FD272">
        <v>2.1</v>
      </c>
      <c r="FE272">
        <v>1.8</v>
      </c>
      <c r="FF272">
        <v>1.2439</v>
      </c>
      <c r="FG272">
        <v>2.5988799999999999</v>
      </c>
      <c r="FH272">
        <v>2.19604</v>
      </c>
      <c r="FI272">
        <v>2.5732400000000002</v>
      </c>
      <c r="FJ272">
        <v>2.4462899999999999</v>
      </c>
      <c r="FK272">
        <v>2.2973599999999998</v>
      </c>
      <c r="FL272">
        <v>31.870699999999999</v>
      </c>
      <c r="FM272">
        <v>24.14</v>
      </c>
      <c r="FN272">
        <v>19</v>
      </c>
      <c r="FO272">
        <v>863.27099999999996</v>
      </c>
      <c r="FP272">
        <v>580.28499999999997</v>
      </c>
      <c r="FQ272">
        <v>17.594899999999999</v>
      </c>
      <c r="FR272">
        <v>25.421700000000001</v>
      </c>
      <c r="FS272">
        <v>30</v>
      </c>
      <c r="FT272">
        <v>25.4099</v>
      </c>
      <c r="FU272">
        <v>25.411000000000001</v>
      </c>
      <c r="FV272">
        <v>24.959800000000001</v>
      </c>
      <c r="FW272">
        <v>20.471</v>
      </c>
      <c r="FX272">
        <v>0.96004100000000003</v>
      </c>
      <c r="FY272">
        <v>17.707899999999999</v>
      </c>
      <c r="FZ272">
        <v>410</v>
      </c>
      <c r="GA272">
        <v>15.600199999999999</v>
      </c>
      <c r="GB272">
        <v>99.883099999999999</v>
      </c>
      <c r="GC272">
        <v>99.707499999999996</v>
      </c>
    </row>
    <row r="273" spans="1:185" x14ac:dyDescent="0.2">
      <c r="A273">
        <v>258</v>
      </c>
      <c r="B273">
        <v>1771003814.0999999</v>
      </c>
      <c r="C273">
        <v>5191</v>
      </c>
      <c r="D273" t="s">
        <v>823</v>
      </c>
      <c r="E273" t="s">
        <v>824</v>
      </c>
      <c r="F273">
        <v>15</v>
      </c>
      <c r="G273">
        <v>1771003806.03333</v>
      </c>
      <c r="H273">
        <f t="shared" si="52"/>
        <v>3.1649000700325583E-4</v>
      </c>
      <c r="I273">
        <v>0</v>
      </c>
      <c r="J273">
        <f t="shared" ref="J273:J307" si="64">K273*(0.0007335/0.0131159)</f>
        <v>-0.14686828345041325</v>
      </c>
      <c r="K273">
        <f t="shared" si="53"/>
        <v>-2.626189119164656</v>
      </c>
      <c r="L273">
        <f t="shared" si="54"/>
        <v>73.187578917436554</v>
      </c>
      <c r="M273">
        <f t="shared" si="55"/>
        <v>1.6093970486293507</v>
      </c>
      <c r="N273">
        <f t="shared" si="56"/>
        <v>2.1990029898993155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26335.774247454228</v>
      </c>
      <c r="T273">
        <f t="shared" si="60"/>
        <v>799.99813333333304</v>
      </c>
      <c r="U273">
        <f t="shared" si="61"/>
        <v>674.39863759950697</v>
      </c>
      <c r="V273">
        <f t="shared" si="62"/>
        <v>0.84300026400000005</v>
      </c>
      <c r="W273">
        <f t="shared" si="63"/>
        <v>0.15870065999999999</v>
      </c>
      <c r="X273">
        <v>1</v>
      </c>
      <c r="Y273">
        <v>1771003806.03333</v>
      </c>
      <c r="Z273">
        <v>413.25333333333299</v>
      </c>
      <c r="AA273">
        <v>410.13406666666702</v>
      </c>
      <c r="AB273">
        <v>16.029520000000002</v>
      </c>
      <c r="AC273">
        <v>15.6402466666667</v>
      </c>
      <c r="AD273">
        <v>414.14033333333299</v>
      </c>
      <c r="AE273">
        <v>15.936999999999999</v>
      </c>
      <c r="AF273">
        <v>799.99526666666702</v>
      </c>
      <c r="AG273">
        <v>100.33799999999999</v>
      </c>
      <c r="AH273">
        <v>6.4073713333333296E-2</v>
      </c>
      <c r="AI273">
        <v>18.9550533333333</v>
      </c>
      <c r="AJ273">
        <v>999.9</v>
      </c>
      <c r="AK273">
        <v>999.9</v>
      </c>
      <c r="AL273">
        <v>0</v>
      </c>
      <c r="AM273">
        <v>0</v>
      </c>
      <c r="AN273">
        <v>5003.4333333333298</v>
      </c>
      <c r="AO273">
        <v>0</v>
      </c>
      <c r="AP273">
        <v>1.6975566666666699</v>
      </c>
      <c r="AQ273">
        <v>3.119364</v>
      </c>
      <c r="AR273">
        <v>419.98540000000003</v>
      </c>
      <c r="AS273">
        <v>416.65053333333299</v>
      </c>
      <c r="AT273">
        <v>0.38926046666666703</v>
      </c>
      <c r="AU273">
        <v>410.13406666666702</v>
      </c>
      <c r="AV273">
        <v>15.6402466666667</v>
      </c>
      <c r="AW273">
        <v>1.608368</v>
      </c>
      <c r="AX273">
        <v>1.56931</v>
      </c>
      <c r="AY273">
        <v>14.0387733333333</v>
      </c>
      <c r="AZ273">
        <v>13.6592133333333</v>
      </c>
      <c r="BA273">
        <v>799.99813333333304</v>
      </c>
      <c r="BB273">
        <v>0.89999119999999999</v>
      </c>
      <c r="BC273">
        <v>0</v>
      </c>
      <c r="BD273">
        <v>0.10000879999999999</v>
      </c>
      <c r="BE273">
        <v>0</v>
      </c>
      <c r="BF273">
        <v>25</v>
      </c>
      <c r="BG273">
        <v>13190.973333333301</v>
      </c>
      <c r="BH273">
        <v>1771003693.0999999</v>
      </c>
      <c r="BI273" t="s">
        <v>816</v>
      </c>
      <c r="BJ273">
        <v>1771003671.0999999</v>
      </c>
      <c r="BK273">
        <v>1771003693.0999999</v>
      </c>
      <c r="BL273">
        <v>15</v>
      </c>
      <c r="BM273">
        <v>-1.4999999999999999E-2</v>
      </c>
      <c r="BN273">
        <v>-6.0000000000000001E-3</v>
      </c>
      <c r="BO273">
        <v>-0.88700000000000001</v>
      </c>
      <c r="BP273">
        <v>9.2999999999999999E-2</v>
      </c>
      <c r="BQ273">
        <v>410</v>
      </c>
      <c r="BR273">
        <v>14</v>
      </c>
      <c r="BS273">
        <v>0.22</v>
      </c>
      <c r="BT273">
        <v>0.13</v>
      </c>
      <c r="BU273">
        <v>4.5540719999999997</v>
      </c>
      <c r="BV273">
        <v>-24.375007218045099</v>
      </c>
      <c r="BW273">
        <v>2.3945342494932098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8.9433349999999995E-2</v>
      </c>
      <c r="CD273">
        <v>5.2534023338345897</v>
      </c>
      <c r="CE273">
        <v>0.50570335921944098</v>
      </c>
      <c r="CF273">
        <v>0</v>
      </c>
      <c r="CG273">
        <v>0</v>
      </c>
      <c r="CH273">
        <v>2</v>
      </c>
      <c r="CI273" t="s">
        <v>299</v>
      </c>
      <c r="CJ273">
        <v>3.5325199999999999</v>
      </c>
      <c r="CK273">
        <v>2.7021000000000002</v>
      </c>
      <c r="CL273">
        <v>9.8464099999999999E-2</v>
      </c>
      <c r="CM273">
        <v>9.6870499999999998E-2</v>
      </c>
      <c r="CN273">
        <v>9.0640100000000001E-2</v>
      </c>
      <c r="CO273">
        <v>8.5683899999999993E-2</v>
      </c>
      <c r="CP273">
        <v>31617.8</v>
      </c>
      <c r="CQ273">
        <v>27804.6</v>
      </c>
      <c r="CR273">
        <v>32459.3</v>
      </c>
      <c r="CS273">
        <v>30713.599999999999</v>
      </c>
      <c r="CT273">
        <v>39961.5</v>
      </c>
      <c r="CU273">
        <v>39483.5</v>
      </c>
      <c r="CV273">
        <v>47401.8</v>
      </c>
      <c r="CW273">
        <v>46837.4</v>
      </c>
      <c r="CX273">
        <v>2.6234000000000002</v>
      </c>
      <c r="CY273">
        <v>2.1350199999999999</v>
      </c>
      <c r="CZ273">
        <v>0</v>
      </c>
      <c r="DA273">
        <v>0</v>
      </c>
      <c r="DB273">
        <v>999.9</v>
      </c>
      <c r="DC273">
        <v>999.9</v>
      </c>
      <c r="DD273">
        <v>51.256999999999998</v>
      </c>
      <c r="DE273">
        <v>27.513000000000002</v>
      </c>
      <c r="DF273">
        <v>18.8413</v>
      </c>
      <c r="DG273">
        <v>30.490100000000002</v>
      </c>
      <c r="DH273">
        <v>16.514399999999998</v>
      </c>
      <c r="DI273">
        <v>2</v>
      </c>
      <c r="DJ273">
        <v>-0.125057</v>
      </c>
      <c r="DK273">
        <v>2.3801000000000001</v>
      </c>
      <c r="DL273">
        <v>20.193999999999999</v>
      </c>
      <c r="DM273">
        <v>5.2507099999999998</v>
      </c>
      <c r="DN273">
        <v>12.033899999999999</v>
      </c>
      <c r="DO273">
        <v>4.9674800000000001</v>
      </c>
      <c r="DP273">
        <v>3.2909999999999999</v>
      </c>
      <c r="DQ273">
        <v>9999</v>
      </c>
      <c r="DR273">
        <v>9999</v>
      </c>
      <c r="DS273">
        <v>597.79999999999995</v>
      </c>
      <c r="DT273">
        <v>9999</v>
      </c>
      <c r="DU273">
        <v>1.8710500000000001</v>
      </c>
      <c r="DV273">
        <v>1.8760699999999999</v>
      </c>
      <c r="DW273">
        <v>1.8763000000000001</v>
      </c>
      <c r="DX273">
        <v>1.8827799999999999</v>
      </c>
      <c r="DY273">
        <v>1.8755900000000001</v>
      </c>
      <c r="DZ273">
        <v>1.87466</v>
      </c>
      <c r="EA273">
        <v>1.8708400000000001</v>
      </c>
      <c r="EB273">
        <v>1.87463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-0.88700000000000001</v>
      </c>
      <c r="EQ273">
        <v>9.2499999999999999E-2</v>
      </c>
      <c r="ER273">
        <v>-0.88700000000005697</v>
      </c>
      <c r="ES273">
        <v>0</v>
      </c>
      <c r="ET273">
        <v>0</v>
      </c>
      <c r="EU273">
        <v>0</v>
      </c>
      <c r="EV273">
        <v>9.2509999999998996E-2</v>
      </c>
      <c r="EW273">
        <v>0</v>
      </c>
      <c r="EX273">
        <v>0</v>
      </c>
      <c r="EY273">
        <v>0</v>
      </c>
      <c r="EZ273">
        <v>-1</v>
      </c>
      <c r="FA273">
        <v>-1</v>
      </c>
      <c r="FB273">
        <v>-1</v>
      </c>
      <c r="FC273">
        <v>-1</v>
      </c>
      <c r="FD273">
        <v>2.4</v>
      </c>
      <c r="FE273">
        <v>2</v>
      </c>
      <c r="FF273">
        <v>1.24268</v>
      </c>
      <c r="FG273">
        <v>2.5976599999999999</v>
      </c>
      <c r="FH273">
        <v>2.19604</v>
      </c>
      <c r="FI273">
        <v>2.5732400000000002</v>
      </c>
      <c r="FJ273">
        <v>2.4462899999999999</v>
      </c>
      <c r="FK273">
        <v>2.3010299999999999</v>
      </c>
      <c r="FL273">
        <v>31.892700000000001</v>
      </c>
      <c r="FM273">
        <v>24.148800000000001</v>
      </c>
      <c r="FN273">
        <v>19</v>
      </c>
      <c r="FO273">
        <v>864.45399999999995</v>
      </c>
      <c r="FP273">
        <v>579.10799999999995</v>
      </c>
      <c r="FQ273">
        <v>17.758500000000002</v>
      </c>
      <c r="FR273">
        <v>25.428599999999999</v>
      </c>
      <c r="FS273">
        <v>29.9999</v>
      </c>
      <c r="FT273">
        <v>25.414200000000001</v>
      </c>
      <c r="FU273">
        <v>25.4131</v>
      </c>
      <c r="FV273">
        <v>24.9421</v>
      </c>
      <c r="FW273">
        <v>24.6767</v>
      </c>
      <c r="FX273">
        <v>0.96004100000000003</v>
      </c>
      <c r="FY273">
        <v>17.8079</v>
      </c>
      <c r="FZ273">
        <v>410</v>
      </c>
      <c r="GA273">
        <v>14.8286</v>
      </c>
      <c r="GB273">
        <v>99.884299999999996</v>
      </c>
      <c r="GC273">
        <v>99.708399999999997</v>
      </c>
    </row>
    <row r="274" spans="1:185" x14ac:dyDescent="0.2">
      <c r="A274">
        <v>259</v>
      </c>
      <c r="B274">
        <v>1771003829.0999999</v>
      </c>
      <c r="C274">
        <v>5206</v>
      </c>
      <c r="D274" t="s">
        <v>825</v>
      </c>
      <c r="E274" t="s">
        <v>826</v>
      </c>
      <c r="F274">
        <v>15</v>
      </c>
      <c r="G274">
        <v>1771003821.03333</v>
      </c>
      <c r="H274">
        <f t="shared" si="52"/>
        <v>1.0014172741010768E-3</v>
      </c>
      <c r="I274">
        <v>0</v>
      </c>
      <c r="J274">
        <f t="shared" si="64"/>
        <v>-4.527418185087978E-2</v>
      </c>
      <c r="K274">
        <f t="shared" si="53"/>
        <v>-0.80955915710695847</v>
      </c>
      <c r="L274">
        <f t="shared" si="54"/>
        <v>73.85593982500221</v>
      </c>
      <c r="M274">
        <f t="shared" si="55"/>
        <v>1.6221933538807913</v>
      </c>
      <c r="N274">
        <f t="shared" si="56"/>
        <v>2.1964290993039879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26330.906510005563</v>
      </c>
      <c r="T274">
        <f t="shared" si="60"/>
        <v>799.99873333333301</v>
      </c>
      <c r="U274">
        <f t="shared" si="61"/>
        <v>674.39903299984007</v>
      </c>
      <c r="V274">
        <f t="shared" si="62"/>
        <v>0.84300012599999996</v>
      </c>
      <c r="W274">
        <f t="shared" si="63"/>
        <v>0.15870031500000001</v>
      </c>
      <c r="X274">
        <v>1</v>
      </c>
      <c r="Y274">
        <v>1771003821.03333</v>
      </c>
      <c r="Z274">
        <v>410.58153333333303</v>
      </c>
      <c r="AA274">
        <v>410.08353333333298</v>
      </c>
      <c r="AB274">
        <v>16.156966666666701</v>
      </c>
      <c r="AC274">
        <v>14.925406666666699</v>
      </c>
      <c r="AD274">
        <v>411.46853333333303</v>
      </c>
      <c r="AE274">
        <v>16.06446</v>
      </c>
      <c r="AF274">
        <v>799.9914</v>
      </c>
      <c r="AG274">
        <v>100.33773333333301</v>
      </c>
      <c r="AH274">
        <v>6.4364866666666701E-2</v>
      </c>
      <c r="AI274">
        <v>18.9362933333333</v>
      </c>
      <c r="AJ274">
        <v>999.9</v>
      </c>
      <c r="AK274">
        <v>999.9</v>
      </c>
      <c r="AL274">
        <v>0</v>
      </c>
      <c r="AM274">
        <v>0</v>
      </c>
      <c r="AN274">
        <v>5002.3666666666704</v>
      </c>
      <c r="AO274">
        <v>0</v>
      </c>
      <c r="AP274">
        <v>1.7071940000000001</v>
      </c>
      <c r="AQ274">
        <v>0.49792660666666699</v>
      </c>
      <c r="AR274">
        <v>417.32413333333301</v>
      </c>
      <c r="AS274">
        <v>416.29693333333302</v>
      </c>
      <c r="AT274">
        <v>1.23156253333333</v>
      </c>
      <c r="AU274">
        <v>410.08353333333298</v>
      </c>
      <c r="AV274">
        <v>14.925406666666699</v>
      </c>
      <c r="AW274">
        <v>1.62115533333333</v>
      </c>
      <c r="AX274">
        <v>1.4975813333333301</v>
      </c>
      <c r="AY274">
        <v>14.161346666666701</v>
      </c>
      <c r="AZ274">
        <v>12.9424733333333</v>
      </c>
      <c r="BA274">
        <v>799.99873333333301</v>
      </c>
      <c r="BB274">
        <v>0.89999580000000001</v>
      </c>
      <c r="BC274">
        <v>0</v>
      </c>
      <c r="BD274">
        <v>0.1000042</v>
      </c>
      <c r="BE274">
        <v>0</v>
      </c>
      <c r="BF274">
        <v>25</v>
      </c>
      <c r="BG274">
        <v>13190.98</v>
      </c>
      <c r="BH274">
        <v>1771003693.0999999</v>
      </c>
      <c r="BI274" t="s">
        <v>816</v>
      </c>
      <c r="BJ274">
        <v>1771003671.0999999</v>
      </c>
      <c r="BK274">
        <v>1771003693.0999999</v>
      </c>
      <c r="BL274">
        <v>15</v>
      </c>
      <c r="BM274">
        <v>-1.4999999999999999E-2</v>
      </c>
      <c r="BN274">
        <v>-6.0000000000000001E-3</v>
      </c>
      <c r="BO274">
        <v>-0.88700000000000001</v>
      </c>
      <c r="BP274">
        <v>9.2999999999999999E-2</v>
      </c>
      <c r="BQ274">
        <v>410</v>
      </c>
      <c r="BR274">
        <v>14</v>
      </c>
      <c r="BS274">
        <v>0.22</v>
      </c>
      <c r="BT274">
        <v>0.13</v>
      </c>
      <c r="BU274">
        <v>0.99717657619047595</v>
      </c>
      <c r="BV274">
        <v>-7.4876156181818097</v>
      </c>
      <c r="BW274">
        <v>0.76922008337722103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1.0516840000000001</v>
      </c>
      <c r="CD274">
        <v>2.7172890389610398</v>
      </c>
      <c r="CE274">
        <v>0.27711043301337002</v>
      </c>
      <c r="CF274">
        <v>0</v>
      </c>
      <c r="CG274">
        <v>0</v>
      </c>
      <c r="CH274">
        <v>2</v>
      </c>
      <c r="CI274" t="s">
        <v>299</v>
      </c>
      <c r="CJ274">
        <v>3.5325299999999999</v>
      </c>
      <c r="CK274">
        <v>2.70235</v>
      </c>
      <c r="CL274">
        <v>9.81963E-2</v>
      </c>
      <c r="CM274">
        <v>9.6844600000000003E-2</v>
      </c>
      <c r="CN274">
        <v>9.0347200000000003E-2</v>
      </c>
      <c r="CO274">
        <v>8.3157999999999996E-2</v>
      </c>
      <c r="CP274">
        <v>31626.7</v>
      </c>
      <c r="CQ274">
        <v>27804.9</v>
      </c>
      <c r="CR274">
        <v>32458.799999999999</v>
      </c>
      <c r="CS274">
        <v>30713.200000000001</v>
      </c>
      <c r="CT274">
        <v>39974.400000000001</v>
      </c>
      <c r="CU274">
        <v>39595.300000000003</v>
      </c>
      <c r="CV274">
        <v>47401.4</v>
      </c>
      <c r="CW274">
        <v>46836.800000000003</v>
      </c>
      <c r="CX274">
        <v>2.6242200000000002</v>
      </c>
      <c r="CY274">
        <v>2.1333799999999998</v>
      </c>
      <c r="CZ274">
        <v>0</v>
      </c>
      <c r="DA274">
        <v>0</v>
      </c>
      <c r="DB274">
        <v>999.9</v>
      </c>
      <c r="DC274">
        <v>999.9</v>
      </c>
      <c r="DD274">
        <v>51.256999999999998</v>
      </c>
      <c r="DE274">
        <v>27.523</v>
      </c>
      <c r="DF274">
        <v>18.854399999999998</v>
      </c>
      <c r="DG274">
        <v>30.2501</v>
      </c>
      <c r="DH274">
        <v>16.506399999999999</v>
      </c>
      <c r="DI274">
        <v>2</v>
      </c>
      <c r="DJ274">
        <v>-0.12481299999999999</v>
      </c>
      <c r="DK274">
        <v>2.2327300000000001</v>
      </c>
      <c r="DL274">
        <v>20.1965</v>
      </c>
      <c r="DM274">
        <v>5.25047</v>
      </c>
      <c r="DN274">
        <v>12.033899999999999</v>
      </c>
      <c r="DO274">
        <v>4.9674399999999999</v>
      </c>
      <c r="DP274">
        <v>3.2909999999999999</v>
      </c>
      <c r="DQ274">
        <v>9999</v>
      </c>
      <c r="DR274">
        <v>9999</v>
      </c>
      <c r="DS274">
        <v>597.79999999999995</v>
      </c>
      <c r="DT274">
        <v>9999</v>
      </c>
      <c r="DU274">
        <v>1.87107</v>
      </c>
      <c r="DV274">
        <v>1.8761300000000001</v>
      </c>
      <c r="DW274">
        <v>1.87636</v>
      </c>
      <c r="DX274">
        <v>1.88279</v>
      </c>
      <c r="DY274">
        <v>1.8755999999999999</v>
      </c>
      <c r="DZ274">
        <v>1.8746799999999999</v>
      </c>
      <c r="EA274">
        <v>1.87087</v>
      </c>
      <c r="EB274">
        <v>1.8746799999999999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-0.88700000000000001</v>
      </c>
      <c r="EQ274">
        <v>9.2499999999999999E-2</v>
      </c>
      <c r="ER274">
        <v>-0.88700000000005697</v>
      </c>
      <c r="ES274">
        <v>0</v>
      </c>
      <c r="ET274">
        <v>0</v>
      </c>
      <c r="EU274">
        <v>0</v>
      </c>
      <c r="EV274">
        <v>9.2509999999998996E-2</v>
      </c>
      <c r="EW274">
        <v>0</v>
      </c>
      <c r="EX274">
        <v>0</v>
      </c>
      <c r="EY274">
        <v>0</v>
      </c>
      <c r="EZ274">
        <v>-1</v>
      </c>
      <c r="FA274">
        <v>-1</v>
      </c>
      <c r="FB274">
        <v>-1</v>
      </c>
      <c r="FC274">
        <v>-1</v>
      </c>
      <c r="FD274">
        <v>2.6</v>
      </c>
      <c r="FE274">
        <v>2.2999999999999998</v>
      </c>
      <c r="FF274">
        <v>1.24268</v>
      </c>
      <c r="FG274">
        <v>2.5964399999999999</v>
      </c>
      <c r="FH274">
        <v>2.19604</v>
      </c>
      <c r="FI274">
        <v>2.5744600000000002</v>
      </c>
      <c r="FJ274">
        <v>2.4462899999999999</v>
      </c>
      <c r="FK274">
        <v>2.2900399999999999</v>
      </c>
      <c r="FL274">
        <v>31.892700000000001</v>
      </c>
      <c r="FM274">
        <v>24.14</v>
      </c>
      <c r="FN274">
        <v>19</v>
      </c>
      <c r="FO274">
        <v>865.28499999999997</v>
      </c>
      <c r="FP274">
        <v>577.89599999999996</v>
      </c>
      <c r="FQ274">
        <v>17.886700000000001</v>
      </c>
      <c r="FR274">
        <v>25.4358</v>
      </c>
      <c r="FS274">
        <v>30.0001</v>
      </c>
      <c r="FT274">
        <v>25.418500000000002</v>
      </c>
      <c r="FU274">
        <v>25.417400000000001</v>
      </c>
      <c r="FV274">
        <v>24.9345</v>
      </c>
      <c r="FW274">
        <v>27.685199999999998</v>
      </c>
      <c r="FX274">
        <v>0.58992</v>
      </c>
      <c r="FY274">
        <v>17.9421</v>
      </c>
      <c r="FZ274">
        <v>410</v>
      </c>
      <c r="GA274">
        <v>14.338800000000001</v>
      </c>
      <c r="GB274">
        <v>99.883099999999999</v>
      </c>
      <c r="GC274">
        <v>99.707099999999997</v>
      </c>
    </row>
    <row r="275" spans="1:185" x14ac:dyDescent="0.2">
      <c r="A275">
        <v>260</v>
      </c>
      <c r="B275">
        <v>1771003844.0999999</v>
      </c>
      <c r="C275">
        <v>5221</v>
      </c>
      <c r="D275" t="s">
        <v>827</v>
      </c>
      <c r="E275" t="s">
        <v>828</v>
      </c>
      <c r="F275">
        <v>15</v>
      </c>
      <c r="G275">
        <v>1771003836.03333</v>
      </c>
      <c r="H275">
        <f t="shared" si="52"/>
        <v>1.3172494764296871E-3</v>
      </c>
      <c r="I275">
        <v>0</v>
      </c>
      <c r="J275">
        <f t="shared" si="64"/>
        <v>-1.2104716818837668E-2</v>
      </c>
      <c r="K275">
        <f t="shared" si="53"/>
        <v>-0.21644751918772046</v>
      </c>
      <c r="L275">
        <f t="shared" si="54"/>
        <v>73.254379454228015</v>
      </c>
      <c r="M275">
        <f t="shared" si="55"/>
        <v>1.6093729896584628</v>
      </c>
      <c r="N275">
        <f t="shared" si="56"/>
        <v>2.1969648799824415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26296.373214336025</v>
      </c>
      <c r="T275">
        <f t="shared" si="60"/>
        <v>800.00040000000001</v>
      </c>
      <c r="U275">
        <f t="shared" si="61"/>
        <v>674.40043640004967</v>
      </c>
      <c r="V275">
        <f t="shared" si="62"/>
        <v>0.84300012400000002</v>
      </c>
      <c r="W275">
        <f t="shared" si="63"/>
        <v>0.15870030999999998</v>
      </c>
      <c r="X275">
        <v>1</v>
      </c>
      <c r="Y275">
        <v>1771003836.03333</v>
      </c>
      <c r="Z275">
        <v>409.637333333333</v>
      </c>
      <c r="AA275">
        <v>410.04126666666701</v>
      </c>
      <c r="AB275">
        <v>16.029333333333302</v>
      </c>
      <c r="AC275">
        <v>14.4091666666667</v>
      </c>
      <c r="AD275">
        <v>410.524333333333</v>
      </c>
      <c r="AE275">
        <v>15.9368133333333</v>
      </c>
      <c r="AF275">
        <v>800.00093333333302</v>
      </c>
      <c r="AG275">
        <v>100.33733333333301</v>
      </c>
      <c r="AH275">
        <v>6.4408660000000006E-2</v>
      </c>
      <c r="AI275">
        <v>18.940200000000001</v>
      </c>
      <c r="AJ275">
        <v>999.9</v>
      </c>
      <c r="AK275">
        <v>999.9</v>
      </c>
      <c r="AL275">
        <v>0</v>
      </c>
      <c r="AM275">
        <v>0</v>
      </c>
      <c r="AN275">
        <v>4996.7666666666701</v>
      </c>
      <c r="AO275">
        <v>0</v>
      </c>
      <c r="AP275">
        <v>1.73587466666667</v>
      </c>
      <c r="AQ275">
        <v>-0.40388173333333299</v>
      </c>
      <c r="AR275">
        <v>416.31046666666703</v>
      </c>
      <c r="AS275">
        <v>416.035866666667</v>
      </c>
      <c r="AT275">
        <v>1.6201719999999999</v>
      </c>
      <c r="AU275">
        <v>410.04126666666701</v>
      </c>
      <c r="AV275">
        <v>14.4091666666667</v>
      </c>
      <c r="AW275">
        <v>1.6083386666666699</v>
      </c>
      <c r="AX275">
        <v>1.445776</v>
      </c>
      <c r="AY275">
        <v>14.038880000000001</v>
      </c>
      <c r="AZ275">
        <v>12.4059333333333</v>
      </c>
      <c r="BA275">
        <v>800.00040000000001</v>
      </c>
      <c r="BB275">
        <v>0.89999586666666698</v>
      </c>
      <c r="BC275">
        <v>0</v>
      </c>
      <c r="BD275">
        <v>0.100004133333333</v>
      </c>
      <c r="BE275">
        <v>0</v>
      </c>
      <c r="BF275">
        <v>25</v>
      </c>
      <c r="BG275">
        <v>13191.006666666701</v>
      </c>
      <c r="BH275">
        <v>1771003693.0999999</v>
      </c>
      <c r="BI275" t="s">
        <v>816</v>
      </c>
      <c r="BJ275">
        <v>1771003671.0999999</v>
      </c>
      <c r="BK275">
        <v>1771003693.0999999</v>
      </c>
      <c r="BL275">
        <v>15</v>
      </c>
      <c r="BM275">
        <v>-1.4999999999999999E-2</v>
      </c>
      <c r="BN275">
        <v>-6.0000000000000001E-3</v>
      </c>
      <c r="BO275">
        <v>-0.88700000000000001</v>
      </c>
      <c r="BP275">
        <v>9.2999999999999999E-2</v>
      </c>
      <c r="BQ275">
        <v>410</v>
      </c>
      <c r="BR275">
        <v>14</v>
      </c>
      <c r="BS275">
        <v>0.22</v>
      </c>
      <c r="BT275">
        <v>0.13</v>
      </c>
      <c r="BU275">
        <v>-0.250480545</v>
      </c>
      <c r="BV275">
        <v>-2.58698094586466</v>
      </c>
      <c r="BW275">
        <v>0.25274386211056299</v>
      </c>
      <c r="BX275">
        <v>0</v>
      </c>
      <c r="BY275">
        <v>0</v>
      </c>
      <c r="BZ275">
        <v>0</v>
      </c>
      <c r="CA275">
        <v>0</v>
      </c>
      <c r="CB275">
        <v>-1</v>
      </c>
      <c r="CC275">
        <v>1.5476684999999999</v>
      </c>
      <c r="CD275">
        <v>1.25488736842105</v>
      </c>
      <c r="CE275">
        <v>0.121720170484394</v>
      </c>
      <c r="CF275">
        <v>0</v>
      </c>
      <c r="CG275">
        <v>0</v>
      </c>
      <c r="CH275">
        <v>2</v>
      </c>
      <c r="CI275" t="s">
        <v>299</v>
      </c>
      <c r="CJ275">
        <v>3.5325299999999999</v>
      </c>
      <c r="CK275">
        <v>2.7023299999999999</v>
      </c>
      <c r="CL275">
        <v>9.8094600000000004E-2</v>
      </c>
      <c r="CM275">
        <v>9.6834000000000003E-2</v>
      </c>
      <c r="CN275">
        <v>8.9634000000000005E-2</v>
      </c>
      <c r="CO275">
        <v>8.1380999999999995E-2</v>
      </c>
      <c r="CP275">
        <v>31630</v>
      </c>
      <c r="CQ275">
        <v>27804.3</v>
      </c>
      <c r="CR275">
        <v>32458.5</v>
      </c>
      <c r="CS275">
        <v>30712.2</v>
      </c>
      <c r="CT275">
        <v>40006.199999999997</v>
      </c>
      <c r="CU275">
        <v>39673</v>
      </c>
      <c r="CV275">
        <v>47400.800000000003</v>
      </c>
      <c r="CW275">
        <v>46835.3</v>
      </c>
      <c r="CX275">
        <v>2.6244200000000002</v>
      </c>
      <c r="CY275">
        <v>2.13246</v>
      </c>
      <c r="CZ275">
        <v>0</v>
      </c>
      <c r="DA275">
        <v>0</v>
      </c>
      <c r="DB275">
        <v>999.9</v>
      </c>
      <c r="DC275">
        <v>999.9</v>
      </c>
      <c r="DD275">
        <v>51.232999999999997</v>
      </c>
      <c r="DE275">
        <v>27.523</v>
      </c>
      <c r="DF275">
        <v>18.8446</v>
      </c>
      <c r="DG275">
        <v>30.370100000000001</v>
      </c>
      <c r="DH275">
        <v>16.590499999999999</v>
      </c>
      <c r="DI275">
        <v>2</v>
      </c>
      <c r="DJ275">
        <v>-0.124579</v>
      </c>
      <c r="DK275">
        <v>2.1221100000000002</v>
      </c>
      <c r="DL275">
        <v>20.198</v>
      </c>
      <c r="DM275">
        <v>5.2511900000000002</v>
      </c>
      <c r="DN275">
        <v>12.033899999999999</v>
      </c>
      <c r="DO275">
        <v>4.9676400000000003</v>
      </c>
      <c r="DP275">
        <v>3.2909999999999999</v>
      </c>
      <c r="DQ275">
        <v>9999</v>
      </c>
      <c r="DR275">
        <v>9999</v>
      </c>
      <c r="DS275">
        <v>597.79999999999995</v>
      </c>
      <c r="DT275">
        <v>9999</v>
      </c>
      <c r="DU275">
        <v>1.87104</v>
      </c>
      <c r="DV275">
        <v>1.87608</v>
      </c>
      <c r="DW275">
        <v>1.8763300000000001</v>
      </c>
      <c r="DX275">
        <v>1.8827799999999999</v>
      </c>
      <c r="DY275">
        <v>1.87558</v>
      </c>
      <c r="DZ275">
        <v>1.8746799999999999</v>
      </c>
      <c r="EA275">
        <v>1.8708400000000001</v>
      </c>
      <c r="EB275">
        <v>1.8746100000000001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-0.88700000000000001</v>
      </c>
      <c r="EQ275">
        <v>9.2499999999999999E-2</v>
      </c>
      <c r="ER275">
        <v>-0.88700000000005697</v>
      </c>
      <c r="ES275">
        <v>0</v>
      </c>
      <c r="ET275">
        <v>0</v>
      </c>
      <c r="EU275">
        <v>0</v>
      </c>
      <c r="EV275">
        <v>9.2509999999998996E-2</v>
      </c>
      <c r="EW275">
        <v>0</v>
      </c>
      <c r="EX275">
        <v>0</v>
      </c>
      <c r="EY275">
        <v>0</v>
      </c>
      <c r="EZ275">
        <v>-1</v>
      </c>
      <c r="FA275">
        <v>-1</v>
      </c>
      <c r="FB275">
        <v>-1</v>
      </c>
      <c r="FC275">
        <v>-1</v>
      </c>
      <c r="FD275">
        <v>2.9</v>
      </c>
      <c r="FE275">
        <v>2.5</v>
      </c>
      <c r="FF275">
        <v>1.24268</v>
      </c>
      <c r="FG275">
        <v>2.5988799999999999</v>
      </c>
      <c r="FH275">
        <v>2.19604</v>
      </c>
      <c r="FI275">
        <v>2.5744600000000002</v>
      </c>
      <c r="FJ275">
        <v>2.4462899999999999</v>
      </c>
      <c r="FK275">
        <v>2.2839399999999999</v>
      </c>
      <c r="FL275">
        <v>31.9146</v>
      </c>
      <c r="FM275">
        <v>24.14</v>
      </c>
      <c r="FN275">
        <v>19</v>
      </c>
      <c r="FO275">
        <v>865.54</v>
      </c>
      <c r="FP275">
        <v>577.24599999999998</v>
      </c>
      <c r="FQ275">
        <v>18.018599999999999</v>
      </c>
      <c r="FR275">
        <v>25.442299999999999</v>
      </c>
      <c r="FS275">
        <v>30.0002</v>
      </c>
      <c r="FT275">
        <v>25.422799999999999</v>
      </c>
      <c r="FU275">
        <v>25.422499999999999</v>
      </c>
      <c r="FV275">
        <v>24.930399999999999</v>
      </c>
      <c r="FW275">
        <v>29.1936</v>
      </c>
      <c r="FX275">
        <v>0.21715499999999999</v>
      </c>
      <c r="FY275">
        <v>18.066500000000001</v>
      </c>
      <c r="FZ275">
        <v>410</v>
      </c>
      <c r="GA275">
        <v>14.0046</v>
      </c>
      <c r="GB275">
        <v>99.882000000000005</v>
      </c>
      <c r="GC275">
        <v>99.703800000000001</v>
      </c>
    </row>
    <row r="276" spans="1:185" x14ac:dyDescent="0.2">
      <c r="A276">
        <v>261</v>
      </c>
      <c r="B276">
        <v>1771003859.0999999</v>
      </c>
      <c r="C276">
        <v>5236</v>
      </c>
      <c r="D276" t="s">
        <v>829</v>
      </c>
      <c r="E276" t="s">
        <v>830</v>
      </c>
      <c r="F276">
        <v>15</v>
      </c>
      <c r="G276">
        <v>1771003851.03333</v>
      </c>
      <c r="H276">
        <f t="shared" si="52"/>
        <v>1.4671288137157921E-3</v>
      </c>
      <c r="I276">
        <v>0</v>
      </c>
      <c r="J276">
        <f t="shared" si="64"/>
        <v>1.2031584817301041E-3</v>
      </c>
      <c r="K276">
        <f t="shared" si="53"/>
        <v>2.151398272736724E-2</v>
      </c>
      <c r="L276">
        <f t="shared" si="54"/>
        <v>72.433213331832846</v>
      </c>
      <c r="M276">
        <f t="shared" si="55"/>
        <v>1.5925772008395802</v>
      </c>
      <c r="N276">
        <f t="shared" si="56"/>
        <v>2.1986836253468773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26309.481928061767</v>
      </c>
      <c r="T276">
        <f t="shared" si="60"/>
        <v>799.99860000000001</v>
      </c>
      <c r="U276">
        <f t="shared" si="61"/>
        <v>674.39893339980142</v>
      </c>
      <c r="V276">
        <f t="shared" si="62"/>
        <v>0.84300014200000029</v>
      </c>
      <c r="W276">
        <f t="shared" si="63"/>
        <v>0.15870022508000009</v>
      </c>
      <c r="X276">
        <v>1</v>
      </c>
      <c r="Y276">
        <v>1771003851.03333</v>
      </c>
      <c r="Z276">
        <v>409.24373333333301</v>
      </c>
      <c r="AA276">
        <v>410.02113333333301</v>
      </c>
      <c r="AB276">
        <v>15.8622533333333</v>
      </c>
      <c r="AC276">
        <v>14.057453333333299</v>
      </c>
      <c r="AD276">
        <v>410.13073333333301</v>
      </c>
      <c r="AE276">
        <v>15.7697466666667</v>
      </c>
      <c r="AF276">
        <v>800.00933333333296</v>
      </c>
      <c r="AG276">
        <v>100.335933333333</v>
      </c>
      <c r="AH276">
        <v>6.4505833333333304E-2</v>
      </c>
      <c r="AI276">
        <v>18.952726666666699</v>
      </c>
      <c r="AJ276">
        <v>999.9</v>
      </c>
      <c r="AK276">
        <v>999.9</v>
      </c>
      <c r="AL276">
        <v>0</v>
      </c>
      <c r="AM276">
        <v>0</v>
      </c>
      <c r="AN276">
        <v>4999.1666666666697</v>
      </c>
      <c r="AO276">
        <v>0</v>
      </c>
      <c r="AP276">
        <v>1.7425740000000001</v>
      </c>
      <c r="AQ276">
        <v>-0.77746179999999998</v>
      </c>
      <c r="AR276">
        <v>415.83980000000003</v>
      </c>
      <c r="AS276">
        <v>415.86713333333302</v>
      </c>
      <c r="AT276">
        <v>1.8048186666666699</v>
      </c>
      <c r="AU276">
        <v>410.02113333333301</v>
      </c>
      <c r="AV276">
        <v>14.057453333333299</v>
      </c>
      <c r="AW276">
        <v>1.5915553333333301</v>
      </c>
      <c r="AX276">
        <v>1.41046466666667</v>
      </c>
      <c r="AY276">
        <v>13.8772066666667</v>
      </c>
      <c r="AZ276">
        <v>12.0303533333333</v>
      </c>
      <c r="BA276">
        <v>799.99860000000001</v>
      </c>
      <c r="BB276">
        <v>0.89999720000000005</v>
      </c>
      <c r="BC276">
        <v>0</v>
      </c>
      <c r="BD276">
        <v>0.100002866666667</v>
      </c>
      <c r="BE276">
        <v>0</v>
      </c>
      <c r="BF276">
        <v>25</v>
      </c>
      <c r="BG276">
        <v>13190.993333333299</v>
      </c>
      <c r="BH276">
        <v>1771003693.0999999</v>
      </c>
      <c r="BI276" t="s">
        <v>816</v>
      </c>
      <c r="BJ276">
        <v>1771003671.0999999</v>
      </c>
      <c r="BK276">
        <v>1771003693.0999999</v>
      </c>
      <c r="BL276">
        <v>15</v>
      </c>
      <c r="BM276">
        <v>-1.4999999999999999E-2</v>
      </c>
      <c r="BN276">
        <v>-6.0000000000000001E-3</v>
      </c>
      <c r="BO276">
        <v>-0.88700000000000001</v>
      </c>
      <c r="BP276">
        <v>9.2999999999999999E-2</v>
      </c>
      <c r="BQ276">
        <v>410</v>
      </c>
      <c r="BR276">
        <v>14</v>
      </c>
      <c r="BS276">
        <v>0.22</v>
      </c>
      <c r="BT276">
        <v>0.13</v>
      </c>
      <c r="BU276">
        <v>-0.69721328571428598</v>
      </c>
      <c r="BV276">
        <v>-1.24894425974026</v>
      </c>
      <c r="BW276">
        <v>0.12930825517570399</v>
      </c>
      <c r="BX276">
        <v>0</v>
      </c>
      <c r="BY276">
        <v>0</v>
      </c>
      <c r="BZ276">
        <v>0</v>
      </c>
      <c r="CA276">
        <v>0</v>
      </c>
      <c r="CB276">
        <v>-1</v>
      </c>
      <c r="CC276">
        <v>1.76388238095238</v>
      </c>
      <c r="CD276">
        <v>0.61743662337662597</v>
      </c>
      <c r="CE276">
        <v>6.2563951807407703E-2</v>
      </c>
      <c r="CF276">
        <v>0</v>
      </c>
      <c r="CG276">
        <v>0</v>
      </c>
      <c r="CH276">
        <v>2</v>
      </c>
      <c r="CI276" t="s">
        <v>299</v>
      </c>
      <c r="CJ276">
        <v>3.5324800000000001</v>
      </c>
      <c r="CK276">
        <v>2.7023899999999998</v>
      </c>
      <c r="CL276">
        <v>9.8048200000000002E-2</v>
      </c>
      <c r="CM276">
        <v>9.6821000000000004E-2</v>
      </c>
      <c r="CN276">
        <v>8.8947799999999994E-2</v>
      </c>
      <c r="CO276">
        <v>8.0094499999999999E-2</v>
      </c>
      <c r="CP276">
        <v>31630.799999999999</v>
      </c>
      <c r="CQ276">
        <v>27804.6</v>
      </c>
      <c r="CR276">
        <v>32457.7</v>
      </c>
      <c r="CS276">
        <v>30712.1</v>
      </c>
      <c r="CT276">
        <v>40036.699999999997</v>
      </c>
      <c r="CU276">
        <v>39730.300000000003</v>
      </c>
      <c r="CV276">
        <v>47399.9</v>
      </c>
      <c r="CW276">
        <v>46835.5</v>
      </c>
      <c r="CX276">
        <v>2.62446</v>
      </c>
      <c r="CY276">
        <v>2.1318199999999998</v>
      </c>
      <c r="CZ276">
        <v>0</v>
      </c>
      <c r="DA276">
        <v>0</v>
      </c>
      <c r="DB276">
        <v>999.9</v>
      </c>
      <c r="DC276">
        <v>999.9</v>
      </c>
      <c r="DD276">
        <v>51.232999999999997</v>
      </c>
      <c r="DE276">
        <v>27.533000000000001</v>
      </c>
      <c r="DF276">
        <v>18.8552</v>
      </c>
      <c r="DG276">
        <v>30.520099999999999</v>
      </c>
      <c r="DH276">
        <v>16.654599999999999</v>
      </c>
      <c r="DI276">
        <v>2</v>
      </c>
      <c r="DJ276">
        <v>-0.124197</v>
      </c>
      <c r="DK276">
        <v>2.0531899999999998</v>
      </c>
      <c r="DL276">
        <v>20.198899999999998</v>
      </c>
      <c r="DM276">
        <v>5.2510700000000003</v>
      </c>
      <c r="DN276">
        <v>12.033899999999999</v>
      </c>
      <c r="DO276">
        <v>4.9676</v>
      </c>
      <c r="DP276">
        <v>3.2909999999999999</v>
      </c>
      <c r="DQ276">
        <v>9999</v>
      </c>
      <c r="DR276">
        <v>9999</v>
      </c>
      <c r="DS276">
        <v>597.79999999999995</v>
      </c>
      <c r="DT276">
        <v>9999</v>
      </c>
      <c r="DU276">
        <v>1.87103</v>
      </c>
      <c r="DV276">
        <v>1.87608</v>
      </c>
      <c r="DW276">
        <v>1.87629</v>
      </c>
      <c r="DX276">
        <v>1.8827799999999999</v>
      </c>
      <c r="DY276">
        <v>1.87557</v>
      </c>
      <c r="DZ276">
        <v>1.8746400000000001</v>
      </c>
      <c r="EA276">
        <v>1.8708</v>
      </c>
      <c r="EB276">
        <v>1.8746100000000001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-0.88700000000000001</v>
      </c>
      <c r="EQ276">
        <v>9.2499999999999999E-2</v>
      </c>
      <c r="ER276">
        <v>-0.88700000000005697</v>
      </c>
      <c r="ES276">
        <v>0</v>
      </c>
      <c r="ET276">
        <v>0</v>
      </c>
      <c r="EU276">
        <v>0</v>
      </c>
      <c r="EV276">
        <v>9.2509999999998996E-2</v>
      </c>
      <c r="EW276">
        <v>0</v>
      </c>
      <c r="EX276">
        <v>0</v>
      </c>
      <c r="EY276">
        <v>0</v>
      </c>
      <c r="EZ276">
        <v>-1</v>
      </c>
      <c r="FA276">
        <v>-1</v>
      </c>
      <c r="FB276">
        <v>-1</v>
      </c>
      <c r="FC276">
        <v>-1</v>
      </c>
      <c r="FD276">
        <v>3.1</v>
      </c>
      <c r="FE276">
        <v>2.8</v>
      </c>
      <c r="FF276">
        <v>1.24146</v>
      </c>
      <c r="FG276">
        <v>2.5964399999999999</v>
      </c>
      <c r="FH276">
        <v>2.19604</v>
      </c>
      <c r="FI276">
        <v>2.5744600000000002</v>
      </c>
      <c r="FJ276">
        <v>2.4462899999999999</v>
      </c>
      <c r="FK276">
        <v>2.2509800000000002</v>
      </c>
      <c r="FL276">
        <v>31.9146</v>
      </c>
      <c r="FM276">
        <v>24.14</v>
      </c>
      <c r="FN276">
        <v>19</v>
      </c>
      <c r="FO276">
        <v>865.65300000000002</v>
      </c>
      <c r="FP276">
        <v>576.81600000000003</v>
      </c>
      <c r="FQ276">
        <v>18.130700000000001</v>
      </c>
      <c r="FR276">
        <v>25.448699999999999</v>
      </c>
      <c r="FS276">
        <v>30.0001</v>
      </c>
      <c r="FT276">
        <v>25.427499999999998</v>
      </c>
      <c r="FU276">
        <v>25.428100000000001</v>
      </c>
      <c r="FV276">
        <v>24.929400000000001</v>
      </c>
      <c r="FW276">
        <v>30.386199999999999</v>
      </c>
      <c r="FX276">
        <v>0</v>
      </c>
      <c r="FY276">
        <v>18.1633</v>
      </c>
      <c r="FZ276">
        <v>410</v>
      </c>
      <c r="GA276">
        <v>13.786099999999999</v>
      </c>
      <c r="GB276">
        <v>99.88</v>
      </c>
      <c r="GC276">
        <v>99.704099999999997</v>
      </c>
    </row>
    <row r="277" spans="1:185" x14ac:dyDescent="0.2">
      <c r="A277">
        <v>262</v>
      </c>
      <c r="B277">
        <v>1771003874.0999999</v>
      </c>
      <c r="C277">
        <v>5251</v>
      </c>
      <c r="D277" t="s">
        <v>831</v>
      </c>
      <c r="E277" t="s">
        <v>832</v>
      </c>
      <c r="F277">
        <v>15</v>
      </c>
      <c r="G277">
        <v>1771003866.03333</v>
      </c>
      <c r="H277">
        <f t="shared" si="52"/>
        <v>1.528210639721327E-3</v>
      </c>
      <c r="I277">
        <v>0</v>
      </c>
      <c r="J277">
        <f t="shared" si="64"/>
        <v>6.3797130361528077E-3</v>
      </c>
      <c r="K277">
        <f t="shared" si="53"/>
        <v>0.11407727090780724</v>
      </c>
      <c r="L277">
        <f t="shared" si="54"/>
        <v>71.646436997428083</v>
      </c>
      <c r="M277">
        <f t="shared" si="55"/>
        <v>1.5773434419190073</v>
      </c>
      <c r="N277">
        <f t="shared" si="56"/>
        <v>2.2015657833419264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26350.319072638642</v>
      </c>
      <c r="T277">
        <f t="shared" si="60"/>
        <v>800</v>
      </c>
      <c r="U277">
        <f t="shared" si="61"/>
        <v>674.40015199999993</v>
      </c>
      <c r="V277">
        <f t="shared" si="62"/>
        <v>0.84300018999999993</v>
      </c>
      <c r="W277">
        <f t="shared" si="63"/>
        <v>0.15870008523999998</v>
      </c>
      <c r="X277">
        <v>1</v>
      </c>
      <c r="Y277">
        <v>1771003866.03333</v>
      </c>
      <c r="Z277">
        <v>409.09326666666698</v>
      </c>
      <c r="AA277">
        <v>410.017333333333</v>
      </c>
      <c r="AB277">
        <v>15.7106866666667</v>
      </c>
      <c r="AC277">
        <v>13.830446666666701</v>
      </c>
      <c r="AD277">
        <v>409.98026666666698</v>
      </c>
      <c r="AE277">
        <v>15.618173333333299</v>
      </c>
      <c r="AF277">
        <v>800.005</v>
      </c>
      <c r="AG277">
        <v>100.334933333333</v>
      </c>
      <c r="AH277">
        <v>6.4462019999999995E-2</v>
      </c>
      <c r="AI277">
        <v>18.973713333333301</v>
      </c>
      <c r="AJ277">
        <v>999.9</v>
      </c>
      <c r="AK277">
        <v>999.9</v>
      </c>
      <c r="AL277">
        <v>0</v>
      </c>
      <c r="AM277">
        <v>0</v>
      </c>
      <c r="AN277">
        <v>5006.2333333333299</v>
      </c>
      <c r="AO277">
        <v>0</v>
      </c>
      <c r="AP277">
        <v>1.72639066666667</v>
      </c>
      <c r="AQ277">
        <v>-0.92403766666666698</v>
      </c>
      <c r="AR277">
        <v>415.62293333333298</v>
      </c>
      <c r="AS277">
        <v>415.76740000000001</v>
      </c>
      <c r="AT277">
        <v>1.880234</v>
      </c>
      <c r="AU277">
        <v>410.017333333333</v>
      </c>
      <c r="AV277">
        <v>13.830446666666701</v>
      </c>
      <c r="AW277">
        <v>1.5763293333333299</v>
      </c>
      <c r="AX277">
        <v>1.38767666666667</v>
      </c>
      <c r="AY277">
        <v>13.729293333333301</v>
      </c>
      <c r="AZ277">
        <v>11.7835533333333</v>
      </c>
      <c r="BA277">
        <v>800</v>
      </c>
      <c r="BB277">
        <v>0.89999946666666697</v>
      </c>
      <c r="BC277">
        <v>0</v>
      </c>
      <c r="BD277">
        <v>0.10000073333333299</v>
      </c>
      <c r="BE277">
        <v>0</v>
      </c>
      <c r="BF277">
        <v>25</v>
      </c>
      <c r="BG277">
        <v>13191.0133333333</v>
      </c>
      <c r="BH277">
        <v>1771003693.0999999</v>
      </c>
      <c r="BI277" t="s">
        <v>816</v>
      </c>
      <c r="BJ277">
        <v>1771003671.0999999</v>
      </c>
      <c r="BK277">
        <v>1771003693.0999999</v>
      </c>
      <c r="BL277">
        <v>15</v>
      </c>
      <c r="BM277">
        <v>-1.4999999999999999E-2</v>
      </c>
      <c r="BN277">
        <v>-6.0000000000000001E-3</v>
      </c>
      <c r="BO277">
        <v>-0.88700000000000001</v>
      </c>
      <c r="BP277">
        <v>9.2999999999999999E-2</v>
      </c>
      <c r="BQ277">
        <v>410</v>
      </c>
      <c r="BR277">
        <v>14</v>
      </c>
      <c r="BS277">
        <v>0.22</v>
      </c>
      <c r="BT277">
        <v>0.13</v>
      </c>
      <c r="BU277">
        <v>-0.89813535</v>
      </c>
      <c r="BV277">
        <v>-0.51302828571428705</v>
      </c>
      <c r="BW277">
        <v>5.2130139800575098E-2</v>
      </c>
      <c r="BX277">
        <v>0</v>
      </c>
      <c r="BY277">
        <v>0</v>
      </c>
      <c r="BZ277">
        <v>0</v>
      </c>
      <c r="CA277">
        <v>0</v>
      </c>
      <c r="CB277">
        <v>-1</v>
      </c>
      <c r="CC277">
        <v>1.869982</v>
      </c>
      <c r="CD277">
        <v>0.18060721804511101</v>
      </c>
      <c r="CE277">
        <v>1.9616505703106302E-2</v>
      </c>
      <c r="CF277">
        <v>0</v>
      </c>
      <c r="CG277">
        <v>0</v>
      </c>
      <c r="CH277">
        <v>2</v>
      </c>
      <c r="CI277" t="s">
        <v>299</v>
      </c>
      <c r="CJ277">
        <v>3.53254</v>
      </c>
      <c r="CK277">
        <v>2.7021500000000001</v>
      </c>
      <c r="CL277">
        <v>9.8030599999999996E-2</v>
      </c>
      <c r="CM277">
        <v>9.6823099999999995E-2</v>
      </c>
      <c r="CN277">
        <v>8.8425400000000001E-2</v>
      </c>
      <c r="CO277">
        <v>7.9448500000000005E-2</v>
      </c>
      <c r="CP277">
        <v>31630.799999999999</v>
      </c>
      <c r="CQ277">
        <v>27804.1</v>
      </c>
      <c r="CR277">
        <v>32457.1</v>
      </c>
      <c r="CS277">
        <v>30711.7</v>
      </c>
      <c r="CT277">
        <v>40059.800000000003</v>
      </c>
      <c r="CU277">
        <v>39758.400000000001</v>
      </c>
      <c r="CV277">
        <v>47399.199999999997</v>
      </c>
      <c r="CW277">
        <v>46834.9</v>
      </c>
      <c r="CX277">
        <v>2.6243599999999998</v>
      </c>
      <c r="CY277">
        <v>2.13096</v>
      </c>
      <c r="CZ277">
        <v>0</v>
      </c>
      <c r="DA277">
        <v>0</v>
      </c>
      <c r="DB277">
        <v>999.9</v>
      </c>
      <c r="DC277">
        <v>999.9</v>
      </c>
      <c r="DD277">
        <v>51.183999999999997</v>
      </c>
      <c r="DE277">
        <v>27.553000000000001</v>
      </c>
      <c r="DF277">
        <v>18.860399999999998</v>
      </c>
      <c r="DG277">
        <v>30.310099999999998</v>
      </c>
      <c r="DH277">
        <v>16.578499999999998</v>
      </c>
      <c r="DI277">
        <v>2</v>
      </c>
      <c r="DJ277">
        <v>-0.12356300000000001</v>
      </c>
      <c r="DK277">
        <v>2.0514800000000002</v>
      </c>
      <c r="DL277">
        <v>20.198799999999999</v>
      </c>
      <c r="DM277">
        <v>5.2513100000000001</v>
      </c>
      <c r="DN277">
        <v>12.033899999999999</v>
      </c>
      <c r="DO277">
        <v>4.9674800000000001</v>
      </c>
      <c r="DP277">
        <v>3.2909999999999999</v>
      </c>
      <c r="DQ277">
        <v>9999</v>
      </c>
      <c r="DR277">
        <v>9999</v>
      </c>
      <c r="DS277">
        <v>597.79999999999995</v>
      </c>
      <c r="DT277">
        <v>9999</v>
      </c>
      <c r="DU277">
        <v>1.87104</v>
      </c>
      <c r="DV277">
        <v>1.8760699999999999</v>
      </c>
      <c r="DW277">
        <v>1.8762399999999999</v>
      </c>
      <c r="DX277">
        <v>1.8827799999999999</v>
      </c>
      <c r="DY277">
        <v>1.87554</v>
      </c>
      <c r="DZ277">
        <v>1.8746</v>
      </c>
      <c r="EA277">
        <v>1.87079</v>
      </c>
      <c r="EB277">
        <v>1.87456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-0.88700000000000001</v>
      </c>
      <c r="EQ277">
        <v>9.2499999999999999E-2</v>
      </c>
      <c r="ER277">
        <v>-0.88700000000005697</v>
      </c>
      <c r="ES277">
        <v>0</v>
      </c>
      <c r="ET277">
        <v>0</v>
      </c>
      <c r="EU277">
        <v>0</v>
      </c>
      <c r="EV277">
        <v>9.2509999999998996E-2</v>
      </c>
      <c r="EW277">
        <v>0</v>
      </c>
      <c r="EX277">
        <v>0</v>
      </c>
      <c r="EY277">
        <v>0</v>
      </c>
      <c r="EZ277">
        <v>-1</v>
      </c>
      <c r="FA277">
        <v>-1</v>
      </c>
      <c r="FB277">
        <v>-1</v>
      </c>
      <c r="FC277">
        <v>-1</v>
      </c>
      <c r="FD277">
        <v>3.4</v>
      </c>
      <c r="FE277">
        <v>3</v>
      </c>
      <c r="FF277">
        <v>1.24146</v>
      </c>
      <c r="FG277">
        <v>2.5939899999999998</v>
      </c>
      <c r="FH277">
        <v>2.19604</v>
      </c>
      <c r="FI277">
        <v>2.5744600000000002</v>
      </c>
      <c r="FJ277">
        <v>2.4462899999999999</v>
      </c>
      <c r="FK277">
        <v>2.2839399999999999</v>
      </c>
      <c r="FL277">
        <v>31.9146</v>
      </c>
      <c r="FM277">
        <v>24.14</v>
      </c>
      <c r="FN277">
        <v>19</v>
      </c>
      <c r="FO277">
        <v>865.62900000000002</v>
      </c>
      <c r="FP277">
        <v>576.20399999999995</v>
      </c>
      <c r="FQ277">
        <v>18.205300000000001</v>
      </c>
      <c r="FR277">
        <v>25.453399999999998</v>
      </c>
      <c r="FS277">
        <v>30.0002</v>
      </c>
      <c r="FT277">
        <v>25.431799999999999</v>
      </c>
      <c r="FU277">
        <v>25.432300000000001</v>
      </c>
      <c r="FV277">
        <v>24.927199999999999</v>
      </c>
      <c r="FW277">
        <v>30.976800000000001</v>
      </c>
      <c r="FX277">
        <v>0</v>
      </c>
      <c r="FY277">
        <v>18.214500000000001</v>
      </c>
      <c r="FZ277">
        <v>410</v>
      </c>
      <c r="GA277">
        <v>13.6304</v>
      </c>
      <c r="GB277">
        <v>99.878399999999999</v>
      </c>
      <c r="GC277">
        <v>99.702699999999993</v>
      </c>
    </row>
    <row r="278" spans="1:185" x14ac:dyDescent="0.2">
      <c r="A278">
        <v>263</v>
      </c>
      <c r="B278">
        <v>1771003889.0999999</v>
      </c>
      <c r="C278">
        <v>5266</v>
      </c>
      <c r="D278" t="s">
        <v>833</v>
      </c>
      <c r="E278" t="s">
        <v>834</v>
      </c>
      <c r="F278">
        <v>15</v>
      </c>
      <c r="G278">
        <v>1771003881.03333</v>
      </c>
      <c r="H278">
        <f t="shared" si="52"/>
        <v>1.5591209293948811E-3</v>
      </c>
      <c r="I278">
        <v>0</v>
      </c>
      <c r="J278">
        <f t="shared" si="64"/>
        <v>9.4261430488446919E-3</v>
      </c>
      <c r="K278">
        <f t="shared" si="53"/>
        <v>0.1685512605512503</v>
      </c>
      <c r="L278">
        <f t="shared" si="54"/>
        <v>71.059751525781905</v>
      </c>
      <c r="M278">
        <f t="shared" si="55"/>
        <v>1.5667030891254732</v>
      </c>
      <c r="N278">
        <f t="shared" si="56"/>
        <v>2.204768600347613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26300.09029040864</v>
      </c>
      <c r="T278">
        <f t="shared" si="60"/>
        <v>800.000133333333</v>
      </c>
      <c r="U278">
        <f t="shared" si="61"/>
        <v>674.4002250400182</v>
      </c>
      <c r="V278">
        <f t="shared" si="62"/>
        <v>0.84300014079999963</v>
      </c>
      <c r="W278">
        <f t="shared" si="63"/>
        <v>0.15870001420799995</v>
      </c>
      <c r="X278">
        <v>1</v>
      </c>
      <c r="Y278">
        <v>1771003881.03333</v>
      </c>
      <c r="Z278">
        <v>409.00953333333302</v>
      </c>
      <c r="AA278">
        <v>410.017333333333</v>
      </c>
      <c r="AB278">
        <v>15.6047733333333</v>
      </c>
      <c r="AC278">
        <v>13.686299999999999</v>
      </c>
      <c r="AD278">
        <v>409.89653333333302</v>
      </c>
      <c r="AE278">
        <v>15.512259999999999</v>
      </c>
      <c r="AF278">
        <v>800.00653333333298</v>
      </c>
      <c r="AG278">
        <v>100.334666666667</v>
      </c>
      <c r="AH278">
        <v>6.4298166666666698E-2</v>
      </c>
      <c r="AI278">
        <v>18.997006666666699</v>
      </c>
      <c r="AJ278">
        <v>999.9</v>
      </c>
      <c r="AK278">
        <v>999.9</v>
      </c>
      <c r="AL278">
        <v>0</v>
      </c>
      <c r="AM278">
        <v>0</v>
      </c>
      <c r="AN278">
        <v>4998.3333333333303</v>
      </c>
      <c r="AO278">
        <v>0</v>
      </c>
      <c r="AP278">
        <v>1.73662733333333</v>
      </c>
      <c r="AQ278">
        <v>-1.0076422</v>
      </c>
      <c r="AR278">
        <v>415.49340000000001</v>
      </c>
      <c r="AS278">
        <v>415.70673333333298</v>
      </c>
      <c r="AT278">
        <v>1.9184760000000001</v>
      </c>
      <c r="AU278">
        <v>410.017333333333</v>
      </c>
      <c r="AV278">
        <v>13.686299999999999</v>
      </c>
      <c r="AW278">
        <v>1.56570066666667</v>
      </c>
      <c r="AX278">
        <v>1.37321266666667</v>
      </c>
      <c r="AY278">
        <v>13.625299999999999</v>
      </c>
      <c r="AZ278">
        <v>11.6249533333333</v>
      </c>
      <c r="BA278">
        <v>800.000133333333</v>
      </c>
      <c r="BB278">
        <v>0.90000033333333296</v>
      </c>
      <c r="BC278">
        <v>0</v>
      </c>
      <c r="BD278">
        <v>9.9999840000000007E-2</v>
      </c>
      <c r="BE278">
        <v>0</v>
      </c>
      <c r="BF278">
        <v>25</v>
      </c>
      <c r="BG278">
        <v>13191.02</v>
      </c>
      <c r="BH278">
        <v>1771003693.0999999</v>
      </c>
      <c r="BI278" t="s">
        <v>816</v>
      </c>
      <c r="BJ278">
        <v>1771003671.0999999</v>
      </c>
      <c r="BK278">
        <v>1771003693.0999999</v>
      </c>
      <c r="BL278">
        <v>15</v>
      </c>
      <c r="BM278">
        <v>-1.4999999999999999E-2</v>
      </c>
      <c r="BN278">
        <v>-6.0000000000000001E-3</v>
      </c>
      <c r="BO278">
        <v>-0.88700000000000001</v>
      </c>
      <c r="BP278">
        <v>9.2999999999999999E-2</v>
      </c>
      <c r="BQ278">
        <v>410</v>
      </c>
      <c r="BR278">
        <v>14</v>
      </c>
      <c r="BS278">
        <v>0.22</v>
      </c>
      <c r="BT278">
        <v>0.13</v>
      </c>
      <c r="BU278">
        <v>-0.99582104999999999</v>
      </c>
      <c r="BV278">
        <v>-0.21503652631578901</v>
      </c>
      <c r="BW278">
        <v>3.7870709720673301E-2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1.9134234999999999</v>
      </c>
      <c r="CD278">
        <v>0.11329488721804699</v>
      </c>
      <c r="CE278">
        <v>1.3762250642609299E-2</v>
      </c>
      <c r="CF278">
        <v>0</v>
      </c>
      <c r="CG278">
        <v>1</v>
      </c>
      <c r="CH278">
        <v>2</v>
      </c>
      <c r="CI278" t="s">
        <v>290</v>
      </c>
      <c r="CJ278">
        <v>3.5325500000000001</v>
      </c>
      <c r="CK278">
        <v>2.7021700000000002</v>
      </c>
      <c r="CL278">
        <v>9.8017099999999996E-2</v>
      </c>
      <c r="CM278">
        <v>9.6819199999999994E-2</v>
      </c>
      <c r="CN278">
        <v>8.7983900000000004E-2</v>
      </c>
      <c r="CO278">
        <v>7.8982399999999994E-2</v>
      </c>
      <c r="CP278">
        <v>31631.599999999999</v>
      </c>
      <c r="CQ278">
        <v>27803.8</v>
      </c>
      <c r="CR278">
        <v>32457.5</v>
      </c>
      <c r="CS278">
        <v>30711.200000000001</v>
      </c>
      <c r="CT278">
        <v>40080.1</v>
      </c>
      <c r="CU278">
        <v>39778.5</v>
      </c>
      <c r="CV278">
        <v>47399.5</v>
      </c>
      <c r="CW278">
        <v>46834.3</v>
      </c>
      <c r="CX278">
        <v>2.62418</v>
      </c>
      <c r="CY278">
        <v>2.1305200000000002</v>
      </c>
      <c r="CZ278">
        <v>0</v>
      </c>
      <c r="DA278">
        <v>0</v>
      </c>
      <c r="DB278">
        <v>999.9</v>
      </c>
      <c r="DC278">
        <v>999.9</v>
      </c>
      <c r="DD278">
        <v>51.183999999999997</v>
      </c>
      <c r="DE278">
        <v>27.553000000000001</v>
      </c>
      <c r="DF278">
        <v>18.860800000000001</v>
      </c>
      <c r="DG278">
        <v>30.490100000000002</v>
      </c>
      <c r="DH278">
        <v>16.502400000000002</v>
      </c>
      <c r="DI278">
        <v>2</v>
      </c>
      <c r="DJ278">
        <v>-0.123238</v>
      </c>
      <c r="DK278">
        <v>2.11198</v>
      </c>
      <c r="DL278">
        <v>20.197900000000001</v>
      </c>
      <c r="DM278">
        <v>5.2507099999999998</v>
      </c>
      <c r="DN278">
        <v>12.033899999999999</v>
      </c>
      <c r="DO278">
        <v>4.9674399999999999</v>
      </c>
      <c r="DP278">
        <v>3.2909999999999999</v>
      </c>
      <c r="DQ278">
        <v>9999</v>
      </c>
      <c r="DR278">
        <v>9999</v>
      </c>
      <c r="DS278">
        <v>597.79999999999995</v>
      </c>
      <c r="DT278">
        <v>9999</v>
      </c>
      <c r="DU278">
        <v>1.87103</v>
      </c>
      <c r="DV278">
        <v>1.8760699999999999</v>
      </c>
      <c r="DW278">
        <v>1.8762399999999999</v>
      </c>
      <c r="DX278">
        <v>1.8827700000000001</v>
      </c>
      <c r="DY278">
        <v>1.87551</v>
      </c>
      <c r="DZ278">
        <v>1.8745799999999999</v>
      </c>
      <c r="EA278">
        <v>1.87077</v>
      </c>
      <c r="EB278">
        <v>1.8745499999999999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-0.88700000000000001</v>
      </c>
      <c r="EQ278">
        <v>9.2499999999999999E-2</v>
      </c>
      <c r="ER278">
        <v>-0.88700000000005697</v>
      </c>
      <c r="ES278">
        <v>0</v>
      </c>
      <c r="ET278">
        <v>0</v>
      </c>
      <c r="EU278">
        <v>0</v>
      </c>
      <c r="EV278">
        <v>9.2509999999998996E-2</v>
      </c>
      <c r="EW278">
        <v>0</v>
      </c>
      <c r="EX278">
        <v>0</v>
      </c>
      <c r="EY278">
        <v>0</v>
      </c>
      <c r="EZ278">
        <v>-1</v>
      </c>
      <c r="FA278">
        <v>-1</v>
      </c>
      <c r="FB278">
        <v>-1</v>
      </c>
      <c r="FC278">
        <v>-1</v>
      </c>
      <c r="FD278">
        <v>3.6</v>
      </c>
      <c r="FE278">
        <v>3.3</v>
      </c>
      <c r="FF278">
        <v>1.24146</v>
      </c>
      <c r="FG278">
        <v>2.5952099999999998</v>
      </c>
      <c r="FH278">
        <v>2.19604</v>
      </c>
      <c r="FI278">
        <v>2.5744600000000002</v>
      </c>
      <c r="FJ278">
        <v>2.4462899999999999</v>
      </c>
      <c r="FK278">
        <v>2.2936999999999999</v>
      </c>
      <c r="FL278">
        <v>31.9146</v>
      </c>
      <c r="FM278">
        <v>24.148800000000001</v>
      </c>
      <c r="FN278">
        <v>19</v>
      </c>
      <c r="FO278">
        <v>865.52300000000002</v>
      </c>
      <c r="FP278">
        <v>575.90099999999995</v>
      </c>
      <c r="FQ278">
        <v>18.224299999999999</v>
      </c>
      <c r="FR278">
        <v>25.4559</v>
      </c>
      <c r="FS278">
        <v>30.000299999999999</v>
      </c>
      <c r="FT278">
        <v>25.435600000000001</v>
      </c>
      <c r="FU278">
        <v>25.435300000000002</v>
      </c>
      <c r="FV278">
        <v>24.923999999999999</v>
      </c>
      <c r="FW278">
        <v>31.546600000000002</v>
      </c>
      <c r="FX278">
        <v>0</v>
      </c>
      <c r="FY278">
        <v>17.966100000000001</v>
      </c>
      <c r="FZ278">
        <v>410</v>
      </c>
      <c r="GA278">
        <v>13.545299999999999</v>
      </c>
      <c r="GB278">
        <v>99.879199999999997</v>
      </c>
      <c r="GC278">
        <v>99.701300000000003</v>
      </c>
    </row>
    <row r="279" spans="1:185" x14ac:dyDescent="0.2">
      <c r="A279">
        <v>264</v>
      </c>
      <c r="B279">
        <v>1771003904.0999999</v>
      </c>
      <c r="C279">
        <v>5281</v>
      </c>
      <c r="D279" t="s">
        <v>835</v>
      </c>
      <c r="E279" t="s">
        <v>836</v>
      </c>
      <c r="F279">
        <v>15</v>
      </c>
      <c r="G279">
        <v>1771003896.03333</v>
      </c>
      <c r="H279">
        <f t="shared" si="52"/>
        <v>1.5608609031844576E-3</v>
      </c>
      <c r="I279">
        <v>0</v>
      </c>
      <c r="J279">
        <f t="shared" si="64"/>
        <v>9.926287219150811E-3</v>
      </c>
      <c r="K279">
        <f t="shared" si="53"/>
        <v>0.1774944656273485</v>
      </c>
      <c r="L279">
        <f t="shared" si="54"/>
        <v>70.600156391260427</v>
      </c>
      <c r="M279">
        <f t="shared" si="55"/>
        <v>1.5579013500783516</v>
      </c>
      <c r="N279">
        <f t="shared" si="56"/>
        <v>2.206654247965949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26302.60444192047</v>
      </c>
      <c r="T279">
        <f t="shared" si="60"/>
        <v>799.99933333333297</v>
      </c>
      <c r="U279">
        <f t="shared" si="61"/>
        <v>674.39953751991698</v>
      </c>
      <c r="V279">
        <f t="shared" si="62"/>
        <v>0.84300012440000027</v>
      </c>
      <c r="W279">
        <f t="shared" si="63"/>
        <v>0.15869994722400005</v>
      </c>
      <c r="X279">
        <v>1</v>
      </c>
      <c r="Y279">
        <v>1771003896.03333</v>
      </c>
      <c r="Z279">
        <v>408.975866666667</v>
      </c>
      <c r="AA279">
        <v>409.99566666666698</v>
      </c>
      <c r="AB279">
        <v>15.517160000000001</v>
      </c>
      <c r="AC279">
        <v>13.59638</v>
      </c>
      <c r="AD279">
        <v>409.86279999999999</v>
      </c>
      <c r="AE279">
        <v>15.4246466666667</v>
      </c>
      <c r="AF279">
        <v>800.008733333333</v>
      </c>
      <c r="AG279">
        <v>100.33426666666701</v>
      </c>
      <c r="AH279">
        <v>6.4346873333333304E-2</v>
      </c>
      <c r="AI279">
        <v>19.0107066666667</v>
      </c>
      <c r="AJ279">
        <v>999.9</v>
      </c>
      <c r="AK279">
        <v>999.9</v>
      </c>
      <c r="AL279">
        <v>0</v>
      </c>
      <c r="AM279">
        <v>0</v>
      </c>
      <c r="AN279">
        <v>4998.9666666666699</v>
      </c>
      <c r="AO279">
        <v>0</v>
      </c>
      <c r="AP279">
        <v>1.7397133333333299</v>
      </c>
      <c r="AQ279">
        <v>-1.0199764</v>
      </c>
      <c r="AR279">
        <v>415.42186666666697</v>
      </c>
      <c r="AS279">
        <v>415.647066666667</v>
      </c>
      <c r="AT279">
        <v>1.9207719999999999</v>
      </c>
      <c r="AU279">
        <v>409.99566666666698</v>
      </c>
      <c r="AV279">
        <v>13.59638</v>
      </c>
      <c r="AW279">
        <v>1.5569</v>
      </c>
      <c r="AX279">
        <v>1.36418333333333</v>
      </c>
      <c r="AY279">
        <v>13.5387133333333</v>
      </c>
      <c r="AZ279">
        <v>11.5252</v>
      </c>
      <c r="BA279">
        <v>799.99933333333297</v>
      </c>
      <c r="BB279">
        <v>0.90000126666666702</v>
      </c>
      <c r="BC279">
        <v>0</v>
      </c>
      <c r="BD279">
        <v>9.9998920000000005E-2</v>
      </c>
      <c r="BE279">
        <v>0</v>
      </c>
      <c r="BF279">
        <v>25</v>
      </c>
      <c r="BG279">
        <v>13191.0133333333</v>
      </c>
      <c r="BH279">
        <v>1771003693.0999999</v>
      </c>
      <c r="BI279" t="s">
        <v>816</v>
      </c>
      <c r="BJ279">
        <v>1771003671.0999999</v>
      </c>
      <c r="BK279">
        <v>1771003693.0999999</v>
      </c>
      <c r="BL279">
        <v>15</v>
      </c>
      <c r="BM279">
        <v>-1.4999999999999999E-2</v>
      </c>
      <c r="BN279">
        <v>-6.0000000000000001E-3</v>
      </c>
      <c r="BO279">
        <v>-0.88700000000000001</v>
      </c>
      <c r="BP279">
        <v>9.2999999999999999E-2</v>
      </c>
      <c r="BQ279">
        <v>410</v>
      </c>
      <c r="BR279">
        <v>14</v>
      </c>
      <c r="BS279">
        <v>0.22</v>
      </c>
      <c r="BT279">
        <v>0.13</v>
      </c>
      <c r="BU279">
        <v>-1.01856955</v>
      </c>
      <c r="BV279">
        <v>-0.11420287218045</v>
      </c>
      <c r="BW279">
        <v>3.1798708158469302E-2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1.9214745</v>
      </c>
      <c r="CD279">
        <v>1.0091729323350701E-3</v>
      </c>
      <c r="CE279">
        <v>8.5026151712281998E-3</v>
      </c>
      <c r="CF279">
        <v>1</v>
      </c>
      <c r="CG279">
        <v>2</v>
      </c>
      <c r="CH279">
        <v>2</v>
      </c>
      <c r="CI279" t="s">
        <v>304</v>
      </c>
      <c r="CJ279">
        <v>3.5325199999999999</v>
      </c>
      <c r="CK279">
        <v>2.7023000000000001</v>
      </c>
      <c r="CL279">
        <v>9.8014900000000002E-2</v>
      </c>
      <c r="CM279">
        <v>9.6819799999999998E-2</v>
      </c>
      <c r="CN279">
        <v>8.7619900000000001E-2</v>
      </c>
      <c r="CO279">
        <v>7.8535999999999995E-2</v>
      </c>
      <c r="CP279">
        <v>31630.5</v>
      </c>
      <c r="CQ279">
        <v>27803.9</v>
      </c>
      <c r="CR279">
        <v>32456.3</v>
      </c>
      <c r="CS279">
        <v>30711.3</v>
      </c>
      <c r="CT279">
        <v>40095.199999999997</v>
      </c>
      <c r="CU279">
        <v>39798.400000000001</v>
      </c>
      <c r="CV279">
        <v>47397.8</v>
      </c>
      <c r="CW279">
        <v>46834.400000000001</v>
      </c>
      <c r="CX279">
        <v>2.6241400000000001</v>
      </c>
      <c r="CY279">
        <v>2.13028</v>
      </c>
      <c r="CZ279">
        <v>0</v>
      </c>
      <c r="DA279">
        <v>0</v>
      </c>
      <c r="DB279">
        <v>999.9</v>
      </c>
      <c r="DC279">
        <v>999.9</v>
      </c>
      <c r="DD279">
        <v>51.16</v>
      </c>
      <c r="DE279">
        <v>27.553000000000001</v>
      </c>
      <c r="DF279">
        <v>18.851700000000001</v>
      </c>
      <c r="DG279">
        <v>30.430099999999999</v>
      </c>
      <c r="DH279">
        <v>16.598600000000001</v>
      </c>
      <c r="DI279">
        <v>2</v>
      </c>
      <c r="DJ279">
        <v>-0.121035</v>
      </c>
      <c r="DK279">
        <v>2.5628799999999998</v>
      </c>
      <c r="DL279">
        <v>20.190200000000001</v>
      </c>
      <c r="DM279">
        <v>5.2511900000000002</v>
      </c>
      <c r="DN279">
        <v>12.033899999999999</v>
      </c>
      <c r="DO279">
        <v>4.9674800000000001</v>
      </c>
      <c r="DP279">
        <v>3.2909999999999999</v>
      </c>
      <c r="DQ279">
        <v>9999</v>
      </c>
      <c r="DR279">
        <v>9999</v>
      </c>
      <c r="DS279">
        <v>597.79999999999995</v>
      </c>
      <c r="DT279">
        <v>9999</v>
      </c>
      <c r="DU279">
        <v>1.87103</v>
      </c>
      <c r="DV279">
        <v>1.8760699999999999</v>
      </c>
      <c r="DW279">
        <v>1.87626</v>
      </c>
      <c r="DX279">
        <v>1.8827799999999999</v>
      </c>
      <c r="DY279">
        <v>1.8755299999999999</v>
      </c>
      <c r="DZ279">
        <v>1.87462</v>
      </c>
      <c r="EA279">
        <v>1.87076</v>
      </c>
      <c r="EB279">
        <v>1.8745799999999999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-0.88700000000000001</v>
      </c>
      <c r="EQ279">
        <v>9.2499999999999999E-2</v>
      </c>
      <c r="ER279">
        <v>-0.88700000000005697</v>
      </c>
      <c r="ES279">
        <v>0</v>
      </c>
      <c r="ET279">
        <v>0</v>
      </c>
      <c r="EU279">
        <v>0</v>
      </c>
      <c r="EV279">
        <v>9.2509999999998996E-2</v>
      </c>
      <c r="EW279">
        <v>0</v>
      </c>
      <c r="EX279">
        <v>0</v>
      </c>
      <c r="EY279">
        <v>0</v>
      </c>
      <c r="EZ279">
        <v>-1</v>
      </c>
      <c r="FA279">
        <v>-1</v>
      </c>
      <c r="FB279">
        <v>-1</v>
      </c>
      <c r="FC279">
        <v>-1</v>
      </c>
      <c r="FD279">
        <v>3.9</v>
      </c>
      <c r="FE279">
        <v>3.5</v>
      </c>
      <c r="FF279">
        <v>1.24146</v>
      </c>
      <c r="FG279">
        <v>2.5927699999999998</v>
      </c>
      <c r="FH279">
        <v>2.19604</v>
      </c>
      <c r="FI279">
        <v>2.5744600000000002</v>
      </c>
      <c r="FJ279">
        <v>2.4462899999999999</v>
      </c>
      <c r="FK279">
        <v>2.31812</v>
      </c>
      <c r="FL279">
        <v>31.936499999999999</v>
      </c>
      <c r="FM279">
        <v>24.148800000000001</v>
      </c>
      <c r="FN279">
        <v>19</v>
      </c>
      <c r="FO279">
        <v>865.52</v>
      </c>
      <c r="FP279">
        <v>575.75599999999997</v>
      </c>
      <c r="FQ279">
        <v>17.918299999999999</v>
      </c>
      <c r="FR279">
        <v>25.458100000000002</v>
      </c>
      <c r="FS279">
        <v>29.9999</v>
      </c>
      <c r="FT279">
        <v>25.4377</v>
      </c>
      <c r="FU279">
        <v>25.438700000000001</v>
      </c>
      <c r="FV279">
        <v>24.923300000000001</v>
      </c>
      <c r="FW279">
        <v>31.818899999999999</v>
      </c>
      <c r="FX279">
        <v>0</v>
      </c>
      <c r="FY279">
        <v>17.934200000000001</v>
      </c>
      <c r="FZ279">
        <v>410</v>
      </c>
      <c r="GA279">
        <v>13.5137</v>
      </c>
      <c r="GB279">
        <v>99.875600000000006</v>
      </c>
      <c r="GC279">
        <v>99.701599999999999</v>
      </c>
    </row>
    <row r="280" spans="1:185" x14ac:dyDescent="0.2">
      <c r="A280">
        <v>265</v>
      </c>
      <c r="B280">
        <v>1771003919.0999999</v>
      </c>
      <c r="C280">
        <v>5296</v>
      </c>
      <c r="D280" t="s">
        <v>837</v>
      </c>
      <c r="E280" t="s">
        <v>838</v>
      </c>
      <c r="F280">
        <v>15</v>
      </c>
      <c r="G280">
        <v>1771003911.03333</v>
      </c>
      <c r="H280">
        <f t="shared" si="52"/>
        <v>1.5523117468871702E-3</v>
      </c>
      <c r="I280">
        <v>0</v>
      </c>
      <c r="J280">
        <f t="shared" si="64"/>
        <v>1.1992084036159034E-2</v>
      </c>
      <c r="K280">
        <f t="shared" si="53"/>
        <v>0.21443350376258796</v>
      </c>
      <c r="L280">
        <f t="shared" si="54"/>
        <v>70.320373041920092</v>
      </c>
      <c r="M280">
        <f t="shared" si="55"/>
        <v>1.5505640547143493</v>
      </c>
      <c r="N280">
        <f t="shared" si="56"/>
        <v>2.2049997570263336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26301.820180870975</v>
      </c>
      <c r="T280">
        <f t="shared" si="60"/>
        <v>799.999866666667</v>
      </c>
      <c r="U280">
        <f t="shared" si="61"/>
        <v>674.40001031997997</v>
      </c>
      <c r="V280">
        <f t="shared" si="62"/>
        <v>0.84300015340000023</v>
      </c>
      <c r="W280">
        <f t="shared" si="63"/>
        <v>0.15869995476400006</v>
      </c>
      <c r="X280">
        <v>1</v>
      </c>
      <c r="Y280">
        <v>1771003911.03333</v>
      </c>
      <c r="Z280">
        <v>408.93653333333299</v>
      </c>
      <c r="AA280">
        <v>409.998066666667</v>
      </c>
      <c r="AB280">
        <v>15.444193333333301</v>
      </c>
      <c r="AC280">
        <v>13.53378</v>
      </c>
      <c r="AD280">
        <v>409.823466666667</v>
      </c>
      <c r="AE280">
        <v>15.3516866666667</v>
      </c>
      <c r="AF280">
        <v>800.00360000000001</v>
      </c>
      <c r="AG280">
        <v>100.333333333333</v>
      </c>
      <c r="AH280">
        <v>6.4532793333333296E-2</v>
      </c>
      <c r="AI280">
        <v>18.9986866666667</v>
      </c>
      <c r="AJ280">
        <v>999.9</v>
      </c>
      <c r="AK280">
        <v>999.9</v>
      </c>
      <c r="AL280">
        <v>0</v>
      </c>
      <c r="AM280">
        <v>0</v>
      </c>
      <c r="AN280">
        <v>4998.7</v>
      </c>
      <c r="AO280">
        <v>0</v>
      </c>
      <c r="AP280">
        <v>1.7359500000000001</v>
      </c>
      <c r="AQ280">
        <v>-1.0616399999999999</v>
      </c>
      <c r="AR280">
        <v>415.351133333333</v>
      </c>
      <c r="AS280">
        <v>415.623066666667</v>
      </c>
      <c r="AT280">
        <v>1.9104046666666701</v>
      </c>
      <c r="AU280">
        <v>409.998066666667</v>
      </c>
      <c r="AV280">
        <v>13.53378</v>
      </c>
      <c r="AW280">
        <v>1.5495666666666701</v>
      </c>
      <c r="AX280">
        <v>1.35789</v>
      </c>
      <c r="AY280">
        <v>13.46622</v>
      </c>
      <c r="AZ280">
        <v>11.4553666666667</v>
      </c>
      <c r="BA280">
        <v>799.999866666667</v>
      </c>
      <c r="BB280">
        <v>0.90000126666666702</v>
      </c>
      <c r="BC280">
        <v>0</v>
      </c>
      <c r="BD280">
        <v>9.9998953333333307E-2</v>
      </c>
      <c r="BE280">
        <v>0</v>
      </c>
      <c r="BF280">
        <v>25</v>
      </c>
      <c r="BG280">
        <v>13191.026666666699</v>
      </c>
      <c r="BH280">
        <v>1771003693.0999999</v>
      </c>
      <c r="BI280" t="s">
        <v>816</v>
      </c>
      <c r="BJ280">
        <v>1771003671.0999999</v>
      </c>
      <c r="BK280">
        <v>1771003693.0999999</v>
      </c>
      <c r="BL280">
        <v>15</v>
      </c>
      <c r="BM280">
        <v>-1.4999999999999999E-2</v>
      </c>
      <c r="BN280">
        <v>-6.0000000000000001E-3</v>
      </c>
      <c r="BO280">
        <v>-0.88700000000000001</v>
      </c>
      <c r="BP280">
        <v>9.2999999999999999E-2</v>
      </c>
      <c r="BQ280">
        <v>410</v>
      </c>
      <c r="BR280">
        <v>14</v>
      </c>
      <c r="BS280">
        <v>0.22</v>
      </c>
      <c r="BT280">
        <v>0.13</v>
      </c>
      <c r="BU280">
        <v>-1.0589124999999999</v>
      </c>
      <c r="BV280">
        <v>-9.0679849624059505E-2</v>
      </c>
      <c r="BW280">
        <v>2.47276589824027E-2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1.9149970000000001</v>
      </c>
      <c r="CD280">
        <v>-0.120018045112782</v>
      </c>
      <c r="CE280">
        <v>1.2358714779458199E-2</v>
      </c>
      <c r="CF280">
        <v>0</v>
      </c>
      <c r="CG280">
        <v>1</v>
      </c>
      <c r="CH280">
        <v>2</v>
      </c>
      <c r="CI280" t="s">
        <v>290</v>
      </c>
      <c r="CJ280">
        <v>3.5325500000000001</v>
      </c>
      <c r="CK280">
        <v>2.70234</v>
      </c>
      <c r="CL280">
        <v>9.7996700000000006E-2</v>
      </c>
      <c r="CM280">
        <v>9.6812899999999993E-2</v>
      </c>
      <c r="CN280">
        <v>8.7424199999999994E-2</v>
      </c>
      <c r="CO280">
        <v>7.8501799999999997E-2</v>
      </c>
      <c r="CP280">
        <v>31631.4</v>
      </c>
      <c r="CQ280">
        <v>27805.1</v>
      </c>
      <c r="CR280">
        <v>32456.6</v>
      </c>
      <c r="CS280">
        <v>30712.400000000001</v>
      </c>
      <c r="CT280">
        <v>40104.6</v>
      </c>
      <c r="CU280">
        <v>39801.1</v>
      </c>
      <c r="CV280">
        <v>47398.5</v>
      </c>
      <c r="CW280">
        <v>46835.8</v>
      </c>
      <c r="CX280">
        <v>2.62432</v>
      </c>
      <c r="CY280">
        <v>2.13022</v>
      </c>
      <c r="CZ280">
        <v>0</v>
      </c>
      <c r="DA280">
        <v>0</v>
      </c>
      <c r="DB280">
        <v>999.9</v>
      </c>
      <c r="DC280">
        <v>999.9</v>
      </c>
      <c r="DD280">
        <v>51.148000000000003</v>
      </c>
      <c r="DE280">
        <v>27.582999999999998</v>
      </c>
      <c r="DF280">
        <v>18.880500000000001</v>
      </c>
      <c r="DG280">
        <v>30.340199999999999</v>
      </c>
      <c r="DH280">
        <v>16.6386</v>
      </c>
      <c r="DI280">
        <v>2</v>
      </c>
      <c r="DJ280">
        <v>-0.122047</v>
      </c>
      <c r="DK280">
        <v>2.34375</v>
      </c>
      <c r="DL280">
        <v>20.194400000000002</v>
      </c>
      <c r="DM280">
        <v>5.2520300000000004</v>
      </c>
      <c r="DN280">
        <v>12.033899999999999</v>
      </c>
      <c r="DO280">
        <v>4.9676400000000003</v>
      </c>
      <c r="DP280">
        <v>3.2909999999999999</v>
      </c>
      <c r="DQ280">
        <v>9999</v>
      </c>
      <c r="DR280">
        <v>9999</v>
      </c>
      <c r="DS280">
        <v>597.79999999999995</v>
      </c>
      <c r="DT280">
        <v>9999</v>
      </c>
      <c r="DU280">
        <v>1.87103</v>
      </c>
      <c r="DV280">
        <v>1.8760699999999999</v>
      </c>
      <c r="DW280">
        <v>1.87625</v>
      </c>
      <c r="DX280">
        <v>1.8827799999999999</v>
      </c>
      <c r="DY280">
        <v>1.8755299999999999</v>
      </c>
      <c r="DZ280">
        <v>1.8746</v>
      </c>
      <c r="EA280">
        <v>1.8708</v>
      </c>
      <c r="EB280">
        <v>1.8745799999999999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-0.88700000000000001</v>
      </c>
      <c r="EQ280">
        <v>9.2499999999999999E-2</v>
      </c>
      <c r="ER280">
        <v>-0.88700000000005697</v>
      </c>
      <c r="ES280">
        <v>0</v>
      </c>
      <c r="ET280">
        <v>0</v>
      </c>
      <c r="EU280">
        <v>0</v>
      </c>
      <c r="EV280">
        <v>9.2509999999998996E-2</v>
      </c>
      <c r="EW280">
        <v>0</v>
      </c>
      <c r="EX280">
        <v>0</v>
      </c>
      <c r="EY280">
        <v>0</v>
      </c>
      <c r="EZ280">
        <v>-1</v>
      </c>
      <c r="FA280">
        <v>-1</v>
      </c>
      <c r="FB280">
        <v>-1</v>
      </c>
      <c r="FC280">
        <v>-1</v>
      </c>
      <c r="FD280">
        <v>4.0999999999999996</v>
      </c>
      <c r="FE280">
        <v>3.8</v>
      </c>
      <c r="FF280">
        <v>1.24146</v>
      </c>
      <c r="FG280">
        <v>2.6000999999999999</v>
      </c>
      <c r="FH280">
        <v>2.19604</v>
      </c>
      <c r="FI280">
        <v>2.5744600000000002</v>
      </c>
      <c r="FJ280">
        <v>2.4462899999999999</v>
      </c>
      <c r="FK280">
        <v>2.2936999999999999</v>
      </c>
      <c r="FL280">
        <v>31.936499999999999</v>
      </c>
      <c r="FM280">
        <v>24.14</v>
      </c>
      <c r="FN280">
        <v>19</v>
      </c>
      <c r="FO280">
        <v>865.72299999999996</v>
      </c>
      <c r="FP280">
        <v>575.73299999999995</v>
      </c>
      <c r="FQ280">
        <v>17.928599999999999</v>
      </c>
      <c r="FR280">
        <v>25.4602</v>
      </c>
      <c r="FS280">
        <v>29.9998</v>
      </c>
      <c r="FT280">
        <v>25.439900000000002</v>
      </c>
      <c r="FU280">
        <v>25.440899999999999</v>
      </c>
      <c r="FV280">
        <v>24.9251</v>
      </c>
      <c r="FW280">
        <v>31.818899999999999</v>
      </c>
      <c r="FX280">
        <v>0</v>
      </c>
      <c r="FY280">
        <v>17.946400000000001</v>
      </c>
      <c r="FZ280">
        <v>410</v>
      </c>
      <c r="GA280">
        <v>13.488799999999999</v>
      </c>
      <c r="GB280">
        <v>99.876800000000003</v>
      </c>
      <c r="GC280">
        <v>99.704800000000006</v>
      </c>
    </row>
    <row r="281" spans="1:185" x14ac:dyDescent="0.2">
      <c r="A281">
        <v>266</v>
      </c>
      <c r="B281">
        <v>1771003934.0999999</v>
      </c>
      <c r="C281">
        <v>5311</v>
      </c>
      <c r="D281" t="s">
        <v>839</v>
      </c>
      <c r="E281" t="s">
        <v>840</v>
      </c>
      <c r="F281">
        <v>15</v>
      </c>
      <c r="G281">
        <v>1771003926.03333</v>
      </c>
      <c r="H281">
        <f t="shared" si="52"/>
        <v>1.5299521569303921E-3</v>
      </c>
      <c r="I281">
        <v>0</v>
      </c>
      <c r="J281">
        <f t="shared" si="64"/>
        <v>1.3660674125958474E-2</v>
      </c>
      <c r="K281">
        <f t="shared" si="53"/>
        <v>0.24426998741466768</v>
      </c>
      <c r="L281">
        <f t="shared" si="54"/>
        <v>70.222667458982613</v>
      </c>
      <c r="M281">
        <f t="shared" si="55"/>
        <v>1.5473818443459679</v>
      </c>
      <c r="N281">
        <f t="shared" si="56"/>
        <v>2.2035361235028574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26322.529306821041</v>
      </c>
      <c r="T281">
        <f t="shared" si="60"/>
        <v>799.99959999999999</v>
      </c>
      <c r="U281">
        <f t="shared" si="61"/>
        <v>674.3998167199228</v>
      </c>
      <c r="V281">
        <f t="shared" si="62"/>
        <v>0.84300019239999968</v>
      </c>
      <c r="W281">
        <f t="shared" si="63"/>
        <v>0.15869998730399995</v>
      </c>
      <c r="X281">
        <v>1</v>
      </c>
      <c r="Y281">
        <v>1771003926.03333</v>
      </c>
      <c r="Z281">
        <v>408.90893333333298</v>
      </c>
      <c r="AA281">
        <v>409.996266666667</v>
      </c>
      <c r="AB281">
        <v>15.41258</v>
      </c>
      <c r="AC281">
        <v>13.5296466666667</v>
      </c>
      <c r="AD281">
        <v>409.79593333333298</v>
      </c>
      <c r="AE281">
        <v>15.320073333333299</v>
      </c>
      <c r="AF281">
        <v>800.01326666666705</v>
      </c>
      <c r="AG281">
        <v>100.332866666667</v>
      </c>
      <c r="AH281">
        <v>6.44609933333333E-2</v>
      </c>
      <c r="AI281">
        <v>18.988046666666701</v>
      </c>
      <c r="AJ281">
        <v>999.9</v>
      </c>
      <c r="AK281">
        <v>999.9</v>
      </c>
      <c r="AL281">
        <v>0</v>
      </c>
      <c r="AM281">
        <v>0</v>
      </c>
      <c r="AN281">
        <v>5001.9666666666699</v>
      </c>
      <c r="AO281">
        <v>0</v>
      </c>
      <c r="AP281">
        <v>1.73451933333333</v>
      </c>
      <c r="AQ281">
        <v>-1.0873393333333301</v>
      </c>
      <c r="AR281">
        <v>415.31006666666701</v>
      </c>
      <c r="AS281">
        <v>415.61946666666699</v>
      </c>
      <c r="AT281">
        <v>1.8829293333333299</v>
      </c>
      <c r="AU281">
        <v>409.996266666667</v>
      </c>
      <c r="AV281">
        <v>13.5296466666667</v>
      </c>
      <c r="AW281">
        <v>1.5463880000000001</v>
      </c>
      <c r="AX281">
        <v>1.3574679999999999</v>
      </c>
      <c r="AY281">
        <v>13.434699999999999</v>
      </c>
      <c r="AZ281">
        <v>11.4506933333333</v>
      </c>
      <c r="BA281">
        <v>799.99959999999999</v>
      </c>
      <c r="BB281">
        <v>0.90000093333333298</v>
      </c>
      <c r="BC281">
        <v>0</v>
      </c>
      <c r="BD281">
        <v>9.9999320000000003E-2</v>
      </c>
      <c r="BE281">
        <v>0</v>
      </c>
      <c r="BF281">
        <v>25</v>
      </c>
      <c r="BG281">
        <v>13191.0133333333</v>
      </c>
      <c r="BH281">
        <v>1771003693.0999999</v>
      </c>
      <c r="BI281" t="s">
        <v>816</v>
      </c>
      <c r="BJ281">
        <v>1771003671.0999999</v>
      </c>
      <c r="BK281">
        <v>1771003693.0999999</v>
      </c>
      <c r="BL281">
        <v>15</v>
      </c>
      <c r="BM281">
        <v>-1.4999999999999999E-2</v>
      </c>
      <c r="BN281">
        <v>-6.0000000000000001E-3</v>
      </c>
      <c r="BO281">
        <v>-0.88700000000000001</v>
      </c>
      <c r="BP281">
        <v>9.2999999999999999E-2</v>
      </c>
      <c r="BQ281">
        <v>410</v>
      </c>
      <c r="BR281">
        <v>14</v>
      </c>
      <c r="BS281">
        <v>0.22</v>
      </c>
      <c r="BT281">
        <v>0.13</v>
      </c>
      <c r="BU281">
        <v>-1.0811042857142901</v>
      </c>
      <c r="BV281">
        <v>-9.6899220779221501E-2</v>
      </c>
      <c r="BW281">
        <v>2.6912101822224799E-2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1.88759428571429</v>
      </c>
      <c r="CD281">
        <v>-8.1770649350651703E-2</v>
      </c>
      <c r="CE281">
        <v>8.8785061867885998E-3</v>
      </c>
      <c r="CF281">
        <v>1</v>
      </c>
      <c r="CG281">
        <v>2</v>
      </c>
      <c r="CH281">
        <v>2</v>
      </c>
      <c r="CI281" t="s">
        <v>304</v>
      </c>
      <c r="CJ281">
        <v>3.5325500000000001</v>
      </c>
      <c r="CK281">
        <v>2.7021000000000002</v>
      </c>
      <c r="CL281">
        <v>9.7994499999999998E-2</v>
      </c>
      <c r="CM281">
        <v>9.6819799999999998E-2</v>
      </c>
      <c r="CN281">
        <v>8.7342000000000003E-2</v>
      </c>
      <c r="CO281">
        <v>7.8486500000000001E-2</v>
      </c>
      <c r="CP281">
        <v>31632.3</v>
      </c>
      <c r="CQ281">
        <v>27804.9</v>
      </c>
      <c r="CR281">
        <v>32457.4</v>
      </c>
      <c r="CS281">
        <v>30712.5</v>
      </c>
      <c r="CT281">
        <v>40109.5</v>
      </c>
      <c r="CU281">
        <v>39802</v>
      </c>
      <c r="CV281">
        <v>47399.8</v>
      </c>
      <c r="CW281">
        <v>46836</v>
      </c>
      <c r="CX281">
        <v>2.6240999999999999</v>
      </c>
      <c r="CY281">
        <v>2.13008</v>
      </c>
      <c r="CZ281">
        <v>0</v>
      </c>
      <c r="DA281">
        <v>0</v>
      </c>
      <c r="DB281">
        <v>999.9</v>
      </c>
      <c r="DC281">
        <v>999.9</v>
      </c>
      <c r="DD281">
        <v>51.148000000000003</v>
      </c>
      <c r="DE281">
        <v>27.582999999999998</v>
      </c>
      <c r="DF281">
        <v>18.880299999999998</v>
      </c>
      <c r="DG281">
        <v>30.130199999999999</v>
      </c>
      <c r="DH281">
        <v>16.598600000000001</v>
      </c>
      <c r="DI281">
        <v>2</v>
      </c>
      <c r="DJ281">
        <v>-0.122484</v>
      </c>
      <c r="DK281">
        <v>2.3052299999999999</v>
      </c>
      <c r="DL281">
        <v>20.1951</v>
      </c>
      <c r="DM281">
        <v>5.2513100000000001</v>
      </c>
      <c r="DN281">
        <v>12.033899999999999</v>
      </c>
      <c r="DO281">
        <v>4.9676</v>
      </c>
      <c r="DP281">
        <v>3.2909999999999999</v>
      </c>
      <c r="DQ281">
        <v>9999</v>
      </c>
      <c r="DR281">
        <v>9999</v>
      </c>
      <c r="DS281">
        <v>597.79999999999995</v>
      </c>
      <c r="DT281">
        <v>9999</v>
      </c>
      <c r="DU281">
        <v>1.87104</v>
      </c>
      <c r="DV281">
        <v>1.8760699999999999</v>
      </c>
      <c r="DW281">
        <v>1.8762700000000001</v>
      </c>
      <c r="DX281">
        <v>1.8827799999999999</v>
      </c>
      <c r="DY281">
        <v>1.87558</v>
      </c>
      <c r="DZ281">
        <v>1.8746400000000001</v>
      </c>
      <c r="EA281">
        <v>1.8708</v>
      </c>
      <c r="EB281">
        <v>1.87459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-0.88700000000000001</v>
      </c>
      <c r="EQ281">
        <v>9.2499999999999999E-2</v>
      </c>
      <c r="ER281">
        <v>-0.88700000000005697</v>
      </c>
      <c r="ES281">
        <v>0</v>
      </c>
      <c r="ET281">
        <v>0</v>
      </c>
      <c r="EU281">
        <v>0</v>
      </c>
      <c r="EV281">
        <v>9.2509999999998996E-2</v>
      </c>
      <c r="EW281">
        <v>0</v>
      </c>
      <c r="EX281">
        <v>0</v>
      </c>
      <c r="EY281">
        <v>0</v>
      </c>
      <c r="EZ281">
        <v>-1</v>
      </c>
      <c r="FA281">
        <v>-1</v>
      </c>
      <c r="FB281">
        <v>-1</v>
      </c>
      <c r="FC281">
        <v>-1</v>
      </c>
      <c r="FD281">
        <v>4.4000000000000004</v>
      </c>
      <c r="FE281">
        <v>4</v>
      </c>
      <c r="FF281">
        <v>1.24146</v>
      </c>
      <c r="FG281">
        <v>2.6000999999999999</v>
      </c>
      <c r="FH281">
        <v>2.19604</v>
      </c>
      <c r="FI281">
        <v>2.5744600000000002</v>
      </c>
      <c r="FJ281">
        <v>2.4462899999999999</v>
      </c>
      <c r="FK281">
        <v>2.2827099999999998</v>
      </c>
      <c r="FL281">
        <v>31.936499999999999</v>
      </c>
      <c r="FM281">
        <v>24.1313</v>
      </c>
      <c r="FN281">
        <v>19</v>
      </c>
      <c r="FO281">
        <v>865.55200000000002</v>
      </c>
      <c r="FP281">
        <v>575.62599999999998</v>
      </c>
      <c r="FQ281">
        <v>17.959399999999999</v>
      </c>
      <c r="FR281">
        <v>25.4602</v>
      </c>
      <c r="FS281">
        <v>30</v>
      </c>
      <c r="FT281">
        <v>25.442</v>
      </c>
      <c r="FU281">
        <v>25.440899999999999</v>
      </c>
      <c r="FV281">
        <v>24.924399999999999</v>
      </c>
      <c r="FW281">
        <v>31.818899999999999</v>
      </c>
      <c r="FX281">
        <v>0</v>
      </c>
      <c r="FY281">
        <v>17.972300000000001</v>
      </c>
      <c r="FZ281">
        <v>410</v>
      </c>
      <c r="GA281">
        <v>13.464700000000001</v>
      </c>
      <c r="GB281">
        <v>99.879400000000004</v>
      </c>
      <c r="GC281">
        <v>99.705200000000005</v>
      </c>
    </row>
    <row r="282" spans="1:185" x14ac:dyDescent="0.2">
      <c r="A282">
        <v>267</v>
      </c>
      <c r="B282">
        <v>1771003949.0999999</v>
      </c>
      <c r="C282">
        <v>5326</v>
      </c>
      <c r="D282" t="s">
        <v>841</v>
      </c>
      <c r="E282" t="s">
        <v>842</v>
      </c>
      <c r="F282">
        <v>15</v>
      </c>
      <c r="G282">
        <v>1771003941.03333</v>
      </c>
      <c r="H282">
        <f t="shared" si="52"/>
        <v>1.5226755174006282E-3</v>
      </c>
      <c r="I282">
        <v>0</v>
      </c>
      <c r="J282">
        <f t="shared" si="64"/>
        <v>1.4086157607507803E-2</v>
      </c>
      <c r="K282">
        <f t="shared" si="53"/>
        <v>0.25187816573184946</v>
      </c>
      <c r="L282">
        <f t="shared" si="54"/>
        <v>70.184877963909159</v>
      </c>
      <c r="M282">
        <f t="shared" si="55"/>
        <v>1.5461862692063202</v>
      </c>
      <c r="N282">
        <f t="shared" si="56"/>
        <v>2.2030191033478865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26366.743495110659</v>
      </c>
      <c r="T282">
        <f t="shared" si="60"/>
        <v>800.00126666666699</v>
      </c>
      <c r="U282">
        <f t="shared" si="61"/>
        <v>674.40109420004251</v>
      </c>
      <c r="V282">
        <f t="shared" si="62"/>
        <v>0.84300003300000059</v>
      </c>
      <c r="W282">
        <f t="shared" si="63"/>
        <v>0.15870001754000013</v>
      </c>
      <c r="X282">
        <v>1</v>
      </c>
      <c r="Y282">
        <v>1771003941.03333</v>
      </c>
      <c r="Z282">
        <v>408.91186666666698</v>
      </c>
      <c r="AA282">
        <v>410.005</v>
      </c>
      <c r="AB282">
        <v>15.400733333333299</v>
      </c>
      <c r="AC282">
        <v>13.526726666666701</v>
      </c>
      <c r="AD282">
        <v>409.79886666666698</v>
      </c>
      <c r="AE282">
        <v>15.3082266666667</v>
      </c>
      <c r="AF282">
        <v>800.01059999999995</v>
      </c>
      <c r="AG282">
        <v>100.33240000000001</v>
      </c>
      <c r="AH282">
        <v>6.45249866666667E-2</v>
      </c>
      <c r="AI282">
        <v>18.984286666666701</v>
      </c>
      <c r="AJ282">
        <v>999.9</v>
      </c>
      <c r="AK282">
        <v>999.9</v>
      </c>
      <c r="AL282">
        <v>0</v>
      </c>
      <c r="AM282">
        <v>0</v>
      </c>
      <c r="AN282">
        <v>5009.2</v>
      </c>
      <c r="AO282">
        <v>0</v>
      </c>
      <c r="AP282">
        <v>1.73309</v>
      </c>
      <c r="AQ282">
        <v>-1.0928853333333299</v>
      </c>
      <c r="AR282">
        <v>415.308066666667</v>
      </c>
      <c r="AS282">
        <v>415.62700000000001</v>
      </c>
      <c r="AT282">
        <v>1.87402133333333</v>
      </c>
      <c r="AU282">
        <v>410.005</v>
      </c>
      <c r="AV282">
        <v>13.526726666666701</v>
      </c>
      <c r="AW282">
        <v>1.54519466666667</v>
      </c>
      <c r="AX282">
        <v>1.35717</v>
      </c>
      <c r="AY282">
        <v>13.422840000000001</v>
      </c>
      <c r="AZ282">
        <v>11.4473466666667</v>
      </c>
      <c r="BA282">
        <v>800.00126666666699</v>
      </c>
      <c r="BB282">
        <v>0.89999986666666698</v>
      </c>
      <c r="BC282">
        <v>0</v>
      </c>
      <c r="BD282">
        <v>0.100000166666667</v>
      </c>
      <c r="BE282">
        <v>0</v>
      </c>
      <c r="BF282">
        <v>25</v>
      </c>
      <c r="BG282">
        <v>13191.0466666667</v>
      </c>
      <c r="BH282">
        <v>1771003693.0999999</v>
      </c>
      <c r="BI282" t="s">
        <v>816</v>
      </c>
      <c r="BJ282">
        <v>1771003671.0999999</v>
      </c>
      <c r="BK282">
        <v>1771003693.0999999</v>
      </c>
      <c r="BL282">
        <v>15</v>
      </c>
      <c r="BM282">
        <v>-1.4999999999999999E-2</v>
      </c>
      <c r="BN282">
        <v>-6.0000000000000001E-3</v>
      </c>
      <c r="BO282">
        <v>-0.88700000000000001</v>
      </c>
      <c r="BP282">
        <v>9.2999999999999999E-2</v>
      </c>
      <c r="BQ282">
        <v>410</v>
      </c>
      <c r="BR282">
        <v>14</v>
      </c>
      <c r="BS282">
        <v>0.22</v>
      </c>
      <c r="BT282">
        <v>0.13</v>
      </c>
      <c r="BU282">
        <v>-1.0956355</v>
      </c>
      <c r="BV282">
        <v>1.0411578947367699E-2</v>
      </c>
      <c r="BW282">
        <v>2.35066525636893E-2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1.875237</v>
      </c>
      <c r="CD282">
        <v>-2.2210827067668401E-2</v>
      </c>
      <c r="CE282">
        <v>3.0438497006258299E-3</v>
      </c>
      <c r="CF282">
        <v>1</v>
      </c>
      <c r="CG282">
        <v>2</v>
      </c>
      <c r="CH282">
        <v>2</v>
      </c>
      <c r="CI282" t="s">
        <v>304</v>
      </c>
      <c r="CJ282">
        <v>3.5325099999999998</v>
      </c>
      <c r="CK282">
        <v>2.70234</v>
      </c>
      <c r="CL282">
        <v>9.7998699999999994E-2</v>
      </c>
      <c r="CM282">
        <v>9.6811499999999995E-2</v>
      </c>
      <c r="CN282">
        <v>8.7317500000000006E-2</v>
      </c>
      <c r="CO282">
        <v>7.8450900000000004E-2</v>
      </c>
      <c r="CP282">
        <v>31632.400000000001</v>
      </c>
      <c r="CQ282">
        <v>27805</v>
      </c>
      <c r="CR282">
        <v>32457.599999999999</v>
      </c>
      <c r="CS282">
        <v>30712.400000000001</v>
      </c>
      <c r="CT282">
        <v>40110.9</v>
      </c>
      <c r="CU282">
        <v>39803.699999999997</v>
      </c>
      <c r="CV282">
        <v>47400.1</v>
      </c>
      <c r="CW282">
        <v>46836.2</v>
      </c>
      <c r="CX282">
        <v>2.62418</v>
      </c>
      <c r="CY282">
        <v>2.1299199999999998</v>
      </c>
      <c r="CZ282">
        <v>0</v>
      </c>
      <c r="DA282">
        <v>0</v>
      </c>
      <c r="DB282">
        <v>999.9</v>
      </c>
      <c r="DC282">
        <v>999.9</v>
      </c>
      <c r="DD282">
        <v>51.128999999999998</v>
      </c>
      <c r="DE282">
        <v>27.562999999999999</v>
      </c>
      <c r="DF282">
        <v>18.8508</v>
      </c>
      <c r="DG282">
        <v>30.190200000000001</v>
      </c>
      <c r="DH282">
        <v>16.5304</v>
      </c>
      <c r="DI282">
        <v>2</v>
      </c>
      <c r="DJ282">
        <v>-0.122931</v>
      </c>
      <c r="DK282">
        <v>2.2531500000000002</v>
      </c>
      <c r="DL282">
        <v>20.196000000000002</v>
      </c>
      <c r="DM282">
        <v>5.2505899999999999</v>
      </c>
      <c r="DN282">
        <v>12.033899999999999</v>
      </c>
      <c r="DO282">
        <v>4.9674800000000001</v>
      </c>
      <c r="DP282">
        <v>3.2909999999999999</v>
      </c>
      <c r="DQ282">
        <v>9999</v>
      </c>
      <c r="DR282">
        <v>9999</v>
      </c>
      <c r="DS282">
        <v>597.79999999999995</v>
      </c>
      <c r="DT282">
        <v>9999</v>
      </c>
      <c r="DU282">
        <v>1.87103</v>
      </c>
      <c r="DV282">
        <v>1.8760699999999999</v>
      </c>
      <c r="DW282">
        <v>1.8762399999999999</v>
      </c>
      <c r="DX282">
        <v>1.8827799999999999</v>
      </c>
      <c r="DY282">
        <v>1.87554</v>
      </c>
      <c r="DZ282">
        <v>1.87456</v>
      </c>
      <c r="EA282">
        <v>1.87077</v>
      </c>
      <c r="EB282">
        <v>1.87456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-0.88700000000000001</v>
      </c>
      <c r="EQ282">
        <v>9.2499999999999999E-2</v>
      </c>
      <c r="ER282">
        <v>-0.88700000000005697</v>
      </c>
      <c r="ES282">
        <v>0</v>
      </c>
      <c r="ET282">
        <v>0</v>
      </c>
      <c r="EU282">
        <v>0</v>
      </c>
      <c r="EV282">
        <v>9.2509999999998996E-2</v>
      </c>
      <c r="EW282">
        <v>0</v>
      </c>
      <c r="EX282">
        <v>0</v>
      </c>
      <c r="EY282">
        <v>0</v>
      </c>
      <c r="EZ282">
        <v>-1</v>
      </c>
      <c r="FA282">
        <v>-1</v>
      </c>
      <c r="FB282">
        <v>-1</v>
      </c>
      <c r="FC282">
        <v>-1</v>
      </c>
      <c r="FD282">
        <v>4.5999999999999996</v>
      </c>
      <c r="FE282">
        <v>4.3</v>
      </c>
      <c r="FF282">
        <v>1.24146</v>
      </c>
      <c r="FG282">
        <v>2.5952099999999998</v>
      </c>
      <c r="FH282">
        <v>2.19604</v>
      </c>
      <c r="FI282">
        <v>2.5744600000000002</v>
      </c>
      <c r="FJ282">
        <v>2.4462899999999999</v>
      </c>
      <c r="FK282">
        <v>2.2827099999999998</v>
      </c>
      <c r="FL282">
        <v>31.936499999999999</v>
      </c>
      <c r="FM282">
        <v>24.148800000000001</v>
      </c>
      <c r="FN282">
        <v>19</v>
      </c>
      <c r="FO282">
        <v>865.62699999999995</v>
      </c>
      <c r="FP282">
        <v>575.50400000000002</v>
      </c>
      <c r="FQ282">
        <v>17.990400000000001</v>
      </c>
      <c r="FR282">
        <v>25.4589</v>
      </c>
      <c r="FS282">
        <v>30.0001</v>
      </c>
      <c r="FT282">
        <v>25.442</v>
      </c>
      <c r="FU282">
        <v>25.440899999999999</v>
      </c>
      <c r="FV282">
        <v>24.925799999999999</v>
      </c>
      <c r="FW282">
        <v>32.111499999999999</v>
      </c>
      <c r="FX282">
        <v>0</v>
      </c>
      <c r="FY282">
        <v>18.005700000000001</v>
      </c>
      <c r="FZ282">
        <v>410</v>
      </c>
      <c r="GA282">
        <v>13.4513</v>
      </c>
      <c r="GB282">
        <v>99.880099999999999</v>
      </c>
      <c r="GC282">
        <v>99.705399999999997</v>
      </c>
    </row>
    <row r="283" spans="1:185" x14ac:dyDescent="0.2">
      <c r="A283">
        <v>268</v>
      </c>
      <c r="B283">
        <v>1771003964.0999999</v>
      </c>
      <c r="C283">
        <v>5341</v>
      </c>
      <c r="D283" t="s">
        <v>843</v>
      </c>
      <c r="E283" t="s">
        <v>844</v>
      </c>
      <c r="F283">
        <v>15</v>
      </c>
      <c r="G283">
        <v>1771003956.03333</v>
      </c>
      <c r="H283">
        <f t="shared" si="52"/>
        <v>1.5369678171162711E-3</v>
      </c>
      <c r="I283">
        <v>0</v>
      </c>
      <c r="J283">
        <f t="shared" si="64"/>
        <v>1.3146505931652026E-2</v>
      </c>
      <c r="K283">
        <f t="shared" si="53"/>
        <v>0.2350760151996657</v>
      </c>
      <c r="L283">
        <f t="shared" si="54"/>
        <v>70.12021700586601</v>
      </c>
      <c r="M283">
        <f t="shared" si="55"/>
        <v>1.5447874852395507</v>
      </c>
      <c r="N283">
        <f t="shared" si="56"/>
        <v>2.2030557679396785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26279.165478157462</v>
      </c>
      <c r="T283">
        <f t="shared" si="60"/>
        <v>800.00066666666703</v>
      </c>
      <c r="U283">
        <f t="shared" si="61"/>
        <v>674.40067880009838</v>
      </c>
      <c r="V283">
        <f t="shared" si="62"/>
        <v>0.84300014600000095</v>
      </c>
      <c r="W283">
        <f t="shared" si="63"/>
        <v>0.15870036500000018</v>
      </c>
      <c r="X283">
        <v>1</v>
      </c>
      <c r="Y283">
        <v>1771003956.03333</v>
      </c>
      <c r="Z283">
        <v>408.92473333333299</v>
      </c>
      <c r="AA283">
        <v>410.00420000000003</v>
      </c>
      <c r="AB283">
        <v>15.386900000000001</v>
      </c>
      <c r="AC283">
        <v>13.4952666666667</v>
      </c>
      <c r="AD283">
        <v>409.811733333333</v>
      </c>
      <c r="AE283">
        <v>15.2943933333333</v>
      </c>
      <c r="AF283">
        <v>800.00633333333303</v>
      </c>
      <c r="AG283">
        <v>100.3318</v>
      </c>
      <c r="AH283">
        <v>6.4477693333333294E-2</v>
      </c>
      <c r="AI283">
        <v>18.984553333333299</v>
      </c>
      <c r="AJ283">
        <v>999.9</v>
      </c>
      <c r="AK283">
        <v>999.9</v>
      </c>
      <c r="AL283">
        <v>0</v>
      </c>
      <c r="AM283">
        <v>0</v>
      </c>
      <c r="AN283">
        <v>4994.8333333333303</v>
      </c>
      <c r="AO283">
        <v>0</v>
      </c>
      <c r="AP283">
        <v>1.6961246666666701</v>
      </c>
      <c r="AQ283">
        <v>-1.07946266666667</v>
      </c>
      <c r="AR283">
        <v>415.315</v>
      </c>
      <c r="AS283">
        <v>415.613</v>
      </c>
      <c r="AT283">
        <v>1.8916246666666701</v>
      </c>
      <c r="AU283">
        <v>410.00420000000003</v>
      </c>
      <c r="AV283">
        <v>13.4952666666667</v>
      </c>
      <c r="AW283">
        <v>1.543798</v>
      </c>
      <c r="AX283">
        <v>1.3540066666666699</v>
      </c>
      <c r="AY283">
        <v>13.408953333333301</v>
      </c>
      <c r="AZ283">
        <v>11.412100000000001</v>
      </c>
      <c r="BA283">
        <v>800.00066666666703</v>
      </c>
      <c r="BB283">
        <v>0.89999513333333403</v>
      </c>
      <c r="BC283">
        <v>0</v>
      </c>
      <c r="BD283">
        <v>0.100004866666667</v>
      </c>
      <c r="BE283">
        <v>0</v>
      </c>
      <c r="BF283">
        <v>25</v>
      </c>
      <c r="BG283">
        <v>13191.0133333333</v>
      </c>
      <c r="BH283">
        <v>1771003693.0999999</v>
      </c>
      <c r="BI283" t="s">
        <v>816</v>
      </c>
      <c r="BJ283">
        <v>1771003671.0999999</v>
      </c>
      <c r="BK283">
        <v>1771003693.0999999</v>
      </c>
      <c r="BL283">
        <v>15</v>
      </c>
      <c r="BM283">
        <v>-1.4999999999999999E-2</v>
      </c>
      <c r="BN283">
        <v>-6.0000000000000001E-3</v>
      </c>
      <c r="BO283">
        <v>-0.88700000000000001</v>
      </c>
      <c r="BP283">
        <v>9.2999999999999999E-2</v>
      </c>
      <c r="BQ283">
        <v>410</v>
      </c>
      <c r="BR283">
        <v>14</v>
      </c>
      <c r="BS283">
        <v>0.22</v>
      </c>
      <c r="BT283">
        <v>0.13</v>
      </c>
      <c r="BU283">
        <v>-1.0855115</v>
      </c>
      <c r="BV283">
        <v>7.8357744360903897E-2</v>
      </c>
      <c r="BW283">
        <v>2.24948472488701E-2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1.886533</v>
      </c>
      <c r="CD283">
        <v>7.5654135338350706E-2</v>
      </c>
      <c r="CE283">
        <v>9.3572250694316603E-3</v>
      </c>
      <c r="CF283">
        <v>1</v>
      </c>
      <c r="CG283">
        <v>2</v>
      </c>
      <c r="CH283">
        <v>2</v>
      </c>
      <c r="CI283" t="s">
        <v>304</v>
      </c>
      <c r="CJ283">
        <v>3.5325600000000001</v>
      </c>
      <c r="CK283">
        <v>2.7022300000000001</v>
      </c>
      <c r="CL283">
        <v>9.7995600000000002E-2</v>
      </c>
      <c r="CM283">
        <v>9.6812899999999993E-2</v>
      </c>
      <c r="CN283">
        <v>8.7250599999999998E-2</v>
      </c>
      <c r="CO283">
        <v>7.8313800000000003E-2</v>
      </c>
      <c r="CP283">
        <v>31632.3</v>
      </c>
      <c r="CQ283">
        <v>27805.200000000001</v>
      </c>
      <c r="CR283">
        <v>32457.4</v>
      </c>
      <c r="CS283">
        <v>30712.6</v>
      </c>
      <c r="CT283">
        <v>40113.4</v>
      </c>
      <c r="CU283">
        <v>39809.9</v>
      </c>
      <c r="CV283">
        <v>47399.6</v>
      </c>
      <c r="CW283">
        <v>46836.4</v>
      </c>
      <c r="CX283">
        <v>2.6240000000000001</v>
      </c>
      <c r="CY283">
        <v>2.1299800000000002</v>
      </c>
      <c r="CZ283">
        <v>0</v>
      </c>
      <c r="DA283">
        <v>0</v>
      </c>
      <c r="DB283">
        <v>999.9</v>
      </c>
      <c r="DC283">
        <v>999.9</v>
      </c>
      <c r="DD283">
        <v>51.093000000000004</v>
      </c>
      <c r="DE283">
        <v>27.593</v>
      </c>
      <c r="DF283">
        <v>18.8706</v>
      </c>
      <c r="DG283">
        <v>30.280200000000001</v>
      </c>
      <c r="DH283">
        <v>16.5625</v>
      </c>
      <c r="DI283">
        <v>2</v>
      </c>
      <c r="DJ283">
        <v>-0.123059</v>
      </c>
      <c r="DK283">
        <v>2.2044899999999998</v>
      </c>
      <c r="DL283">
        <v>20.1966</v>
      </c>
      <c r="DM283">
        <v>5.2511900000000002</v>
      </c>
      <c r="DN283">
        <v>12.033899999999999</v>
      </c>
      <c r="DO283">
        <v>4.9675200000000004</v>
      </c>
      <c r="DP283">
        <v>3.2909999999999999</v>
      </c>
      <c r="DQ283">
        <v>9999</v>
      </c>
      <c r="DR283">
        <v>9999</v>
      </c>
      <c r="DS283">
        <v>597.79999999999995</v>
      </c>
      <c r="DT283">
        <v>9999</v>
      </c>
      <c r="DU283">
        <v>1.87103</v>
      </c>
      <c r="DV283">
        <v>1.8760699999999999</v>
      </c>
      <c r="DW283">
        <v>1.8762300000000001</v>
      </c>
      <c r="DX283">
        <v>1.8827799999999999</v>
      </c>
      <c r="DY283">
        <v>1.8755599999999999</v>
      </c>
      <c r="DZ283">
        <v>1.87459</v>
      </c>
      <c r="EA283">
        <v>1.87076</v>
      </c>
      <c r="EB283">
        <v>1.8745400000000001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-0.88700000000000001</v>
      </c>
      <c r="EQ283">
        <v>9.2499999999999999E-2</v>
      </c>
      <c r="ER283">
        <v>-0.88700000000005697</v>
      </c>
      <c r="ES283">
        <v>0</v>
      </c>
      <c r="ET283">
        <v>0</v>
      </c>
      <c r="EU283">
        <v>0</v>
      </c>
      <c r="EV283">
        <v>9.2509999999998996E-2</v>
      </c>
      <c r="EW283">
        <v>0</v>
      </c>
      <c r="EX283">
        <v>0</v>
      </c>
      <c r="EY283">
        <v>0</v>
      </c>
      <c r="EZ283">
        <v>-1</v>
      </c>
      <c r="FA283">
        <v>-1</v>
      </c>
      <c r="FB283">
        <v>-1</v>
      </c>
      <c r="FC283">
        <v>-1</v>
      </c>
      <c r="FD283">
        <v>4.9000000000000004</v>
      </c>
      <c r="FE283">
        <v>4.5</v>
      </c>
      <c r="FF283">
        <v>1.24146</v>
      </c>
      <c r="FG283">
        <v>2.5927699999999998</v>
      </c>
      <c r="FH283">
        <v>2.19604</v>
      </c>
      <c r="FI283">
        <v>2.5744600000000002</v>
      </c>
      <c r="FJ283">
        <v>2.4462899999999999</v>
      </c>
      <c r="FK283">
        <v>2.3095699999999999</v>
      </c>
      <c r="FL283">
        <v>31.936499999999999</v>
      </c>
      <c r="FM283">
        <v>24.148800000000001</v>
      </c>
      <c r="FN283">
        <v>19</v>
      </c>
      <c r="FO283">
        <v>865.45899999999995</v>
      </c>
      <c r="FP283">
        <v>575.54999999999995</v>
      </c>
      <c r="FQ283">
        <v>18.025300000000001</v>
      </c>
      <c r="FR283">
        <v>25.457599999999999</v>
      </c>
      <c r="FS283">
        <v>30</v>
      </c>
      <c r="FT283">
        <v>25.442</v>
      </c>
      <c r="FU283">
        <v>25.440899999999999</v>
      </c>
      <c r="FV283">
        <v>24.9236</v>
      </c>
      <c r="FW283">
        <v>32.111499999999999</v>
      </c>
      <c r="FX283">
        <v>0</v>
      </c>
      <c r="FY283">
        <v>18.037800000000001</v>
      </c>
      <c r="FZ283">
        <v>410</v>
      </c>
      <c r="GA283">
        <v>13.451000000000001</v>
      </c>
      <c r="GB283">
        <v>99.879199999999997</v>
      </c>
      <c r="GC283">
        <v>99.705799999999996</v>
      </c>
    </row>
    <row r="284" spans="1:185" x14ac:dyDescent="0.2">
      <c r="A284">
        <v>269</v>
      </c>
      <c r="B284">
        <v>1771003979.0999999</v>
      </c>
      <c r="C284">
        <v>5356</v>
      </c>
      <c r="D284" t="s">
        <v>845</v>
      </c>
      <c r="E284" t="s">
        <v>846</v>
      </c>
      <c r="F284">
        <v>15</v>
      </c>
      <c r="G284">
        <v>1771003971.03333</v>
      </c>
      <c r="H284">
        <f t="shared" si="52"/>
        <v>1.5369812215635873E-3</v>
      </c>
      <c r="I284">
        <v>0</v>
      </c>
      <c r="J284">
        <f t="shared" si="64"/>
        <v>1.349684616595472E-2</v>
      </c>
      <c r="K284">
        <f t="shared" si="53"/>
        <v>0.24134053800687869</v>
      </c>
      <c r="L284">
        <f t="shared" si="54"/>
        <v>70.071981069128341</v>
      </c>
      <c r="M284">
        <f t="shared" si="55"/>
        <v>1.5439624857787742</v>
      </c>
      <c r="N284">
        <f t="shared" si="56"/>
        <v>2.2033949407761195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26315.828598193708</v>
      </c>
      <c r="T284">
        <f t="shared" si="60"/>
        <v>800.00040000000001</v>
      </c>
      <c r="U284">
        <f t="shared" si="61"/>
        <v>674.40042200004234</v>
      </c>
      <c r="V284">
        <f t="shared" si="62"/>
        <v>0.84300010599999997</v>
      </c>
      <c r="W284">
        <f t="shared" si="63"/>
        <v>0.15870026499999998</v>
      </c>
      <c r="X284">
        <v>1</v>
      </c>
      <c r="Y284">
        <v>1771003971.03333</v>
      </c>
      <c r="Z284">
        <v>408.90486666666698</v>
      </c>
      <c r="AA284">
        <v>409.99213333333302</v>
      </c>
      <c r="AB284">
        <v>15.3787933333333</v>
      </c>
      <c r="AC284">
        <v>13.4871266666667</v>
      </c>
      <c r="AD284">
        <v>409.79186666666698</v>
      </c>
      <c r="AE284">
        <v>15.28628</v>
      </c>
      <c r="AF284">
        <v>800.00580000000002</v>
      </c>
      <c r="AG284">
        <v>100.33093333333299</v>
      </c>
      <c r="AH284">
        <v>6.4621266666666705E-2</v>
      </c>
      <c r="AI284">
        <v>18.987020000000001</v>
      </c>
      <c r="AJ284">
        <v>999.9</v>
      </c>
      <c r="AK284">
        <v>999.9</v>
      </c>
      <c r="AL284">
        <v>0</v>
      </c>
      <c r="AM284">
        <v>0</v>
      </c>
      <c r="AN284">
        <v>5000.9333333333298</v>
      </c>
      <c r="AO284">
        <v>0</v>
      </c>
      <c r="AP284">
        <v>1.6952213333333299</v>
      </c>
      <c r="AQ284">
        <v>-1.0872953333333299</v>
      </c>
      <c r="AR284">
        <v>415.29153333333301</v>
      </c>
      <c r="AS284">
        <v>415.597266666667</v>
      </c>
      <c r="AT284">
        <v>1.89166533333333</v>
      </c>
      <c r="AU284">
        <v>409.99213333333302</v>
      </c>
      <c r="AV284">
        <v>13.4871266666667</v>
      </c>
      <c r="AW284">
        <v>1.5429693333333301</v>
      </c>
      <c r="AX284">
        <v>1.3531759999999999</v>
      </c>
      <c r="AY284">
        <v>13.400726666666699</v>
      </c>
      <c r="AZ284">
        <v>11.402846666666701</v>
      </c>
      <c r="BA284">
        <v>800.00040000000001</v>
      </c>
      <c r="BB284">
        <v>0.89999646666666699</v>
      </c>
      <c r="BC284">
        <v>0</v>
      </c>
      <c r="BD284">
        <v>0.10000353333333301</v>
      </c>
      <c r="BE284">
        <v>0</v>
      </c>
      <c r="BF284">
        <v>24.766680000000001</v>
      </c>
      <c r="BG284">
        <v>13191.0133333333</v>
      </c>
      <c r="BH284">
        <v>1771003693.0999999</v>
      </c>
      <c r="BI284" t="s">
        <v>816</v>
      </c>
      <c r="BJ284">
        <v>1771003671.0999999</v>
      </c>
      <c r="BK284">
        <v>1771003693.0999999</v>
      </c>
      <c r="BL284">
        <v>15</v>
      </c>
      <c r="BM284">
        <v>-1.4999999999999999E-2</v>
      </c>
      <c r="BN284">
        <v>-6.0000000000000001E-3</v>
      </c>
      <c r="BO284">
        <v>-0.88700000000000001</v>
      </c>
      <c r="BP284">
        <v>9.2999999999999999E-2</v>
      </c>
      <c r="BQ284">
        <v>410</v>
      </c>
      <c r="BR284">
        <v>14</v>
      </c>
      <c r="BS284">
        <v>0.22</v>
      </c>
      <c r="BT284">
        <v>0.13</v>
      </c>
      <c r="BU284">
        <v>-1.0845594999999999</v>
      </c>
      <c r="BV284">
        <v>-4.4760451127819997E-2</v>
      </c>
      <c r="BW284">
        <v>1.5444728704318501E-2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1.8917409999999999</v>
      </c>
      <c r="CD284">
        <v>-2.1807518796967298E-3</v>
      </c>
      <c r="CE284">
        <v>1.3375384106634101E-3</v>
      </c>
      <c r="CF284">
        <v>1</v>
      </c>
      <c r="CG284">
        <v>2</v>
      </c>
      <c r="CH284">
        <v>2</v>
      </c>
      <c r="CI284" t="s">
        <v>304</v>
      </c>
      <c r="CJ284">
        <v>3.5325099999999998</v>
      </c>
      <c r="CK284">
        <v>2.70241</v>
      </c>
      <c r="CL284">
        <v>9.7996799999999995E-2</v>
      </c>
      <c r="CM284">
        <v>9.6815399999999996E-2</v>
      </c>
      <c r="CN284">
        <v>8.7217799999999998E-2</v>
      </c>
      <c r="CO284">
        <v>7.8305600000000003E-2</v>
      </c>
      <c r="CP284">
        <v>31632</v>
      </c>
      <c r="CQ284">
        <v>27805.7</v>
      </c>
      <c r="CR284">
        <v>32457.1</v>
      </c>
      <c r="CS284">
        <v>30713.200000000001</v>
      </c>
      <c r="CT284">
        <v>40114.6</v>
      </c>
      <c r="CU284">
        <v>39810.9</v>
      </c>
      <c r="CV284">
        <v>47399.3</v>
      </c>
      <c r="CW284">
        <v>46837</v>
      </c>
      <c r="CX284">
        <v>2.62418</v>
      </c>
      <c r="CY284">
        <v>2.1301000000000001</v>
      </c>
      <c r="CZ284">
        <v>0</v>
      </c>
      <c r="DA284">
        <v>0</v>
      </c>
      <c r="DB284">
        <v>999.9</v>
      </c>
      <c r="DC284">
        <v>999.9</v>
      </c>
      <c r="DD284">
        <v>51.067999999999998</v>
      </c>
      <c r="DE284">
        <v>27.593</v>
      </c>
      <c r="DF284">
        <v>18.8612</v>
      </c>
      <c r="DG284">
        <v>30.220199999999998</v>
      </c>
      <c r="DH284">
        <v>16.642600000000002</v>
      </c>
      <c r="DI284">
        <v>2</v>
      </c>
      <c r="DJ284">
        <v>-0.12348199999999999</v>
      </c>
      <c r="DK284">
        <v>2.1705700000000001</v>
      </c>
      <c r="DL284">
        <v>20.196999999999999</v>
      </c>
      <c r="DM284">
        <v>5.2516699999999998</v>
      </c>
      <c r="DN284">
        <v>12.033899999999999</v>
      </c>
      <c r="DO284">
        <v>4.9675200000000004</v>
      </c>
      <c r="DP284">
        <v>3.2909999999999999</v>
      </c>
      <c r="DQ284">
        <v>9999</v>
      </c>
      <c r="DR284">
        <v>9999</v>
      </c>
      <c r="DS284">
        <v>597.79999999999995</v>
      </c>
      <c r="DT284">
        <v>9999</v>
      </c>
      <c r="DU284">
        <v>1.87103</v>
      </c>
      <c r="DV284">
        <v>1.8760699999999999</v>
      </c>
      <c r="DW284">
        <v>1.8762399999999999</v>
      </c>
      <c r="DX284">
        <v>1.8827799999999999</v>
      </c>
      <c r="DY284">
        <v>1.87557</v>
      </c>
      <c r="DZ284">
        <v>1.87462</v>
      </c>
      <c r="EA284">
        <v>1.87077</v>
      </c>
      <c r="EB284">
        <v>1.87456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-0.88600000000000001</v>
      </c>
      <c r="EQ284">
        <v>9.2499999999999999E-2</v>
      </c>
      <c r="ER284">
        <v>-0.88700000000005697</v>
      </c>
      <c r="ES284">
        <v>0</v>
      </c>
      <c r="ET284">
        <v>0</v>
      </c>
      <c r="EU284">
        <v>0</v>
      </c>
      <c r="EV284">
        <v>9.2509999999998996E-2</v>
      </c>
      <c r="EW284">
        <v>0</v>
      </c>
      <c r="EX284">
        <v>0</v>
      </c>
      <c r="EY284">
        <v>0</v>
      </c>
      <c r="EZ284">
        <v>-1</v>
      </c>
      <c r="FA284">
        <v>-1</v>
      </c>
      <c r="FB284">
        <v>-1</v>
      </c>
      <c r="FC284">
        <v>-1</v>
      </c>
      <c r="FD284">
        <v>5.0999999999999996</v>
      </c>
      <c r="FE284">
        <v>4.8</v>
      </c>
      <c r="FF284">
        <v>1.24146</v>
      </c>
      <c r="FG284">
        <v>2.6000999999999999</v>
      </c>
      <c r="FH284">
        <v>2.19604</v>
      </c>
      <c r="FI284">
        <v>2.5744600000000002</v>
      </c>
      <c r="FJ284">
        <v>2.4462899999999999</v>
      </c>
      <c r="FK284">
        <v>2.2900399999999999</v>
      </c>
      <c r="FL284">
        <v>31.936499999999999</v>
      </c>
      <c r="FM284">
        <v>24.14</v>
      </c>
      <c r="FN284">
        <v>19</v>
      </c>
      <c r="FO284">
        <v>865.59199999999998</v>
      </c>
      <c r="FP284">
        <v>575.63800000000003</v>
      </c>
      <c r="FQ284">
        <v>18.0534</v>
      </c>
      <c r="FR284">
        <v>25.453800000000001</v>
      </c>
      <c r="FS284">
        <v>29.9999</v>
      </c>
      <c r="FT284">
        <v>25.439900000000002</v>
      </c>
      <c r="FU284">
        <v>25.4405</v>
      </c>
      <c r="FV284">
        <v>24.925000000000001</v>
      </c>
      <c r="FW284">
        <v>32.111499999999999</v>
      </c>
      <c r="FX284">
        <v>0</v>
      </c>
      <c r="FY284">
        <v>18.064900000000002</v>
      </c>
      <c r="FZ284">
        <v>410</v>
      </c>
      <c r="GA284">
        <v>13.454000000000001</v>
      </c>
      <c r="GB284">
        <v>99.878399999999999</v>
      </c>
      <c r="GC284">
        <v>99.707400000000007</v>
      </c>
    </row>
    <row r="285" spans="1:185" x14ac:dyDescent="0.2">
      <c r="A285">
        <v>270</v>
      </c>
      <c r="B285">
        <v>1771003994.0999999</v>
      </c>
      <c r="C285">
        <v>5371</v>
      </c>
      <c r="D285" t="s">
        <v>847</v>
      </c>
      <c r="E285" t="s">
        <v>848</v>
      </c>
      <c r="F285">
        <v>15</v>
      </c>
      <c r="G285">
        <v>1771003986.03333</v>
      </c>
      <c r="H285">
        <f t="shared" si="52"/>
        <v>1.526232202465631E-3</v>
      </c>
      <c r="I285">
        <v>0</v>
      </c>
      <c r="J285">
        <f t="shared" si="64"/>
        <v>1.3324751030864614E-2</v>
      </c>
      <c r="K285">
        <f t="shared" si="53"/>
        <v>0.23826326113935539</v>
      </c>
      <c r="L285">
        <f t="shared" si="54"/>
        <v>69.990351504365037</v>
      </c>
      <c r="M285">
        <f t="shared" si="55"/>
        <v>1.5425180812594506</v>
      </c>
      <c r="N285">
        <f t="shared" si="56"/>
        <v>2.2039010350780273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26243.840242421858</v>
      </c>
      <c r="T285">
        <f t="shared" si="60"/>
        <v>800.00126666666699</v>
      </c>
      <c r="U285">
        <f t="shared" si="61"/>
        <v>674.40119420020039</v>
      </c>
      <c r="V285">
        <f t="shared" si="62"/>
        <v>0.84300015799999994</v>
      </c>
      <c r="W285">
        <f t="shared" si="63"/>
        <v>0.15870039500000002</v>
      </c>
      <c r="X285">
        <v>1</v>
      </c>
      <c r="Y285">
        <v>1771003986.03333</v>
      </c>
      <c r="Z285">
        <v>408.91013333333302</v>
      </c>
      <c r="AA285">
        <v>409.98806666666701</v>
      </c>
      <c r="AB285">
        <v>15.36434</v>
      </c>
      <c r="AC285">
        <v>13.48588</v>
      </c>
      <c r="AD285">
        <v>409.79713333333302</v>
      </c>
      <c r="AE285">
        <v>15.2718133333333</v>
      </c>
      <c r="AF285">
        <v>800.00779999999997</v>
      </c>
      <c r="AG285">
        <v>100.331466666667</v>
      </c>
      <c r="AH285">
        <v>6.4520486666666696E-2</v>
      </c>
      <c r="AI285">
        <v>18.9907</v>
      </c>
      <c r="AJ285">
        <v>999.9</v>
      </c>
      <c r="AK285">
        <v>999.9</v>
      </c>
      <c r="AL285">
        <v>0</v>
      </c>
      <c r="AM285">
        <v>0</v>
      </c>
      <c r="AN285">
        <v>4989.1333333333296</v>
      </c>
      <c r="AO285">
        <v>0</v>
      </c>
      <c r="AP285">
        <v>1.71796066666667</v>
      </c>
      <c r="AQ285">
        <v>-1.0778920000000001</v>
      </c>
      <c r="AR285">
        <v>415.29073333333298</v>
      </c>
      <c r="AS285">
        <v>415.592733333333</v>
      </c>
      <c r="AT285">
        <v>1.8784433333333299</v>
      </c>
      <c r="AU285">
        <v>409.98806666666701</v>
      </c>
      <c r="AV285">
        <v>13.48588</v>
      </c>
      <c r="AW285">
        <v>1.5415273333333299</v>
      </c>
      <c r="AX285">
        <v>1.3530599999999999</v>
      </c>
      <c r="AY285">
        <v>13.3864</v>
      </c>
      <c r="AZ285">
        <v>11.40156</v>
      </c>
      <c r="BA285">
        <v>800.00126666666699</v>
      </c>
      <c r="BB285">
        <v>0.89999473333333302</v>
      </c>
      <c r="BC285">
        <v>0</v>
      </c>
      <c r="BD285">
        <v>0.10000526666666699</v>
      </c>
      <c r="BE285">
        <v>0</v>
      </c>
      <c r="BF285">
        <v>24.33334</v>
      </c>
      <c r="BG285">
        <v>13191.02</v>
      </c>
      <c r="BH285">
        <v>1771003693.0999999</v>
      </c>
      <c r="BI285" t="s">
        <v>816</v>
      </c>
      <c r="BJ285">
        <v>1771003671.0999999</v>
      </c>
      <c r="BK285">
        <v>1771003693.0999999</v>
      </c>
      <c r="BL285">
        <v>15</v>
      </c>
      <c r="BM285">
        <v>-1.4999999999999999E-2</v>
      </c>
      <c r="BN285">
        <v>-6.0000000000000001E-3</v>
      </c>
      <c r="BO285">
        <v>-0.88700000000000001</v>
      </c>
      <c r="BP285">
        <v>9.2999999999999999E-2</v>
      </c>
      <c r="BQ285">
        <v>410</v>
      </c>
      <c r="BR285">
        <v>14</v>
      </c>
      <c r="BS285">
        <v>0.22</v>
      </c>
      <c r="BT285">
        <v>0.13</v>
      </c>
      <c r="BU285">
        <v>-1.0782747619047599</v>
      </c>
      <c r="BV285">
        <v>8.0710129870128003E-2</v>
      </c>
      <c r="BW285">
        <v>2.2516319292173799E-2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1.88219761904762</v>
      </c>
      <c r="CD285">
        <v>-6.5055584415585302E-2</v>
      </c>
      <c r="CE285">
        <v>7.1572979104327196E-3</v>
      </c>
      <c r="CF285">
        <v>1</v>
      </c>
      <c r="CG285">
        <v>2</v>
      </c>
      <c r="CH285">
        <v>2</v>
      </c>
      <c r="CI285" t="s">
        <v>304</v>
      </c>
      <c r="CJ285">
        <v>3.5325799999999998</v>
      </c>
      <c r="CK285">
        <v>2.7024599999999999</v>
      </c>
      <c r="CL285">
        <v>9.7994999999999999E-2</v>
      </c>
      <c r="CM285">
        <v>9.6816700000000006E-2</v>
      </c>
      <c r="CN285">
        <v>8.7179300000000001E-2</v>
      </c>
      <c r="CO285">
        <v>7.8301700000000002E-2</v>
      </c>
      <c r="CP285">
        <v>31632.7</v>
      </c>
      <c r="CQ285">
        <v>27806</v>
      </c>
      <c r="CR285">
        <v>32457.7</v>
      </c>
      <c r="CS285">
        <v>30713.5</v>
      </c>
      <c r="CT285">
        <v>40117</v>
      </c>
      <c r="CU285">
        <v>39811.5</v>
      </c>
      <c r="CV285">
        <v>47400</v>
      </c>
      <c r="CW285">
        <v>46837.5</v>
      </c>
      <c r="CX285">
        <v>2.6242399999999999</v>
      </c>
      <c r="CY285">
        <v>2.1298599999999999</v>
      </c>
      <c r="CZ285">
        <v>0</v>
      </c>
      <c r="DA285">
        <v>0</v>
      </c>
      <c r="DB285">
        <v>999.9</v>
      </c>
      <c r="DC285">
        <v>999.9</v>
      </c>
      <c r="DD285">
        <v>51.043999999999997</v>
      </c>
      <c r="DE285">
        <v>27.603000000000002</v>
      </c>
      <c r="DF285">
        <v>18.8644</v>
      </c>
      <c r="DG285">
        <v>30.5502</v>
      </c>
      <c r="DH285">
        <v>16.590499999999999</v>
      </c>
      <c r="DI285">
        <v>2</v>
      </c>
      <c r="DJ285">
        <v>-0.123998</v>
      </c>
      <c r="DK285">
        <v>2.15184</v>
      </c>
      <c r="DL285">
        <v>20.197199999999999</v>
      </c>
      <c r="DM285">
        <v>5.2509499999999996</v>
      </c>
      <c r="DN285">
        <v>12.033899999999999</v>
      </c>
      <c r="DO285">
        <v>4.9673999999999996</v>
      </c>
      <c r="DP285">
        <v>3.2909999999999999</v>
      </c>
      <c r="DQ285">
        <v>9999</v>
      </c>
      <c r="DR285">
        <v>9999</v>
      </c>
      <c r="DS285">
        <v>597.79999999999995</v>
      </c>
      <c r="DT285">
        <v>9999</v>
      </c>
      <c r="DU285">
        <v>1.87103</v>
      </c>
      <c r="DV285">
        <v>1.8760699999999999</v>
      </c>
      <c r="DW285">
        <v>1.87626</v>
      </c>
      <c r="DX285">
        <v>1.8827799999999999</v>
      </c>
      <c r="DY285">
        <v>1.8755900000000001</v>
      </c>
      <c r="DZ285">
        <v>1.8746499999999999</v>
      </c>
      <c r="EA285">
        <v>1.8707800000000001</v>
      </c>
      <c r="EB285">
        <v>1.8746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-0.88700000000000001</v>
      </c>
      <c r="EQ285">
        <v>9.2499999999999999E-2</v>
      </c>
      <c r="ER285">
        <v>-0.88700000000005697</v>
      </c>
      <c r="ES285">
        <v>0</v>
      </c>
      <c r="ET285">
        <v>0</v>
      </c>
      <c r="EU285">
        <v>0</v>
      </c>
      <c r="EV285">
        <v>9.2509999999998996E-2</v>
      </c>
      <c r="EW285">
        <v>0</v>
      </c>
      <c r="EX285">
        <v>0</v>
      </c>
      <c r="EY285">
        <v>0</v>
      </c>
      <c r="EZ285">
        <v>-1</v>
      </c>
      <c r="FA285">
        <v>-1</v>
      </c>
      <c r="FB285">
        <v>-1</v>
      </c>
      <c r="FC285">
        <v>-1</v>
      </c>
      <c r="FD285">
        <v>5.4</v>
      </c>
      <c r="FE285">
        <v>5</v>
      </c>
      <c r="FF285">
        <v>1.24146</v>
      </c>
      <c r="FG285">
        <v>2.6037599999999999</v>
      </c>
      <c r="FH285">
        <v>2.19604</v>
      </c>
      <c r="FI285">
        <v>2.5744600000000002</v>
      </c>
      <c r="FJ285">
        <v>2.4462899999999999</v>
      </c>
      <c r="FK285">
        <v>2.2387700000000001</v>
      </c>
      <c r="FL285">
        <v>31.958500000000001</v>
      </c>
      <c r="FM285">
        <v>24.14</v>
      </c>
      <c r="FN285">
        <v>19</v>
      </c>
      <c r="FO285">
        <v>865.61300000000006</v>
      </c>
      <c r="FP285">
        <v>575.41099999999994</v>
      </c>
      <c r="FQ285">
        <v>18.076799999999999</v>
      </c>
      <c r="FR285">
        <v>25.449000000000002</v>
      </c>
      <c r="FS285">
        <v>29.9999</v>
      </c>
      <c r="FT285">
        <v>25.4377</v>
      </c>
      <c r="FU285">
        <v>25.436699999999998</v>
      </c>
      <c r="FV285">
        <v>24.926300000000001</v>
      </c>
      <c r="FW285">
        <v>32.111499999999999</v>
      </c>
      <c r="FX285">
        <v>0</v>
      </c>
      <c r="FY285">
        <v>18.0837</v>
      </c>
      <c r="FZ285">
        <v>410</v>
      </c>
      <c r="GA285">
        <v>13.4537</v>
      </c>
      <c r="GB285">
        <v>99.880099999999999</v>
      </c>
      <c r="GC285">
        <v>99.708500000000001</v>
      </c>
    </row>
    <row r="286" spans="1:185" x14ac:dyDescent="0.2">
      <c r="A286">
        <v>271</v>
      </c>
      <c r="B286">
        <v>1771004009.0999999</v>
      </c>
      <c r="C286">
        <v>5386</v>
      </c>
      <c r="D286" t="s">
        <v>849</v>
      </c>
      <c r="E286" t="s">
        <v>850</v>
      </c>
      <c r="F286">
        <v>15</v>
      </c>
      <c r="G286">
        <v>1771004001.03333</v>
      </c>
      <c r="H286">
        <f t="shared" si="52"/>
        <v>1.5235222496844539E-3</v>
      </c>
      <c r="I286">
        <v>0</v>
      </c>
      <c r="J286">
        <f t="shared" si="64"/>
        <v>1.3242334742128352E-2</v>
      </c>
      <c r="K286">
        <f t="shared" si="53"/>
        <v>0.23678955452526412</v>
      </c>
      <c r="L286">
        <f t="shared" si="54"/>
        <v>69.958010487230894</v>
      </c>
      <c r="M286">
        <f t="shared" si="55"/>
        <v>1.5421305705086572</v>
      </c>
      <c r="N286">
        <f t="shared" si="56"/>
        <v>2.2043659614793292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26341.516146541086</v>
      </c>
      <c r="T286">
        <f t="shared" si="60"/>
        <v>799.99973333333298</v>
      </c>
      <c r="U286">
        <f t="shared" si="61"/>
        <v>674.39993679994586</v>
      </c>
      <c r="V286">
        <f t="shared" si="62"/>
        <v>0.84300020200000003</v>
      </c>
      <c r="W286">
        <f t="shared" si="63"/>
        <v>0.15870050499999999</v>
      </c>
      <c r="X286">
        <v>1</v>
      </c>
      <c r="Y286">
        <v>1771004001.03333</v>
      </c>
      <c r="Z286">
        <v>408.92599999999999</v>
      </c>
      <c r="AA286">
        <v>410.00073333333302</v>
      </c>
      <c r="AB286">
        <v>15.360566666666699</v>
      </c>
      <c r="AC286">
        <v>13.485440000000001</v>
      </c>
      <c r="AD286">
        <v>409.81293333333298</v>
      </c>
      <c r="AE286">
        <v>15.2680666666667</v>
      </c>
      <c r="AF286">
        <v>800.01</v>
      </c>
      <c r="AG286">
        <v>100.3308</v>
      </c>
      <c r="AH286">
        <v>6.4621860000000003E-2</v>
      </c>
      <c r="AI286">
        <v>18.99408</v>
      </c>
      <c r="AJ286">
        <v>999.9</v>
      </c>
      <c r="AK286">
        <v>999.9</v>
      </c>
      <c r="AL286">
        <v>0</v>
      </c>
      <c r="AM286">
        <v>0</v>
      </c>
      <c r="AN286">
        <v>5005.2666666666701</v>
      </c>
      <c r="AO286">
        <v>0</v>
      </c>
      <c r="AP286">
        <v>1.6983853333333301</v>
      </c>
      <c r="AQ286">
        <v>-1.074678</v>
      </c>
      <c r="AR286">
        <v>415.30540000000002</v>
      </c>
      <c r="AS286">
        <v>415.60526666666698</v>
      </c>
      <c r="AT286">
        <v>1.8751059999999999</v>
      </c>
      <c r="AU286">
        <v>410.00073333333302</v>
      </c>
      <c r="AV286">
        <v>13.485440000000001</v>
      </c>
      <c r="AW286">
        <v>1.54113733333333</v>
      </c>
      <c r="AX286">
        <v>1.3530059999999999</v>
      </c>
      <c r="AY286">
        <v>13.38252</v>
      </c>
      <c r="AZ286">
        <v>11.400966666666699</v>
      </c>
      <c r="BA286">
        <v>799.99973333333298</v>
      </c>
      <c r="BB286">
        <v>0.89999326666666701</v>
      </c>
      <c r="BC286">
        <v>0</v>
      </c>
      <c r="BD286">
        <v>0.100006733333333</v>
      </c>
      <c r="BE286">
        <v>0</v>
      </c>
      <c r="BF286">
        <v>24</v>
      </c>
      <c r="BG286">
        <v>13191</v>
      </c>
      <c r="BH286">
        <v>1771003693.0999999</v>
      </c>
      <c r="BI286" t="s">
        <v>816</v>
      </c>
      <c r="BJ286">
        <v>1771003671.0999999</v>
      </c>
      <c r="BK286">
        <v>1771003693.0999999</v>
      </c>
      <c r="BL286">
        <v>15</v>
      </c>
      <c r="BM286">
        <v>-1.4999999999999999E-2</v>
      </c>
      <c r="BN286">
        <v>-6.0000000000000001E-3</v>
      </c>
      <c r="BO286">
        <v>-0.88700000000000001</v>
      </c>
      <c r="BP286">
        <v>9.2999999999999999E-2</v>
      </c>
      <c r="BQ286">
        <v>410</v>
      </c>
      <c r="BR286">
        <v>14</v>
      </c>
      <c r="BS286">
        <v>0.22</v>
      </c>
      <c r="BT286">
        <v>0.13</v>
      </c>
      <c r="BU286">
        <v>-1.0711455000000001</v>
      </c>
      <c r="BV286">
        <v>8.9172180451130498E-2</v>
      </c>
      <c r="BW286">
        <v>3.0761218193530601E-2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1.8750260000000001</v>
      </c>
      <c r="CD286">
        <v>-1.78466165413558E-2</v>
      </c>
      <c r="CE286">
        <v>3.6755549240896999E-3</v>
      </c>
      <c r="CF286">
        <v>1</v>
      </c>
      <c r="CG286">
        <v>2</v>
      </c>
      <c r="CH286">
        <v>2</v>
      </c>
      <c r="CI286" t="s">
        <v>304</v>
      </c>
      <c r="CJ286">
        <v>3.5325299999999999</v>
      </c>
      <c r="CK286">
        <v>2.70242</v>
      </c>
      <c r="CL286">
        <v>9.8004599999999997E-2</v>
      </c>
      <c r="CM286">
        <v>9.6818699999999994E-2</v>
      </c>
      <c r="CN286">
        <v>8.7124699999999999E-2</v>
      </c>
      <c r="CO286">
        <v>7.8303999999999999E-2</v>
      </c>
      <c r="CP286">
        <v>31632.7</v>
      </c>
      <c r="CQ286">
        <v>27806.799999999999</v>
      </c>
      <c r="CR286">
        <v>32458.1</v>
      </c>
      <c r="CS286">
        <v>30714.5</v>
      </c>
      <c r="CT286">
        <v>40120</v>
      </c>
      <c r="CU286">
        <v>39813</v>
      </c>
      <c r="CV286">
        <v>47400.6</v>
      </c>
      <c r="CW286">
        <v>46839.5</v>
      </c>
      <c r="CX286">
        <v>2.6240199999999998</v>
      </c>
      <c r="CY286">
        <v>2.13</v>
      </c>
      <c r="CZ286">
        <v>0</v>
      </c>
      <c r="DA286">
        <v>0</v>
      </c>
      <c r="DB286">
        <v>999.9</v>
      </c>
      <c r="DC286">
        <v>999.9</v>
      </c>
      <c r="DD286">
        <v>51.043999999999997</v>
      </c>
      <c r="DE286">
        <v>27.593</v>
      </c>
      <c r="DF286">
        <v>18.854500000000002</v>
      </c>
      <c r="DG286">
        <v>30.220199999999998</v>
      </c>
      <c r="DH286">
        <v>16.5184</v>
      </c>
      <c r="DI286">
        <v>2</v>
      </c>
      <c r="DJ286">
        <v>-0.124402</v>
      </c>
      <c r="DK286">
        <v>2.1301100000000002</v>
      </c>
      <c r="DL286">
        <v>20.197500000000002</v>
      </c>
      <c r="DM286">
        <v>5.2513100000000001</v>
      </c>
      <c r="DN286">
        <v>12.033899999999999</v>
      </c>
      <c r="DO286">
        <v>4.9675200000000004</v>
      </c>
      <c r="DP286">
        <v>3.2909999999999999</v>
      </c>
      <c r="DQ286">
        <v>9999</v>
      </c>
      <c r="DR286">
        <v>9999</v>
      </c>
      <c r="DS286">
        <v>597.79999999999995</v>
      </c>
      <c r="DT286">
        <v>9999</v>
      </c>
      <c r="DU286">
        <v>1.87104</v>
      </c>
      <c r="DV286">
        <v>1.8760699999999999</v>
      </c>
      <c r="DW286">
        <v>1.87626</v>
      </c>
      <c r="DX286">
        <v>1.8827799999999999</v>
      </c>
      <c r="DY286">
        <v>1.8755500000000001</v>
      </c>
      <c r="DZ286">
        <v>1.8746400000000001</v>
      </c>
      <c r="EA286">
        <v>1.87077</v>
      </c>
      <c r="EB286">
        <v>1.8745700000000001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-0.88700000000000001</v>
      </c>
      <c r="EQ286">
        <v>9.2499999999999999E-2</v>
      </c>
      <c r="ER286">
        <v>-0.88700000000005697</v>
      </c>
      <c r="ES286">
        <v>0</v>
      </c>
      <c r="ET286">
        <v>0</v>
      </c>
      <c r="EU286">
        <v>0</v>
      </c>
      <c r="EV286">
        <v>9.2509999999998996E-2</v>
      </c>
      <c r="EW286">
        <v>0</v>
      </c>
      <c r="EX286">
        <v>0</v>
      </c>
      <c r="EY286">
        <v>0</v>
      </c>
      <c r="EZ286">
        <v>-1</v>
      </c>
      <c r="FA286">
        <v>-1</v>
      </c>
      <c r="FB286">
        <v>-1</v>
      </c>
      <c r="FC286">
        <v>-1</v>
      </c>
      <c r="FD286">
        <v>5.6</v>
      </c>
      <c r="FE286">
        <v>5.3</v>
      </c>
      <c r="FF286">
        <v>1.24146</v>
      </c>
      <c r="FG286">
        <v>2.5927699999999998</v>
      </c>
      <c r="FH286">
        <v>2.19604</v>
      </c>
      <c r="FI286">
        <v>2.5744600000000002</v>
      </c>
      <c r="FJ286">
        <v>2.4462899999999999</v>
      </c>
      <c r="FK286">
        <v>2.2851599999999999</v>
      </c>
      <c r="FL286">
        <v>31.936499999999999</v>
      </c>
      <c r="FM286">
        <v>24.14</v>
      </c>
      <c r="FN286">
        <v>19</v>
      </c>
      <c r="FO286">
        <v>865.37400000000002</v>
      </c>
      <c r="FP286">
        <v>575.49400000000003</v>
      </c>
      <c r="FQ286">
        <v>18.090699999999998</v>
      </c>
      <c r="FR286">
        <v>25.443100000000001</v>
      </c>
      <c r="FS286">
        <v>29.9999</v>
      </c>
      <c r="FT286">
        <v>25.435500000000001</v>
      </c>
      <c r="FU286">
        <v>25.4345</v>
      </c>
      <c r="FV286">
        <v>24.925799999999999</v>
      </c>
      <c r="FW286">
        <v>32.111499999999999</v>
      </c>
      <c r="FX286">
        <v>0</v>
      </c>
      <c r="FY286">
        <v>18.095199999999998</v>
      </c>
      <c r="FZ286">
        <v>410</v>
      </c>
      <c r="GA286">
        <v>13.4537</v>
      </c>
      <c r="GB286">
        <v>99.881399999999999</v>
      </c>
      <c r="GC286">
        <v>99.712299999999999</v>
      </c>
    </row>
    <row r="287" spans="1:185" x14ac:dyDescent="0.2">
      <c r="A287">
        <v>272</v>
      </c>
      <c r="B287">
        <v>1771004024.0999999</v>
      </c>
      <c r="C287">
        <v>5401</v>
      </c>
      <c r="D287" t="s">
        <v>851</v>
      </c>
      <c r="E287" t="s">
        <v>852</v>
      </c>
      <c r="F287">
        <v>15</v>
      </c>
      <c r="G287">
        <v>1771004016.03333</v>
      </c>
      <c r="H287">
        <f t="shared" si="52"/>
        <v>1.5152030921595496E-3</v>
      </c>
      <c r="I287">
        <v>0</v>
      </c>
      <c r="J287">
        <f t="shared" si="64"/>
        <v>1.4077019685779367E-2</v>
      </c>
      <c r="K287">
        <f t="shared" si="53"/>
        <v>0.25171476823001171</v>
      </c>
      <c r="L287">
        <f t="shared" si="54"/>
        <v>69.888658458013566</v>
      </c>
      <c r="M287">
        <f t="shared" si="55"/>
        <v>1.5411050145635754</v>
      </c>
      <c r="N287">
        <f t="shared" si="56"/>
        <v>2.2050859875775299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26327.823167136994</v>
      </c>
      <c r="T287">
        <f t="shared" si="60"/>
        <v>800.00166666666701</v>
      </c>
      <c r="U287">
        <f t="shared" si="61"/>
        <v>674.40156980034362</v>
      </c>
      <c r="V287">
        <f t="shared" si="62"/>
        <v>0.84300020600000003</v>
      </c>
      <c r="W287">
        <f t="shared" si="63"/>
        <v>0.15870051500000004</v>
      </c>
      <c r="X287">
        <v>1</v>
      </c>
      <c r="Y287">
        <v>1771004016.03333</v>
      </c>
      <c r="Z287">
        <v>408.91980000000001</v>
      </c>
      <c r="AA287">
        <v>410.008933333333</v>
      </c>
      <c r="AB287">
        <v>15.3505066666667</v>
      </c>
      <c r="AC287">
        <v>13.4855866666667</v>
      </c>
      <c r="AD287">
        <v>409.80680000000001</v>
      </c>
      <c r="AE287">
        <v>15.2579933333333</v>
      </c>
      <c r="AF287">
        <v>800.00426666666704</v>
      </c>
      <c r="AG287">
        <v>100.329866666667</v>
      </c>
      <c r="AH287">
        <v>6.4540373333333304E-2</v>
      </c>
      <c r="AI287">
        <v>18.999313333333301</v>
      </c>
      <c r="AJ287">
        <v>999.9</v>
      </c>
      <c r="AK287">
        <v>999.9</v>
      </c>
      <c r="AL287">
        <v>0</v>
      </c>
      <c r="AM287">
        <v>0</v>
      </c>
      <c r="AN287">
        <v>5003.1333333333296</v>
      </c>
      <c r="AO287">
        <v>0</v>
      </c>
      <c r="AP287">
        <v>1.7304553333333299</v>
      </c>
      <c r="AQ287">
        <v>-1.089056</v>
      </c>
      <c r="AR287">
        <v>415.29493333333301</v>
      </c>
      <c r="AS287">
        <v>415.61380000000003</v>
      </c>
      <c r="AT287">
        <v>1.8649180000000001</v>
      </c>
      <c r="AU287">
        <v>410.008933333333</v>
      </c>
      <c r="AV287">
        <v>13.4855866666667</v>
      </c>
      <c r="AW287">
        <v>1.54011266666667</v>
      </c>
      <c r="AX287">
        <v>1.35300666666667</v>
      </c>
      <c r="AY287">
        <v>13.37232</v>
      </c>
      <c r="AZ287">
        <v>11.4009466666667</v>
      </c>
      <c r="BA287">
        <v>800.00166666666701</v>
      </c>
      <c r="BB287">
        <v>0.89999313333333297</v>
      </c>
      <c r="BC287">
        <v>0</v>
      </c>
      <c r="BD287">
        <v>0.100006866666667</v>
      </c>
      <c r="BE287">
        <v>0</v>
      </c>
      <c r="BF287">
        <v>24</v>
      </c>
      <c r="BG287">
        <v>13191.026666666699</v>
      </c>
      <c r="BH287">
        <v>1771003693.0999999</v>
      </c>
      <c r="BI287" t="s">
        <v>816</v>
      </c>
      <c r="BJ287">
        <v>1771003671.0999999</v>
      </c>
      <c r="BK287">
        <v>1771003693.0999999</v>
      </c>
      <c r="BL287">
        <v>15</v>
      </c>
      <c r="BM287">
        <v>-1.4999999999999999E-2</v>
      </c>
      <c r="BN287">
        <v>-6.0000000000000001E-3</v>
      </c>
      <c r="BO287">
        <v>-0.88700000000000001</v>
      </c>
      <c r="BP287">
        <v>9.2999999999999999E-2</v>
      </c>
      <c r="BQ287">
        <v>410</v>
      </c>
      <c r="BR287">
        <v>14</v>
      </c>
      <c r="BS287">
        <v>0.22</v>
      </c>
      <c r="BT287">
        <v>0.13</v>
      </c>
      <c r="BU287">
        <v>-1.0752052380952399</v>
      </c>
      <c r="BV287">
        <v>-0.16713818181818299</v>
      </c>
      <c r="BW287">
        <v>2.52954051199305E-2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1.8668357142857099</v>
      </c>
      <c r="CD287">
        <v>-3.7517922077917702E-2</v>
      </c>
      <c r="CE287">
        <v>4.3654842871352004E-3</v>
      </c>
      <c r="CF287">
        <v>1</v>
      </c>
      <c r="CG287">
        <v>2</v>
      </c>
      <c r="CH287">
        <v>2</v>
      </c>
      <c r="CI287" t="s">
        <v>304</v>
      </c>
      <c r="CJ287">
        <v>3.53254</v>
      </c>
      <c r="CK287">
        <v>2.7021799999999998</v>
      </c>
      <c r="CL287">
        <v>9.79989E-2</v>
      </c>
      <c r="CM287">
        <v>9.6814800000000006E-2</v>
      </c>
      <c r="CN287">
        <v>8.7125800000000003E-2</v>
      </c>
      <c r="CO287">
        <v>7.8306399999999998E-2</v>
      </c>
      <c r="CP287">
        <v>31633.3</v>
      </c>
      <c r="CQ287">
        <v>27806.799999999999</v>
      </c>
      <c r="CR287">
        <v>32458.5</v>
      </c>
      <c r="CS287">
        <v>30714.3</v>
      </c>
      <c r="CT287">
        <v>40120.400000000001</v>
      </c>
      <c r="CU287">
        <v>39812.400000000001</v>
      </c>
      <c r="CV287">
        <v>47401.3</v>
      </c>
      <c r="CW287">
        <v>46838.9</v>
      </c>
      <c r="CX287">
        <v>2.6242999999999999</v>
      </c>
      <c r="CY287">
        <v>2.1301199999999998</v>
      </c>
      <c r="CZ287">
        <v>0</v>
      </c>
      <c r="DA287">
        <v>0</v>
      </c>
      <c r="DB287">
        <v>999.9</v>
      </c>
      <c r="DC287">
        <v>999.9</v>
      </c>
      <c r="DD287">
        <v>51.018999999999998</v>
      </c>
      <c r="DE287">
        <v>27.603000000000002</v>
      </c>
      <c r="DF287">
        <v>18.855499999999999</v>
      </c>
      <c r="DG287">
        <v>30.280200000000001</v>
      </c>
      <c r="DH287">
        <v>16.522400000000001</v>
      </c>
      <c r="DI287">
        <v>2</v>
      </c>
      <c r="DJ287">
        <v>-0.12504899999999999</v>
      </c>
      <c r="DK287">
        <v>2.1306799999999999</v>
      </c>
      <c r="DL287">
        <v>20.197299999999998</v>
      </c>
      <c r="DM287">
        <v>5.2503500000000001</v>
      </c>
      <c r="DN287">
        <v>12.033899999999999</v>
      </c>
      <c r="DO287">
        <v>4.9672000000000001</v>
      </c>
      <c r="DP287">
        <v>3.2909999999999999</v>
      </c>
      <c r="DQ287">
        <v>9999</v>
      </c>
      <c r="DR287">
        <v>9999</v>
      </c>
      <c r="DS287">
        <v>597.79999999999995</v>
      </c>
      <c r="DT287">
        <v>9999</v>
      </c>
      <c r="DU287">
        <v>1.87104</v>
      </c>
      <c r="DV287">
        <v>1.8760699999999999</v>
      </c>
      <c r="DW287">
        <v>1.8762700000000001</v>
      </c>
      <c r="DX287">
        <v>1.8827799999999999</v>
      </c>
      <c r="DY287">
        <v>1.87557</v>
      </c>
      <c r="DZ287">
        <v>1.87463</v>
      </c>
      <c r="EA287">
        <v>1.87077</v>
      </c>
      <c r="EB287">
        <v>1.8746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-0.88700000000000001</v>
      </c>
      <c r="EQ287">
        <v>9.2499999999999999E-2</v>
      </c>
      <c r="ER287">
        <v>-0.88700000000005697</v>
      </c>
      <c r="ES287">
        <v>0</v>
      </c>
      <c r="ET287">
        <v>0</v>
      </c>
      <c r="EU287">
        <v>0</v>
      </c>
      <c r="EV287">
        <v>9.2509999999998996E-2</v>
      </c>
      <c r="EW287">
        <v>0</v>
      </c>
      <c r="EX287">
        <v>0</v>
      </c>
      <c r="EY287">
        <v>0</v>
      </c>
      <c r="EZ287">
        <v>-1</v>
      </c>
      <c r="FA287">
        <v>-1</v>
      </c>
      <c r="FB287">
        <v>-1</v>
      </c>
      <c r="FC287">
        <v>-1</v>
      </c>
      <c r="FD287">
        <v>5.9</v>
      </c>
      <c r="FE287">
        <v>5.5</v>
      </c>
      <c r="FF287">
        <v>1.24146</v>
      </c>
      <c r="FG287">
        <v>2.5964399999999999</v>
      </c>
      <c r="FH287">
        <v>2.19604</v>
      </c>
      <c r="FI287">
        <v>2.5744600000000002</v>
      </c>
      <c r="FJ287">
        <v>2.4462899999999999</v>
      </c>
      <c r="FK287">
        <v>2.32056</v>
      </c>
      <c r="FL287">
        <v>31.958500000000001</v>
      </c>
      <c r="FM287">
        <v>24.148800000000001</v>
      </c>
      <c r="FN287">
        <v>19</v>
      </c>
      <c r="FO287">
        <v>865.56600000000003</v>
      </c>
      <c r="FP287">
        <v>575.53800000000001</v>
      </c>
      <c r="FQ287">
        <v>18.096800000000002</v>
      </c>
      <c r="FR287">
        <v>25.435700000000001</v>
      </c>
      <c r="FS287">
        <v>29.9999</v>
      </c>
      <c r="FT287">
        <v>25.4313</v>
      </c>
      <c r="FU287">
        <v>25.430199999999999</v>
      </c>
      <c r="FV287">
        <v>24.924499999999998</v>
      </c>
      <c r="FW287">
        <v>32.111499999999999</v>
      </c>
      <c r="FX287">
        <v>0</v>
      </c>
      <c r="FY287">
        <v>18.019100000000002</v>
      </c>
      <c r="FZ287">
        <v>410</v>
      </c>
      <c r="GA287">
        <v>13.4537</v>
      </c>
      <c r="GB287">
        <v>99.8827</v>
      </c>
      <c r="GC287">
        <v>99.711299999999994</v>
      </c>
    </row>
    <row r="288" spans="1:185" x14ac:dyDescent="0.2">
      <c r="A288">
        <v>273</v>
      </c>
      <c r="B288">
        <v>1771004039.0999999</v>
      </c>
      <c r="C288">
        <v>5416</v>
      </c>
      <c r="D288" t="s">
        <v>853</v>
      </c>
      <c r="E288" t="s">
        <v>854</v>
      </c>
      <c r="F288">
        <v>15</v>
      </c>
      <c r="G288">
        <v>1771004031.03333</v>
      </c>
      <c r="H288">
        <f t="shared" si="52"/>
        <v>1.5150634779230584E-3</v>
      </c>
      <c r="I288">
        <v>0</v>
      </c>
      <c r="J288">
        <f t="shared" si="64"/>
        <v>1.3384814918759164E-2</v>
      </c>
      <c r="K288">
        <f t="shared" si="53"/>
        <v>0.23933727879066574</v>
      </c>
      <c r="L288">
        <f t="shared" si="54"/>
        <v>69.87871125802117</v>
      </c>
      <c r="M288">
        <f t="shared" si="55"/>
        <v>1.5411209479533268</v>
      </c>
      <c r="N288">
        <f t="shared" si="56"/>
        <v>2.2054226819708642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26288.215981640584</v>
      </c>
      <c r="T288">
        <f t="shared" si="60"/>
        <v>800.00173333333305</v>
      </c>
      <c r="U288">
        <f t="shared" si="61"/>
        <v>674.40177000066876</v>
      </c>
      <c r="V288">
        <f t="shared" si="62"/>
        <v>0.84300038599999993</v>
      </c>
      <c r="W288">
        <f t="shared" si="63"/>
        <v>0.15870096500000005</v>
      </c>
      <c r="X288">
        <v>1</v>
      </c>
      <c r="Y288">
        <v>1771004031.03333</v>
      </c>
      <c r="Z288">
        <v>408.92720000000003</v>
      </c>
      <c r="AA288">
        <v>410.00080000000003</v>
      </c>
      <c r="AB288">
        <v>15.350960000000001</v>
      </c>
      <c r="AC288">
        <v>13.486219999999999</v>
      </c>
      <c r="AD288">
        <v>409.81420000000003</v>
      </c>
      <c r="AE288">
        <v>15.2584533333333</v>
      </c>
      <c r="AF288">
        <v>800.00739999999996</v>
      </c>
      <c r="AG288">
        <v>100.328133333333</v>
      </c>
      <c r="AH288">
        <v>6.4346873333333304E-2</v>
      </c>
      <c r="AI288">
        <v>19.001760000000001</v>
      </c>
      <c r="AJ288">
        <v>999.9</v>
      </c>
      <c r="AK288">
        <v>999.9</v>
      </c>
      <c r="AL288">
        <v>0</v>
      </c>
      <c r="AM288">
        <v>0</v>
      </c>
      <c r="AN288">
        <v>4996.7333333333299</v>
      </c>
      <c r="AO288">
        <v>0</v>
      </c>
      <c r="AP288">
        <v>1.71269133333333</v>
      </c>
      <c r="AQ288">
        <v>-1.0735173333333301</v>
      </c>
      <c r="AR288">
        <v>415.30273333333298</v>
      </c>
      <c r="AS288">
        <v>415.60579999999999</v>
      </c>
      <c r="AT288">
        <v>1.8647400000000001</v>
      </c>
      <c r="AU288">
        <v>410.00080000000003</v>
      </c>
      <c r="AV288">
        <v>13.486219999999999</v>
      </c>
      <c r="AW288">
        <v>1.54013333333333</v>
      </c>
      <c r="AX288">
        <v>1.3530473333333299</v>
      </c>
      <c r="AY288">
        <v>13.3725133333333</v>
      </c>
      <c r="AZ288">
        <v>11.40142</v>
      </c>
      <c r="BA288">
        <v>800.00173333333305</v>
      </c>
      <c r="BB288">
        <v>0.89998713333333302</v>
      </c>
      <c r="BC288">
        <v>0</v>
      </c>
      <c r="BD288">
        <v>0.10001286666666701</v>
      </c>
      <c r="BE288">
        <v>0</v>
      </c>
      <c r="BF288">
        <v>24</v>
      </c>
      <c r="BG288">
        <v>13191.006666666701</v>
      </c>
      <c r="BH288">
        <v>1771003693.0999999</v>
      </c>
      <c r="BI288" t="s">
        <v>816</v>
      </c>
      <c r="BJ288">
        <v>1771003671.0999999</v>
      </c>
      <c r="BK288">
        <v>1771003693.0999999</v>
      </c>
      <c r="BL288">
        <v>15</v>
      </c>
      <c r="BM288">
        <v>-1.4999999999999999E-2</v>
      </c>
      <c r="BN288">
        <v>-6.0000000000000001E-3</v>
      </c>
      <c r="BO288">
        <v>-0.88700000000000001</v>
      </c>
      <c r="BP288">
        <v>9.2999999999999999E-2</v>
      </c>
      <c r="BQ288">
        <v>410</v>
      </c>
      <c r="BR288">
        <v>14</v>
      </c>
      <c r="BS288">
        <v>0.22</v>
      </c>
      <c r="BT288">
        <v>0.13</v>
      </c>
      <c r="BU288">
        <v>-1.075922</v>
      </c>
      <c r="BV288">
        <v>1.27678195488721E-2</v>
      </c>
      <c r="BW288">
        <v>1.6091543928411601E-2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1.864169</v>
      </c>
      <c r="CD288">
        <v>-1.3073684210536301E-3</v>
      </c>
      <c r="CE288">
        <v>3.09210915072542E-3</v>
      </c>
      <c r="CF288">
        <v>1</v>
      </c>
      <c r="CG288">
        <v>2</v>
      </c>
      <c r="CH288">
        <v>2</v>
      </c>
      <c r="CI288" t="s">
        <v>304</v>
      </c>
      <c r="CJ288">
        <v>3.5325600000000001</v>
      </c>
      <c r="CK288">
        <v>2.702</v>
      </c>
      <c r="CL288">
        <v>9.7993499999999997E-2</v>
      </c>
      <c r="CM288">
        <v>9.6810400000000005E-2</v>
      </c>
      <c r="CN288">
        <v>8.7084400000000006E-2</v>
      </c>
      <c r="CO288">
        <v>7.8308500000000003E-2</v>
      </c>
      <c r="CP288">
        <v>31634.2</v>
      </c>
      <c r="CQ288">
        <v>27808.2</v>
      </c>
      <c r="CR288">
        <v>32459.200000000001</v>
      </c>
      <c r="CS288">
        <v>30715.599999999999</v>
      </c>
      <c r="CT288">
        <v>40123.199999999997</v>
      </c>
      <c r="CU288">
        <v>39814</v>
      </c>
      <c r="CV288">
        <v>47402.3</v>
      </c>
      <c r="CW288">
        <v>46840.800000000003</v>
      </c>
      <c r="CX288">
        <v>2.6245599999999998</v>
      </c>
      <c r="CY288">
        <v>2.1302599999999998</v>
      </c>
      <c r="CZ288">
        <v>0</v>
      </c>
      <c r="DA288">
        <v>0</v>
      </c>
      <c r="DB288">
        <v>999.9</v>
      </c>
      <c r="DC288">
        <v>999.9</v>
      </c>
      <c r="DD288">
        <v>50.994999999999997</v>
      </c>
      <c r="DE288">
        <v>27.623999999999999</v>
      </c>
      <c r="DF288">
        <v>18.870100000000001</v>
      </c>
      <c r="DG288">
        <v>30.490200000000002</v>
      </c>
      <c r="DH288">
        <v>16.5825</v>
      </c>
      <c r="DI288">
        <v>2</v>
      </c>
      <c r="DJ288">
        <v>-0.12543099999999999</v>
      </c>
      <c r="DK288">
        <v>2.24634</v>
      </c>
      <c r="DL288">
        <v>20.195599999999999</v>
      </c>
      <c r="DM288">
        <v>5.2505899999999999</v>
      </c>
      <c r="DN288">
        <v>12.033899999999999</v>
      </c>
      <c r="DO288">
        <v>4.96732</v>
      </c>
      <c r="DP288">
        <v>3.2909999999999999</v>
      </c>
      <c r="DQ288">
        <v>9999</v>
      </c>
      <c r="DR288">
        <v>9999</v>
      </c>
      <c r="DS288">
        <v>597.79999999999995</v>
      </c>
      <c r="DT288">
        <v>9999</v>
      </c>
      <c r="DU288">
        <v>1.8710599999999999</v>
      </c>
      <c r="DV288">
        <v>1.87609</v>
      </c>
      <c r="DW288">
        <v>1.87629</v>
      </c>
      <c r="DX288">
        <v>1.88279</v>
      </c>
      <c r="DY288">
        <v>1.8755900000000001</v>
      </c>
      <c r="DZ288">
        <v>1.8746799999999999</v>
      </c>
      <c r="EA288">
        <v>1.8708100000000001</v>
      </c>
      <c r="EB288">
        <v>1.87463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-0.88700000000000001</v>
      </c>
      <c r="EQ288">
        <v>9.2499999999999999E-2</v>
      </c>
      <c r="ER288">
        <v>-0.88700000000005697</v>
      </c>
      <c r="ES288">
        <v>0</v>
      </c>
      <c r="ET288">
        <v>0</v>
      </c>
      <c r="EU288">
        <v>0</v>
      </c>
      <c r="EV288">
        <v>9.2509999999998996E-2</v>
      </c>
      <c r="EW288">
        <v>0</v>
      </c>
      <c r="EX288">
        <v>0</v>
      </c>
      <c r="EY288">
        <v>0</v>
      </c>
      <c r="EZ288">
        <v>-1</v>
      </c>
      <c r="FA288">
        <v>-1</v>
      </c>
      <c r="FB288">
        <v>-1</v>
      </c>
      <c r="FC288">
        <v>-1</v>
      </c>
      <c r="FD288">
        <v>6.1</v>
      </c>
      <c r="FE288">
        <v>5.8</v>
      </c>
      <c r="FF288">
        <v>1.24146</v>
      </c>
      <c r="FG288">
        <v>2.6000999999999999</v>
      </c>
      <c r="FH288">
        <v>2.19604</v>
      </c>
      <c r="FI288">
        <v>2.5744600000000002</v>
      </c>
      <c r="FJ288">
        <v>2.4462899999999999</v>
      </c>
      <c r="FK288">
        <v>2.2766099999999998</v>
      </c>
      <c r="FL288">
        <v>31.958500000000001</v>
      </c>
      <c r="FM288">
        <v>24.14</v>
      </c>
      <c r="FN288">
        <v>19</v>
      </c>
      <c r="FO288">
        <v>865.73199999999997</v>
      </c>
      <c r="FP288">
        <v>575.59400000000005</v>
      </c>
      <c r="FQ288">
        <v>18.005600000000001</v>
      </c>
      <c r="FR288">
        <v>25.428000000000001</v>
      </c>
      <c r="FS288">
        <v>29.9998</v>
      </c>
      <c r="FT288">
        <v>25.426600000000001</v>
      </c>
      <c r="FU288">
        <v>25.425599999999999</v>
      </c>
      <c r="FV288">
        <v>24.927399999999999</v>
      </c>
      <c r="FW288">
        <v>32.111499999999999</v>
      </c>
      <c r="FX288">
        <v>0</v>
      </c>
      <c r="FY288">
        <v>18.014399999999998</v>
      </c>
      <c r="FZ288">
        <v>410</v>
      </c>
      <c r="GA288">
        <v>13.4537</v>
      </c>
      <c r="GB288">
        <v>99.884799999999998</v>
      </c>
      <c r="GC288">
        <v>99.715400000000002</v>
      </c>
    </row>
    <row r="289" spans="1:185" x14ac:dyDescent="0.2">
      <c r="A289">
        <v>274</v>
      </c>
      <c r="B289">
        <v>1771004151.0999999</v>
      </c>
      <c r="C289">
        <v>5528</v>
      </c>
      <c r="D289" t="s">
        <v>855</v>
      </c>
      <c r="E289" t="s">
        <v>856</v>
      </c>
      <c r="F289">
        <v>15</v>
      </c>
      <c r="G289">
        <v>1771004143.0999999</v>
      </c>
      <c r="H289">
        <f t="shared" si="52"/>
        <v>-1.8955713259493189E-4</v>
      </c>
      <c r="I289">
        <v>0</v>
      </c>
      <c r="J289">
        <f t="shared" si="64"/>
        <v>-0.36934145914452088</v>
      </c>
      <c r="K289">
        <f t="shared" si="53"/>
        <v>-6.6042885398686044</v>
      </c>
      <c r="L289">
        <f t="shared" si="54"/>
        <v>70.965238922620969</v>
      </c>
      <c r="M289">
        <f t="shared" si="55"/>
        <v>1.5650750112955567</v>
      </c>
      <c r="N289">
        <f t="shared" si="56"/>
        <v>2.2054107546965103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26296.790275853939</v>
      </c>
      <c r="T289">
        <f t="shared" si="60"/>
        <v>999.9982</v>
      </c>
      <c r="U289">
        <f t="shared" si="61"/>
        <v>842.99882059939159</v>
      </c>
      <c r="V289">
        <f t="shared" si="62"/>
        <v>0.84300033799999996</v>
      </c>
      <c r="W289">
        <f t="shared" si="63"/>
        <v>0.15870084500000003</v>
      </c>
      <c r="X289">
        <v>1</v>
      </c>
      <c r="Y289">
        <v>1771004143.0999999</v>
      </c>
      <c r="Z289">
        <v>418.38600000000002</v>
      </c>
      <c r="AA289">
        <v>410.03146666666697</v>
      </c>
      <c r="AB289">
        <v>15.590579999999999</v>
      </c>
      <c r="AC289">
        <v>15.823833333333299</v>
      </c>
      <c r="AD289">
        <v>419.27300000000002</v>
      </c>
      <c r="AE289">
        <v>15.498053333333299</v>
      </c>
      <c r="AF289">
        <v>799.99639999999999</v>
      </c>
      <c r="AG289">
        <v>100.322133333333</v>
      </c>
      <c r="AH289">
        <v>6.3805566666666702E-2</v>
      </c>
      <c r="AI289">
        <v>19.001673333333301</v>
      </c>
      <c r="AJ289">
        <v>999.9</v>
      </c>
      <c r="AK289">
        <v>999.9</v>
      </c>
      <c r="AL289">
        <v>0</v>
      </c>
      <c r="AM289">
        <v>0</v>
      </c>
      <c r="AN289">
        <v>4998.3999999999996</v>
      </c>
      <c r="AO289">
        <v>0</v>
      </c>
      <c r="AP289">
        <v>1.6937899999999999</v>
      </c>
      <c r="AQ289">
        <v>8.3544526666666705</v>
      </c>
      <c r="AR289">
        <v>425.01100000000002</v>
      </c>
      <c r="AS289">
        <v>416.62406666666698</v>
      </c>
      <c r="AT289">
        <v>-0.23327654</v>
      </c>
      <c r="AU289">
        <v>410.03146666666697</v>
      </c>
      <c r="AV289">
        <v>15.823833333333299</v>
      </c>
      <c r="AW289">
        <v>1.5640780000000001</v>
      </c>
      <c r="AX289">
        <v>1.58748133333333</v>
      </c>
      <c r="AY289">
        <v>13.606059999999999</v>
      </c>
      <c r="AZ289">
        <v>13.83756</v>
      </c>
      <c r="BA289">
        <v>999.9982</v>
      </c>
      <c r="BB289">
        <v>0.89998873333333296</v>
      </c>
      <c r="BC289">
        <v>0</v>
      </c>
      <c r="BD289">
        <v>0.100011266666667</v>
      </c>
      <c r="BE289">
        <v>0</v>
      </c>
      <c r="BF289">
        <v>24</v>
      </c>
      <c r="BG289">
        <v>16488.733333333301</v>
      </c>
      <c r="BH289">
        <v>1771003693.0999999</v>
      </c>
      <c r="BI289" t="s">
        <v>816</v>
      </c>
      <c r="BJ289">
        <v>1771003671.0999999</v>
      </c>
      <c r="BK289">
        <v>1771003693.0999999</v>
      </c>
      <c r="BL289">
        <v>15</v>
      </c>
      <c r="BM289">
        <v>-1.4999999999999999E-2</v>
      </c>
      <c r="BN289">
        <v>-6.0000000000000001E-3</v>
      </c>
      <c r="BO289">
        <v>-0.88700000000000001</v>
      </c>
      <c r="BP289">
        <v>9.2999999999999999E-2</v>
      </c>
      <c r="BQ289">
        <v>410</v>
      </c>
      <c r="BR289">
        <v>14</v>
      </c>
      <c r="BS289">
        <v>0.22</v>
      </c>
      <c r="BT289">
        <v>0.13</v>
      </c>
      <c r="BU289">
        <v>10.869904500000001</v>
      </c>
      <c r="BV289">
        <v>-53.631978496240599</v>
      </c>
      <c r="BW289">
        <v>5.2522165173633804</v>
      </c>
      <c r="BX289">
        <v>0</v>
      </c>
      <c r="BY289">
        <v>0</v>
      </c>
      <c r="BZ289">
        <v>0</v>
      </c>
      <c r="CA289">
        <v>0</v>
      </c>
      <c r="CB289">
        <v>-1</v>
      </c>
      <c r="CC289">
        <v>-0.50424085500000004</v>
      </c>
      <c r="CD289">
        <v>6.1165377879699196</v>
      </c>
      <c r="CE289">
        <v>0.59333642311513402</v>
      </c>
      <c r="CF289">
        <v>0</v>
      </c>
      <c r="CG289">
        <v>0</v>
      </c>
      <c r="CH289">
        <v>2</v>
      </c>
      <c r="CI289" t="s">
        <v>299</v>
      </c>
      <c r="CJ289">
        <v>3.53254</v>
      </c>
      <c r="CK289">
        <v>2.7015799999999999</v>
      </c>
      <c r="CL289">
        <v>9.8916000000000004E-2</v>
      </c>
      <c r="CM289">
        <v>9.6870499999999998E-2</v>
      </c>
      <c r="CN289">
        <v>9.0196700000000005E-2</v>
      </c>
      <c r="CO289">
        <v>8.7004100000000001E-2</v>
      </c>
      <c r="CP289">
        <v>31606.9</v>
      </c>
      <c r="CQ289">
        <v>27812.400000000001</v>
      </c>
      <c r="CR289">
        <v>32464</v>
      </c>
      <c r="CS289">
        <v>30721.8</v>
      </c>
      <c r="CT289">
        <v>39987.199999999997</v>
      </c>
      <c r="CU289">
        <v>39435.699999999997</v>
      </c>
      <c r="CV289">
        <v>47408.7</v>
      </c>
      <c r="CW289">
        <v>46850.3</v>
      </c>
      <c r="CX289">
        <v>2.6237200000000001</v>
      </c>
      <c r="CY289">
        <v>2.1355400000000002</v>
      </c>
      <c r="CZ289">
        <v>0</v>
      </c>
      <c r="DA289">
        <v>0</v>
      </c>
      <c r="DB289">
        <v>999.9</v>
      </c>
      <c r="DC289">
        <v>999.9</v>
      </c>
      <c r="DD289">
        <v>50.823999999999998</v>
      </c>
      <c r="DE289">
        <v>27.664000000000001</v>
      </c>
      <c r="DF289">
        <v>18.851299999999998</v>
      </c>
      <c r="DG289">
        <v>30.440200000000001</v>
      </c>
      <c r="DH289">
        <v>16.470400000000001</v>
      </c>
      <c r="DI289">
        <v>2</v>
      </c>
      <c r="DJ289">
        <v>-0.13089799999999999</v>
      </c>
      <c r="DK289">
        <v>2.4517600000000002</v>
      </c>
      <c r="DL289">
        <v>20.183599999999998</v>
      </c>
      <c r="DM289">
        <v>5.2481999999999998</v>
      </c>
      <c r="DN289">
        <v>12.033899999999999</v>
      </c>
      <c r="DO289">
        <v>4.9671599999999998</v>
      </c>
      <c r="DP289">
        <v>3.2906</v>
      </c>
      <c r="DQ289">
        <v>9999</v>
      </c>
      <c r="DR289">
        <v>9999</v>
      </c>
      <c r="DS289">
        <v>597.9</v>
      </c>
      <c r="DT289">
        <v>9999</v>
      </c>
      <c r="DU289">
        <v>1.87103</v>
      </c>
      <c r="DV289">
        <v>1.8760699999999999</v>
      </c>
      <c r="DW289">
        <v>1.87625</v>
      </c>
      <c r="DX289">
        <v>1.8827799999999999</v>
      </c>
      <c r="DY289">
        <v>1.87558</v>
      </c>
      <c r="DZ289">
        <v>1.8746</v>
      </c>
      <c r="EA289">
        <v>1.8708100000000001</v>
      </c>
      <c r="EB289">
        <v>1.8745700000000001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-0.88700000000000001</v>
      </c>
      <c r="EQ289">
        <v>9.2499999999999999E-2</v>
      </c>
      <c r="ER289">
        <v>-0.88700000000005697</v>
      </c>
      <c r="ES289">
        <v>0</v>
      </c>
      <c r="ET289">
        <v>0</v>
      </c>
      <c r="EU289">
        <v>0</v>
      </c>
      <c r="EV289">
        <v>9.2509999999998996E-2</v>
      </c>
      <c r="EW289">
        <v>0</v>
      </c>
      <c r="EX289">
        <v>0</v>
      </c>
      <c r="EY289">
        <v>0</v>
      </c>
      <c r="EZ289">
        <v>-1</v>
      </c>
      <c r="FA289">
        <v>-1</v>
      </c>
      <c r="FB289">
        <v>-1</v>
      </c>
      <c r="FC289">
        <v>-1</v>
      </c>
      <c r="FD289">
        <v>8</v>
      </c>
      <c r="FE289">
        <v>7.6</v>
      </c>
      <c r="FF289">
        <v>1.24268</v>
      </c>
      <c r="FG289">
        <v>2.6013199999999999</v>
      </c>
      <c r="FH289">
        <v>2.19604</v>
      </c>
      <c r="FI289">
        <v>2.5732400000000002</v>
      </c>
      <c r="FJ289">
        <v>2.4462899999999999</v>
      </c>
      <c r="FK289">
        <v>2.2680699999999998</v>
      </c>
      <c r="FL289">
        <v>31.980499999999999</v>
      </c>
      <c r="FM289">
        <v>24.1313</v>
      </c>
      <c r="FN289">
        <v>19</v>
      </c>
      <c r="FO289">
        <v>864.154</v>
      </c>
      <c r="FP289">
        <v>579.06600000000003</v>
      </c>
      <c r="FQ289">
        <v>17.523499999999999</v>
      </c>
      <c r="FR289">
        <v>25.353300000000001</v>
      </c>
      <c r="FS289">
        <v>29.999500000000001</v>
      </c>
      <c r="FT289">
        <v>25.376999999999999</v>
      </c>
      <c r="FU289">
        <v>25.3736</v>
      </c>
      <c r="FV289">
        <v>24.952300000000001</v>
      </c>
      <c r="FW289">
        <v>23.174700000000001</v>
      </c>
      <c r="FX289">
        <v>0.81542700000000001</v>
      </c>
      <c r="FY289">
        <v>17.618600000000001</v>
      </c>
      <c r="FZ289">
        <v>410</v>
      </c>
      <c r="GA289">
        <v>15.112</v>
      </c>
      <c r="GB289">
        <v>99.898899999999998</v>
      </c>
      <c r="GC289">
        <v>99.735600000000005</v>
      </c>
    </row>
    <row r="290" spans="1:185" x14ac:dyDescent="0.2">
      <c r="A290">
        <v>275</v>
      </c>
      <c r="B290">
        <v>1771004166.0999999</v>
      </c>
      <c r="C290">
        <v>5543</v>
      </c>
      <c r="D290" t="s">
        <v>857</v>
      </c>
      <c r="E290" t="s">
        <v>858</v>
      </c>
      <c r="F290">
        <v>15</v>
      </c>
      <c r="G290">
        <v>1771004158.03333</v>
      </c>
      <c r="H290">
        <f t="shared" si="52"/>
        <v>7.9111480581619544E-4</v>
      </c>
      <c r="I290">
        <v>0</v>
      </c>
      <c r="J290">
        <f t="shared" si="64"/>
        <v>-0.10871885313263516</v>
      </c>
      <c r="K290">
        <f t="shared" si="53"/>
        <v>-1.9440294557632303</v>
      </c>
      <c r="L290">
        <f t="shared" si="54"/>
        <v>73.899320912196458</v>
      </c>
      <c r="M290">
        <f t="shared" si="55"/>
        <v>1.6243288494110848</v>
      </c>
      <c r="N290">
        <f t="shared" si="56"/>
        <v>2.198029466794468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26373.340142806082</v>
      </c>
      <c r="T290">
        <f t="shared" si="60"/>
        <v>999.9982</v>
      </c>
      <c r="U290">
        <f t="shared" si="61"/>
        <v>842.99898059910356</v>
      </c>
      <c r="V290">
        <f t="shared" si="62"/>
        <v>0.84300049799999999</v>
      </c>
      <c r="W290">
        <f t="shared" si="63"/>
        <v>0.15870124499999999</v>
      </c>
      <c r="X290">
        <v>1</v>
      </c>
      <c r="Y290">
        <v>1771004158.03333</v>
      </c>
      <c r="Z290">
        <v>412.16419999999999</v>
      </c>
      <c r="AA290">
        <v>410.14173333333298</v>
      </c>
      <c r="AB290">
        <v>16.181086666666701</v>
      </c>
      <c r="AC290">
        <v>15.2081866666667</v>
      </c>
      <c r="AD290">
        <v>413.05119999999999</v>
      </c>
      <c r="AE290">
        <v>16.088566666666701</v>
      </c>
      <c r="AF290">
        <v>799.99353333333295</v>
      </c>
      <c r="AG290">
        <v>100.320333333333</v>
      </c>
      <c r="AH290">
        <v>6.407736E-2</v>
      </c>
      <c r="AI290">
        <v>18.947959999999998</v>
      </c>
      <c r="AJ290">
        <v>999.9</v>
      </c>
      <c r="AK290">
        <v>999.9</v>
      </c>
      <c r="AL290">
        <v>0</v>
      </c>
      <c r="AM290">
        <v>0</v>
      </c>
      <c r="AN290">
        <v>5010.2666666666701</v>
      </c>
      <c r="AO290">
        <v>0</v>
      </c>
      <c r="AP290">
        <v>1.6937899999999999</v>
      </c>
      <c r="AQ290">
        <v>2.0223224000000002</v>
      </c>
      <c r="AR290">
        <v>418.94299999999998</v>
      </c>
      <c r="AS290">
        <v>416.475666666667</v>
      </c>
      <c r="AT290">
        <v>0.97290620000000005</v>
      </c>
      <c r="AU290">
        <v>410.14173333333298</v>
      </c>
      <c r="AV290">
        <v>15.2081866666667</v>
      </c>
      <c r="AW290">
        <v>1.62329266666667</v>
      </c>
      <c r="AX290">
        <v>1.52569</v>
      </c>
      <c r="AY290">
        <v>14.18164</v>
      </c>
      <c r="AZ290">
        <v>13.226746666666701</v>
      </c>
      <c r="BA290">
        <v>999.9982</v>
      </c>
      <c r="BB290">
        <v>0.89998339999999999</v>
      </c>
      <c r="BC290">
        <v>0</v>
      </c>
      <c r="BD290">
        <v>0.1000166</v>
      </c>
      <c r="BE290">
        <v>0</v>
      </c>
      <c r="BF290">
        <v>24</v>
      </c>
      <c r="BG290">
        <v>16488.68</v>
      </c>
      <c r="BH290">
        <v>1771003693.0999999</v>
      </c>
      <c r="BI290" t="s">
        <v>816</v>
      </c>
      <c r="BJ290">
        <v>1771003671.0999999</v>
      </c>
      <c r="BK290">
        <v>1771003693.0999999</v>
      </c>
      <c r="BL290">
        <v>15</v>
      </c>
      <c r="BM290">
        <v>-1.4999999999999999E-2</v>
      </c>
      <c r="BN290">
        <v>-6.0000000000000001E-3</v>
      </c>
      <c r="BO290">
        <v>-0.88700000000000001</v>
      </c>
      <c r="BP290">
        <v>9.2999999999999999E-2</v>
      </c>
      <c r="BQ290">
        <v>410</v>
      </c>
      <c r="BR290">
        <v>14</v>
      </c>
      <c r="BS290">
        <v>0.22</v>
      </c>
      <c r="BT290">
        <v>0.13</v>
      </c>
      <c r="BU290">
        <v>2.9252717142857101</v>
      </c>
      <c r="BV290">
        <v>-16.674131298701301</v>
      </c>
      <c r="BW290">
        <v>1.7203401683408599</v>
      </c>
      <c r="BX290">
        <v>0</v>
      </c>
      <c r="BY290">
        <v>0</v>
      </c>
      <c r="BZ290">
        <v>0</v>
      </c>
      <c r="CA290">
        <v>0</v>
      </c>
      <c r="CB290">
        <v>-1</v>
      </c>
      <c r="CC290">
        <v>0.75054737619047596</v>
      </c>
      <c r="CD290">
        <v>4.2319020077922103</v>
      </c>
      <c r="CE290">
        <v>0.43134641930053602</v>
      </c>
      <c r="CF290">
        <v>0</v>
      </c>
      <c r="CG290">
        <v>0</v>
      </c>
      <c r="CH290">
        <v>2</v>
      </c>
      <c r="CI290" t="s">
        <v>299</v>
      </c>
      <c r="CJ290">
        <v>3.5324800000000001</v>
      </c>
      <c r="CK290">
        <v>2.7018499999999999</v>
      </c>
      <c r="CL290">
        <v>9.8344899999999999E-2</v>
      </c>
      <c r="CM290">
        <v>9.68532E-2</v>
      </c>
      <c r="CN290">
        <v>9.08418E-2</v>
      </c>
      <c r="CO290">
        <v>8.39839E-2</v>
      </c>
      <c r="CP290">
        <v>31627.8</v>
      </c>
      <c r="CQ290">
        <v>27814.1</v>
      </c>
      <c r="CR290">
        <v>32464.9</v>
      </c>
      <c r="CS290">
        <v>30723.1</v>
      </c>
      <c r="CT290">
        <v>39959.1</v>
      </c>
      <c r="CU290">
        <v>39571.699999999997</v>
      </c>
      <c r="CV290">
        <v>47410.2</v>
      </c>
      <c r="CW290">
        <v>46852.2</v>
      </c>
      <c r="CX290">
        <v>2.6250800000000001</v>
      </c>
      <c r="CY290">
        <v>2.13436</v>
      </c>
      <c r="CZ290">
        <v>0</v>
      </c>
      <c r="DA290">
        <v>0</v>
      </c>
      <c r="DB290">
        <v>999.9</v>
      </c>
      <c r="DC290">
        <v>999.9</v>
      </c>
      <c r="DD290">
        <v>50.8</v>
      </c>
      <c r="DE290">
        <v>27.673999999999999</v>
      </c>
      <c r="DF290">
        <v>18.854299999999999</v>
      </c>
      <c r="DG290">
        <v>30.170200000000001</v>
      </c>
      <c r="DH290">
        <v>16.618600000000001</v>
      </c>
      <c r="DI290">
        <v>2</v>
      </c>
      <c r="DJ290">
        <v>-0.13306100000000001</v>
      </c>
      <c r="DK290">
        <v>2.2168700000000001</v>
      </c>
      <c r="DL290">
        <v>20.188400000000001</v>
      </c>
      <c r="DM290">
        <v>5.25143</v>
      </c>
      <c r="DN290">
        <v>12.033899999999999</v>
      </c>
      <c r="DO290">
        <v>4.9676799999999997</v>
      </c>
      <c r="DP290">
        <v>3.2909999999999999</v>
      </c>
      <c r="DQ290">
        <v>9999</v>
      </c>
      <c r="DR290">
        <v>9999</v>
      </c>
      <c r="DS290">
        <v>597.9</v>
      </c>
      <c r="DT290">
        <v>9999</v>
      </c>
      <c r="DU290">
        <v>1.87104</v>
      </c>
      <c r="DV290">
        <v>1.87608</v>
      </c>
      <c r="DW290">
        <v>1.8762799999999999</v>
      </c>
      <c r="DX290">
        <v>1.8827799999999999</v>
      </c>
      <c r="DY290">
        <v>1.87557</v>
      </c>
      <c r="DZ290">
        <v>1.8745799999999999</v>
      </c>
      <c r="EA290">
        <v>1.87083</v>
      </c>
      <c r="EB290">
        <v>1.87462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-0.88700000000000001</v>
      </c>
      <c r="EQ290">
        <v>9.2499999999999999E-2</v>
      </c>
      <c r="ER290">
        <v>-0.88700000000005697</v>
      </c>
      <c r="ES290">
        <v>0</v>
      </c>
      <c r="ET290">
        <v>0</v>
      </c>
      <c r="EU290">
        <v>0</v>
      </c>
      <c r="EV290">
        <v>9.2509999999998996E-2</v>
      </c>
      <c r="EW290">
        <v>0</v>
      </c>
      <c r="EX290">
        <v>0</v>
      </c>
      <c r="EY290">
        <v>0</v>
      </c>
      <c r="EZ290">
        <v>-1</v>
      </c>
      <c r="FA290">
        <v>-1</v>
      </c>
      <c r="FB290">
        <v>-1</v>
      </c>
      <c r="FC290">
        <v>-1</v>
      </c>
      <c r="FD290">
        <v>8.1999999999999993</v>
      </c>
      <c r="FE290">
        <v>7.9</v>
      </c>
      <c r="FF290">
        <v>1.24268</v>
      </c>
      <c r="FG290">
        <v>2.6049799999999999</v>
      </c>
      <c r="FH290">
        <v>2.19604</v>
      </c>
      <c r="FI290">
        <v>2.5732400000000002</v>
      </c>
      <c r="FJ290">
        <v>2.4462899999999999</v>
      </c>
      <c r="FK290">
        <v>2.2729499999999998</v>
      </c>
      <c r="FL290">
        <v>32.002400000000002</v>
      </c>
      <c r="FM290">
        <v>24.1313</v>
      </c>
      <c r="FN290">
        <v>19</v>
      </c>
      <c r="FO290">
        <v>865.28099999999995</v>
      </c>
      <c r="FP290">
        <v>578.06299999999999</v>
      </c>
      <c r="FQ290">
        <v>17.684200000000001</v>
      </c>
      <c r="FR290">
        <v>25.343900000000001</v>
      </c>
      <c r="FS290">
        <v>29.999700000000001</v>
      </c>
      <c r="FT290">
        <v>25.368500000000001</v>
      </c>
      <c r="FU290">
        <v>25.365100000000002</v>
      </c>
      <c r="FV290">
        <v>24.938600000000001</v>
      </c>
      <c r="FW290">
        <v>26.828299999999999</v>
      </c>
      <c r="FX290">
        <v>0.44243199999999999</v>
      </c>
      <c r="FY290">
        <v>17.722799999999999</v>
      </c>
      <c r="FZ290">
        <v>410</v>
      </c>
      <c r="GA290">
        <v>14.4793</v>
      </c>
      <c r="GB290">
        <v>99.901799999999994</v>
      </c>
      <c r="GC290">
        <v>99.739800000000002</v>
      </c>
    </row>
    <row r="291" spans="1:185" x14ac:dyDescent="0.2">
      <c r="A291">
        <v>276</v>
      </c>
      <c r="B291">
        <v>1771004181.0999999</v>
      </c>
      <c r="C291">
        <v>5558</v>
      </c>
      <c r="D291" t="s">
        <v>859</v>
      </c>
      <c r="E291" t="s">
        <v>860</v>
      </c>
      <c r="F291">
        <v>15</v>
      </c>
      <c r="G291">
        <v>1771004173.03333</v>
      </c>
      <c r="H291">
        <f t="shared" si="52"/>
        <v>1.3321157386572814E-3</v>
      </c>
      <c r="I291">
        <v>0</v>
      </c>
      <c r="J291">
        <f t="shared" si="64"/>
        <v>-3.3954496857065204E-2</v>
      </c>
      <c r="K291">
        <f t="shared" si="53"/>
        <v>-0.60714899158497815</v>
      </c>
      <c r="L291">
        <f t="shared" si="54"/>
        <v>74.003901998021163</v>
      </c>
      <c r="M291">
        <f t="shared" si="55"/>
        <v>1.6241055121121277</v>
      </c>
      <c r="N291">
        <f t="shared" si="56"/>
        <v>2.194621456792313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26309.641004633522</v>
      </c>
      <c r="T291">
        <f t="shared" si="60"/>
        <v>999.99919999999997</v>
      </c>
      <c r="U291">
        <f t="shared" si="61"/>
        <v>842.9997975996223</v>
      </c>
      <c r="V291">
        <f t="shared" si="62"/>
        <v>0.84300047199999995</v>
      </c>
      <c r="W291">
        <f t="shared" si="63"/>
        <v>0.15870117999999997</v>
      </c>
      <c r="X291">
        <v>1</v>
      </c>
      <c r="Y291">
        <v>1771004173.03333</v>
      </c>
      <c r="Z291">
        <v>410.13653333333298</v>
      </c>
      <c r="AA291">
        <v>410.06053333333301</v>
      </c>
      <c r="AB291">
        <v>16.179066666666699</v>
      </c>
      <c r="AC291">
        <v>14.540853333333301</v>
      </c>
      <c r="AD291">
        <v>411.02353333333298</v>
      </c>
      <c r="AE291">
        <v>16.086559999999999</v>
      </c>
      <c r="AF291">
        <v>799.99553333333301</v>
      </c>
      <c r="AG291">
        <v>100.3194</v>
      </c>
      <c r="AH291">
        <v>6.37398666666667E-2</v>
      </c>
      <c r="AI291">
        <v>18.923106666666701</v>
      </c>
      <c r="AJ291">
        <v>999.9</v>
      </c>
      <c r="AK291">
        <v>999.9</v>
      </c>
      <c r="AL291">
        <v>0</v>
      </c>
      <c r="AM291">
        <v>0</v>
      </c>
      <c r="AN291">
        <v>4999.4666666666699</v>
      </c>
      <c r="AO291">
        <v>0</v>
      </c>
      <c r="AP291">
        <v>1.6937899999999999</v>
      </c>
      <c r="AQ291">
        <v>7.5848360000000004E-2</v>
      </c>
      <c r="AR291">
        <v>416.88119999999998</v>
      </c>
      <c r="AS291">
        <v>416.11133333333299</v>
      </c>
      <c r="AT291">
        <v>1.63821333333333</v>
      </c>
      <c r="AU291">
        <v>410.06053333333301</v>
      </c>
      <c r="AV291">
        <v>14.540853333333301</v>
      </c>
      <c r="AW291">
        <v>1.62307466666667</v>
      </c>
      <c r="AX291">
        <v>1.45873133333333</v>
      </c>
      <c r="AY291">
        <v>14.179600000000001</v>
      </c>
      <c r="AZ291">
        <v>12.541313333333299</v>
      </c>
      <c r="BA291">
        <v>999.99919999999997</v>
      </c>
      <c r="BB291">
        <v>0.89998426666666698</v>
      </c>
      <c r="BC291">
        <v>0</v>
      </c>
      <c r="BD291">
        <v>0.100015733333333</v>
      </c>
      <c r="BE291">
        <v>0</v>
      </c>
      <c r="BF291">
        <v>24</v>
      </c>
      <c r="BG291">
        <v>16488.6933333333</v>
      </c>
      <c r="BH291">
        <v>1771003693.0999999</v>
      </c>
      <c r="BI291" t="s">
        <v>816</v>
      </c>
      <c r="BJ291">
        <v>1771003671.0999999</v>
      </c>
      <c r="BK291">
        <v>1771003693.0999999</v>
      </c>
      <c r="BL291">
        <v>15</v>
      </c>
      <c r="BM291">
        <v>-1.4999999999999999E-2</v>
      </c>
      <c r="BN291">
        <v>-6.0000000000000001E-3</v>
      </c>
      <c r="BO291">
        <v>-0.88700000000000001</v>
      </c>
      <c r="BP291">
        <v>9.2999999999999999E-2</v>
      </c>
      <c r="BQ291">
        <v>410</v>
      </c>
      <c r="BR291">
        <v>14</v>
      </c>
      <c r="BS291">
        <v>0.22</v>
      </c>
      <c r="BT291">
        <v>0.13</v>
      </c>
      <c r="BU291">
        <v>0.30084696999999999</v>
      </c>
      <c r="BV291">
        <v>-5.1483510045112801</v>
      </c>
      <c r="BW291">
        <v>0.50069707320845502</v>
      </c>
      <c r="BX291">
        <v>0</v>
      </c>
      <c r="BY291">
        <v>0</v>
      </c>
      <c r="BZ291">
        <v>0</v>
      </c>
      <c r="CA291">
        <v>0</v>
      </c>
      <c r="CB291">
        <v>-1</v>
      </c>
      <c r="CC291">
        <v>1.5466295000000001</v>
      </c>
      <c r="CD291">
        <v>2.13195834586466</v>
      </c>
      <c r="CE291">
        <v>0.20581126121947299</v>
      </c>
      <c r="CF291">
        <v>0</v>
      </c>
      <c r="CG291">
        <v>0</v>
      </c>
      <c r="CH291">
        <v>2</v>
      </c>
      <c r="CI291" t="s">
        <v>299</v>
      </c>
      <c r="CJ291">
        <v>3.5324800000000001</v>
      </c>
      <c r="CK291">
        <v>2.7014399999999998</v>
      </c>
      <c r="CL291">
        <v>9.8144899999999993E-2</v>
      </c>
      <c r="CM291">
        <v>9.6838900000000006E-2</v>
      </c>
      <c r="CN291">
        <v>9.0312500000000004E-2</v>
      </c>
      <c r="CO291">
        <v>8.1444699999999995E-2</v>
      </c>
      <c r="CP291">
        <v>31634.6</v>
      </c>
      <c r="CQ291">
        <v>27814.6</v>
      </c>
      <c r="CR291">
        <v>32464.6</v>
      </c>
      <c r="CS291">
        <v>30723.3</v>
      </c>
      <c r="CT291">
        <v>39982.400000000001</v>
      </c>
      <c r="CU291">
        <v>39685.1</v>
      </c>
      <c r="CV291">
        <v>47409.4</v>
      </c>
      <c r="CW291">
        <v>46852.800000000003</v>
      </c>
      <c r="CX291">
        <v>2.6257199999999998</v>
      </c>
      <c r="CY291">
        <v>2.1331799999999999</v>
      </c>
      <c r="CZ291">
        <v>0</v>
      </c>
      <c r="DA291">
        <v>0</v>
      </c>
      <c r="DB291">
        <v>999.9</v>
      </c>
      <c r="DC291">
        <v>999.9</v>
      </c>
      <c r="DD291">
        <v>50.8</v>
      </c>
      <c r="DE291">
        <v>27.673999999999999</v>
      </c>
      <c r="DF291">
        <v>18.853300000000001</v>
      </c>
      <c r="DG291">
        <v>30.5002</v>
      </c>
      <c r="DH291">
        <v>16.5625</v>
      </c>
      <c r="DI291">
        <v>2</v>
      </c>
      <c r="DJ291">
        <v>-0.134327</v>
      </c>
      <c r="DK291">
        <v>2.0194200000000002</v>
      </c>
      <c r="DL291">
        <v>20.190899999999999</v>
      </c>
      <c r="DM291">
        <v>5.2483199999999997</v>
      </c>
      <c r="DN291">
        <v>12.033899999999999</v>
      </c>
      <c r="DO291">
        <v>4.9670800000000002</v>
      </c>
      <c r="DP291">
        <v>3.2905799999999998</v>
      </c>
      <c r="DQ291">
        <v>9999</v>
      </c>
      <c r="DR291">
        <v>9999</v>
      </c>
      <c r="DS291">
        <v>597.9</v>
      </c>
      <c r="DT291">
        <v>9999</v>
      </c>
      <c r="DU291">
        <v>1.87104</v>
      </c>
      <c r="DV291">
        <v>1.8760699999999999</v>
      </c>
      <c r="DW291">
        <v>1.87635</v>
      </c>
      <c r="DX291">
        <v>1.8827799999999999</v>
      </c>
      <c r="DY291">
        <v>1.8755999999999999</v>
      </c>
      <c r="DZ291">
        <v>1.8746499999999999</v>
      </c>
      <c r="EA291">
        <v>1.87086</v>
      </c>
      <c r="EB291">
        <v>1.8746400000000001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-0.88700000000000001</v>
      </c>
      <c r="EQ291">
        <v>9.2499999999999999E-2</v>
      </c>
      <c r="ER291">
        <v>-0.88700000000005697</v>
      </c>
      <c r="ES291">
        <v>0</v>
      </c>
      <c r="ET291">
        <v>0</v>
      </c>
      <c r="EU291">
        <v>0</v>
      </c>
      <c r="EV291">
        <v>9.2509999999998996E-2</v>
      </c>
      <c r="EW291">
        <v>0</v>
      </c>
      <c r="EX291">
        <v>0</v>
      </c>
      <c r="EY291">
        <v>0</v>
      </c>
      <c r="EZ291">
        <v>-1</v>
      </c>
      <c r="FA291">
        <v>-1</v>
      </c>
      <c r="FB291">
        <v>-1</v>
      </c>
      <c r="FC291">
        <v>-1</v>
      </c>
      <c r="FD291">
        <v>8.5</v>
      </c>
      <c r="FE291">
        <v>8.1</v>
      </c>
      <c r="FF291">
        <v>1.24268</v>
      </c>
      <c r="FG291">
        <v>2.6000999999999999</v>
      </c>
      <c r="FH291">
        <v>2.19604</v>
      </c>
      <c r="FI291">
        <v>2.5732400000000002</v>
      </c>
      <c r="FJ291">
        <v>2.4462899999999999</v>
      </c>
      <c r="FK291">
        <v>2.2448700000000001</v>
      </c>
      <c r="FL291">
        <v>31.980499999999999</v>
      </c>
      <c r="FM291">
        <v>24.1313</v>
      </c>
      <c r="FN291">
        <v>19</v>
      </c>
      <c r="FO291">
        <v>865.75300000000004</v>
      </c>
      <c r="FP291">
        <v>577.08100000000002</v>
      </c>
      <c r="FQ291">
        <v>17.834700000000002</v>
      </c>
      <c r="FR291">
        <v>25.335799999999999</v>
      </c>
      <c r="FS291">
        <v>29.999700000000001</v>
      </c>
      <c r="FT291">
        <v>25.360800000000001</v>
      </c>
      <c r="FU291">
        <v>25.3583</v>
      </c>
      <c r="FV291">
        <v>24.933199999999999</v>
      </c>
      <c r="FW291">
        <v>29.571000000000002</v>
      </c>
      <c r="FX291">
        <v>0</v>
      </c>
      <c r="FY291">
        <v>17.8827</v>
      </c>
      <c r="FZ291">
        <v>410</v>
      </c>
      <c r="GA291">
        <v>13.9537</v>
      </c>
      <c r="GB291">
        <v>99.900499999999994</v>
      </c>
      <c r="GC291">
        <v>99.740600000000001</v>
      </c>
    </row>
    <row r="292" spans="1:185" x14ac:dyDescent="0.2">
      <c r="A292">
        <v>277</v>
      </c>
      <c r="B292">
        <v>1771004196.0999999</v>
      </c>
      <c r="C292">
        <v>5573</v>
      </c>
      <c r="D292" t="s">
        <v>861</v>
      </c>
      <c r="E292" t="s">
        <v>862</v>
      </c>
      <c r="F292">
        <v>15</v>
      </c>
      <c r="G292">
        <v>1771004188.03333</v>
      </c>
      <c r="H292">
        <f t="shared" si="52"/>
        <v>1.6108488945655597E-3</v>
      </c>
      <c r="I292">
        <v>0</v>
      </c>
      <c r="J292">
        <f t="shared" si="64"/>
        <v>-8.1369108685297991E-3</v>
      </c>
      <c r="K292">
        <f t="shared" si="53"/>
        <v>-0.14549817213435581</v>
      </c>
      <c r="L292">
        <f t="shared" si="54"/>
        <v>73.18702130954982</v>
      </c>
      <c r="M292">
        <f t="shared" si="55"/>
        <v>1.6061399636888543</v>
      </c>
      <c r="N292">
        <f t="shared" si="56"/>
        <v>2.1945693853225268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26277.13160392602</v>
      </c>
      <c r="T292">
        <f t="shared" si="60"/>
        <v>999.99860000000001</v>
      </c>
      <c r="U292">
        <f t="shared" si="61"/>
        <v>842.99927779935865</v>
      </c>
      <c r="V292">
        <f t="shared" si="62"/>
        <v>0.8430004579999999</v>
      </c>
      <c r="W292">
        <f t="shared" si="63"/>
        <v>0.15870114500000002</v>
      </c>
      <c r="X292">
        <v>1</v>
      </c>
      <c r="Y292">
        <v>1771004188.03333</v>
      </c>
      <c r="Z292">
        <v>409.39339999999999</v>
      </c>
      <c r="AA292">
        <v>410.035866666667</v>
      </c>
      <c r="AB292">
        <v>15.999893333333301</v>
      </c>
      <c r="AC292">
        <v>14.018546666666699</v>
      </c>
      <c r="AD292">
        <v>410.28033333333298</v>
      </c>
      <c r="AE292">
        <v>15.90738</v>
      </c>
      <c r="AF292">
        <v>799.99906666666698</v>
      </c>
      <c r="AG292">
        <v>100.3206</v>
      </c>
      <c r="AH292">
        <v>6.3816960000000006E-2</v>
      </c>
      <c r="AI292">
        <v>18.922726666666701</v>
      </c>
      <c r="AJ292">
        <v>999.9</v>
      </c>
      <c r="AK292">
        <v>999.9</v>
      </c>
      <c r="AL292">
        <v>0</v>
      </c>
      <c r="AM292">
        <v>0</v>
      </c>
      <c r="AN292">
        <v>4994.0666666666702</v>
      </c>
      <c r="AO292">
        <v>0</v>
      </c>
      <c r="AP292">
        <v>1.6937899999999999</v>
      </c>
      <c r="AQ292">
        <v>-0.64260453333333301</v>
      </c>
      <c r="AR292">
        <v>416.05026666666703</v>
      </c>
      <c r="AS292">
        <v>415.86573333333303</v>
      </c>
      <c r="AT292">
        <v>1.9813559999999999</v>
      </c>
      <c r="AU292">
        <v>410.035866666667</v>
      </c>
      <c r="AV292">
        <v>14.018546666666699</v>
      </c>
      <c r="AW292">
        <v>1.6051186666666699</v>
      </c>
      <c r="AX292">
        <v>1.40634866666667</v>
      </c>
      <c r="AY292">
        <v>14.00794</v>
      </c>
      <c r="AZ292">
        <v>11.9857333333333</v>
      </c>
      <c r="BA292">
        <v>999.99860000000001</v>
      </c>
      <c r="BB292">
        <v>0.89998473333333295</v>
      </c>
      <c r="BC292">
        <v>0</v>
      </c>
      <c r="BD292">
        <v>0.100015266666667</v>
      </c>
      <c r="BE292">
        <v>0</v>
      </c>
      <c r="BF292">
        <v>24</v>
      </c>
      <c r="BG292">
        <v>16488.686666666701</v>
      </c>
      <c r="BH292">
        <v>1771003693.0999999</v>
      </c>
      <c r="BI292" t="s">
        <v>816</v>
      </c>
      <c r="BJ292">
        <v>1771003671.0999999</v>
      </c>
      <c r="BK292">
        <v>1771003693.0999999</v>
      </c>
      <c r="BL292">
        <v>15</v>
      </c>
      <c r="BM292">
        <v>-1.4999999999999999E-2</v>
      </c>
      <c r="BN292">
        <v>-6.0000000000000001E-3</v>
      </c>
      <c r="BO292">
        <v>-0.88700000000000001</v>
      </c>
      <c r="BP292">
        <v>9.2999999999999999E-2</v>
      </c>
      <c r="BQ292">
        <v>410</v>
      </c>
      <c r="BR292">
        <v>14</v>
      </c>
      <c r="BS292">
        <v>0.22</v>
      </c>
      <c r="BT292">
        <v>0.13</v>
      </c>
      <c r="BU292">
        <v>-0.52415924999999997</v>
      </c>
      <c r="BV292">
        <v>-2.0223804360902302</v>
      </c>
      <c r="BW292">
        <v>0.197828993924267</v>
      </c>
      <c r="BX292">
        <v>0</v>
      </c>
      <c r="BY292">
        <v>0</v>
      </c>
      <c r="BZ292">
        <v>0</v>
      </c>
      <c r="CA292">
        <v>0</v>
      </c>
      <c r="CB292">
        <v>-1</v>
      </c>
      <c r="CC292">
        <v>1.9185635000000001</v>
      </c>
      <c r="CD292">
        <v>1.07249097744361</v>
      </c>
      <c r="CE292">
        <v>0.10484223291570099</v>
      </c>
      <c r="CF292">
        <v>0</v>
      </c>
      <c r="CG292">
        <v>0</v>
      </c>
      <c r="CH292">
        <v>2</v>
      </c>
      <c r="CI292" t="s">
        <v>299</v>
      </c>
      <c r="CJ292">
        <v>3.5325199999999999</v>
      </c>
      <c r="CK292">
        <v>2.70174</v>
      </c>
      <c r="CL292">
        <v>9.80766E-2</v>
      </c>
      <c r="CM292">
        <v>9.6835199999999996E-2</v>
      </c>
      <c r="CN292">
        <v>8.9465199999999995E-2</v>
      </c>
      <c r="CO292">
        <v>7.9771700000000001E-2</v>
      </c>
      <c r="CP292">
        <v>31638.2</v>
      </c>
      <c r="CQ292">
        <v>27815.200000000001</v>
      </c>
      <c r="CR292">
        <v>32465.8</v>
      </c>
      <c r="CS292">
        <v>30723.8</v>
      </c>
      <c r="CT292">
        <v>40022.300000000003</v>
      </c>
      <c r="CU292">
        <v>39760.300000000003</v>
      </c>
      <c r="CV292">
        <v>47411.1</v>
      </c>
      <c r="CW292">
        <v>46853.9</v>
      </c>
      <c r="CX292">
        <v>2.6263000000000001</v>
      </c>
      <c r="CY292">
        <v>2.1324399999999999</v>
      </c>
      <c r="CZ292">
        <v>0</v>
      </c>
      <c r="DA292">
        <v>0</v>
      </c>
      <c r="DB292">
        <v>999.9</v>
      </c>
      <c r="DC292">
        <v>999.9</v>
      </c>
      <c r="DD292">
        <v>50.8</v>
      </c>
      <c r="DE292">
        <v>27.673999999999999</v>
      </c>
      <c r="DF292">
        <v>18.854600000000001</v>
      </c>
      <c r="DG292">
        <v>30.620200000000001</v>
      </c>
      <c r="DH292">
        <v>16.610600000000002</v>
      </c>
      <c r="DI292">
        <v>2</v>
      </c>
      <c r="DJ292">
        <v>-0.13525400000000001</v>
      </c>
      <c r="DK292">
        <v>1.8761000000000001</v>
      </c>
      <c r="DL292">
        <v>20.193300000000001</v>
      </c>
      <c r="DM292">
        <v>5.2517899999999997</v>
      </c>
      <c r="DN292">
        <v>12.033899999999999</v>
      </c>
      <c r="DO292">
        <v>4.9677199999999999</v>
      </c>
      <c r="DP292">
        <v>3.2910200000000001</v>
      </c>
      <c r="DQ292">
        <v>9999</v>
      </c>
      <c r="DR292">
        <v>9999</v>
      </c>
      <c r="DS292">
        <v>597.9</v>
      </c>
      <c r="DT292">
        <v>9999</v>
      </c>
      <c r="DU292">
        <v>1.87103</v>
      </c>
      <c r="DV292">
        <v>1.8760699999999999</v>
      </c>
      <c r="DW292">
        <v>1.87625</v>
      </c>
      <c r="DX292">
        <v>1.8827799999999999</v>
      </c>
      <c r="DY292">
        <v>1.87557</v>
      </c>
      <c r="DZ292">
        <v>1.87456</v>
      </c>
      <c r="EA292">
        <v>1.8708</v>
      </c>
      <c r="EB292">
        <v>1.8745799999999999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-0.88700000000000001</v>
      </c>
      <c r="EQ292">
        <v>9.2499999999999999E-2</v>
      </c>
      <c r="ER292">
        <v>-0.88700000000005697</v>
      </c>
      <c r="ES292">
        <v>0</v>
      </c>
      <c r="ET292">
        <v>0</v>
      </c>
      <c r="EU292">
        <v>0</v>
      </c>
      <c r="EV292">
        <v>9.2509999999998996E-2</v>
      </c>
      <c r="EW292">
        <v>0</v>
      </c>
      <c r="EX292">
        <v>0</v>
      </c>
      <c r="EY292">
        <v>0</v>
      </c>
      <c r="EZ292">
        <v>-1</v>
      </c>
      <c r="FA292">
        <v>-1</v>
      </c>
      <c r="FB292">
        <v>-1</v>
      </c>
      <c r="FC292">
        <v>-1</v>
      </c>
      <c r="FD292">
        <v>8.8000000000000007</v>
      </c>
      <c r="FE292">
        <v>8.4</v>
      </c>
      <c r="FF292">
        <v>1.24146</v>
      </c>
      <c r="FG292">
        <v>2.6000999999999999</v>
      </c>
      <c r="FH292">
        <v>2.19604</v>
      </c>
      <c r="FI292">
        <v>2.5744600000000002</v>
      </c>
      <c r="FJ292">
        <v>2.4462899999999999</v>
      </c>
      <c r="FK292">
        <v>2.2570800000000002</v>
      </c>
      <c r="FL292">
        <v>31.980499999999999</v>
      </c>
      <c r="FM292">
        <v>24.1313</v>
      </c>
      <c r="FN292">
        <v>19</v>
      </c>
      <c r="FO292">
        <v>866.18200000000002</v>
      </c>
      <c r="FP292">
        <v>576.447</v>
      </c>
      <c r="FQ292">
        <v>18.005400000000002</v>
      </c>
      <c r="FR292">
        <v>25.329000000000001</v>
      </c>
      <c r="FS292">
        <v>29.999700000000001</v>
      </c>
      <c r="FT292">
        <v>25.353999999999999</v>
      </c>
      <c r="FU292">
        <v>25.3523</v>
      </c>
      <c r="FV292">
        <v>24.9284</v>
      </c>
      <c r="FW292">
        <v>31.1282</v>
      </c>
      <c r="FX292">
        <v>0</v>
      </c>
      <c r="FY292">
        <v>18.046099999999999</v>
      </c>
      <c r="FZ292">
        <v>410</v>
      </c>
      <c r="GA292">
        <v>13.6372</v>
      </c>
      <c r="GB292">
        <v>99.9041</v>
      </c>
      <c r="GC292">
        <v>99.742699999999999</v>
      </c>
    </row>
    <row r="293" spans="1:185" x14ac:dyDescent="0.2">
      <c r="A293">
        <v>278</v>
      </c>
      <c r="B293">
        <v>1771004211.0999999</v>
      </c>
      <c r="C293">
        <v>5588</v>
      </c>
      <c r="D293" t="s">
        <v>863</v>
      </c>
      <c r="E293" t="s">
        <v>864</v>
      </c>
      <c r="F293">
        <v>15</v>
      </c>
      <c r="G293">
        <v>1771004203.03333</v>
      </c>
      <c r="H293">
        <f t="shared" si="52"/>
        <v>1.7198255840131223E-3</v>
      </c>
      <c r="I293">
        <v>0</v>
      </c>
      <c r="J293">
        <f t="shared" si="64"/>
        <v>3.9363269963177899E-4</v>
      </c>
      <c r="K293">
        <f t="shared" si="53"/>
        <v>7.0386463873216764E-3</v>
      </c>
      <c r="L293">
        <f t="shared" si="54"/>
        <v>72.277011536402867</v>
      </c>
      <c r="M293">
        <f t="shared" si="55"/>
        <v>1.5875450302096319</v>
      </c>
      <c r="N293">
        <f t="shared" si="56"/>
        <v>2.1964729814680464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26321.262603377614</v>
      </c>
      <c r="T293">
        <f t="shared" si="60"/>
        <v>999.99846666666701</v>
      </c>
      <c r="U293">
        <f t="shared" si="61"/>
        <v>842.99908339942363</v>
      </c>
      <c r="V293">
        <f t="shared" si="62"/>
        <v>0.84300037599999988</v>
      </c>
      <c r="W293">
        <f t="shared" si="63"/>
        <v>0.15870093999999998</v>
      </c>
      <c r="X293">
        <v>1</v>
      </c>
      <c r="Y293">
        <v>1771004203.03333</v>
      </c>
      <c r="Z293">
        <v>409.12819999999999</v>
      </c>
      <c r="AA293">
        <v>410.01653333333297</v>
      </c>
      <c r="AB293">
        <v>15.814920000000001</v>
      </c>
      <c r="AC293">
        <v>13.69914</v>
      </c>
      <c r="AD293">
        <v>410.01519999999999</v>
      </c>
      <c r="AE293">
        <v>15.72242</v>
      </c>
      <c r="AF293">
        <v>800.00126666666699</v>
      </c>
      <c r="AG293">
        <v>100.31886666666701</v>
      </c>
      <c r="AH293">
        <v>6.3875086666666706E-2</v>
      </c>
      <c r="AI293">
        <v>18.936613333333302</v>
      </c>
      <c r="AJ293">
        <v>999.9</v>
      </c>
      <c r="AK293">
        <v>999.9</v>
      </c>
      <c r="AL293">
        <v>0</v>
      </c>
      <c r="AM293">
        <v>0</v>
      </c>
      <c r="AN293">
        <v>5001.6000000000004</v>
      </c>
      <c r="AO293">
        <v>0</v>
      </c>
      <c r="AP293">
        <v>1.6937899999999999</v>
      </c>
      <c r="AQ293">
        <v>-0.88818359999999996</v>
      </c>
      <c r="AR293">
        <v>415.70266666666703</v>
      </c>
      <c r="AS293">
        <v>415.71126666666697</v>
      </c>
      <c r="AT293">
        <v>2.1157806666666699</v>
      </c>
      <c r="AU293">
        <v>410.01653333333297</v>
      </c>
      <c r="AV293">
        <v>13.69914</v>
      </c>
      <c r="AW293">
        <v>1.5865359999999999</v>
      </c>
      <c r="AX293">
        <v>1.3742840000000001</v>
      </c>
      <c r="AY293">
        <v>13.8285933333333</v>
      </c>
      <c r="AZ293">
        <v>11.6366333333333</v>
      </c>
      <c r="BA293">
        <v>999.99846666666701</v>
      </c>
      <c r="BB293">
        <v>0.89998746666666696</v>
      </c>
      <c r="BC293">
        <v>0</v>
      </c>
      <c r="BD293">
        <v>0.100012533333333</v>
      </c>
      <c r="BE293">
        <v>0</v>
      </c>
      <c r="BF293">
        <v>24</v>
      </c>
      <c r="BG293">
        <v>16488.72</v>
      </c>
      <c r="BH293">
        <v>1771003693.0999999</v>
      </c>
      <c r="BI293" t="s">
        <v>816</v>
      </c>
      <c r="BJ293">
        <v>1771003671.0999999</v>
      </c>
      <c r="BK293">
        <v>1771003693.0999999</v>
      </c>
      <c r="BL293">
        <v>15</v>
      </c>
      <c r="BM293">
        <v>-1.4999999999999999E-2</v>
      </c>
      <c r="BN293">
        <v>-6.0000000000000001E-3</v>
      </c>
      <c r="BO293">
        <v>-0.88700000000000001</v>
      </c>
      <c r="BP293">
        <v>9.2999999999999999E-2</v>
      </c>
      <c r="BQ293">
        <v>410</v>
      </c>
      <c r="BR293">
        <v>14</v>
      </c>
      <c r="BS293">
        <v>0.22</v>
      </c>
      <c r="BT293">
        <v>0.13</v>
      </c>
      <c r="BU293">
        <v>-0.83398147619047602</v>
      </c>
      <c r="BV293">
        <v>-0.816419766233767</v>
      </c>
      <c r="BW293">
        <v>8.3899544104340001E-2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2.08844095238095</v>
      </c>
      <c r="CD293">
        <v>0.41444883116882703</v>
      </c>
      <c r="CE293">
        <v>4.3288363211943702E-2</v>
      </c>
      <c r="CF293">
        <v>0</v>
      </c>
      <c r="CG293">
        <v>0</v>
      </c>
      <c r="CH293">
        <v>2</v>
      </c>
      <c r="CI293" t="s">
        <v>299</v>
      </c>
      <c r="CJ293">
        <v>3.53254</v>
      </c>
      <c r="CK293">
        <v>2.7018300000000002</v>
      </c>
      <c r="CL293">
        <v>9.8030400000000004E-2</v>
      </c>
      <c r="CM293">
        <v>9.6833299999999997E-2</v>
      </c>
      <c r="CN293">
        <v>8.87873E-2</v>
      </c>
      <c r="CO293">
        <v>7.8730300000000003E-2</v>
      </c>
      <c r="CP293">
        <v>31639.5</v>
      </c>
      <c r="CQ293">
        <v>27815.8</v>
      </c>
      <c r="CR293">
        <v>32465.4</v>
      </c>
      <c r="CS293">
        <v>30724.3</v>
      </c>
      <c r="CT293">
        <v>40052.6</v>
      </c>
      <c r="CU293">
        <v>39807</v>
      </c>
      <c r="CV293">
        <v>47410.6</v>
      </c>
      <c r="CW293">
        <v>46854.400000000001</v>
      </c>
      <c r="CX293">
        <v>2.6266600000000002</v>
      </c>
      <c r="CY293">
        <v>2.13184</v>
      </c>
      <c r="CZ293">
        <v>0</v>
      </c>
      <c r="DA293">
        <v>0</v>
      </c>
      <c r="DB293">
        <v>999.9</v>
      </c>
      <c r="DC293">
        <v>999.9</v>
      </c>
      <c r="DD293">
        <v>50.774999999999999</v>
      </c>
      <c r="DE293">
        <v>27.693999999999999</v>
      </c>
      <c r="DF293">
        <v>18.8688</v>
      </c>
      <c r="DG293">
        <v>30.470199999999998</v>
      </c>
      <c r="DH293">
        <v>16.554500000000001</v>
      </c>
      <c r="DI293">
        <v>2</v>
      </c>
      <c r="DJ293">
        <v>-0.135988</v>
      </c>
      <c r="DK293">
        <v>1.7978499999999999</v>
      </c>
      <c r="DL293">
        <v>20.194099999999999</v>
      </c>
      <c r="DM293">
        <v>5.2523900000000001</v>
      </c>
      <c r="DN293">
        <v>12.033899999999999</v>
      </c>
      <c r="DO293">
        <v>4.9676400000000003</v>
      </c>
      <c r="DP293">
        <v>3.2909999999999999</v>
      </c>
      <c r="DQ293">
        <v>9999</v>
      </c>
      <c r="DR293">
        <v>9999</v>
      </c>
      <c r="DS293">
        <v>597.9</v>
      </c>
      <c r="DT293">
        <v>9999</v>
      </c>
      <c r="DU293">
        <v>1.87103</v>
      </c>
      <c r="DV293">
        <v>1.8760699999999999</v>
      </c>
      <c r="DW293">
        <v>1.87629</v>
      </c>
      <c r="DX293">
        <v>1.8827799999999999</v>
      </c>
      <c r="DY293">
        <v>1.8755900000000001</v>
      </c>
      <c r="DZ293">
        <v>1.8746499999999999</v>
      </c>
      <c r="EA293">
        <v>1.87083</v>
      </c>
      <c r="EB293">
        <v>1.87459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-0.88700000000000001</v>
      </c>
      <c r="EQ293">
        <v>9.2499999999999999E-2</v>
      </c>
      <c r="ER293">
        <v>-0.88700000000005697</v>
      </c>
      <c r="ES293">
        <v>0</v>
      </c>
      <c r="ET293">
        <v>0</v>
      </c>
      <c r="EU293">
        <v>0</v>
      </c>
      <c r="EV293">
        <v>9.2509999999998996E-2</v>
      </c>
      <c r="EW293">
        <v>0</v>
      </c>
      <c r="EX293">
        <v>0</v>
      </c>
      <c r="EY293">
        <v>0</v>
      </c>
      <c r="EZ293">
        <v>-1</v>
      </c>
      <c r="FA293">
        <v>-1</v>
      </c>
      <c r="FB293">
        <v>-1</v>
      </c>
      <c r="FC293">
        <v>-1</v>
      </c>
      <c r="FD293">
        <v>9</v>
      </c>
      <c r="FE293">
        <v>8.6</v>
      </c>
      <c r="FF293">
        <v>1.24146</v>
      </c>
      <c r="FG293">
        <v>2.5964399999999999</v>
      </c>
      <c r="FH293">
        <v>2.19604</v>
      </c>
      <c r="FI293">
        <v>2.5744600000000002</v>
      </c>
      <c r="FJ293">
        <v>2.4462899999999999</v>
      </c>
      <c r="FK293">
        <v>2.3010299999999999</v>
      </c>
      <c r="FL293">
        <v>32.002400000000002</v>
      </c>
      <c r="FM293">
        <v>24.14</v>
      </c>
      <c r="FN293">
        <v>19</v>
      </c>
      <c r="FO293">
        <v>866.42100000000005</v>
      </c>
      <c r="FP293">
        <v>575.92899999999997</v>
      </c>
      <c r="FQ293">
        <v>18.153600000000001</v>
      </c>
      <c r="FR293">
        <v>25.322199999999999</v>
      </c>
      <c r="FS293">
        <v>29.9999</v>
      </c>
      <c r="FT293">
        <v>25.347999999999999</v>
      </c>
      <c r="FU293">
        <v>25.347100000000001</v>
      </c>
      <c r="FV293">
        <v>24.926500000000001</v>
      </c>
      <c r="FW293">
        <v>32.2667</v>
      </c>
      <c r="FX293">
        <v>0</v>
      </c>
      <c r="FY293">
        <v>18.181999999999999</v>
      </c>
      <c r="FZ293">
        <v>410</v>
      </c>
      <c r="GA293">
        <v>13.42</v>
      </c>
      <c r="GB293">
        <v>99.903000000000006</v>
      </c>
      <c r="GC293">
        <v>99.744100000000003</v>
      </c>
    </row>
    <row r="294" spans="1:185" x14ac:dyDescent="0.2">
      <c r="A294">
        <v>279</v>
      </c>
      <c r="B294">
        <v>1771004226.0999999</v>
      </c>
      <c r="C294">
        <v>5603</v>
      </c>
      <c r="D294" t="s">
        <v>865</v>
      </c>
      <c r="E294" t="s">
        <v>866</v>
      </c>
      <c r="F294">
        <v>15</v>
      </c>
      <c r="G294">
        <v>1771004218.03333</v>
      </c>
      <c r="H294">
        <f t="shared" si="52"/>
        <v>1.7795370720373796E-3</v>
      </c>
      <c r="I294">
        <v>0</v>
      </c>
      <c r="J294">
        <f t="shared" si="64"/>
        <v>5.5783972804704105E-3</v>
      </c>
      <c r="K294">
        <f t="shared" si="53"/>
        <v>9.9748740137589442E-2</v>
      </c>
      <c r="L294">
        <f t="shared" si="54"/>
        <v>71.492454356773877</v>
      </c>
      <c r="M294">
        <f t="shared" si="55"/>
        <v>1.5730072932447854</v>
      </c>
      <c r="N294">
        <f t="shared" si="56"/>
        <v>2.2002423995613514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26301.11354877285</v>
      </c>
      <c r="T294">
        <f t="shared" si="60"/>
        <v>999.99906666666698</v>
      </c>
      <c r="U294">
        <f t="shared" si="61"/>
        <v>842.99956119967544</v>
      </c>
      <c r="V294">
        <f t="shared" si="62"/>
        <v>0.84300034800000001</v>
      </c>
      <c r="W294">
        <f t="shared" si="63"/>
        <v>0.15870086999999999</v>
      </c>
      <c r="X294">
        <v>1</v>
      </c>
      <c r="Y294">
        <v>1771004218.03333</v>
      </c>
      <c r="Z294">
        <v>408.968866666667</v>
      </c>
      <c r="AA294">
        <v>410.003266666667</v>
      </c>
      <c r="AB294">
        <v>15.6703333333333</v>
      </c>
      <c r="AC294">
        <v>13.480779999999999</v>
      </c>
      <c r="AD294">
        <v>409.855866666667</v>
      </c>
      <c r="AE294">
        <v>15.5778266666667</v>
      </c>
      <c r="AF294">
        <v>800.00386666666702</v>
      </c>
      <c r="AG294">
        <v>100.3172</v>
      </c>
      <c r="AH294">
        <v>6.4027366666666696E-2</v>
      </c>
      <c r="AI294">
        <v>18.964079999999999</v>
      </c>
      <c r="AJ294">
        <v>999.9</v>
      </c>
      <c r="AK294">
        <v>999.9</v>
      </c>
      <c r="AL294">
        <v>0</v>
      </c>
      <c r="AM294">
        <v>0</v>
      </c>
      <c r="AN294">
        <v>4998.7666666666701</v>
      </c>
      <c r="AO294">
        <v>0</v>
      </c>
      <c r="AP294">
        <v>1.6937899999999999</v>
      </c>
      <c r="AQ294">
        <v>-1.0340681333333299</v>
      </c>
      <c r="AR294">
        <v>415.47980000000001</v>
      </c>
      <c r="AS294">
        <v>415.60566666666699</v>
      </c>
      <c r="AT294">
        <v>2.1895519999999999</v>
      </c>
      <c r="AU294">
        <v>410.003266666667</v>
      </c>
      <c r="AV294">
        <v>13.480779999999999</v>
      </c>
      <c r="AW294">
        <v>1.572006</v>
      </c>
      <c r="AX294">
        <v>1.35235533333333</v>
      </c>
      <c r="AY294">
        <v>13.68704</v>
      </c>
      <c r="AZ294">
        <v>11.3935733333333</v>
      </c>
      <c r="BA294">
        <v>999.99906666666698</v>
      </c>
      <c r="BB294">
        <v>0.89998840000000002</v>
      </c>
      <c r="BC294">
        <v>0</v>
      </c>
      <c r="BD294">
        <v>0.10001160000000001</v>
      </c>
      <c r="BE294">
        <v>0</v>
      </c>
      <c r="BF294">
        <v>24</v>
      </c>
      <c r="BG294">
        <v>16488.7133333333</v>
      </c>
      <c r="BH294">
        <v>1771003693.0999999</v>
      </c>
      <c r="BI294" t="s">
        <v>816</v>
      </c>
      <c r="BJ294">
        <v>1771003671.0999999</v>
      </c>
      <c r="BK294">
        <v>1771003693.0999999</v>
      </c>
      <c r="BL294">
        <v>15</v>
      </c>
      <c r="BM294">
        <v>-1.4999999999999999E-2</v>
      </c>
      <c r="BN294">
        <v>-6.0000000000000001E-3</v>
      </c>
      <c r="BO294">
        <v>-0.88700000000000001</v>
      </c>
      <c r="BP294">
        <v>9.2999999999999999E-2</v>
      </c>
      <c r="BQ294">
        <v>410</v>
      </c>
      <c r="BR294">
        <v>14</v>
      </c>
      <c r="BS294">
        <v>0.22</v>
      </c>
      <c r="BT294">
        <v>0.13</v>
      </c>
      <c r="BU294">
        <v>-1.0118771904761901</v>
      </c>
      <c r="BV294">
        <v>-0.42492319480519603</v>
      </c>
      <c r="BW294">
        <v>4.7945829588360502E-2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2.17502285714286</v>
      </c>
      <c r="CD294">
        <v>0.24177740259740599</v>
      </c>
      <c r="CE294">
        <v>2.7092423847488702E-2</v>
      </c>
      <c r="CF294">
        <v>0</v>
      </c>
      <c r="CG294">
        <v>1</v>
      </c>
      <c r="CH294">
        <v>2</v>
      </c>
      <c r="CI294" t="s">
        <v>290</v>
      </c>
      <c r="CJ294">
        <v>3.5325299999999999</v>
      </c>
      <c r="CK294">
        <v>2.7019000000000002</v>
      </c>
      <c r="CL294">
        <v>9.8009299999999994E-2</v>
      </c>
      <c r="CM294">
        <v>9.6821599999999994E-2</v>
      </c>
      <c r="CN294">
        <v>8.8200000000000001E-2</v>
      </c>
      <c r="CO294">
        <v>7.7963500000000005E-2</v>
      </c>
      <c r="CP294">
        <v>31640.2</v>
      </c>
      <c r="CQ294">
        <v>27816.1</v>
      </c>
      <c r="CR294">
        <v>32465.4</v>
      </c>
      <c r="CS294">
        <v>30724.3</v>
      </c>
      <c r="CT294">
        <v>40079.4</v>
      </c>
      <c r="CU294">
        <v>39840.9</v>
      </c>
      <c r="CV294">
        <v>47410.8</v>
      </c>
      <c r="CW294">
        <v>46854.3</v>
      </c>
      <c r="CX294">
        <v>2.6265999999999998</v>
      </c>
      <c r="CY294">
        <v>2.1315200000000001</v>
      </c>
      <c r="CZ294">
        <v>0</v>
      </c>
      <c r="DA294">
        <v>0</v>
      </c>
      <c r="DB294">
        <v>999.9</v>
      </c>
      <c r="DC294">
        <v>999.9</v>
      </c>
      <c r="DD294">
        <v>50.774999999999999</v>
      </c>
      <c r="DE294">
        <v>27.693999999999999</v>
      </c>
      <c r="DF294">
        <v>18.866399999999999</v>
      </c>
      <c r="DG294">
        <v>30.4102</v>
      </c>
      <c r="DH294">
        <v>16.570499999999999</v>
      </c>
      <c r="DI294">
        <v>2</v>
      </c>
      <c r="DJ294">
        <v>-0.136047</v>
      </c>
      <c r="DK294">
        <v>1.8170200000000001</v>
      </c>
      <c r="DL294">
        <v>20.1937</v>
      </c>
      <c r="DM294">
        <v>5.2516699999999998</v>
      </c>
      <c r="DN294">
        <v>12.033899999999999</v>
      </c>
      <c r="DO294">
        <v>4.9675200000000004</v>
      </c>
      <c r="DP294">
        <v>3.2909999999999999</v>
      </c>
      <c r="DQ294">
        <v>9999</v>
      </c>
      <c r="DR294">
        <v>9999</v>
      </c>
      <c r="DS294">
        <v>597.9</v>
      </c>
      <c r="DT294">
        <v>9999</v>
      </c>
      <c r="DU294">
        <v>1.87104</v>
      </c>
      <c r="DV294">
        <v>1.87609</v>
      </c>
      <c r="DW294">
        <v>1.87632</v>
      </c>
      <c r="DX294">
        <v>1.8827799999999999</v>
      </c>
      <c r="DY294">
        <v>1.8755999999999999</v>
      </c>
      <c r="DZ294">
        <v>1.87466</v>
      </c>
      <c r="EA294">
        <v>1.8708400000000001</v>
      </c>
      <c r="EB294">
        <v>1.87462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-0.88700000000000001</v>
      </c>
      <c r="EQ294">
        <v>9.2499999999999999E-2</v>
      </c>
      <c r="ER294">
        <v>-0.88700000000005697</v>
      </c>
      <c r="ES294">
        <v>0</v>
      </c>
      <c r="ET294">
        <v>0</v>
      </c>
      <c r="EU294">
        <v>0</v>
      </c>
      <c r="EV294">
        <v>9.2509999999998996E-2</v>
      </c>
      <c r="EW294">
        <v>0</v>
      </c>
      <c r="EX294">
        <v>0</v>
      </c>
      <c r="EY294">
        <v>0</v>
      </c>
      <c r="EZ294">
        <v>-1</v>
      </c>
      <c r="FA294">
        <v>-1</v>
      </c>
      <c r="FB294">
        <v>-1</v>
      </c>
      <c r="FC294">
        <v>-1</v>
      </c>
      <c r="FD294">
        <v>9.1999999999999993</v>
      </c>
      <c r="FE294">
        <v>8.9</v>
      </c>
      <c r="FF294">
        <v>1.24146</v>
      </c>
      <c r="FG294">
        <v>2.5964399999999999</v>
      </c>
      <c r="FH294">
        <v>2.19604</v>
      </c>
      <c r="FI294">
        <v>2.5744600000000002</v>
      </c>
      <c r="FJ294">
        <v>2.4462899999999999</v>
      </c>
      <c r="FK294">
        <v>2.2814899999999998</v>
      </c>
      <c r="FL294">
        <v>31.980499999999999</v>
      </c>
      <c r="FM294">
        <v>24.148800000000001</v>
      </c>
      <c r="FN294">
        <v>19</v>
      </c>
      <c r="FO294">
        <v>866.26900000000001</v>
      </c>
      <c r="FP294">
        <v>575.63300000000004</v>
      </c>
      <c r="FQ294">
        <v>18.252300000000002</v>
      </c>
      <c r="FR294">
        <v>25.315799999999999</v>
      </c>
      <c r="FS294">
        <v>30.0001</v>
      </c>
      <c r="FT294">
        <v>25.341999999999999</v>
      </c>
      <c r="FU294">
        <v>25.342500000000001</v>
      </c>
      <c r="FV294">
        <v>24.9284</v>
      </c>
      <c r="FW294">
        <v>33.158200000000001</v>
      </c>
      <c r="FX294">
        <v>0</v>
      </c>
      <c r="FY294">
        <v>18.261399999999998</v>
      </c>
      <c r="FZ294">
        <v>410</v>
      </c>
      <c r="GA294">
        <v>13.286899999999999</v>
      </c>
      <c r="GB294">
        <v>99.903199999999998</v>
      </c>
      <c r="GC294">
        <v>99.743899999999996</v>
      </c>
    </row>
    <row r="295" spans="1:185" x14ac:dyDescent="0.2">
      <c r="A295">
        <v>280</v>
      </c>
      <c r="B295">
        <v>1771004241.0999999</v>
      </c>
      <c r="C295">
        <v>5618</v>
      </c>
      <c r="D295" t="s">
        <v>867</v>
      </c>
      <c r="E295" t="s">
        <v>868</v>
      </c>
      <c r="F295">
        <v>15</v>
      </c>
      <c r="G295">
        <v>1771004233.03333</v>
      </c>
      <c r="H295">
        <f t="shared" si="52"/>
        <v>1.8057581846989484E-3</v>
      </c>
      <c r="I295">
        <v>0</v>
      </c>
      <c r="J295">
        <f t="shared" si="64"/>
        <v>9.4560516443033555E-3</v>
      </c>
      <c r="K295">
        <f t="shared" si="53"/>
        <v>0.16908606375121796</v>
      </c>
      <c r="L295">
        <f t="shared" si="54"/>
        <v>70.858746594524575</v>
      </c>
      <c r="M295">
        <f t="shared" si="55"/>
        <v>1.562025731654791</v>
      </c>
      <c r="N295">
        <f t="shared" si="56"/>
        <v>2.2044219051646228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26333.906921380069</v>
      </c>
      <c r="T295">
        <f t="shared" si="60"/>
        <v>999.99900000000002</v>
      </c>
      <c r="U295">
        <f t="shared" si="61"/>
        <v>842.99944299971321</v>
      </c>
      <c r="V295">
        <f t="shared" si="62"/>
        <v>0.84300028599999921</v>
      </c>
      <c r="W295">
        <f t="shared" si="63"/>
        <v>0.15870071499999983</v>
      </c>
      <c r="X295">
        <v>1</v>
      </c>
      <c r="Y295">
        <v>1771004233.03333</v>
      </c>
      <c r="Z295">
        <v>408.90646666666697</v>
      </c>
      <c r="AA295">
        <v>410.04079999999999</v>
      </c>
      <c r="AB295">
        <v>15.5609</v>
      </c>
      <c r="AC295">
        <v>13.338839999999999</v>
      </c>
      <c r="AD295">
        <v>409.79346666666697</v>
      </c>
      <c r="AE295">
        <v>15.468393333333299</v>
      </c>
      <c r="AF295">
        <v>800.00493333333304</v>
      </c>
      <c r="AG295">
        <v>100.31740000000001</v>
      </c>
      <c r="AH295">
        <v>6.4051693333333298E-2</v>
      </c>
      <c r="AI295">
        <v>18.994486666666699</v>
      </c>
      <c r="AJ295">
        <v>999.9</v>
      </c>
      <c r="AK295">
        <v>999.9</v>
      </c>
      <c r="AL295">
        <v>0</v>
      </c>
      <c r="AM295">
        <v>0</v>
      </c>
      <c r="AN295">
        <v>5004.6000000000004</v>
      </c>
      <c r="AO295">
        <v>0</v>
      </c>
      <c r="AP295">
        <v>1.6937899999999999</v>
      </c>
      <c r="AQ295">
        <v>-1.1343066666666699</v>
      </c>
      <c r="AR295">
        <v>415.37006666666701</v>
      </c>
      <c r="AS295">
        <v>415.58426666666702</v>
      </c>
      <c r="AT295">
        <v>2.2220659999999999</v>
      </c>
      <c r="AU295">
        <v>410.04079999999999</v>
      </c>
      <c r="AV295">
        <v>13.338839999999999</v>
      </c>
      <c r="AW295">
        <v>1.5610299999999999</v>
      </c>
      <c r="AX295">
        <v>1.3381193333333301</v>
      </c>
      <c r="AY295">
        <v>13.5794</v>
      </c>
      <c r="AZ295">
        <v>11.2339133333333</v>
      </c>
      <c r="BA295">
        <v>999.99900000000002</v>
      </c>
      <c r="BB295">
        <v>0.89999046666666604</v>
      </c>
      <c r="BC295">
        <v>0</v>
      </c>
      <c r="BD295">
        <v>0.100009533333333</v>
      </c>
      <c r="BE295">
        <v>0</v>
      </c>
      <c r="BF295">
        <v>24</v>
      </c>
      <c r="BG295">
        <v>16488.726666666698</v>
      </c>
      <c r="BH295">
        <v>1771003693.0999999</v>
      </c>
      <c r="BI295" t="s">
        <v>816</v>
      </c>
      <c r="BJ295">
        <v>1771003671.0999999</v>
      </c>
      <c r="BK295">
        <v>1771003693.0999999</v>
      </c>
      <c r="BL295">
        <v>15</v>
      </c>
      <c r="BM295">
        <v>-1.4999999999999999E-2</v>
      </c>
      <c r="BN295">
        <v>-6.0000000000000001E-3</v>
      </c>
      <c r="BO295">
        <v>-0.88700000000000001</v>
      </c>
      <c r="BP295">
        <v>9.2999999999999999E-2</v>
      </c>
      <c r="BQ295">
        <v>410</v>
      </c>
      <c r="BR295">
        <v>14</v>
      </c>
      <c r="BS295">
        <v>0.22</v>
      </c>
      <c r="BT295">
        <v>0.13</v>
      </c>
      <c r="BU295">
        <v>-1.1185050000000001</v>
      </c>
      <c r="BV295">
        <v>-0.34925864661654099</v>
      </c>
      <c r="BW295">
        <v>3.7380748320492499E-2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2.2155835000000002</v>
      </c>
      <c r="CD295">
        <v>0.15690812030075299</v>
      </c>
      <c r="CE295">
        <v>1.81823767079555E-2</v>
      </c>
      <c r="CF295">
        <v>0</v>
      </c>
      <c r="CG295">
        <v>1</v>
      </c>
      <c r="CH295">
        <v>2</v>
      </c>
      <c r="CI295" t="s">
        <v>290</v>
      </c>
      <c r="CJ295">
        <v>3.5325700000000002</v>
      </c>
      <c r="CK295">
        <v>2.7019600000000001</v>
      </c>
      <c r="CL295">
        <v>9.80042E-2</v>
      </c>
      <c r="CM295">
        <v>9.6822000000000005E-2</v>
      </c>
      <c r="CN295">
        <v>8.7798500000000002E-2</v>
      </c>
      <c r="CO295">
        <v>7.7390399999999998E-2</v>
      </c>
      <c r="CP295">
        <v>31641.1</v>
      </c>
      <c r="CQ295">
        <v>27817.1</v>
      </c>
      <c r="CR295">
        <v>32466.2</v>
      </c>
      <c r="CS295">
        <v>30725.4</v>
      </c>
      <c r="CT295">
        <v>40098.400000000001</v>
      </c>
      <c r="CU295">
        <v>39867.699999999997</v>
      </c>
      <c r="CV295">
        <v>47411.8</v>
      </c>
      <c r="CW295">
        <v>46855.9</v>
      </c>
      <c r="CX295">
        <v>2.6267200000000002</v>
      </c>
      <c r="CY295">
        <v>2.1313200000000001</v>
      </c>
      <c r="CZ295">
        <v>0</v>
      </c>
      <c r="DA295">
        <v>0</v>
      </c>
      <c r="DB295">
        <v>999.9</v>
      </c>
      <c r="DC295">
        <v>999.9</v>
      </c>
      <c r="DD295">
        <v>50.762999999999998</v>
      </c>
      <c r="DE295">
        <v>27.704000000000001</v>
      </c>
      <c r="DF295">
        <v>18.8735</v>
      </c>
      <c r="DG295">
        <v>30.5002</v>
      </c>
      <c r="DH295">
        <v>16.6066</v>
      </c>
      <c r="DI295">
        <v>2</v>
      </c>
      <c r="DJ295">
        <v>-0.135876</v>
      </c>
      <c r="DK295">
        <v>2.5454599999999998</v>
      </c>
      <c r="DL295">
        <v>20.1799</v>
      </c>
      <c r="DM295">
        <v>5.25143</v>
      </c>
      <c r="DN295">
        <v>12.033899999999999</v>
      </c>
      <c r="DO295">
        <v>4.9676</v>
      </c>
      <c r="DP295">
        <v>3.2909999999999999</v>
      </c>
      <c r="DQ295">
        <v>9999</v>
      </c>
      <c r="DR295">
        <v>9999</v>
      </c>
      <c r="DS295">
        <v>597.9</v>
      </c>
      <c r="DT295">
        <v>9999</v>
      </c>
      <c r="DU295">
        <v>1.87103</v>
      </c>
      <c r="DV295">
        <v>1.87608</v>
      </c>
      <c r="DW295">
        <v>1.87629</v>
      </c>
      <c r="DX295">
        <v>1.8827799999999999</v>
      </c>
      <c r="DY295">
        <v>1.8755999999999999</v>
      </c>
      <c r="DZ295">
        <v>1.87463</v>
      </c>
      <c r="EA295">
        <v>1.87083</v>
      </c>
      <c r="EB295">
        <v>1.8746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-0.88700000000000001</v>
      </c>
      <c r="EQ295">
        <v>9.2499999999999999E-2</v>
      </c>
      <c r="ER295">
        <v>-0.88700000000005697</v>
      </c>
      <c r="ES295">
        <v>0</v>
      </c>
      <c r="ET295">
        <v>0</v>
      </c>
      <c r="EU295">
        <v>0</v>
      </c>
      <c r="EV295">
        <v>9.2509999999998996E-2</v>
      </c>
      <c r="EW295">
        <v>0</v>
      </c>
      <c r="EX295">
        <v>0</v>
      </c>
      <c r="EY295">
        <v>0</v>
      </c>
      <c r="EZ295">
        <v>-1</v>
      </c>
      <c r="FA295">
        <v>-1</v>
      </c>
      <c r="FB295">
        <v>-1</v>
      </c>
      <c r="FC295">
        <v>-1</v>
      </c>
      <c r="FD295">
        <v>9.5</v>
      </c>
      <c r="FE295">
        <v>9.1</v>
      </c>
      <c r="FF295">
        <v>1.24146</v>
      </c>
      <c r="FG295">
        <v>2.5964399999999999</v>
      </c>
      <c r="FH295">
        <v>2.19604</v>
      </c>
      <c r="FI295">
        <v>2.5744600000000002</v>
      </c>
      <c r="FJ295">
        <v>2.4462899999999999</v>
      </c>
      <c r="FK295">
        <v>2.32056</v>
      </c>
      <c r="FL295">
        <v>32.002400000000002</v>
      </c>
      <c r="FM295">
        <v>24.1313</v>
      </c>
      <c r="FN295">
        <v>19</v>
      </c>
      <c r="FO295">
        <v>866.30499999999995</v>
      </c>
      <c r="FP295">
        <v>575.428</v>
      </c>
      <c r="FQ295">
        <v>18.2668</v>
      </c>
      <c r="FR295">
        <v>25.3094</v>
      </c>
      <c r="FS295">
        <v>30.000499999999999</v>
      </c>
      <c r="FT295">
        <v>25.337299999999999</v>
      </c>
      <c r="FU295">
        <v>25.337800000000001</v>
      </c>
      <c r="FV295">
        <v>24.9251</v>
      </c>
      <c r="FW295">
        <v>33.429600000000001</v>
      </c>
      <c r="FX295">
        <v>0</v>
      </c>
      <c r="FY295">
        <v>17.951499999999999</v>
      </c>
      <c r="FZ295">
        <v>410</v>
      </c>
      <c r="GA295">
        <v>13.2026</v>
      </c>
      <c r="GB295">
        <v>99.9054</v>
      </c>
      <c r="GC295">
        <v>99.747399999999999</v>
      </c>
    </row>
    <row r="296" spans="1:185" x14ac:dyDescent="0.2">
      <c r="A296">
        <v>281</v>
      </c>
      <c r="B296">
        <v>1771004256.0999999</v>
      </c>
      <c r="C296">
        <v>5633</v>
      </c>
      <c r="D296" t="s">
        <v>869</v>
      </c>
      <c r="E296" t="s">
        <v>870</v>
      </c>
      <c r="F296">
        <v>15</v>
      </c>
      <c r="G296">
        <v>1771004248.03333</v>
      </c>
      <c r="H296">
        <f t="shared" si="52"/>
        <v>1.7926735690924455E-3</v>
      </c>
      <c r="I296">
        <v>0</v>
      </c>
      <c r="J296">
        <f t="shared" si="64"/>
        <v>9.4638538834701733E-3</v>
      </c>
      <c r="K296">
        <f t="shared" si="53"/>
        <v>0.16922557757356024</v>
      </c>
      <c r="L296">
        <f t="shared" si="54"/>
        <v>70.353533438453638</v>
      </c>
      <c r="M296">
        <f t="shared" si="55"/>
        <v>1.5524605258122346</v>
      </c>
      <c r="N296">
        <f t="shared" si="56"/>
        <v>2.2066560838345826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26342.388484882831</v>
      </c>
      <c r="T296">
        <f t="shared" si="60"/>
        <v>999.99720000000002</v>
      </c>
      <c r="U296">
        <f t="shared" si="61"/>
        <v>842.99790359926021</v>
      </c>
      <c r="V296">
        <f t="shared" si="62"/>
        <v>0.84300026399999939</v>
      </c>
      <c r="W296">
        <f t="shared" si="63"/>
        <v>0.15870053007999987</v>
      </c>
      <c r="X296">
        <v>1</v>
      </c>
      <c r="Y296">
        <v>1771004248.03333</v>
      </c>
      <c r="Z296">
        <v>408.86746666666699</v>
      </c>
      <c r="AA296">
        <v>409.99520000000001</v>
      </c>
      <c r="AB296">
        <v>15.465999999999999</v>
      </c>
      <c r="AC296">
        <v>13.259826666666701</v>
      </c>
      <c r="AD296">
        <v>409.75446666666699</v>
      </c>
      <c r="AE296">
        <v>15.373480000000001</v>
      </c>
      <c r="AF296">
        <v>800.00426666666704</v>
      </c>
      <c r="AG296">
        <v>100.31513333333299</v>
      </c>
      <c r="AH296">
        <v>6.3796306666666705E-2</v>
      </c>
      <c r="AI296">
        <v>19.010719999999999</v>
      </c>
      <c r="AJ296">
        <v>999.9</v>
      </c>
      <c r="AK296">
        <v>999.9</v>
      </c>
      <c r="AL296">
        <v>0</v>
      </c>
      <c r="AM296">
        <v>0</v>
      </c>
      <c r="AN296">
        <v>5006.3333333333303</v>
      </c>
      <c r="AO296">
        <v>0</v>
      </c>
      <c r="AP296">
        <v>1.6937899999999999</v>
      </c>
      <c r="AQ296">
        <v>-1.12768133333333</v>
      </c>
      <c r="AR296">
        <v>415.29046666666699</v>
      </c>
      <c r="AS296">
        <v>415.50466666666699</v>
      </c>
      <c r="AT296">
        <v>2.2061753333333298</v>
      </c>
      <c r="AU296">
        <v>409.99520000000001</v>
      </c>
      <c r="AV296">
        <v>13.259826666666701</v>
      </c>
      <c r="AW296">
        <v>1.5514733333333299</v>
      </c>
      <c r="AX296">
        <v>1.33016</v>
      </c>
      <c r="AY296">
        <v>13.4850733333333</v>
      </c>
      <c r="AZ296">
        <v>11.144033333333301</v>
      </c>
      <c r="BA296">
        <v>999.99720000000002</v>
      </c>
      <c r="BB296">
        <v>0.89999313333333297</v>
      </c>
      <c r="BC296">
        <v>0</v>
      </c>
      <c r="BD296">
        <v>0.10000693333333301</v>
      </c>
      <c r="BE296">
        <v>0</v>
      </c>
      <c r="BF296">
        <v>24</v>
      </c>
      <c r="BG296">
        <v>16488.72</v>
      </c>
      <c r="BH296">
        <v>1771003693.0999999</v>
      </c>
      <c r="BI296" t="s">
        <v>816</v>
      </c>
      <c r="BJ296">
        <v>1771003671.0999999</v>
      </c>
      <c r="BK296">
        <v>1771003693.0999999</v>
      </c>
      <c r="BL296">
        <v>15</v>
      </c>
      <c r="BM296">
        <v>-1.4999999999999999E-2</v>
      </c>
      <c r="BN296">
        <v>-6.0000000000000001E-3</v>
      </c>
      <c r="BO296">
        <v>-0.88700000000000001</v>
      </c>
      <c r="BP296">
        <v>9.2999999999999999E-2</v>
      </c>
      <c r="BQ296">
        <v>410</v>
      </c>
      <c r="BR296">
        <v>14</v>
      </c>
      <c r="BS296">
        <v>0.22</v>
      </c>
      <c r="BT296">
        <v>0.13</v>
      </c>
      <c r="BU296">
        <v>-1.1325219047619</v>
      </c>
      <c r="BV296">
        <v>-6.7965194805195098E-2</v>
      </c>
      <c r="BW296">
        <v>3.3134025328461401E-2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2.2132533333333302</v>
      </c>
      <c r="CD296">
        <v>-0.185921298701301</v>
      </c>
      <c r="CE296">
        <v>2.00622942554846E-2</v>
      </c>
      <c r="CF296">
        <v>0</v>
      </c>
      <c r="CG296">
        <v>1</v>
      </c>
      <c r="CH296">
        <v>2</v>
      </c>
      <c r="CI296" t="s">
        <v>290</v>
      </c>
      <c r="CJ296">
        <v>3.5325299999999999</v>
      </c>
      <c r="CK296">
        <v>2.7016200000000001</v>
      </c>
      <c r="CL296">
        <v>9.7997699999999993E-2</v>
      </c>
      <c r="CM296">
        <v>9.6823699999999999E-2</v>
      </c>
      <c r="CN296">
        <v>8.7445999999999996E-2</v>
      </c>
      <c r="CO296">
        <v>7.7306200000000005E-2</v>
      </c>
      <c r="CP296">
        <v>31641.5</v>
      </c>
      <c r="CQ296">
        <v>27817</v>
      </c>
      <c r="CR296">
        <v>32466.400000000001</v>
      </c>
      <c r="CS296">
        <v>30725.3</v>
      </c>
      <c r="CT296">
        <v>40114.9</v>
      </c>
      <c r="CU296">
        <v>39871.199999999997</v>
      </c>
      <c r="CV296">
        <v>47412.3</v>
      </c>
      <c r="CW296">
        <v>46855.6</v>
      </c>
      <c r="CX296">
        <v>2.6267200000000002</v>
      </c>
      <c r="CY296">
        <v>2.1309200000000001</v>
      </c>
      <c r="CZ296">
        <v>0</v>
      </c>
      <c r="DA296">
        <v>0</v>
      </c>
      <c r="DB296">
        <v>999.9</v>
      </c>
      <c r="DC296">
        <v>999.9</v>
      </c>
      <c r="DD296">
        <v>50.762999999999998</v>
      </c>
      <c r="DE296">
        <v>27.704000000000001</v>
      </c>
      <c r="DF296">
        <v>18.873799999999999</v>
      </c>
      <c r="DG296">
        <v>30.260200000000001</v>
      </c>
      <c r="DH296">
        <v>16.674700000000001</v>
      </c>
      <c r="DI296">
        <v>2</v>
      </c>
      <c r="DJ296">
        <v>-0.13448199999999999</v>
      </c>
      <c r="DK296">
        <v>2.4204300000000001</v>
      </c>
      <c r="DL296">
        <v>20.1846</v>
      </c>
      <c r="DM296">
        <v>5.25143</v>
      </c>
      <c r="DN296">
        <v>12.033899999999999</v>
      </c>
      <c r="DO296">
        <v>4.9675599999999998</v>
      </c>
      <c r="DP296">
        <v>3.2909999999999999</v>
      </c>
      <c r="DQ296">
        <v>9999</v>
      </c>
      <c r="DR296">
        <v>9999</v>
      </c>
      <c r="DS296">
        <v>597.9</v>
      </c>
      <c r="DT296">
        <v>9999</v>
      </c>
      <c r="DU296">
        <v>1.8710599999999999</v>
      </c>
      <c r="DV296">
        <v>1.8761000000000001</v>
      </c>
      <c r="DW296">
        <v>1.87629</v>
      </c>
      <c r="DX296">
        <v>1.88279</v>
      </c>
      <c r="DY296">
        <v>1.87561</v>
      </c>
      <c r="DZ296">
        <v>1.87466</v>
      </c>
      <c r="EA296">
        <v>1.87086</v>
      </c>
      <c r="EB296">
        <v>1.8746700000000001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-0.88700000000000001</v>
      </c>
      <c r="EQ296">
        <v>9.2499999999999999E-2</v>
      </c>
      <c r="ER296">
        <v>-0.88700000000005697</v>
      </c>
      <c r="ES296">
        <v>0</v>
      </c>
      <c r="ET296">
        <v>0</v>
      </c>
      <c r="EU296">
        <v>0</v>
      </c>
      <c r="EV296">
        <v>9.2509999999998996E-2</v>
      </c>
      <c r="EW296">
        <v>0</v>
      </c>
      <c r="EX296">
        <v>0</v>
      </c>
      <c r="EY296">
        <v>0</v>
      </c>
      <c r="EZ296">
        <v>-1</v>
      </c>
      <c r="FA296">
        <v>-1</v>
      </c>
      <c r="FB296">
        <v>-1</v>
      </c>
      <c r="FC296">
        <v>-1</v>
      </c>
      <c r="FD296">
        <v>9.8000000000000007</v>
      </c>
      <c r="FE296">
        <v>9.4</v>
      </c>
      <c r="FF296">
        <v>1.24146</v>
      </c>
      <c r="FG296">
        <v>2.5939899999999998</v>
      </c>
      <c r="FH296">
        <v>2.19604</v>
      </c>
      <c r="FI296">
        <v>2.5744600000000002</v>
      </c>
      <c r="FJ296">
        <v>2.4462899999999999</v>
      </c>
      <c r="FK296">
        <v>2.2863799999999999</v>
      </c>
      <c r="FL296">
        <v>32.002400000000002</v>
      </c>
      <c r="FM296">
        <v>24.14</v>
      </c>
      <c r="FN296">
        <v>19</v>
      </c>
      <c r="FO296">
        <v>866.23599999999999</v>
      </c>
      <c r="FP296">
        <v>575.08299999999997</v>
      </c>
      <c r="FQ296">
        <v>17.8933</v>
      </c>
      <c r="FR296">
        <v>25.303899999999999</v>
      </c>
      <c r="FS296">
        <v>29.999500000000001</v>
      </c>
      <c r="FT296">
        <v>25.333100000000002</v>
      </c>
      <c r="FU296">
        <v>25.334399999999999</v>
      </c>
      <c r="FV296">
        <v>24.923400000000001</v>
      </c>
      <c r="FW296">
        <v>33.429600000000001</v>
      </c>
      <c r="FX296">
        <v>0</v>
      </c>
      <c r="FY296">
        <v>17.918099999999999</v>
      </c>
      <c r="FZ296">
        <v>410</v>
      </c>
      <c r="GA296">
        <v>13.288</v>
      </c>
      <c r="GB296">
        <v>99.906300000000002</v>
      </c>
      <c r="GC296">
        <v>99.746899999999997</v>
      </c>
    </row>
    <row r="297" spans="1:185" x14ac:dyDescent="0.2">
      <c r="A297">
        <v>282</v>
      </c>
      <c r="B297">
        <v>1771004271.0999999</v>
      </c>
      <c r="C297">
        <v>5648</v>
      </c>
      <c r="D297" t="s">
        <v>871</v>
      </c>
      <c r="E297" t="s">
        <v>872</v>
      </c>
      <c r="F297">
        <v>15</v>
      </c>
      <c r="G297">
        <v>1771004263.03333</v>
      </c>
      <c r="H297">
        <f t="shared" si="52"/>
        <v>1.7557989307214047E-3</v>
      </c>
      <c r="I297">
        <v>0</v>
      </c>
      <c r="J297">
        <f t="shared" si="64"/>
        <v>1.13844749366792E-2</v>
      </c>
      <c r="K297">
        <f t="shared" si="53"/>
        <v>0.20356869096385918</v>
      </c>
      <c r="L297">
        <f t="shared" si="54"/>
        <v>70.170666700741705</v>
      </c>
      <c r="M297">
        <f t="shared" si="55"/>
        <v>1.5471066188223348</v>
      </c>
      <c r="N297">
        <f t="shared" si="56"/>
        <v>2.2047768555774345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26275.548650174205</v>
      </c>
      <c r="T297">
        <f t="shared" si="60"/>
        <v>999.99966666666705</v>
      </c>
      <c r="U297">
        <f t="shared" si="61"/>
        <v>842.99979699997436</v>
      </c>
      <c r="V297">
        <f t="shared" si="62"/>
        <v>0.84300007799999999</v>
      </c>
      <c r="W297">
        <f t="shared" si="63"/>
        <v>0.15870019499999999</v>
      </c>
      <c r="X297">
        <v>1</v>
      </c>
      <c r="Y297">
        <v>1771004263.03333</v>
      </c>
      <c r="Z297">
        <v>408.83533333333298</v>
      </c>
      <c r="AA297">
        <v>409.98706666666698</v>
      </c>
      <c r="AB297">
        <v>15.4129733333333</v>
      </c>
      <c r="AC297">
        <v>13.252086666666701</v>
      </c>
      <c r="AD297">
        <v>409.72233333333298</v>
      </c>
      <c r="AE297">
        <v>15.320460000000001</v>
      </c>
      <c r="AF297">
        <v>800.01273333333302</v>
      </c>
      <c r="AG297">
        <v>100.313</v>
      </c>
      <c r="AH297">
        <v>6.39088133333333E-2</v>
      </c>
      <c r="AI297">
        <v>18.997066666666701</v>
      </c>
      <c r="AJ297">
        <v>999.9</v>
      </c>
      <c r="AK297">
        <v>999.9</v>
      </c>
      <c r="AL297">
        <v>0</v>
      </c>
      <c r="AM297">
        <v>0</v>
      </c>
      <c r="AN297">
        <v>4995.2333333333299</v>
      </c>
      <c r="AO297">
        <v>0</v>
      </c>
      <c r="AP297">
        <v>1.6937899999999999</v>
      </c>
      <c r="AQ297">
        <v>-1.1517873333333299</v>
      </c>
      <c r="AR297">
        <v>415.23540000000003</v>
      </c>
      <c r="AS297">
        <v>415.49326666666701</v>
      </c>
      <c r="AT297">
        <v>2.1608846666666701</v>
      </c>
      <c r="AU297">
        <v>409.98706666666698</v>
      </c>
      <c r="AV297">
        <v>13.252086666666701</v>
      </c>
      <c r="AW297">
        <v>1.5461213333333299</v>
      </c>
      <c r="AX297">
        <v>1.329356</v>
      </c>
      <c r="AY297">
        <v>13.4320466666667</v>
      </c>
      <c r="AZ297">
        <v>11.134919999999999</v>
      </c>
      <c r="BA297">
        <v>999.99966666666705</v>
      </c>
      <c r="BB297">
        <v>0.89999739999999995</v>
      </c>
      <c r="BC297">
        <v>0</v>
      </c>
      <c r="BD297">
        <v>0.1000026</v>
      </c>
      <c r="BE297">
        <v>0</v>
      </c>
      <c r="BF297">
        <v>24</v>
      </c>
      <c r="BG297">
        <v>16488.78</v>
      </c>
      <c r="BH297">
        <v>1771003693.0999999</v>
      </c>
      <c r="BI297" t="s">
        <v>816</v>
      </c>
      <c r="BJ297">
        <v>1771003671.0999999</v>
      </c>
      <c r="BK297">
        <v>1771003693.0999999</v>
      </c>
      <c r="BL297">
        <v>15</v>
      </c>
      <c r="BM297">
        <v>-1.4999999999999999E-2</v>
      </c>
      <c r="BN297">
        <v>-6.0000000000000001E-3</v>
      </c>
      <c r="BO297">
        <v>-0.88700000000000001</v>
      </c>
      <c r="BP297">
        <v>9.2999999999999999E-2</v>
      </c>
      <c r="BQ297">
        <v>410</v>
      </c>
      <c r="BR297">
        <v>14</v>
      </c>
      <c r="BS297">
        <v>0.22</v>
      </c>
      <c r="BT297">
        <v>0.13</v>
      </c>
      <c r="BU297">
        <v>-1.1541360000000001</v>
      </c>
      <c r="BV297">
        <v>-5.3824060150376399E-2</v>
      </c>
      <c r="BW297">
        <v>1.86745121489157E-2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2.1662284999999999</v>
      </c>
      <c r="CD297">
        <v>-0.110118947368423</v>
      </c>
      <c r="CE297">
        <v>1.11902932378915E-2</v>
      </c>
      <c r="CF297">
        <v>0</v>
      </c>
      <c r="CG297">
        <v>1</v>
      </c>
      <c r="CH297">
        <v>2</v>
      </c>
      <c r="CI297" t="s">
        <v>290</v>
      </c>
      <c r="CJ297">
        <v>3.5324499999999999</v>
      </c>
      <c r="CK297">
        <v>2.7015199999999999</v>
      </c>
      <c r="CL297">
        <v>9.7984100000000005E-2</v>
      </c>
      <c r="CM297">
        <v>9.6819299999999997E-2</v>
      </c>
      <c r="CN297">
        <v>8.7343599999999993E-2</v>
      </c>
      <c r="CO297">
        <v>7.72867E-2</v>
      </c>
      <c r="CP297">
        <v>31642.9</v>
      </c>
      <c r="CQ297">
        <v>27817.3</v>
      </c>
      <c r="CR297">
        <v>32467.3</v>
      </c>
      <c r="CS297">
        <v>30725.5</v>
      </c>
      <c r="CT297">
        <v>40120.5</v>
      </c>
      <c r="CU297">
        <v>39872.6</v>
      </c>
      <c r="CV297">
        <v>47413.599999999999</v>
      </c>
      <c r="CW297">
        <v>46856.2</v>
      </c>
      <c r="CX297">
        <v>2.62662</v>
      </c>
      <c r="CY297">
        <v>2.1312000000000002</v>
      </c>
      <c r="CZ297">
        <v>0</v>
      </c>
      <c r="DA297">
        <v>0</v>
      </c>
      <c r="DB297">
        <v>999.9</v>
      </c>
      <c r="DC297">
        <v>999.9</v>
      </c>
      <c r="DD297">
        <v>50.738999999999997</v>
      </c>
      <c r="DE297">
        <v>27.724</v>
      </c>
      <c r="DF297">
        <v>18.889500000000002</v>
      </c>
      <c r="DG297">
        <v>30.350200000000001</v>
      </c>
      <c r="DH297">
        <v>16.7348</v>
      </c>
      <c r="DI297">
        <v>2</v>
      </c>
      <c r="DJ297">
        <v>-0.13586200000000001</v>
      </c>
      <c r="DK297">
        <v>2.2435800000000001</v>
      </c>
      <c r="DL297">
        <v>20.187899999999999</v>
      </c>
      <c r="DM297">
        <v>5.2520300000000004</v>
      </c>
      <c r="DN297">
        <v>12.033899999999999</v>
      </c>
      <c r="DO297">
        <v>4.9676799999999997</v>
      </c>
      <c r="DP297">
        <v>3.2909999999999999</v>
      </c>
      <c r="DQ297">
        <v>9999</v>
      </c>
      <c r="DR297">
        <v>9999</v>
      </c>
      <c r="DS297">
        <v>597.9</v>
      </c>
      <c r="DT297">
        <v>9999</v>
      </c>
      <c r="DU297">
        <v>1.8710599999999999</v>
      </c>
      <c r="DV297">
        <v>1.8761300000000001</v>
      </c>
      <c r="DW297">
        <v>1.8763399999999999</v>
      </c>
      <c r="DX297">
        <v>1.8828100000000001</v>
      </c>
      <c r="DY297">
        <v>1.87561</v>
      </c>
      <c r="DZ297">
        <v>1.8746799999999999</v>
      </c>
      <c r="EA297">
        <v>1.87086</v>
      </c>
      <c r="EB297">
        <v>1.8746799999999999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-0.88700000000000001</v>
      </c>
      <c r="EQ297">
        <v>9.2600000000000002E-2</v>
      </c>
      <c r="ER297">
        <v>-0.88700000000005697</v>
      </c>
      <c r="ES297">
        <v>0</v>
      </c>
      <c r="ET297">
        <v>0</v>
      </c>
      <c r="EU297">
        <v>0</v>
      </c>
      <c r="EV297">
        <v>9.2509999999998996E-2</v>
      </c>
      <c r="EW297">
        <v>0</v>
      </c>
      <c r="EX297">
        <v>0</v>
      </c>
      <c r="EY297">
        <v>0</v>
      </c>
      <c r="EZ297">
        <v>-1</v>
      </c>
      <c r="FA297">
        <v>-1</v>
      </c>
      <c r="FB297">
        <v>-1</v>
      </c>
      <c r="FC297">
        <v>-1</v>
      </c>
      <c r="FD297">
        <v>10</v>
      </c>
      <c r="FE297">
        <v>9.6</v>
      </c>
      <c r="FF297">
        <v>1.24146</v>
      </c>
      <c r="FG297">
        <v>2.6025399999999999</v>
      </c>
      <c r="FH297">
        <v>2.19604</v>
      </c>
      <c r="FI297">
        <v>2.5744600000000002</v>
      </c>
      <c r="FJ297">
        <v>2.4462899999999999</v>
      </c>
      <c r="FK297">
        <v>2.2631800000000002</v>
      </c>
      <c r="FL297">
        <v>32.0244</v>
      </c>
      <c r="FM297">
        <v>24.14</v>
      </c>
      <c r="FN297">
        <v>19</v>
      </c>
      <c r="FO297">
        <v>866.07399999999996</v>
      </c>
      <c r="FP297">
        <v>575.25599999999997</v>
      </c>
      <c r="FQ297">
        <v>17.918099999999999</v>
      </c>
      <c r="FR297">
        <v>25.3</v>
      </c>
      <c r="FS297">
        <v>29.999700000000001</v>
      </c>
      <c r="FT297">
        <v>25.328800000000001</v>
      </c>
      <c r="FU297">
        <v>25.3307</v>
      </c>
      <c r="FV297">
        <v>24.924199999999999</v>
      </c>
      <c r="FW297">
        <v>33.429600000000001</v>
      </c>
      <c r="FX297">
        <v>0</v>
      </c>
      <c r="FY297">
        <v>17.930099999999999</v>
      </c>
      <c r="FZ297">
        <v>410</v>
      </c>
      <c r="GA297">
        <v>13.288</v>
      </c>
      <c r="GB297">
        <v>99.909000000000006</v>
      </c>
      <c r="GC297">
        <v>99.747900000000001</v>
      </c>
    </row>
    <row r="298" spans="1:185" x14ac:dyDescent="0.2">
      <c r="A298">
        <v>283</v>
      </c>
      <c r="B298">
        <v>1771004286.0999999</v>
      </c>
      <c r="C298">
        <v>5663</v>
      </c>
      <c r="D298" t="s">
        <v>873</v>
      </c>
      <c r="E298" t="s">
        <v>874</v>
      </c>
      <c r="F298">
        <v>15</v>
      </c>
      <c r="G298">
        <v>1771004278.03333</v>
      </c>
      <c r="H298">
        <f t="shared" si="52"/>
        <v>1.7467960975475444E-3</v>
      </c>
      <c r="I298">
        <v>0</v>
      </c>
      <c r="J298">
        <f t="shared" si="64"/>
        <v>1.1782898467443407E-2</v>
      </c>
      <c r="K298">
        <f t="shared" si="53"/>
        <v>0.21069300342077843</v>
      </c>
      <c r="L298">
        <f t="shared" si="54"/>
        <v>70.130929581684981</v>
      </c>
      <c r="M298">
        <f t="shared" si="55"/>
        <v>1.5456683708933454</v>
      </c>
      <c r="N298">
        <f t="shared" si="56"/>
        <v>2.2039753074897273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26320.53147293047</v>
      </c>
      <c r="T298">
        <f t="shared" si="60"/>
        <v>999.99800000000005</v>
      </c>
      <c r="U298">
        <f t="shared" si="61"/>
        <v>842.99835019992724</v>
      </c>
      <c r="V298">
        <f t="shared" si="62"/>
        <v>0.84300003619999964</v>
      </c>
      <c r="W298">
        <f t="shared" si="63"/>
        <v>0.15870010349199992</v>
      </c>
      <c r="X298">
        <v>1</v>
      </c>
      <c r="Y298">
        <v>1771004278.03333</v>
      </c>
      <c r="Z298">
        <v>408.84466666666702</v>
      </c>
      <c r="AA298">
        <v>410.00073333333302</v>
      </c>
      <c r="AB298">
        <v>15.398860000000001</v>
      </c>
      <c r="AC298">
        <v>13.2490066666667</v>
      </c>
      <c r="AD298">
        <v>409.70166666666699</v>
      </c>
      <c r="AE298">
        <v>15.306340000000001</v>
      </c>
      <c r="AF298">
        <v>800.00686666666695</v>
      </c>
      <c r="AG298">
        <v>100.31166666666699</v>
      </c>
      <c r="AH298">
        <v>6.3839759999999995E-2</v>
      </c>
      <c r="AI298">
        <v>18.991240000000001</v>
      </c>
      <c r="AJ298">
        <v>999.9</v>
      </c>
      <c r="AK298">
        <v>999.9</v>
      </c>
      <c r="AL298">
        <v>0</v>
      </c>
      <c r="AM298">
        <v>0</v>
      </c>
      <c r="AN298">
        <v>5002.6000000000004</v>
      </c>
      <c r="AO298">
        <v>0</v>
      </c>
      <c r="AP298">
        <v>1.6937899999999999</v>
      </c>
      <c r="AQ298">
        <v>-1.1859506666666699</v>
      </c>
      <c r="AR298">
        <v>415.20839999999998</v>
      </c>
      <c r="AS298">
        <v>415.50573333333301</v>
      </c>
      <c r="AT298">
        <v>2.1498346666666701</v>
      </c>
      <c r="AU298">
        <v>410.00073333333302</v>
      </c>
      <c r="AV298">
        <v>13.2490066666667</v>
      </c>
      <c r="AW298">
        <v>1.544686</v>
      </c>
      <c r="AX298">
        <v>1.329032</v>
      </c>
      <c r="AY298">
        <v>13.4177933333333</v>
      </c>
      <c r="AZ298">
        <v>11.13124</v>
      </c>
      <c r="BA298">
        <v>999.99800000000005</v>
      </c>
      <c r="BB298">
        <v>0.89999859999999998</v>
      </c>
      <c r="BC298">
        <v>0</v>
      </c>
      <c r="BD298">
        <v>0.10000139333333299</v>
      </c>
      <c r="BE298">
        <v>0</v>
      </c>
      <c r="BF298">
        <v>24</v>
      </c>
      <c r="BG298">
        <v>16488.753333333301</v>
      </c>
      <c r="BH298">
        <v>1771004304.0999999</v>
      </c>
      <c r="BI298" t="s">
        <v>875</v>
      </c>
      <c r="BJ298">
        <v>1771004304.0999999</v>
      </c>
      <c r="BK298">
        <v>1771003693.0999999</v>
      </c>
      <c r="BL298">
        <v>16</v>
      </c>
      <c r="BM298">
        <v>0.03</v>
      </c>
      <c r="BN298">
        <v>-6.0000000000000001E-3</v>
      </c>
      <c r="BO298">
        <v>-0.85699999999999998</v>
      </c>
      <c r="BP298">
        <v>9.2999999999999999E-2</v>
      </c>
      <c r="BQ298">
        <v>410</v>
      </c>
      <c r="BR298">
        <v>14</v>
      </c>
      <c r="BS298">
        <v>0.16</v>
      </c>
      <c r="BT298">
        <v>0.13</v>
      </c>
      <c r="BU298">
        <v>-1.1835042857142899</v>
      </c>
      <c r="BV298">
        <v>-4.5745714285716603E-2</v>
      </c>
      <c r="BW298">
        <v>1.51134029357825E-2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2.1513971428571401</v>
      </c>
      <c r="CD298">
        <v>-4.3930129870130903E-2</v>
      </c>
      <c r="CE298">
        <v>5.4805857723571596E-3</v>
      </c>
      <c r="CF298">
        <v>1</v>
      </c>
      <c r="CG298">
        <v>2</v>
      </c>
      <c r="CH298">
        <v>2</v>
      </c>
      <c r="CI298" t="s">
        <v>304</v>
      </c>
      <c r="CJ298">
        <v>3.5325299999999999</v>
      </c>
      <c r="CK298">
        <v>2.70181</v>
      </c>
      <c r="CL298">
        <v>9.7989599999999996E-2</v>
      </c>
      <c r="CM298">
        <v>9.68165E-2</v>
      </c>
      <c r="CN298">
        <v>8.7303000000000006E-2</v>
      </c>
      <c r="CO298">
        <v>7.7274099999999998E-2</v>
      </c>
      <c r="CP298">
        <v>31642.7</v>
      </c>
      <c r="CQ298">
        <v>27818.6</v>
      </c>
      <c r="CR298">
        <v>32467.200000000001</v>
      </c>
      <c r="CS298">
        <v>30726.9</v>
      </c>
      <c r="CT298">
        <v>40122</v>
      </c>
      <c r="CU298">
        <v>39874.800000000003</v>
      </c>
      <c r="CV298">
        <v>47413.1</v>
      </c>
      <c r="CW298">
        <v>46858.2</v>
      </c>
      <c r="CX298">
        <v>2.6265999999999998</v>
      </c>
      <c r="CY298">
        <v>2.1309800000000001</v>
      </c>
      <c r="CZ298">
        <v>0</v>
      </c>
      <c r="DA298">
        <v>0</v>
      </c>
      <c r="DB298">
        <v>999.9</v>
      </c>
      <c r="DC298">
        <v>999.9</v>
      </c>
      <c r="DD298">
        <v>50.713999999999999</v>
      </c>
      <c r="DE298">
        <v>27.724</v>
      </c>
      <c r="DF298">
        <v>18.878699999999998</v>
      </c>
      <c r="DG298">
        <v>30.260200000000001</v>
      </c>
      <c r="DH298">
        <v>16.630600000000001</v>
      </c>
      <c r="DI298">
        <v>2</v>
      </c>
      <c r="DJ298">
        <v>-0.136348</v>
      </c>
      <c r="DK298">
        <v>2.2456499999999999</v>
      </c>
      <c r="DL298">
        <v>20.188099999999999</v>
      </c>
      <c r="DM298">
        <v>5.2510700000000003</v>
      </c>
      <c r="DN298">
        <v>12.033899999999999</v>
      </c>
      <c r="DO298">
        <v>4.9675599999999998</v>
      </c>
      <c r="DP298">
        <v>3.2910200000000001</v>
      </c>
      <c r="DQ298">
        <v>9999</v>
      </c>
      <c r="DR298">
        <v>9999</v>
      </c>
      <c r="DS298">
        <v>597.9</v>
      </c>
      <c r="DT298">
        <v>9999</v>
      </c>
      <c r="DU298">
        <v>1.8710500000000001</v>
      </c>
      <c r="DV298">
        <v>1.87608</v>
      </c>
      <c r="DW298">
        <v>1.8763399999999999</v>
      </c>
      <c r="DX298">
        <v>1.8828</v>
      </c>
      <c r="DY298">
        <v>1.87561</v>
      </c>
      <c r="DZ298">
        <v>1.8746799999999999</v>
      </c>
      <c r="EA298">
        <v>1.87086</v>
      </c>
      <c r="EB298">
        <v>1.8746700000000001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-0.85699999999999998</v>
      </c>
      <c r="EQ298">
        <v>9.2499999999999999E-2</v>
      </c>
      <c r="ER298">
        <v>-0.88700000000005697</v>
      </c>
      <c r="ES298">
        <v>0</v>
      </c>
      <c r="ET298">
        <v>0</v>
      </c>
      <c r="EU298">
        <v>0</v>
      </c>
      <c r="EV298">
        <v>9.2509999999998996E-2</v>
      </c>
      <c r="EW298">
        <v>0</v>
      </c>
      <c r="EX298">
        <v>0</v>
      </c>
      <c r="EY298">
        <v>0</v>
      </c>
      <c r="EZ298">
        <v>-1</v>
      </c>
      <c r="FA298">
        <v>-1</v>
      </c>
      <c r="FB298">
        <v>-1</v>
      </c>
      <c r="FC298">
        <v>-1</v>
      </c>
      <c r="FD298">
        <v>10.199999999999999</v>
      </c>
      <c r="FE298">
        <v>9.9</v>
      </c>
      <c r="FF298">
        <v>1.24146</v>
      </c>
      <c r="FG298">
        <v>2.6000999999999999</v>
      </c>
      <c r="FH298">
        <v>2.19604</v>
      </c>
      <c r="FI298">
        <v>2.5744600000000002</v>
      </c>
      <c r="FJ298">
        <v>2.4462899999999999</v>
      </c>
      <c r="FK298">
        <v>2.2460900000000001</v>
      </c>
      <c r="FL298">
        <v>32.0244</v>
      </c>
      <c r="FM298">
        <v>24.1313</v>
      </c>
      <c r="FN298">
        <v>19</v>
      </c>
      <c r="FO298">
        <v>865.99400000000003</v>
      </c>
      <c r="FP298">
        <v>575.04999999999995</v>
      </c>
      <c r="FQ298">
        <v>17.944199999999999</v>
      </c>
      <c r="FR298">
        <v>25.296600000000002</v>
      </c>
      <c r="FS298">
        <v>30.0001</v>
      </c>
      <c r="FT298">
        <v>25.324999999999999</v>
      </c>
      <c r="FU298">
        <v>25.327200000000001</v>
      </c>
      <c r="FV298">
        <v>24.925999999999998</v>
      </c>
      <c r="FW298">
        <v>33.429600000000001</v>
      </c>
      <c r="FX298">
        <v>0</v>
      </c>
      <c r="FY298">
        <v>17.948499999999999</v>
      </c>
      <c r="FZ298">
        <v>410</v>
      </c>
      <c r="GA298">
        <v>13.288</v>
      </c>
      <c r="GB298">
        <v>99.908299999999997</v>
      </c>
      <c r="GC298">
        <v>99.752200000000002</v>
      </c>
    </row>
    <row r="299" spans="1:185" x14ac:dyDescent="0.2">
      <c r="A299">
        <v>284</v>
      </c>
      <c r="B299">
        <v>1771004306.0999999</v>
      </c>
      <c r="C299">
        <v>5683</v>
      </c>
      <c r="D299" t="s">
        <v>876</v>
      </c>
      <c r="E299" t="s">
        <v>877</v>
      </c>
      <c r="F299">
        <v>15</v>
      </c>
      <c r="G299">
        <v>1771004305.0999999</v>
      </c>
      <c r="H299">
        <f t="shared" si="52"/>
        <v>1.4756115681783553E-5</v>
      </c>
      <c r="I299">
        <v>0</v>
      </c>
      <c r="J299">
        <f t="shared" si="64"/>
        <v>-2.9362662598823787E-4</v>
      </c>
      <c r="K299">
        <f t="shared" si="53"/>
        <v>-5.2504123569176945E-3</v>
      </c>
      <c r="L299">
        <f t="shared" si="54"/>
        <v>60.40118633861978</v>
      </c>
      <c r="M299">
        <f t="shared" si="55"/>
        <v>1.3312986810321001</v>
      </c>
      <c r="N299">
        <f t="shared" si="56"/>
        <v>2.2040935977128053</v>
      </c>
      <c r="O299">
        <v>474</v>
      </c>
      <c r="P299">
        <v>59</v>
      </c>
      <c r="Q299">
        <f t="shared" si="57"/>
        <v>1</v>
      </c>
      <c r="R299">
        <f t="shared" si="58"/>
        <v>0</v>
      </c>
      <c r="S299">
        <f t="shared" si="59"/>
        <v>26407.309659472201</v>
      </c>
      <c r="T299">
        <f t="shared" si="60"/>
        <v>1000</v>
      </c>
      <c r="U299">
        <f t="shared" si="61"/>
        <v>843.00018</v>
      </c>
      <c r="V299">
        <f t="shared" si="62"/>
        <v>0.84300017999999999</v>
      </c>
      <c r="W299">
        <f t="shared" si="63"/>
        <v>0.15870044999999999</v>
      </c>
      <c r="X299">
        <v>1</v>
      </c>
      <c r="Y299">
        <v>1771004305.0999999</v>
      </c>
      <c r="Z299">
        <v>410.029</v>
      </c>
      <c r="AA299">
        <v>410.03</v>
      </c>
      <c r="AB299">
        <v>13.2621</v>
      </c>
      <c r="AC299">
        <v>13.2439</v>
      </c>
      <c r="AD299">
        <v>410.88600000000002</v>
      </c>
      <c r="AE299">
        <v>13.1821</v>
      </c>
      <c r="AF299">
        <v>800.02300000000002</v>
      </c>
      <c r="AG299">
        <v>100.309</v>
      </c>
      <c r="AH299">
        <v>7.4701000000000004E-2</v>
      </c>
      <c r="AI299">
        <v>18.992100000000001</v>
      </c>
      <c r="AJ299">
        <v>999.9</v>
      </c>
      <c r="AK299">
        <v>999.9</v>
      </c>
      <c r="AL299">
        <v>0</v>
      </c>
      <c r="AM299">
        <v>0</v>
      </c>
      <c r="AN299">
        <v>5017</v>
      </c>
      <c r="AO299">
        <v>0</v>
      </c>
      <c r="AP299">
        <v>1.69831</v>
      </c>
      <c r="AQ299">
        <v>-7.3242200000000004E-4</v>
      </c>
      <c r="AR299">
        <v>415.54599999999999</v>
      </c>
      <c r="AS299">
        <v>415.53300000000002</v>
      </c>
      <c r="AT299">
        <v>3.0672999999999999E-2</v>
      </c>
      <c r="AU299">
        <v>410.03</v>
      </c>
      <c r="AV299">
        <v>13.2439</v>
      </c>
      <c r="AW299">
        <v>1.33155</v>
      </c>
      <c r="AX299">
        <v>1.3284800000000001</v>
      </c>
      <c r="AY299">
        <v>11.159800000000001</v>
      </c>
      <c r="AZ299">
        <v>11.125</v>
      </c>
      <c r="BA299">
        <v>1000</v>
      </c>
      <c r="BB299">
        <v>0.89999399999999996</v>
      </c>
      <c r="BC299">
        <v>0</v>
      </c>
      <c r="BD299">
        <v>0.100006</v>
      </c>
      <c r="BE299">
        <v>0</v>
      </c>
      <c r="BF299">
        <v>24.666699999999999</v>
      </c>
      <c r="BG299">
        <v>16488.8</v>
      </c>
      <c r="BH299">
        <v>1771004326.0999999</v>
      </c>
      <c r="BI299" t="s">
        <v>878</v>
      </c>
      <c r="BJ299">
        <v>1771004304.0999999</v>
      </c>
      <c r="BK299">
        <v>1771004326.0999999</v>
      </c>
      <c r="BL299">
        <v>17</v>
      </c>
      <c r="BM299">
        <v>0.03</v>
      </c>
      <c r="BN299">
        <v>-1.2E-2</v>
      </c>
      <c r="BO299">
        <v>-0.85699999999999998</v>
      </c>
      <c r="BP299">
        <v>0.08</v>
      </c>
      <c r="BQ299">
        <v>410</v>
      </c>
      <c r="BR299">
        <v>14</v>
      </c>
      <c r="BS299">
        <v>0.16</v>
      </c>
      <c r="BT299">
        <v>0.13</v>
      </c>
      <c r="BU299">
        <v>-0.35150259152380903</v>
      </c>
      <c r="BV299">
        <v>3.9023889490909101</v>
      </c>
      <c r="BW299">
        <v>0.45793146750320701</v>
      </c>
      <c r="BX299">
        <v>0</v>
      </c>
      <c r="BY299">
        <v>0</v>
      </c>
      <c r="BZ299">
        <v>0</v>
      </c>
      <c r="CA299">
        <v>0</v>
      </c>
      <c r="CB299">
        <v>-1</v>
      </c>
      <c r="CC299">
        <v>0.63964227619047598</v>
      </c>
      <c r="CD299">
        <v>-7.2335498181818201</v>
      </c>
      <c r="CE299">
        <v>0.85151231288263396</v>
      </c>
      <c r="CF299">
        <v>0</v>
      </c>
      <c r="CG299">
        <v>0</v>
      </c>
      <c r="CH299">
        <v>2</v>
      </c>
      <c r="CI299" t="s">
        <v>299</v>
      </c>
      <c r="CJ299">
        <v>3.5341200000000002</v>
      </c>
      <c r="CK299">
        <v>2.7111999999999998</v>
      </c>
      <c r="CL299">
        <v>9.8166799999999999E-2</v>
      </c>
      <c r="CM299">
        <v>9.6821199999999996E-2</v>
      </c>
      <c r="CN299">
        <v>7.8495099999999998E-2</v>
      </c>
      <c r="CO299">
        <v>7.7256000000000005E-2</v>
      </c>
      <c r="CP299">
        <v>31636.1</v>
      </c>
      <c r="CQ299">
        <v>27818.400000000001</v>
      </c>
      <c r="CR299">
        <v>32467</v>
      </c>
      <c r="CS299">
        <v>30726.799999999999</v>
      </c>
      <c r="CT299">
        <v>40521</v>
      </c>
      <c r="CU299">
        <v>39875.599999999999</v>
      </c>
      <c r="CV299">
        <v>47413</v>
      </c>
      <c r="CW299">
        <v>46858.2</v>
      </c>
      <c r="CX299">
        <v>1.6917199999999999</v>
      </c>
      <c r="CY299">
        <v>1.6116999999999999</v>
      </c>
      <c r="CZ299">
        <v>0</v>
      </c>
      <c r="DA299">
        <v>0</v>
      </c>
      <c r="DB299">
        <v>999.9</v>
      </c>
      <c r="DC299">
        <v>999.9</v>
      </c>
      <c r="DD299">
        <v>50.69</v>
      </c>
      <c r="DE299">
        <v>27.724</v>
      </c>
      <c r="DF299">
        <v>18.8705</v>
      </c>
      <c r="DG299">
        <v>30.4602</v>
      </c>
      <c r="DH299">
        <v>16.890999999999998</v>
      </c>
      <c r="DI299">
        <v>2</v>
      </c>
      <c r="DJ299">
        <v>-0.136545</v>
      </c>
      <c r="DK299">
        <v>2.2254</v>
      </c>
      <c r="DL299">
        <v>20.186599999999999</v>
      </c>
      <c r="DM299">
        <v>5.2455600000000002</v>
      </c>
      <c r="DN299">
        <v>12.033899999999999</v>
      </c>
      <c r="DO299">
        <v>4.9663199999999996</v>
      </c>
      <c r="DP299">
        <v>3.2901199999999999</v>
      </c>
      <c r="DQ299">
        <v>9999</v>
      </c>
      <c r="DR299">
        <v>9999</v>
      </c>
      <c r="DS299">
        <v>597.9</v>
      </c>
      <c r="DT299">
        <v>9999</v>
      </c>
      <c r="DU299">
        <v>1.8710500000000001</v>
      </c>
      <c r="DV299">
        <v>1.87608</v>
      </c>
      <c r="DW299">
        <v>1.8763000000000001</v>
      </c>
      <c r="DX299">
        <v>1.88279</v>
      </c>
      <c r="DY299">
        <v>1.8755900000000001</v>
      </c>
      <c r="DZ299">
        <v>1.87462</v>
      </c>
      <c r="EA299">
        <v>1.8708199999999999</v>
      </c>
      <c r="EB299">
        <v>1.8746499999999999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-0.85699999999999998</v>
      </c>
      <c r="EQ299">
        <v>0.08</v>
      </c>
      <c r="ER299">
        <v>-0.85680000000002099</v>
      </c>
      <c r="ES299">
        <v>0</v>
      </c>
      <c r="ET299">
        <v>0</v>
      </c>
      <c r="EU299">
        <v>0</v>
      </c>
      <c r="EV299">
        <v>9.2509999999998996E-2</v>
      </c>
      <c r="EW299">
        <v>0</v>
      </c>
      <c r="EX299">
        <v>0</v>
      </c>
      <c r="EY299">
        <v>0</v>
      </c>
      <c r="EZ299">
        <v>-1</v>
      </c>
      <c r="FA299">
        <v>-1</v>
      </c>
      <c r="FB299">
        <v>-1</v>
      </c>
      <c r="FC299">
        <v>-1</v>
      </c>
      <c r="FD299">
        <v>0</v>
      </c>
      <c r="FE299">
        <v>10.199999999999999</v>
      </c>
      <c r="FF299">
        <v>1.24146</v>
      </c>
      <c r="FG299">
        <v>2.6025399999999999</v>
      </c>
      <c r="FH299">
        <v>2.19604</v>
      </c>
      <c r="FI299">
        <v>2.5744600000000002</v>
      </c>
      <c r="FJ299">
        <v>2.4462899999999999</v>
      </c>
      <c r="FK299">
        <v>2.2814899999999998</v>
      </c>
      <c r="FL299">
        <v>32.0244</v>
      </c>
      <c r="FM299">
        <v>24.1313</v>
      </c>
      <c r="FN299">
        <v>19</v>
      </c>
      <c r="FO299">
        <v>300.96800000000002</v>
      </c>
      <c r="FP299">
        <v>281.15199999999999</v>
      </c>
      <c r="FQ299">
        <v>17.969799999999999</v>
      </c>
      <c r="FR299">
        <v>25.293199999999999</v>
      </c>
      <c r="FS299">
        <v>30</v>
      </c>
      <c r="FT299">
        <v>25.328900000000001</v>
      </c>
      <c r="FU299">
        <v>25.3323</v>
      </c>
      <c r="FV299">
        <v>24.924499999999998</v>
      </c>
      <c r="FW299">
        <v>30.052700000000002</v>
      </c>
      <c r="FX299">
        <v>0</v>
      </c>
      <c r="FY299">
        <v>17.974599999999999</v>
      </c>
      <c r="FZ299">
        <v>410</v>
      </c>
      <c r="GA299">
        <v>13.976699999999999</v>
      </c>
      <c r="GB299">
        <v>99.908000000000001</v>
      </c>
      <c r="GC299">
        <v>99.752099999999999</v>
      </c>
    </row>
    <row r="300" spans="1:185" x14ac:dyDescent="0.2">
      <c r="A300">
        <v>285</v>
      </c>
      <c r="B300">
        <v>1771004328.0999999</v>
      </c>
      <c r="C300">
        <v>5705</v>
      </c>
      <c r="D300" t="s">
        <v>879</v>
      </c>
      <c r="E300" t="s">
        <v>880</v>
      </c>
      <c r="F300">
        <v>15</v>
      </c>
      <c r="G300">
        <v>1771004327.0999999</v>
      </c>
      <c r="H300">
        <f t="shared" si="52"/>
        <v>-8.112242057653203E-7</v>
      </c>
      <c r="I300">
        <v>0</v>
      </c>
      <c r="J300">
        <f t="shared" si="64"/>
        <v>-4.2880408697908634E-4</v>
      </c>
      <c r="K300">
        <f t="shared" si="53"/>
        <v>-7.6675549071697317E-3</v>
      </c>
      <c r="L300">
        <f t="shared" si="54"/>
        <v>62.970875592720731</v>
      </c>
      <c r="M300">
        <f t="shared" si="55"/>
        <v>1.38879477243009</v>
      </c>
      <c r="N300">
        <f t="shared" si="56"/>
        <v>2.2054557116411306</v>
      </c>
      <c r="O300">
        <v>476</v>
      </c>
      <c r="P300">
        <v>59</v>
      </c>
      <c r="Q300">
        <f t="shared" si="57"/>
        <v>1</v>
      </c>
      <c r="R300">
        <f t="shared" si="58"/>
        <v>0</v>
      </c>
      <c r="S300">
        <f t="shared" si="59"/>
        <v>26421.61038199718</v>
      </c>
      <c r="T300">
        <f t="shared" si="60"/>
        <v>999.99699999999996</v>
      </c>
      <c r="U300">
        <f t="shared" si="61"/>
        <v>842.99750099991002</v>
      </c>
      <c r="V300">
        <f t="shared" si="62"/>
        <v>0.84300003000000001</v>
      </c>
      <c r="W300">
        <f t="shared" si="63"/>
        <v>0.158700075</v>
      </c>
      <c r="X300">
        <v>1</v>
      </c>
      <c r="Y300">
        <v>1771004327.0999999</v>
      </c>
      <c r="Z300">
        <v>409.81900000000002</v>
      </c>
      <c r="AA300">
        <v>409.80900000000003</v>
      </c>
      <c r="AB300">
        <v>13.834899999999999</v>
      </c>
      <c r="AC300">
        <v>13.835900000000001</v>
      </c>
      <c r="AD300">
        <v>410.67599999999999</v>
      </c>
      <c r="AE300">
        <v>13.7546</v>
      </c>
      <c r="AF300">
        <v>800.00099999999998</v>
      </c>
      <c r="AG300">
        <v>100.309</v>
      </c>
      <c r="AH300">
        <v>7.4434100000000003E-2</v>
      </c>
      <c r="AI300">
        <v>19.001999999999999</v>
      </c>
      <c r="AJ300">
        <v>999.9</v>
      </c>
      <c r="AK300">
        <v>999.9</v>
      </c>
      <c r="AL300">
        <v>0</v>
      </c>
      <c r="AM300">
        <v>0</v>
      </c>
      <c r="AN300">
        <v>5019.5</v>
      </c>
      <c r="AO300">
        <v>0</v>
      </c>
      <c r="AP300">
        <v>1.70509</v>
      </c>
      <c r="AQ300">
        <v>1.0284400000000001E-2</v>
      </c>
      <c r="AR300">
        <v>415.56900000000002</v>
      </c>
      <c r="AS300">
        <v>415.55900000000003</v>
      </c>
      <c r="AT300">
        <v>-9.8419200000000005E-4</v>
      </c>
      <c r="AU300">
        <v>409.80900000000003</v>
      </c>
      <c r="AV300">
        <v>13.835900000000001</v>
      </c>
      <c r="AW300">
        <v>1.38778</v>
      </c>
      <c r="AX300">
        <v>1.3878699999999999</v>
      </c>
      <c r="AY300">
        <v>11.784700000000001</v>
      </c>
      <c r="AZ300">
        <v>11.7858</v>
      </c>
      <c r="BA300">
        <v>999.99699999999996</v>
      </c>
      <c r="BB300">
        <v>0.89999899999999999</v>
      </c>
      <c r="BC300">
        <v>0</v>
      </c>
      <c r="BD300">
        <v>0.10000100000000001</v>
      </c>
      <c r="BE300">
        <v>0</v>
      </c>
      <c r="BF300">
        <v>25</v>
      </c>
      <c r="BG300">
        <v>16488.7</v>
      </c>
      <c r="BH300">
        <v>1771004326.0999999</v>
      </c>
      <c r="BI300" t="s">
        <v>878</v>
      </c>
      <c r="BJ300">
        <v>1771004304.0999999</v>
      </c>
      <c r="BK300">
        <v>1771004326.0999999</v>
      </c>
      <c r="BL300">
        <v>17</v>
      </c>
      <c r="BM300">
        <v>0.03</v>
      </c>
      <c r="BN300">
        <v>-1.2E-2</v>
      </c>
      <c r="BO300">
        <v>-0.85699999999999998</v>
      </c>
      <c r="BP300">
        <v>0.08</v>
      </c>
      <c r="BQ300">
        <v>410</v>
      </c>
      <c r="BR300">
        <v>14</v>
      </c>
      <c r="BS300">
        <v>0.16</v>
      </c>
      <c r="BT300">
        <v>0.13</v>
      </c>
      <c r="BU300">
        <v>-4.2378665714285703E-2</v>
      </c>
      <c r="BV300">
        <v>0.83041330441558403</v>
      </c>
      <c r="BW300">
        <v>0.112621840356823</v>
      </c>
      <c r="BX300">
        <v>0</v>
      </c>
      <c r="BY300">
        <v>0</v>
      </c>
      <c r="BZ300">
        <v>0</v>
      </c>
      <c r="CA300">
        <v>0</v>
      </c>
      <c r="CB300">
        <v>-1</v>
      </c>
      <c r="CC300">
        <v>0.206687648</v>
      </c>
      <c r="CD300">
        <v>-2.4472443288311698</v>
      </c>
      <c r="CE300">
        <v>0.32009706662918302</v>
      </c>
      <c r="CF300">
        <v>0</v>
      </c>
      <c r="CG300">
        <v>0</v>
      </c>
      <c r="CH300">
        <v>2</v>
      </c>
      <c r="CI300" t="s">
        <v>299</v>
      </c>
      <c r="CJ300">
        <v>3.5338400000000001</v>
      </c>
      <c r="CK300">
        <v>2.71095</v>
      </c>
      <c r="CL300">
        <v>9.8140000000000005E-2</v>
      </c>
      <c r="CM300">
        <v>9.67885E-2</v>
      </c>
      <c r="CN300">
        <v>8.0949599999999997E-2</v>
      </c>
      <c r="CO300">
        <v>7.9819500000000002E-2</v>
      </c>
      <c r="CP300">
        <v>31638.1</v>
      </c>
      <c r="CQ300">
        <v>27819.8</v>
      </c>
      <c r="CR300">
        <v>32468.1</v>
      </c>
      <c r="CS300">
        <v>30727.1</v>
      </c>
      <c r="CT300">
        <v>40411.300000000003</v>
      </c>
      <c r="CU300">
        <v>39762.199999999997</v>
      </c>
      <c r="CV300">
        <v>47414.7</v>
      </c>
      <c r="CW300">
        <v>46858.6</v>
      </c>
      <c r="CX300">
        <v>1.6919599999999999</v>
      </c>
      <c r="CY300">
        <v>1.6021000000000001</v>
      </c>
      <c r="CZ300">
        <v>0</v>
      </c>
      <c r="DA300">
        <v>0</v>
      </c>
      <c r="DB300">
        <v>999.9</v>
      </c>
      <c r="DC300">
        <v>999.9</v>
      </c>
      <c r="DD300">
        <v>50.664999999999999</v>
      </c>
      <c r="DE300">
        <v>27.734000000000002</v>
      </c>
      <c r="DF300">
        <v>18.872499999999999</v>
      </c>
      <c r="DG300">
        <v>30.3202</v>
      </c>
      <c r="DH300">
        <v>16.834900000000001</v>
      </c>
      <c r="DI300">
        <v>2</v>
      </c>
      <c r="DJ300">
        <v>-0.13641300000000001</v>
      </c>
      <c r="DK300">
        <v>2.33657</v>
      </c>
      <c r="DL300">
        <v>20.184000000000001</v>
      </c>
      <c r="DM300">
        <v>5.2428100000000004</v>
      </c>
      <c r="DN300">
        <v>12.033899999999999</v>
      </c>
      <c r="DO300">
        <v>4.9657600000000004</v>
      </c>
      <c r="DP300">
        <v>3.2898000000000001</v>
      </c>
      <c r="DQ300">
        <v>9999</v>
      </c>
      <c r="DR300">
        <v>9999</v>
      </c>
      <c r="DS300">
        <v>597.9</v>
      </c>
      <c r="DT300">
        <v>9999</v>
      </c>
      <c r="DU300">
        <v>1.87104</v>
      </c>
      <c r="DV300">
        <v>1.8760699999999999</v>
      </c>
      <c r="DW300">
        <v>1.8762700000000001</v>
      </c>
      <c r="DX300">
        <v>1.8827799999999999</v>
      </c>
      <c r="DY300">
        <v>1.87558</v>
      </c>
      <c r="DZ300">
        <v>1.8746700000000001</v>
      </c>
      <c r="EA300">
        <v>1.8708</v>
      </c>
      <c r="EB300">
        <v>1.87463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-0.85699999999999998</v>
      </c>
      <c r="EQ300">
        <v>8.0299999999999996E-2</v>
      </c>
      <c r="ER300">
        <v>-0.85680000000002099</v>
      </c>
      <c r="ES300">
        <v>0</v>
      </c>
      <c r="ET300">
        <v>0</v>
      </c>
      <c r="EU300">
        <v>0</v>
      </c>
      <c r="EV300">
        <v>8.0349999999999297E-2</v>
      </c>
      <c r="EW300">
        <v>0</v>
      </c>
      <c r="EX300">
        <v>0</v>
      </c>
      <c r="EY300">
        <v>0</v>
      </c>
      <c r="EZ300">
        <v>-1</v>
      </c>
      <c r="FA300">
        <v>-1</v>
      </c>
      <c r="FB300">
        <v>-1</v>
      </c>
      <c r="FC300">
        <v>-1</v>
      </c>
      <c r="FD300">
        <v>0.4</v>
      </c>
      <c r="FE300">
        <v>0</v>
      </c>
      <c r="FF300">
        <v>1.24146</v>
      </c>
      <c r="FG300">
        <v>2.5939899999999998</v>
      </c>
      <c r="FH300">
        <v>2.19604</v>
      </c>
      <c r="FI300">
        <v>2.5732400000000002</v>
      </c>
      <c r="FJ300">
        <v>2.4462899999999999</v>
      </c>
      <c r="FK300">
        <v>2.2997999999999998</v>
      </c>
      <c r="FL300">
        <v>32.0244</v>
      </c>
      <c r="FM300">
        <v>24.14</v>
      </c>
      <c r="FN300">
        <v>19</v>
      </c>
      <c r="FO300">
        <v>299.23500000000001</v>
      </c>
      <c r="FP300">
        <v>276.726</v>
      </c>
      <c r="FQ300">
        <v>17.956600000000002</v>
      </c>
      <c r="FR300">
        <v>25.2895</v>
      </c>
      <c r="FS300">
        <v>30.0001</v>
      </c>
      <c r="FT300">
        <v>25.328800000000001</v>
      </c>
      <c r="FU300">
        <v>25.3307</v>
      </c>
      <c r="FV300">
        <v>24.928799999999999</v>
      </c>
      <c r="FW300">
        <v>30.942299999999999</v>
      </c>
      <c r="FX300">
        <v>0</v>
      </c>
      <c r="FY300">
        <v>17.953600000000002</v>
      </c>
      <c r="FZ300">
        <v>410</v>
      </c>
      <c r="GA300">
        <v>13.855600000000001</v>
      </c>
      <c r="GB300">
        <v>99.9114</v>
      </c>
      <c r="GC300">
        <v>99.753</v>
      </c>
    </row>
    <row r="301" spans="1:185" x14ac:dyDescent="0.2">
      <c r="A301">
        <v>286</v>
      </c>
      <c r="B301">
        <v>1771004343.0999999</v>
      </c>
      <c r="C301">
        <v>5720</v>
      </c>
      <c r="D301" t="s">
        <v>881</v>
      </c>
      <c r="E301" t="s">
        <v>882</v>
      </c>
      <c r="F301">
        <v>15</v>
      </c>
      <c r="G301">
        <v>1771004335.03333</v>
      </c>
      <c r="H301">
        <f t="shared" si="52"/>
        <v>1.4220692708409673E-3</v>
      </c>
      <c r="I301">
        <v>0</v>
      </c>
      <c r="J301">
        <f t="shared" si="64"/>
        <v>1.2025482425203482E-2</v>
      </c>
      <c r="K301">
        <f t="shared" si="53"/>
        <v>0.21503070884897935</v>
      </c>
      <c r="L301">
        <f t="shared" si="54"/>
        <v>69.612838586287836</v>
      </c>
      <c r="M301">
        <f t="shared" si="55"/>
        <v>1.5352662733897335</v>
      </c>
      <c r="N301">
        <f t="shared" si="56"/>
        <v>2.2054355267910974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26325.59231045745</v>
      </c>
      <c r="T301">
        <f t="shared" si="60"/>
        <v>999.99493333333305</v>
      </c>
      <c r="U301">
        <f t="shared" si="61"/>
        <v>842.99541760157683</v>
      </c>
      <c r="V301">
        <f t="shared" si="62"/>
        <v>0.84299968880000031</v>
      </c>
      <c r="W301">
        <f t="shared" si="63"/>
        <v>0.15869940388800005</v>
      </c>
      <c r="X301">
        <v>1</v>
      </c>
      <c r="Y301">
        <v>1771004335.03333</v>
      </c>
      <c r="Z301">
        <v>408.97433333333299</v>
      </c>
      <c r="AA301">
        <v>409.96966666666702</v>
      </c>
      <c r="AB301">
        <v>15.2954733333333</v>
      </c>
      <c r="AC301">
        <v>13.5458533333333</v>
      </c>
      <c r="AD301">
        <v>409.83126666666698</v>
      </c>
      <c r="AE301">
        <v>15.215120000000001</v>
      </c>
      <c r="AF301">
        <v>800.35553333333303</v>
      </c>
      <c r="AG301">
        <v>100.308333333333</v>
      </c>
      <c r="AH301">
        <v>6.5564220000000006E-2</v>
      </c>
      <c r="AI301">
        <v>19.001853333333301</v>
      </c>
      <c r="AJ301">
        <v>999.9</v>
      </c>
      <c r="AK301">
        <v>999.9</v>
      </c>
      <c r="AL301">
        <v>0</v>
      </c>
      <c r="AM301">
        <v>0</v>
      </c>
      <c r="AN301">
        <v>5003.7333333333299</v>
      </c>
      <c r="AO301">
        <v>0</v>
      </c>
      <c r="AP301">
        <v>1.7029766666666699</v>
      </c>
      <c r="AQ301">
        <v>-0.99534910666666698</v>
      </c>
      <c r="AR301">
        <v>415.32693333333299</v>
      </c>
      <c r="AS301">
        <v>415.59933333333299</v>
      </c>
      <c r="AT301">
        <v>1.74963265386667</v>
      </c>
      <c r="AU301">
        <v>409.96966666666702</v>
      </c>
      <c r="AV301">
        <v>13.5458533333333</v>
      </c>
      <c r="AW301">
        <v>1.53426333333333</v>
      </c>
      <c r="AX301">
        <v>1.35876</v>
      </c>
      <c r="AY301">
        <v>13.3046133333333</v>
      </c>
      <c r="AZ301">
        <v>11.4635533333333</v>
      </c>
      <c r="BA301">
        <v>999.99493333333305</v>
      </c>
      <c r="BB301">
        <v>0.90000766666666698</v>
      </c>
      <c r="BC301">
        <v>0</v>
      </c>
      <c r="BD301">
        <v>9.9992239999999996E-2</v>
      </c>
      <c r="BE301">
        <v>0</v>
      </c>
      <c r="BF301">
        <v>25</v>
      </c>
      <c r="BG301">
        <v>16488.746666666699</v>
      </c>
      <c r="BH301">
        <v>1771004326.0999999</v>
      </c>
      <c r="BI301" t="s">
        <v>878</v>
      </c>
      <c r="BJ301">
        <v>1771004304.0999999</v>
      </c>
      <c r="BK301">
        <v>1771004326.0999999</v>
      </c>
      <c r="BL301">
        <v>17</v>
      </c>
      <c r="BM301">
        <v>0.03</v>
      </c>
      <c r="BN301">
        <v>-1.2E-2</v>
      </c>
      <c r="BO301">
        <v>-0.85699999999999998</v>
      </c>
      <c r="BP301">
        <v>0.08</v>
      </c>
      <c r="BQ301">
        <v>410</v>
      </c>
      <c r="BR301">
        <v>14</v>
      </c>
      <c r="BS301">
        <v>0.16</v>
      </c>
      <c r="BT301">
        <v>0.13</v>
      </c>
      <c r="BU301">
        <v>-0.74554747399999999</v>
      </c>
      <c r="BV301">
        <v>-5.1341087206014997</v>
      </c>
      <c r="BW301">
        <v>0.55751497154152796</v>
      </c>
      <c r="BX301">
        <v>0</v>
      </c>
      <c r="BY301">
        <v>0</v>
      </c>
      <c r="BZ301">
        <v>0</v>
      </c>
      <c r="CA301">
        <v>0</v>
      </c>
      <c r="CB301">
        <v>-1</v>
      </c>
      <c r="CC301">
        <v>1.3193447653999999</v>
      </c>
      <c r="CD301">
        <v>9.4664159554285696</v>
      </c>
      <c r="CE301">
        <v>0.97740946767746195</v>
      </c>
      <c r="CF301">
        <v>0</v>
      </c>
      <c r="CG301">
        <v>0</v>
      </c>
      <c r="CH301">
        <v>2</v>
      </c>
      <c r="CI301" t="s">
        <v>299</v>
      </c>
      <c r="CJ301">
        <v>3.5325000000000002</v>
      </c>
      <c r="CK301">
        <v>2.7017500000000001</v>
      </c>
      <c r="CL301">
        <v>9.7979800000000006E-2</v>
      </c>
      <c r="CM301">
        <v>9.6818600000000005E-2</v>
      </c>
      <c r="CN301">
        <v>8.8061600000000004E-2</v>
      </c>
      <c r="CO301">
        <v>7.7504100000000006E-2</v>
      </c>
      <c r="CP301">
        <v>31643.3</v>
      </c>
      <c r="CQ301">
        <v>27818.9</v>
      </c>
      <c r="CR301">
        <v>32467.4</v>
      </c>
      <c r="CS301">
        <v>30727.200000000001</v>
      </c>
      <c r="CT301">
        <v>40087.9</v>
      </c>
      <c r="CU301">
        <v>39865.1</v>
      </c>
      <c r="CV301">
        <v>47413.599999999999</v>
      </c>
      <c r="CW301">
        <v>46858.7</v>
      </c>
      <c r="CX301">
        <v>2.62338</v>
      </c>
      <c r="CY301">
        <v>2.1299399999999999</v>
      </c>
      <c r="CZ301">
        <v>0</v>
      </c>
      <c r="DA301">
        <v>0</v>
      </c>
      <c r="DB301">
        <v>999.9</v>
      </c>
      <c r="DC301">
        <v>999.9</v>
      </c>
      <c r="DD301">
        <v>50.640999999999998</v>
      </c>
      <c r="DE301">
        <v>27.744</v>
      </c>
      <c r="DF301">
        <v>18.874400000000001</v>
      </c>
      <c r="DG301">
        <v>30.2302</v>
      </c>
      <c r="DH301">
        <v>16.646599999999999</v>
      </c>
      <c r="DI301">
        <v>2</v>
      </c>
      <c r="DJ301">
        <v>-0.13660600000000001</v>
      </c>
      <c r="DK301">
        <v>2.3162099999999999</v>
      </c>
      <c r="DL301">
        <v>20.186499999999999</v>
      </c>
      <c r="DM301">
        <v>5.2503500000000001</v>
      </c>
      <c r="DN301">
        <v>12.033899999999999</v>
      </c>
      <c r="DO301">
        <v>4.9672799999999997</v>
      </c>
      <c r="DP301">
        <v>3.2909999999999999</v>
      </c>
      <c r="DQ301">
        <v>9999</v>
      </c>
      <c r="DR301">
        <v>9999</v>
      </c>
      <c r="DS301">
        <v>597.9</v>
      </c>
      <c r="DT301">
        <v>9999</v>
      </c>
      <c r="DU301">
        <v>1.87103</v>
      </c>
      <c r="DV301">
        <v>1.8760699999999999</v>
      </c>
      <c r="DW301">
        <v>1.87625</v>
      </c>
      <c r="DX301">
        <v>1.8827799999999999</v>
      </c>
      <c r="DY301">
        <v>1.87557</v>
      </c>
      <c r="DZ301">
        <v>1.8746400000000001</v>
      </c>
      <c r="EA301">
        <v>1.87076</v>
      </c>
      <c r="EB301">
        <v>1.8745700000000001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-0.85699999999999998</v>
      </c>
      <c r="EQ301">
        <v>8.0399999999999999E-2</v>
      </c>
      <c r="ER301">
        <v>-0.85680000000002099</v>
      </c>
      <c r="ES301">
        <v>0</v>
      </c>
      <c r="ET301">
        <v>0</v>
      </c>
      <c r="EU301">
        <v>0</v>
      </c>
      <c r="EV301">
        <v>8.0349999999999297E-2</v>
      </c>
      <c r="EW301">
        <v>0</v>
      </c>
      <c r="EX301">
        <v>0</v>
      </c>
      <c r="EY301">
        <v>0</v>
      </c>
      <c r="EZ301">
        <v>-1</v>
      </c>
      <c r="FA301">
        <v>-1</v>
      </c>
      <c r="FB301">
        <v>-1</v>
      </c>
      <c r="FC301">
        <v>-1</v>
      </c>
      <c r="FD301">
        <v>0.7</v>
      </c>
      <c r="FE301">
        <v>0.3</v>
      </c>
      <c r="FF301">
        <v>1.24146</v>
      </c>
      <c r="FG301">
        <v>2.5939899999999998</v>
      </c>
      <c r="FH301">
        <v>2.19604</v>
      </c>
      <c r="FI301">
        <v>2.5744600000000002</v>
      </c>
      <c r="FJ301">
        <v>2.4462899999999999</v>
      </c>
      <c r="FK301">
        <v>2.3144499999999999</v>
      </c>
      <c r="FL301">
        <v>32.0244</v>
      </c>
      <c r="FM301">
        <v>24.14</v>
      </c>
      <c r="FN301">
        <v>19</v>
      </c>
      <c r="FO301">
        <v>862.87300000000005</v>
      </c>
      <c r="FP301">
        <v>574.12099999999998</v>
      </c>
      <c r="FQ301">
        <v>17.946100000000001</v>
      </c>
      <c r="FR301">
        <v>25.2895</v>
      </c>
      <c r="FS301">
        <v>30</v>
      </c>
      <c r="FT301">
        <v>25.3169</v>
      </c>
      <c r="FU301">
        <v>25.315300000000001</v>
      </c>
      <c r="FV301">
        <v>24.925999999999998</v>
      </c>
      <c r="FW301">
        <v>33.113799999999998</v>
      </c>
      <c r="FX301">
        <v>0</v>
      </c>
      <c r="FY301">
        <v>17.9467</v>
      </c>
      <c r="FZ301">
        <v>410</v>
      </c>
      <c r="GA301">
        <v>13.2387</v>
      </c>
      <c r="GB301">
        <v>99.909099999999995</v>
      </c>
      <c r="GC301">
        <v>99.753299999999996</v>
      </c>
    </row>
    <row r="302" spans="1:185" x14ac:dyDescent="0.2">
      <c r="A302">
        <v>287</v>
      </c>
      <c r="B302">
        <v>1771004358.0999999</v>
      </c>
      <c r="C302">
        <v>5735</v>
      </c>
      <c r="D302" t="s">
        <v>883</v>
      </c>
      <c r="E302" t="s">
        <v>884</v>
      </c>
      <c r="F302">
        <v>15</v>
      </c>
      <c r="G302">
        <v>1771004350.03333</v>
      </c>
      <c r="H302">
        <f t="shared" si="52"/>
        <v>1.7979102266662212E-3</v>
      </c>
      <c r="I302">
        <v>0</v>
      </c>
      <c r="J302">
        <f t="shared" si="64"/>
        <v>1.1273365436750405E-2</v>
      </c>
      <c r="K302">
        <f t="shared" si="53"/>
        <v>0.20158191374488704</v>
      </c>
      <c r="L302">
        <f t="shared" si="54"/>
        <v>70.558953837921223</v>
      </c>
      <c r="M302">
        <f t="shared" si="55"/>
        <v>1.5561626619711721</v>
      </c>
      <c r="N302">
        <f t="shared" si="56"/>
        <v>2.2054786491673117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26342.422853371143</v>
      </c>
      <c r="T302">
        <f t="shared" si="60"/>
        <v>999.99839999999995</v>
      </c>
      <c r="U302">
        <f t="shared" si="61"/>
        <v>842.99826720061435</v>
      </c>
      <c r="V302">
        <f t="shared" si="62"/>
        <v>0.84299961599999995</v>
      </c>
      <c r="W302">
        <f t="shared" si="63"/>
        <v>0.15869903999999999</v>
      </c>
      <c r="X302">
        <v>1</v>
      </c>
      <c r="Y302">
        <v>1771004350.03333</v>
      </c>
      <c r="Z302">
        <v>408.81793333333297</v>
      </c>
      <c r="AA302">
        <v>409.98866666666697</v>
      </c>
      <c r="AB302">
        <v>15.503906666666699</v>
      </c>
      <c r="AC302">
        <v>13.2913933333333</v>
      </c>
      <c r="AD302">
        <v>409.67466666666701</v>
      </c>
      <c r="AE302">
        <v>15.42356</v>
      </c>
      <c r="AF302">
        <v>800.01126666666698</v>
      </c>
      <c r="AG302">
        <v>100.308466666667</v>
      </c>
      <c r="AH302">
        <v>6.3826293333333298E-2</v>
      </c>
      <c r="AI302">
        <v>19.0021666666667</v>
      </c>
      <c r="AJ302">
        <v>999.9</v>
      </c>
      <c r="AK302">
        <v>999.9</v>
      </c>
      <c r="AL302">
        <v>0</v>
      </c>
      <c r="AM302">
        <v>0</v>
      </c>
      <c r="AN302">
        <v>5006.5</v>
      </c>
      <c r="AO302">
        <v>0</v>
      </c>
      <c r="AP302">
        <v>1.6937899999999999</v>
      </c>
      <c r="AQ302">
        <v>-1.1707746666666701</v>
      </c>
      <c r="AR302">
        <v>415.25586666666698</v>
      </c>
      <c r="AS302">
        <v>415.51139999999998</v>
      </c>
      <c r="AT302">
        <v>2.2125126666666701</v>
      </c>
      <c r="AU302">
        <v>409.98866666666697</v>
      </c>
      <c r="AV302">
        <v>13.2913933333333</v>
      </c>
      <c r="AW302">
        <v>1.55517333333333</v>
      </c>
      <c r="AX302">
        <v>1.3332406666666701</v>
      </c>
      <c r="AY302">
        <v>13.521653333333299</v>
      </c>
      <c r="AZ302">
        <v>11.178893333333299</v>
      </c>
      <c r="BA302">
        <v>999.99839999999995</v>
      </c>
      <c r="BB302">
        <v>0.90001279999999995</v>
      </c>
      <c r="BC302">
        <v>0</v>
      </c>
      <c r="BD302">
        <v>9.9987199999999998E-2</v>
      </c>
      <c r="BE302">
        <v>0</v>
      </c>
      <c r="BF302">
        <v>25</v>
      </c>
      <c r="BG302">
        <v>16488.813333333299</v>
      </c>
      <c r="BH302">
        <v>1771004326.0999999</v>
      </c>
      <c r="BI302" t="s">
        <v>878</v>
      </c>
      <c r="BJ302">
        <v>1771004304.0999999</v>
      </c>
      <c r="BK302">
        <v>1771004326.0999999</v>
      </c>
      <c r="BL302">
        <v>17</v>
      </c>
      <c r="BM302">
        <v>0.03</v>
      </c>
      <c r="BN302">
        <v>-1.2E-2</v>
      </c>
      <c r="BO302">
        <v>-0.85699999999999998</v>
      </c>
      <c r="BP302">
        <v>0.08</v>
      </c>
      <c r="BQ302">
        <v>410</v>
      </c>
      <c r="BR302">
        <v>14</v>
      </c>
      <c r="BS302">
        <v>0.16</v>
      </c>
      <c r="BT302">
        <v>0.13</v>
      </c>
      <c r="BU302">
        <v>-1.1780514285714301</v>
      </c>
      <c r="BV302">
        <v>0.14704363636363599</v>
      </c>
      <c r="BW302">
        <v>1.8236520210494E-2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2.2232261904761899</v>
      </c>
      <c r="CD302">
        <v>-0.25764233766233402</v>
      </c>
      <c r="CE302">
        <v>2.8107862393726601E-2</v>
      </c>
      <c r="CF302">
        <v>0</v>
      </c>
      <c r="CG302">
        <v>1</v>
      </c>
      <c r="CH302">
        <v>2</v>
      </c>
      <c r="CI302" t="s">
        <v>290</v>
      </c>
      <c r="CJ302">
        <v>3.5324800000000001</v>
      </c>
      <c r="CK302">
        <v>2.7012999999999998</v>
      </c>
      <c r="CL302">
        <v>9.7987099999999994E-2</v>
      </c>
      <c r="CM302">
        <v>9.6820400000000001E-2</v>
      </c>
      <c r="CN302">
        <v>8.7655200000000003E-2</v>
      </c>
      <c r="CO302">
        <v>7.7446500000000001E-2</v>
      </c>
      <c r="CP302">
        <v>31642.9</v>
      </c>
      <c r="CQ302">
        <v>27819.3</v>
      </c>
      <c r="CR302">
        <v>32467.3</v>
      </c>
      <c r="CS302">
        <v>30727.7</v>
      </c>
      <c r="CT302">
        <v>40106.300000000003</v>
      </c>
      <c r="CU302">
        <v>39868.400000000001</v>
      </c>
      <c r="CV302">
        <v>47413.5</v>
      </c>
      <c r="CW302">
        <v>46859.6</v>
      </c>
      <c r="CX302">
        <v>2.62582</v>
      </c>
      <c r="CY302">
        <v>2.13076</v>
      </c>
      <c r="CZ302">
        <v>0</v>
      </c>
      <c r="DA302">
        <v>0</v>
      </c>
      <c r="DB302">
        <v>999.9</v>
      </c>
      <c r="DC302">
        <v>999.9</v>
      </c>
      <c r="DD302">
        <v>50.640999999999998</v>
      </c>
      <c r="DE302">
        <v>27.734000000000002</v>
      </c>
      <c r="DF302">
        <v>18.862400000000001</v>
      </c>
      <c r="DG302">
        <v>29.930199999999999</v>
      </c>
      <c r="DH302">
        <v>16.6907</v>
      </c>
      <c r="DI302">
        <v>2</v>
      </c>
      <c r="DJ302">
        <v>-0.13666300000000001</v>
      </c>
      <c r="DK302">
        <v>2.3185099999999998</v>
      </c>
      <c r="DL302">
        <v>20.1861</v>
      </c>
      <c r="DM302">
        <v>5.2486800000000002</v>
      </c>
      <c r="DN302">
        <v>12.033899999999999</v>
      </c>
      <c r="DO302">
        <v>4.9671200000000004</v>
      </c>
      <c r="DP302">
        <v>3.2907600000000001</v>
      </c>
      <c r="DQ302">
        <v>9999</v>
      </c>
      <c r="DR302">
        <v>9999</v>
      </c>
      <c r="DS302">
        <v>597.9</v>
      </c>
      <c r="DT302">
        <v>9999</v>
      </c>
      <c r="DU302">
        <v>1.87103</v>
      </c>
      <c r="DV302">
        <v>1.8760699999999999</v>
      </c>
      <c r="DW302">
        <v>1.87625</v>
      </c>
      <c r="DX302">
        <v>1.8827799999999999</v>
      </c>
      <c r="DY302">
        <v>1.8755999999999999</v>
      </c>
      <c r="DZ302">
        <v>1.8746400000000001</v>
      </c>
      <c r="EA302">
        <v>1.8708</v>
      </c>
      <c r="EB302">
        <v>1.87463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-0.85699999999999998</v>
      </c>
      <c r="EQ302">
        <v>8.0299999999999996E-2</v>
      </c>
      <c r="ER302">
        <v>-0.85680000000002099</v>
      </c>
      <c r="ES302">
        <v>0</v>
      </c>
      <c r="ET302">
        <v>0</v>
      </c>
      <c r="EU302">
        <v>0</v>
      </c>
      <c r="EV302">
        <v>8.0349999999999297E-2</v>
      </c>
      <c r="EW302">
        <v>0</v>
      </c>
      <c r="EX302">
        <v>0</v>
      </c>
      <c r="EY302">
        <v>0</v>
      </c>
      <c r="EZ302">
        <v>-1</v>
      </c>
      <c r="FA302">
        <v>-1</v>
      </c>
      <c r="FB302">
        <v>-1</v>
      </c>
      <c r="FC302">
        <v>-1</v>
      </c>
      <c r="FD302">
        <v>0.9</v>
      </c>
      <c r="FE302">
        <v>0.5</v>
      </c>
      <c r="FF302">
        <v>1.24146</v>
      </c>
      <c r="FG302">
        <v>2.5964399999999999</v>
      </c>
      <c r="FH302">
        <v>2.19604</v>
      </c>
      <c r="FI302">
        <v>2.5744600000000002</v>
      </c>
      <c r="FJ302">
        <v>2.4462899999999999</v>
      </c>
      <c r="FK302">
        <v>2.3034699999999999</v>
      </c>
      <c r="FL302">
        <v>32.0244</v>
      </c>
      <c r="FM302">
        <v>24.14</v>
      </c>
      <c r="FN302">
        <v>19</v>
      </c>
      <c r="FO302">
        <v>865.05600000000004</v>
      </c>
      <c r="FP302">
        <v>574.72400000000005</v>
      </c>
      <c r="FQ302">
        <v>17.948699999999999</v>
      </c>
      <c r="FR302">
        <v>25.2895</v>
      </c>
      <c r="FS302">
        <v>30.0001</v>
      </c>
      <c r="FT302">
        <v>25.311800000000002</v>
      </c>
      <c r="FU302">
        <v>25.313199999999998</v>
      </c>
      <c r="FV302">
        <v>24.9282</v>
      </c>
      <c r="FW302">
        <v>33.113799999999998</v>
      </c>
      <c r="FX302">
        <v>0</v>
      </c>
      <c r="FY302">
        <v>17.946300000000001</v>
      </c>
      <c r="FZ302">
        <v>410</v>
      </c>
      <c r="GA302">
        <v>13.2377</v>
      </c>
      <c r="GB302">
        <v>99.909000000000006</v>
      </c>
      <c r="GC302">
        <v>99.755099999999999</v>
      </c>
    </row>
    <row r="303" spans="1:185" x14ac:dyDescent="0.2">
      <c r="A303">
        <v>288</v>
      </c>
      <c r="B303">
        <v>1771004373.0999999</v>
      </c>
      <c r="C303">
        <v>5750</v>
      </c>
      <c r="D303" t="s">
        <v>885</v>
      </c>
      <c r="E303" t="s">
        <v>886</v>
      </c>
      <c r="F303">
        <v>15</v>
      </c>
      <c r="G303">
        <v>1771004365.03333</v>
      </c>
      <c r="H303">
        <f t="shared" si="52"/>
        <v>1.756053225677851E-3</v>
      </c>
      <c r="I303">
        <v>0</v>
      </c>
      <c r="J303">
        <f t="shared" si="64"/>
        <v>1.2927151336450535E-2</v>
      </c>
      <c r="K303">
        <f t="shared" si="53"/>
        <v>0.23115367990968175</v>
      </c>
      <c r="L303">
        <f t="shared" si="54"/>
        <v>70.283030274194644</v>
      </c>
      <c r="M303">
        <f t="shared" si="55"/>
        <v>1.5503255115508101</v>
      </c>
      <c r="N303">
        <f t="shared" si="56"/>
        <v>2.2058319134825819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26223.96557972745</v>
      </c>
      <c r="T303">
        <f t="shared" si="60"/>
        <v>999.99760000000003</v>
      </c>
      <c r="U303">
        <f t="shared" si="61"/>
        <v>842.99750560113034</v>
      </c>
      <c r="V303">
        <f t="shared" si="62"/>
        <v>0.8429995287999994</v>
      </c>
      <c r="W303">
        <f t="shared" si="63"/>
        <v>0.15869874404799988</v>
      </c>
      <c r="X303">
        <v>1</v>
      </c>
      <c r="Y303">
        <v>1771004365.03333</v>
      </c>
      <c r="Z303">
        <v>408.82400000000001</v>
      </c>
      <c r="AA303">
        <v>410.01033333333299</v>
      </c>
      <c r="AB303">
        <v>15.445880000000001</v>
      </c>
      <c r="AC303">
        <v>13.2847266666667</v>
      </c>
      <c r="AD303">
        <v>409.68060000000003</v>
      </c>
      <c r="AE303">
        <v>15.3655133333333</v>
      </c>
      <c r="AF303">
        <v>800.00313333333304</v>
      </c>
      <c r="AG303">
        <v>100.30759999999999</v>
      </c>
      <c r="AH303">
        <v>6.3859026666666693E-2</v>
      </c>
      <c r="AI303">
        <v>19.004733333333299</v>
      </c>
      <c r="AJ303">
        <v>999.9</v>
      </c>
      <c r="AK303">
        <v>999.9</v>
      </c>
      <c r="AL303">
        <v>0</v>
      </c>
      <c r="AM303">
        <v>0</v>
      </c>
      <c r="AN303">
        <v>4987.1000000000004</v>
      </c>
      <c r="AO303">
        <v>0</v>
      </c>
      <c r="AP303">
        <v>1.6975566666666699</v>
      </c>
      <c r="AQ303">
        <v>-1.18643533333333</v>
      </c>
      <c r="AR303">
        <v>415.23753333333298</v>
      </c>
      <c r="AS303">
        <v>415.53053333333298</v>
      </c>
      <c r="AT303">
        <v>2.1611359999999999</v>
      </c>
      <c r="AU303">
        <v>410.01033333333299</v>
      </c>
      <c r="AV303">
        <v>13.2847266666667</v>
      </c>
      <c r="AW303">
        <v>1.54933733333333</v>
      </c>
      <c r="AX303">
        <v>1.33255866666667</v>
      </c>
      <c r="AY303">
        <v>13.4639466666667</v>
      </c>
      <c r="AZ303">
        <v>11.171193333333299</v>
      </c>
      <c r="BA303">
        <v>999.99760000000003</v>
      </c>
      <c r="BB303">
        <v>0.90001686666666603</v>
      </c>
      <c r="BC303">
        <v>0</v>
      </c>
      <c r="BD303">
        <v>9.99831733333333E-2</v>
      </c>
      <c r="BE303">
        <v>0</v>
      </c>
      <c r="BF303">
        <v>25</v>
      </c>
      <c r="BG303">
        <v>16488.82</v>
      </c>
      <c r="BH303">
        <v>1771004326.0999999</v>
      </c>
      <c r="BI303" t="s">
        <v>878</v>
      </c>
      <c r="BJ303">
        <v>1771004304.0999999</v>
      </c>
      <c r="BK303">
        <v>1771004326.0999999</v>
      </c>
      <c r="BL303">
        <v>17</v>
      </c>
      <c r="BM303">
        <v>0.03</v>
      </c>
      <c r="BN303">
        <v>-1.2E-2</v>
      </c>
      <c r="BO303">
        <v>-0.85699999999999998</v>
      </c>
      <c r="BP303">
        <v>0.08</v>
      </c>
      <c r="BQ303">
        <v>410</v>
      </c>
      <c r="BR303">
        <v>14</v>
      </c>
      <c r="BS303">
        <v>0.16</v>
      </c>
      <c r="BT303">
        <v>0.13</v>
      </c>
      <c r="BU303">
        <v>-1.1794264999999999</v>
      </c>
      <c r="BV303">
        <v>-0.151547819548873</v>
      </c>
      <c r="BW303">
        <v>2.72105386339558E-2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2.1666534999999998</v>
      </c>
      <c r="CD303">
        <v>-0.126088872180453</v>
      </c>
      <c r="CE303">
        <v>1.2359519114836201E-2</v>
      </c>
      <c r="CF303">
        <v>0</v>
      </c>
      <c r="CG303">
        <v>1</v>
      </c>
      <c r="CH303">
        <v>2</v>
      </c>
      <c r="CI303" t="s">
        <v>290</v>
      </c>
      <c r="CJ303">
        <v>3.5324900000000001</v>
      </c>
      <c r="CK303">
        <v>2.70174</v>
      </c>
      <c r="CL303">
        <v>9.7981100000000002E-2</v>
      </c>
      <c r="CM303">
        <v>9.6816799999999995E-2</v>
      </c>
      <c r="CN303">
        <v>8.7534799999999996E-2</v>
      </c>
      <c r="CO303">
        <v>7.7432500000000001E-2</v>
      </c>
      <c r="CP303">
        <v>31643.200000000001</v>
      </c>
      <c r="CQ303">
        <v>27819.8</v>
      </c>
      <c r="CR303">
        <v>32467.4</v>
      </c>
      <c r="CS303">
        <v>30728.2</v>
      </c>
      <c r="CT303">
        <v>40112.1</v>
      </c>
      <c r="CU303">
        <v>39869.5</v>
      </c>
      <c r="CV303">
        <v>47413.8</v>
      </c>
      <c r="CW303">
        <v>46860.2</v>
      </c>
      <c r="CX303">
        <v>2.6264799999999999</v>
      </c>
      <c r="CY303">
        <v>2.1306600000000002</v>
      </c>
      <c r="CZ303">
        <v>0</v>
      </c>
      <c r="DA303">
        <v>0</v>
      </c>
      <c r="DB303">
        <v>999.9</v>
      </c>
      <c r="DC303">
        <v>999.9</v>
      </c>
      <c r="DD303">
        <v>50.616999999999997</v>
      </c>
      <c r="DE303">
        <v>27.744</v>
      </c>
      <c r="DF303">
        <v>18.8645</v>
      </c>
      <c r="DG303">
        <v>30.620200000000001</v>
      </c>
      <c r="DH303">
        <v>16.686699999999998</v>
      </c>
      <c r="DI303">
        <v>2</v>
      </c>
      <c r="DJ303">
        <v>-0.13681699999999999</v>
      </c>
      <c r="DK303">
        <v>2.3571599999999999</v>
      </c>
      <c r="DL303">
        <v>20.1859</v>
      </c>
      <c r="DM303">
        <v>5.2501199999999999</v>
      </c>
      <c r="DN303">
        <v>12.033899999999999</v>
      </c>
      <c r="DO303">
        <v>4.9673600000000002</v>
      </c>
      <c r="DP303">
        <v>3.2909999999999999</v>
      </c>
      <c r="DQ303">
        <v>9999</v>
      </c>
      <c r="DR303">
        <v>9999</v>
      </c>
      <c r="DS303">
        <v>597.9</v>
      </c>
      <c r="DT303">
        <v>9999</v>
      </c>
      <c r="DU303">
        <v>1.87103</v>
      </c>
      <c r="DV303">
        <v>1.8760600000000001</v>
      </c>
      <c r="DW303">
        <v>1.87622</v>
      </c>
      <c r="DX303">
        <v>1.88276</v>
      </c>
      <c r="DY303">
        <v>1.87551</v>
      </c>
      <c r="DZ303">
        <v>1.87456</v>
      </c>
      <c r="EA303">
        <v>1.87073</v>
      </c>
      <c r="EB303">
        <v>1.8745499999999999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-0.85699999999999998</v>
      </c>
      <c r="EQ303">
        <v>8.0399999999999999E-2</v>
      </c>
      <c r="ER303">
        <v>-0.85680000000002099</v>
      </c>
      <c r="ES303">
        <v>0</v>
      </c>
      <c r="ET303">
        <v>0</v>
      </c>
      <c r="EU303">
        <v>0</v>
      </c>
      <c r="EV303">
        <v>8.0349999999999297E-2</v>
      </c>
      <c r="EW303">
        <v>0</v>
      </c>
      <c r="EX303">
        <v>0</v>
      </c>
      <c r="EY303">
        <v>0</v>
      </c>
      <c r="EZ303">
        <v>-1</v>
      </c>
      <c r="FA303">
        <v>-1</v>
      </c>
      <c r="FB303">
        <v>-1</v>
      </c>
      <c r="FC303">
        <v>-1</v>
      </c>
      <c r="FD303">
        <v>1.1000000000000001</v>
      </c>
      <c r="FE303">
        <v>0.8</v>
      </c>
      <c r="FF303">
        <v>1.24146</v>
      </c>
      <c r="FG303">
        <v>2.5988799999999999</v>
      </c>
      <c r="FH303">
        <v>2.19604</v>
      </c>
      <c r="FI303">
        <v>2.5744600000000002</v>
      </c>
      <c r="FJ303">
        <v>2.4462899999999999</v>
      </c>
      <c r="FK303">
        <v>2.2753899999999998</v>
      </c>
      <c r="FL303">
        <v>32.0244</v>
      </c>
      <c r="FM303">
        <v>24.14</v>
      </c>
      <c r="FN303">
        <v>19</v>
      </c>
      <c r="FO303">
        <v>865.63599999999997</v>
      </c>
      <c r="FP303">
        <v>574.62400000000002</v>
      </c>
      <c r="FQ303">
        <v>17.936399999999999</v>
      </c>
      <c r="FR303">
        <v>25.289000000000001</v>
      </c>
      <c r="FS303">
        <v>30.0001</v>
      </c>
      <c r="FT303">
        <v>25.309699999999999</v>
      </c>
      <c r="FU303">
        <v>25.311</v>
      </c>
      <c r="FV303">
        <v>24.9268</v>
      </c>
      <c r="FW303">
        <v>33.113799999999998</v>
      </c>
      <c r="FX303">
        <v>0</v>
      </c>
      <c r="FY303">
        <v>17.9331</v>
      </c>
      <c r="FZ303">
        <v>410</v>
      </c>
      <c r="GA303">
        <v>13.2346</v>
      </c>
      <c r="GB303">
        <v>99.909499999999994</v>
      </c>
      <c r="GC303">
        <v>99.756399999999999</v>
      </c>
    </row>
    <row r="304" spans="1:185" x14ac:dyDescent="0.2">
      <c r="A304">
        <v>289</v>
      </c>
      <c r="B304">
        <v>1771004388.0999999</v>
      </c>
      <c r="C304">
        <v>5765</v>
      </c>
      <c r="D304" t="s">
        <v>887</v>
      </c>
      <c r="E304" t="s">
        <v>888</v>
      </c>
      <c r="F304">
        <v>15</v>
      </c>
      <c r="G304">
        <v>1771004380.03333</v>
      </c>
      <c r="H304">
        <f t="shared" si="52"/>
        <v>1.7406906370328302E-3</v>
      </c>
      <c r="I304">
        <v>0</v>
      </c>
      <c r="J304">
        <f t="shared" si="64"/>
        <v>1.2488605382501607E-2</v>
      </c>
      <c r="K304">
        <f t="shared" si="53"/>
        <v>0.22331192820225332</v>
      </c>
      <c r="L304">
        <f t="shared" si="54"/>
        <v>70.185534137693807</v>
      </c>
      <c r="M304">
        <f t="shared" si="55"/>
        <v>1.5482335198502128</v>
      </c>
      <c r="N304">
        <f t="shared" si="56"/>
        <v>2.2059154195689441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26307.267756935249</v>
      </c>
      <c r="T304">
        <f t="shared" si="60"/>
        <v>999.99733333333302</v>
      </c>
      <c r="U304">
        <f t="shared" si="61"/>
        <v>842.99770960011267</v>
      </c>
      <c r="V304">
        <f t="shared" si="62"/>
        <v>0.84299995759999991</v>
      </c>
      <c r="W304">
        <f t="shared" si="63"/>
        <v>0.15869986801599997</v>
      </c>
      <c r="X304">
        <v>1</v>
      </c>
      <c r="Y304">
        <v>1771004380.03333</v>
      </c>
      <c r="Z304">
        <v>408.82226666666702</v>
      </c>
      <c r="AA304">
        <v>409.99093333333298</v>
      </c>
      <c r="AB304">
        <v>15.425226666666701</v>
      </c>
      <c r="AC304">
        <v>13.2829533333333</v>
      </c>
      <c r="AD304">
        <v>409.67919999999998</v>
      </c>
      <c r="AE304">
        <v>15.3448933333333</v>
      </c>
      <c r="AF304">
        <v>800.01</v>
      </c>
      <c r="AG304">
        <v>100.30613333333299</v>
      </c>
      <c r="AH304">
        <v>6.4094819999999997E-2</v>
      </c>
      <c r="AI304">
        <v>19.00534</v>
      </c>
      <c r="AJ304">
        <v>999.9</v>
      </c>
      <c r="AK304">
        <v>999.9</v>
      </c>
      <c r="AL304">
        <v>0</v>
      </c>
      <c r="AM304">
        <v>0</v>
      </c>
      <c r="AN304">
        <v>5000.8666666666704</v>
      </c>
      <c r="AO304">
        <v>0</v>
      </c>
      <c r="AP304">
        <v>1.7081726666666699</v>
      </c>
      <c r="AQ304">
        <v>-1.1686206666666701</v>
      </c>
      <c r="AR304">
        <v>415.22739999999999</v>
      </c>
      <c r="AS304">
        <v>415.5102</v>
      </c>
      <c r="AT304">
        <v>2.1422926666666702</v>
      </c>
      <c r="AU304">
        <v>409.99093333333298</v>
      </c>
      <c r="AV304">
        <v>13.2829533333333</v>
      </c>
      <c r="AW304">
        <v>1.54724666666667</v>
      </c>
      <c r="AX304">
        <v>1.332362</v>
      </c>
      <c r="AY304">
        <v>13.44322</v>
      </c>
      <c r="AZ304">
        <v>11.168953333333301</v>
      </c>
      <c r="BA304">
        <v>999.99733333333302</v>
      </c>
      <c r="BB304">
        <v>0.90000179999999996</v>
      </c>
      <c r="BC304">
        <v>0</v>
      </c>
      <c r="BD304">
        <v>9.9998213333333294E-2</v>
      </c>
      <c r="BE304">
        <v>0</v>
      </c>
      <c r="BF304">
        <v>25</v>
      </c>
      <c r="BG304">
        <v>16488.759999999998</v>
      </c>
      <c r="BH304">
        <v>1771004326.0999999</v>
      </c>
      <c r="BI304" t="s">
        <v>878</v>
      </c>
      <c r="BJ304">
        <v>1771004304.0999999</v>
      </c>
      <c r="BK304">
        <v>1771004326.0999999</v>
      </c>
      <c r="BL304">
        <v>17</v>
      </c>
      <c r="BM304">
        <v>0.03</v>
      </c>
      <c r="BN304">
        <v>-1.2E-2</v>
      </c>
      <c r="BO304">
        <v>-0.85699999999999998</v>
      </c>
      <c r="BP304">
        <v>0.08</v>
      </c>
      <c r="BQ304">
        <v>410</v>
      </c>
      <c r="BR304">
        <v>14</v>
      </c>
      <c r="BS304">
        <v>0.16</v>
      </c>
      <c r="BT304">
        <v>0.13</v>
      </c>
      <c r="BU304">
        <v>-1.1752919047618999</v>
      </c>
      <c r="BV304">
        <v>0.101097662337661</v>
      </c>
      <c r="BW304">
        <v>2.3827589175065399E-2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2.1452185714285701</v>
      </c>
      <c r="CD304">
        <v>-6.3611688311686496E-2</v>
      </c>
      <c r="CE304">
        <v>6.4941272266082302E-3</v>
      </c>
      <c r="CF304">
        <v>1</v>
      </c>
      <c r="CG304">
        <v>2</v>
      </c>
      <c r="CH304">
        <v>2</v>
      </c>
      <c r="CI304" t="s">
        <v>304</v>
      </c>
      <c r="CJ304">
        <v>3.5325000000000002</v>
      </c>
      <c r="CK304">
        <v>2.7019099999999998</v>
      </c>
      <c r="CL304">
        <v>9.7986599999999993E-2</v>
      </c>
      <c r="CM304">
        <v>9.68141E-2</v>
      </c>
      <c r="CN304">
        <v>8.7457900000000005E-2</v>
      </c>
      <c r="CO304">
        <v>7.7429399999999995E-2</v>
      </c>
      <c r="CP304">
        <v>31643.8</v>
      </c>
      <c r="CQ304">
        <v>27819.8</v>
      </c>
      <c r="CR304">
        <v>32468.2</v>
      </c>
      <c r="CS304">
        <v>30728</v>
      </c>
      <c r="CT304">
        <v>40116.199999999997</v>
      </c>
      <c r="CU304">
        <v>39869.599999999999</v>
      </c>
      <c r="CV304">
        <v>47414.6</v>
      </c>
      <c r="CW304">
        <v>46860.1</v>
      </c>
      <c r="CX304">
        <v>2.6266400000000001</v>
      </c>
      <c r="CY304">
        <v>2.1308799999999999</v>
      </c>
      <c r="CZ304">
        <v>0</v>
      </c>
      <c r="DA304">
        <v>0</v>
      </c>
      <c r="DB304">
        <v>999.9</v>
      </c>
      <c r="DC304">
        <v>999.9</v>
      </c>
      <c r="DD304">
        <v>50.591999999999999</v>
      </c>
      <c r="DE304">
        <v>27.765000000000001</v>
      </c>
      <c r="DF304">
        <v>18.880299999999998</v>
      </c>
      <c r="DG304">
        <v>30.290199999999999</v>
      </c>
      <c r="DH304">
        <v>16.694700000000001</v>
      </c>
      <c r="DI304">
        <v>2</v>
      </c>
      <c r="DJ304">
        <v>-0.136604</v>
      </c>
      <c r="DK304">
        <v>2.3918900000000001</v>
      </c>
      <c r="DL304">
        <v>20.185400000000001</v>
      </c>
      <c r="DM304">
        <v>5.2497600000000002</v>
      </c>
      <c r="DN304">
        <v>12.033899999999999</v>
      </c>
      <c r="DO304">
        <v>4.9674800000000001</v>
      </c>
      <c r="DP304">
        <v>3.2909999999999999</v>
      </c>
      <c r="DQ304">
        <v>9999</v>
      </c>
      <c r="DR304">
        <v>9999</v>
      </c>
      <c r="DS304">
        <v>597.9</v>
      </c>
      <c r="DT304">
        <v>9999</v>
      </c>
      <c r="DU304">
        <v>1.8710199999999999</v>
      </c>
      <c r="DV304">
        <v>1.87605</v>
      </c>
      <c r="DW304">
        <v>1.8762399999999999</v>
      </c>
      <c r="DX304">
        <v>1.88273</v>
      </c>
      <c r="DY304">
        <v>1.8755299999999999</v>
      </c>
      <c r="DZ304">
        <v>1.87456</v>
      </c>
      <c r="EA304">
        <v>1.8707400000000001</v>
      </c>
      <c r="EB304">
        <v>1.8745499999999999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-0.85699999999999998</v>
      </c>
      <c r="EQ304">
        <v>8.0399999999999999E-2</v>
      </c>
      <c r="ER304">
        <v>-0.85680000000002099</v>
      </c>
      <c r="ES304">
        <v>0</v>
      </c>
      <c r="ET304">
        <v>0</v>
      </c>
      <c r="EU304">
        <v>0</v>
      </c>
      <c r="EV304">
        <v>8.0349999999999297E-2</v>
      </c>
      <c r="EW304">
        <v>0</v>
      </c>
      <c r="EX304">
        <v>0</v>
      </c>
      <c r="EY304">
        <v>0</v>
      </c>
      <c r="EZ304">
        <v>-1</v>
      </c>
      <c r="FA304">
        <v>-1</v>
      </c>
      <c r="FB304">
        <v>-1</v>
      </c>
      <c r="FC304">
        <v>-1</v>
      </c>
      <c r="FD304">
        <v>1.4</v>
      </c>
      <c r="FE304">
        <v>1</v>
      </c>
      <c r="FF304">
        <v>1.24146</v>
      </c>
      <c r="FG304">
        <v>2.6037599999999999</v>
      </c>
      <c r="FH304">
        <v>2.19604</v>
      </c>
      <c r="FI304">
        <v>2.5744600000000002</v>
      </c>
      <c r="FJ304">
        <v>2.4462899999999999</v>
      </c>
      <c r="FK304">
        <v>2.2680699999999998</v>
      </c>
      <c r="FL304">
        <v>32.0244</v>
      </c>
      <c r="FM304">
        <v>24.1313</v>
      </c>
      <c r="FN304">
        <v>19</v>
      </c>
      <c r="FO304">
        <v>865.75</v>
      </c>
      <c r="FP304">
        <v>574.79200000000003</v>
      </c>
      <c r="FQ304">
        <v>17.920100000000001</v>
      </c>
      <c r="FR304">
        <v>25.2895</v>
      </c>
      <c r="FS304">
        <v>30</v>
      </c>
      <c r="FT304">
        <v>25.307500000000001</v>
      </c>
      <c r="FU304">
        <v>25.311</v>
      </c>
      <c r="FV304">
        <v>24.927700000000002</v>
      </c>
      <c r="FW304">
        <v>33.113799999999998</v>
      </c>
      <c r="FX304">
        <v>0</v>
      </c>
      <c r="FY304">
        <v>17.917100000000001</v>
      </c>
      <c r="FZ304">
        <v>410</v>
      </c>
      <c r="GA304">
        <v>13.235200000000001</v>
      </c>
      <c r="GB304">
        <v>99.911500000000004</v>
      </c>
      <c r="GC304">
        <v>99.756200000000007</v>
      </c>
    </row>
    <row r="305" spans="1:185" x14ac:dyDescent="0.2">
      <c r="A305">
        <v>290</v>
      </c>
      <c r="B305">
        <v>1771004403.0999999</v>
      </c>
      <c r="C305">
        <v>5780</v>
      </c>
      <c r="D305" t="s">
        <v>889</v>
      </c>
      <c r="E305" t="s">
        <v>890</v>
      </c>
      <c r="F305">
        <v>15</v>
      </c>
      <c r="G305">
        <v>1771004395.03333</v>
      </c>
      <c r="H305">
        <f t="shared" si="52"/>
        <v>1.7313037760227949E-3</v>
      </c>
      <c r="I305">
        <v>0</v>
      </c>
      <c r="J305">
        <f t="shared" si="64"/>
        <v>1.2259608369699552E-2</v>
      </c>
      <c r="K305">
        <f t="shared" si="53"/>
        <v>0.21921717439146879</v>
      </c>
      <c r="L305">
        <f t="shared" si="54"/>
        <v>70.11931041353094</v>
      </c>
      <c r="M305">
        <f t="shared" si="55"/>
        <v>1.5469831044878248</v>
      </c>
      <c r="N305">
        <f t="shared" si="56"/>
        <v>2.2062155137642412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26305.998236712952</v>
      </c>
      <c r="T305">
        <f t="shared" si="60"/>
        <v>999.99900000000002</v>
      </c>
      <c r="U305">
        <f t="shared" si="61"/>
        <v>842.9992279999293</v>
      </c>
      <c r="V305">
        <f t="shared" si="62"/>
        <v>0.8430000710000003</v>
      </c>
      <c r="W305">
        <f t="shared" si="63"/>
        <v>0.15870024246000006</v>
      </c>
      <c r="X305">
        <v>1</v>
      </c>
      <c r="Y305">
        <v>1771004395.03333</v>
      </c>
      <c r="Z305">
        <v>408.84160000000003</v>
      </c>
      <c r="AA305">
        <v>410.00040000000001</v>
      </c>
      <c r="AB305">
        <v>15.4129</v>
      </c>
      <c r="AC305">
        <v>13.28214</v>
      </c>
      <c r="AD305">
        <v>409.6986</v>
      </c>
      <c r="AE305">
        <v>15.3325666666667</v>
      </c>
      <c r="AF305">
        <v>800.00533333333306</v>
      </c>
      <c r="AG305">
        <v>100.305133333333</v>
      </c>
      <c r="AH305">
        <v>6.42393666666667E-2</v>
      </c>
      <c r="AI305">
        <v>19.00752</v>
      </c>
      <c r="AJ305">
        <v>999.9</v>
      </c>
      <c r="AK305">
        <v>999.9</v>
      </c>
      <c r="AL305">
        <v>0</v>
      </c>
      <c r="AM305">
        <v>0</v>
      </c>
      <c r="AN305">
        <v>5000.7333333333299</v>
      </c>
      <c r="AO305">
        <v>0</v>
      </c>
      <c r="AP305">
        <v>1.6937899999999999</v>
      </c>
      <c r="AQ305">
        <v>-1.15872</v>
      </c>
      <c r="AR305">
        <v>415.241733333333</v>
      </c>
      <c r="AS305">
        <v>415.51946666666697</v>
      </c>
      <c r="AT305">
        <v>2.1307546666666699</v>
      </c>
      <c r="AU305">
        <v>410.00040000000001</v>
      </c>
      <c r="AV305">
        <v>13.28214</v>
      </c>
      <c r="AW305">
        <v>1.545992</v>
      </c>
      <c r="AX305">
        <v>1.332266</v>
      </c>
      <c r="AY305">
        <v>13.430773333333301</v>
      </c>
      <c r="AZ305">
        <v>11.1678933333333</v>
      </c>
      <c r="BA305">
        <v>999.99900000000002</v>
      </c>
      <c r="BB305">
        <v>0.899996666666667</v>
      </c>
      <c r="BC305">
        <v>0</v>
      </c>
      <c r="BD305">
        <v>0.1000033</v>
      </c>
      <c r="BE305">
        <v>0</v>
      </c>
      <c r="BF305">
        <v>25</v>
      </c>
      <c r="BG305">
        <v>16488.766666666699</v>
      </c>
      <c r="BH305">
        <v>1771004326.0999999</v>
      </c>
      <c r="BI305" t="s">
        <v>878</v>
      </c>
      <c r="BJ305">
        <v>1771004304.0999999</v>
      </c>
      <c r="BK305">
        <v>1771004326.0999999</v>
      </c>
      <c r="BL305">
        <v>17</v>
      </c>
      <c r="BM305">
        <v>0.03</v>
      </c>
      <c r="BN305">
        <v>-1.2E-2</v>
      </c>
      <c r="BO305">
        <v>-0.85699999999999998</v>
      </c>
      <c r="BP305">
        <v>0.08</v>
      </c>
      <c r="BQ305">
        <v>410</v>
      </c>
      <c r="BR305">
        <v>14</v>
      </c>
      <c r="BS305">
        <v>0.16</v>
      </c>
      <c r="BT305">
        <v>0.13</v>
      </c>
      <c r="BU305">
        <v>-1.1609054999999999</v>
      </c>
      <c r="BV305">
        <v>-1.37003007518804E-2</v>
      </c>
      <c r="BW305">
        <v>2.4622844570642101E-2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2.1321564999999998</v>
      </c>
      <c r="CD305">
        <v>-2.79992481202983E-2</v>
      </c>
      <c r="CE305">
        <v>3.8965963031856502E-3</v>
      </c>
      <c r="CF305">
        <v>1</v>
      </c>
      <c r="CG305">
        <v>2</v>
      </c>
      <c r="CH305">
        <v>2</v>
      </c>
      <c r="CI305" t="s">
        <v>304</v>
      </c>
      <c r="CJ305">
        <v>3.5325000000000002</v>
      </c>
      <c r="CK305">
        <v>2.7019099999999998</v>
      </c>
      <c r="CL305">
        <v>9.7985600000000006E-2</v>
      </c>
      <c r="CM305">
        <v>9.6824300000000002E-2</v>
      </c>
      <c r="CN305">
        <v>8.7435600000000002E-2</v>
      </c>
      <c r="CO305">
        <v>7.7424000000000007E-2</v>
      </c>
      <c r="CP305">
        <v>31643.599999999999</v>
      </c>
      <c r="CQ305">
        <v>27819.599999999999</v>
      </c>
      <c r="CR305">
        <v>32468</v>
      </c>
      <c r="CS305">
        <v>30728.1</v>
      </c>
      <c r="CT305">
        <v>40117.300000000003</v>
      </c>
      <c r="CU305">
        <v>39870.1</v>
      </c>
      <c r="CV305">
        <v>47414.6</v>
      </c>
      <c r="CW305">
        <v>46860.5</v>
      </c>
      <c r="CX305">
        <v>2.6266799999999999</v>
      </c>
      <c r="CY305">
        <v>2.1304799999999999</v>
      </c>
      <c r="CZ305">
        <v>0</v>
      </c>
      <c r="DA305">
        <v>0</v>
      </c>
      <c r="DB305">
        <v>999.9</v>
      </c>
      <c r="DC305">
        <v>999.9</v>
      </c>
      <c r="DD305">
        <v>50.591999999999999</v>
      </c>
      <c r="DE305">
        <v>27.765000000000001</v>
      </c>
      <c r="DF305">
        <v>18.882000000000001</v>
      </c>
      <c r="DG305">
        <v>30.350200000000001</v>
      </c>
      <c r="DH305">
        <v>16.622599999999998</v>
      </c>
      <c r="DI305">
        <v>2</v>
      </c>
      <c r="DJ305">
        <v>-0.13647400000000001</v>
      </c>
      <c r="DK305">
        <v>2.4267599999999998</v>
      </c>
      <c r="DL305">
        <v>20.1846</v>
      </c>
      <c r="DM305">
        <v>5.2481999999999998</v>
      </c>
      <c r="DN305">
        <v>12.033899999999999</v>
      </c>
      <c r="DO305">
        <v>4.9671599999999998</v>
      </c>
      <c r="DP305">
        <v>3.2906200000000001</v>
      </c>
      <c r="DQ305">
        <v>9999</v>
      </c>
      <c r="DR305">
        <v>9999</v>
      </c>
      <c r="DS305">
        <v>597.9</v>
      </c>
      <c r="DT305">
        <v>9999</v>
      </c>
      <c r="DU305">
        <v>1.8710199999999999</v>
      </c>
      <c r="DV305">
        <v>1.8760399999999999</v>
      </c>
      <c r="DW305">
        <v>1.87622</v>
      </c>
      <c r="DX305">
        <v>1.88276</v>
      </c>
      <c r="DY305">
        <v>1.8755200000000001</v>
      </c>
      <c r="DZ305">
        <v>1.8745499999999999</v>
      </c>
      <c r="EA305">
        <v>1.87073</v>
      </c>
      <c r="EB305">
        <v>1.8745400000000001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-0.85699999999999998</v>
      </c>
      <c r="EQ305">
        <v>8.0399999999999999E-2</v>
      </c>
      <c r="ER305">
        <v>-0.85680000000002099</v>
      </c>
      <c r="ES305">
        <v>0</v>
      </c>
      <c r="ET305">
        <v>0</v>
      </c>
      <c r="EU305">
        <v>0</v>
      </c>
      <c r="EV305">
        <v>8.0349999999999297E-2</v>
      </c>
      <c r="EW305">
        <v>0</v>
      </c>
      <c r="EX305">
        <v>0</v>
      </c>
      <c r="EY305">
        <v>0</v>
      </c>
      <c r="EZ305">
        <v>-1</v>
      </c>
      <c r="FA305">
        <v>-1</v>
      </c>
      <c r="FB305">
        <v>-1</v>
      </c>
      <c r="FC305">
        <v>-1</v>
      </c>
      <c r="FD305">
        <v>1.6</v>
      </c>
      <c r="FE305">
        <v>1.3</v>
      </c>
      <c r="FF305">
        <v>1.24146</v>
      </c>
      <c r="FG305">
        <v>2.6000999999999999</v>
      </c>
      <c r="FH305">
        <v>2.19604</v>
      </c>
      <c r="FI305">
        <v>2.5744600000000002</v>
      </c>
      <c r="FJ305">
        <v>2.4462899999999999</v>
      </c>
      <c r="FK305">
        <v>2.2839399999999999</v>
      </c>
      <c r="FL305">
        <v>32.0244</v>
      </c>
      <c r="FM305">
        <v>24.1313</v>
      </c>
      <c r="FN305">
        <v>19</v>
      </c>
      <c r="FO305">
        <v>865.78700000000003</v>
      </c>
      <c r="FP305">
        <v>574.46799999999996</v>
      </c>
      <c r="FQ305">
        <v>17.8979</v>
      </c>
      <c r="FR305">
        <v>25.2895</v>
      </c>
      <c r="FS305">
        <v>30.0001</v>
      </c>
      <c r="FT305">
        <v>25.307500000000001</v>
      </c>
      <c r="FU305">
        <v>25.3094</v>
      </c>
      <c r="FV305">
        <v>24.925899999999999</v>
      </c>
      <c r="FW305">
        <v>33.113799999999998</v>
      </c>
      <c r="FX305">
        <v>0</v>
      </c>
      <c r="FY305">
        <v>17.895199999999999</v>
      </c>
      <c r="FZ305">
        <v>410</v>
      </c>
      <c r="GA305">
        <v>13.237399999999999</v>
      </c>
      <c r="GB305">
        <v>99.911199999999994</v>
      </c>
      <c r="GC305">
        <v>99.756799999999998</v>
      </c>
    </row>
    <row r="306" spans="1:185" x14ac:dyDescent="0.2">
      <c r="A306">
        <v>291</v>
      </c>
      <c r="B306">
        <v>1771004418.0999999</v>
      </c>
      <c r="C306">
        <v>5795</v>
      </c>
      <c r="D306" t="s">
        <v>891</v>
      </c>
      <c r="E306" t="s">
        <v>892</v>
      </c>
      <c r="F306">
        <v>15</v>
      </c>
      <c r="G306">
        <v>1771004410.03333</v>
      </c>
      <c r="H306">
        <f t="shared" si="52"/>
        <v>1.7312275908227023E-3</v>
      </c>
      <c r="I306">
        <v>0</v>
      </c>
      <c r="J306">
        <f t="shared" si="64"/>
        <v>1.272742665543965E-2</v>
      </c>
      <c r="K306">
        <f t="shared" si="53"/>
        <v>0.22758235210644978</v>
      </c>
      <c r="L306">
        <f t="shared" si="54"/>
        <v>70.131709451111092</v>
      </c>
      <c r="M306">
        <f t="shared" si="55"/>
        <v>1.5468589227453395</v>
      </c>
      <c r="N306">
        <f t="shared" si="56"/>
        <v>2.2056483933614324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26307.005416854816</v>
      </c>
      <c r="T306">
        <f t="shared" si="60"/>
        <v>999.99966666666705</v>
      </c>
      <c r="U306">
        <f t="shared" si="61"/>
        <v>842.99992699993129</v>
      </c>
      <c r="V306">
        <f t="shared" si="62"/>
        <v>0.84300020800000031</v>
      </c>
      <c r="W306">
        <f t="shared" si="63"/>
        <v>0.15870039008000006</v>
      </c>
      <c r="X306">
        <v>1</v>
      </c>
      <c r="Y306">
        <v>1771004410.03333</v>
      </c>
      <c r="Z306">
        <v>408.8374</v>
      </c>
      <c r="AA306">
        <v>410.00659999999999</v>
      </c>
      <c r="AB306">
        <v>15.411806666666701</v>
      </c>
      <c r="AC306">
        <v>13.2811533333333</v>
      </c>
      <c r="AD306">
        <v>409.69413333333301</v>
      </c>
      <c r="AE306">
        <v>15.331480000000001</v>
      </c>
      <c r="AF306">
        <v>800.01106666666703</v>
      </c>
      <c r="AG306">
        <v>100.304466666667</v>
      </c>
      <c r="AH306">
        <v>6.3968793333333301E-2</v>
      </c>
      <c r="AI306">
        <v>19.003399999999999</v>
      </c>
      <c r="AJ306">
        <v>999.9</v>
      </c>
      <c r="AK306">
        <v>999.9</v>
      </c>
      <c r="AL306">
        <v>0</v>
      </c>
      <c r="AM306">
        <v>0</v>
      </c>
      <c r="AN306">
        <v>5000.8666666666704</v>
      </c>
      <c r="AO306">
        <v>0</v>
      </c>
      <c r="AP306">
        <v>1.6975566666666699</v>
      </c>
      <c r="AQ306">
        <v>-1.16912333333333</v>
      </c>
      <c r="AR306">
        <v>415.23693333333301</v>
      </c>
      <c r="AS306">
        <v>415.52519999999998</v>
      </c>
      <c r="AT306">
        <v>2.1306466666666699</v>
      </c>
      <c r="AU306">
        <v>410.00659999999999</v>
      </c>
      <c r="AV306">
        <v>13.2811533333333</v>
      </c>
      <c r="AW306">
        <v>1.545874</v>
      </c>
      <c r="AX306">
        <v>1.3321606666666701</v>
      </c>
      <c r="AY306">
        <v>13.4296066666667</v>
      </c>
      <c r="AZ306">
        <v>11.1666666666667</v>
      </c>
      <c r="BA306">
        <v>999.99966666666705</v>
      </c>
      <c r="BB306">
        <v>0.89999499999999999</v>
      </c>
      <c r="BC306">
        <v>0</v>
      </c>
      <c r="BD306">
        <v>0.100005066666667</v>
      </c>
      <c r="BE306">
        <v>0</v>
      </c>
      <c r="BF306">
        <v>25</v>
      </c>
      <c r="BG306">
        <v>16488.740000000002</v>
      </c>
      <c r="BH306">
        <v>1771004326.0999999</v>
      </c>
      <c r="BI306" t="s">
        <v>878</v>
      </c>
      <c r="BJ306">
        <v>1771004304.0999999</v>
      </c>
      <c r="BK306">
        <v>1771004326.0999999</v>
      </c>
      <c r="BL306">
        <v>17</v>
      </c>
      <c r="BM306">
        <v>0.03</v>
      </c>
      <c r="BN306">
        <v>-1.2E-2</v>
      </c>
      <c r="BO306">
        <v>-0.85699999999999998</v>
      </c>
      <c r="BP306">
        <v>0.08</v>
      </c>
      <c r="BQ306">
        <v>410</v>
      </c>
      <c r="BR306">
        <v>14</v>
      </c>
      <c r="BS306">
        <v>0.16</v>
      </c>
      <c r="BT306">
        <v>0.13</v>
      </c>
      <c r="BU306">
        <v>-1.1656371428571399</v>
      </c>
      <c r="BV306">
        <v>-3.4812467532469499E-2</v>
      </c>
      <c r="BW306">
        <v>1.7634493564185699E-2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2.1305185714285702</v>
      </c>
      <c r="CD306">
        <v>1.21550649350645E-2</v>
      </c>
      <c r="CE306">
        <v>2.3195161353266399E-3</v>
      </c>
      <c r="CF306">
        <v>1</v>
      </c>
      <c r="CG306">
        <v>2</v>
      </c>
      <c r="CH306">
        <v>2</v>
      </c>
      <c r="CI306" t="s">
        <v>304</v>
      </c>
      <c r="CJ306">
        <v>3.5325099999999998</v>
      </c>
      <c r="CK306">
        <v>2.7020499999999998</v>
      </c>
      <c r="CL306">
        <v>9.7982700000000006E-2</v>
      </c>
      <c r="CM306">
        <v>9.6817600000000004E-2</v>
      </c>
      <c r="CN306">
        <v>8.74524E-2</v>
      </c>
      <c r="CO306">
        <v>7.74199E-2</v>
      </c>
      <c r="CP306">
        <v>31643.3</v>
      </c>
      <c r="CQ306">
        <v>27819.4</v>
      </c>
      <c r="CR306">
        <v>32467.5</v>
      </c>
      <c r="CS306">
        <v>30727.7</v>
      </c>
      <c r="CT306">
        <v>40115.9</v>
      </c>
      <c r="CU306">
        <v>39869.699999999997</v>
      </c>
      <c r="CV306">
        <v>47414</v>
      </c>
      <c r="CW306">
        <v>46859.8</v>
      </c>
      <c r="CX306">
        <v>2.6266600000000002</v>
      </c>
      <c r="CY306">
        <v>2.1306600000000002</v>
      </c>
      <c r="CZ306">
        <v>0</v>
      </c>
      <c r="DA306">
        <v>0</v>
      </c>
      <c r="DB306">
        <v>999.9</v>
      </c>
      <c r="DC306">
        <v>999.9</v>
      </c>
      <c r="DD306">
        <v>50.561999999999998</v>
      </c>
      <c r="DE306">
        <v>27.765000000000001</v>
      </c>
      <c r="DF306">
        <v>18.8691</v>
      </c>
      <c r="DG306">
        <v>30.530200000000001</v>
      </c>
      <c r="DH306">
        <v>16.510400000000001</v>
      </c>
      <c r="DI306">
        <v>2</v>
      </c>
      <c r="DJ306">
        <v>-0.13642699999999999</v>
      </c>
      <c r="DK306">
        <v>2.4064100000000002</v>
      </c>
      <c r="DL306">
        <v>20.185400000000001</v>
      </c>
      <c r="DM306">
        <v>5.2513100000000001</v>
      </c>
      <c r="DN306">
        <v>12.033899999999999</v>
      </c>
      <c r="DO306">
        <v>4.9676799999999997</v>
      </c>
      <c r="DP306">
        <v>3.2909999999999999</v>
      </c>
      <c r="DQ306">
        <v>9999</v>
      </c>
      <c r="DR306">
        <v>9999</v>
      </c>
      <c r="DS306">
        <v>597.9</v>
      </c>
      <c r="DT306">
        <v>9999</v>
      </c>
      <c r="DU306">
        <v>1.87103</v>
      </c>
      <c r="DV306">
        <v>1.8760600000000001</v>
      </c>
      <c r="DW306">
        <v>1.8762399999999999</v>
      </c>
      <c r="DX306">
        <v>1.8827700000000001</v>
      </c>
      <c r="DY306">
        <v>1.87557</v>
      </c>
      <c r="DZ306">
        <v>1.8745799999999999</v>
      </c>
      <c r="EA306">
        <v>1.87077</v>
      </c>
      <c r="EB306">
        <v>1.87456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-0.85599999999999998</v>
      </c>
      <c r="EQ306">
        <v>8.0399999999999999E-2</v>
      </c>
      <c r="ER306">
        <v>-0.85680000000002099</v>
      </c>
      <c r="ES306">
        <v>0</v>
      </c>
      <c r="ET306">
        <v>0</v>
      </c>
      <c r="EU306">
        <v>0</v>
      </c>
      <c r="EV306">
        <v>8.0349999999999297E-2</v>
      </c>
      <c r="EW306">
        <v>0</v>
      </c>
      <c r="EX306">
        <v>0</v>
      </c>
      <c r="EY306">
        <v>0</v>
      </c>
      <c r="EZ306">
        <v>-1</v>
      </c>
      <c r="FA306">
        <v>-1</v>
      </c>
      <c r="FB306">
        <v>-1</v>
      </c>
      <c r="FC306">
        <v>-1</v>
      </c>
      <c r="FD306">
        <v>1.9</v>
      </c>
      <c r="FE306">
        <v>1.5</v>
      </c>
      <c r="FF306">
        <v>1.24146</v>
      </c>
      <c r="FG306">
        <v>2.5939899999999998</v>
      </c>
      <c r="FH306">
        <v>2.19604</v>
      </c>
      <c r="FI306">
        <v>2.5744600000000002</v>
      </c>
      <c r="FJ306">
        <v>2.4462899999999999</v>
      </c>
      <c r="FK306">
        <v>2.2973599999999998</v>
      </c>
      <c r="FL306">
        <v>32.0244</v>
      </c>
      <c r="FM306">
        <v>24.14</v>
      </c>
      <c r="FN306">
        <v>19</v>
      </c>
      <c r="FO306">
        <v>865.755</v>
      </c>
      <c r="FP306">
        <v>574.6</v>
      </c>
      <c r="FQ306">
        <v>17.881399999999999</v>
      </c>
      <c r="FR306">
        <v>25.2895</v>
      </c>
      <c r="FS306">
        <v>30.0001</v>
      </c>
      <c r="FT306">
        <v>25.306699999999999</v>
      </c>
      <c r="FU306">
        <v>25.308900000000001</v>
      </c>
      <c r="FV306">
        <v>24.928100000000001</v>
      </c>
      <c r="FW306">
        <v>33.113799999999998</v>
      </c>
      <c r="FX306">
        <v>0</v>
      </c>
      <c r="FY306">
        <v>17.8825</v>
      </c>
      <c r="FZ306">
        <v>410</v>
      </c>
      <c r="GA306">
        <v>13.2308</v>
      </c>
      <c r="GB306">
        <v>99.909800000000004</v>
      </c>
      <c r="GC306">
        <v>99.755200000000002</v>
      </c>
    </row>
    <row r="307" spans="1:185" x14ac:dyDescent="0.2">
      <c r="A307">
        <v>292</v>
      </c>
      <c r="B307">
        <v>1771004433.0999999</v>
      </c>
      <c r="C307">
        <v>5810</v>
      </c>
      <c r="D307" t="s">
        <v>893</v>
      </c>
      <c r="E307" t="s">
        <v>894</v>
      </c>
      <c r="F307">
        <v>15</v>
      </c>
      <c r="G307">
        <v>1771004425.03333</v>
      </c>
      <c r="H307">
        <f t="shared" si="52"/>
        <v>1.7278728391648707E-3</v>
      </c>
      <c r="I307">
        <v>0</v>
      </c>
      <c r="J307">
        <f t="shared" si="64"/>
        <v>1.3056870427628228E-2</v>
      </c>
      <c r="K307">
        <f t="shared" si="53"/>
        <v>0.23347321996145748</v>
      </c>
      <c r="L307">
        <f t="shared" si="54"/>
        <v>70.1118103135165</v>
      </c>
      <c r="M307">
        <f t="shared" si="55"/>
        <v>1.5463775589341837</v>
      </c>
      <c r="N307">
        <f t="shared" si="56"/>
        <v>2.2055878346590996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26291.337496245185</v>
      </c>
      <c r="T307">
        <f t="shared" si="60"/>
        <v>1000</v>
      </c>
      <c r="U307">
        <f t="shared" si="61"/>
        <v>843.00022600000023</v>
      </c>
      <c r="V307">
        <f t="shared" si="62"/>
        <v>0.84300022600000024</v>
      </c>
      <c r="W307">
        <f t="shared" si="63"/>
        <v>0.15870043508000009</v>
      </c>
      <c r="X307">
        <v>1</v>
      </c>
      <c r="Y307">
        <v>1771004425.03333</v>
      </c>
      <c r="Z307">
        <v>408.811733333333</v>
      </c>
      <c r="AA307">
        <v>409.986533333333</v>
      </c>
      <c r="AB307">
        <v>15.4069133333333</v>
      </c>
      <c r="AC307">
        <v>13.2803666666667</v>
      </c>
      <c r="AD307">
        <v>409.66860000000003</v>
      </c>
      <c r="AE307">
        <v>15.3265733333333</v>
      </c>
      <c r="AF307">
        <v>800.00673333333395</v>
      </c>
      <c r="AG307">
        <v>100.304866666667</v>
      </c>
      <c r="AH307">
        <v>6.4203079999999996E-2</v>
      </c>
      <c r="AI307">
        <v>19.002960000000002</v>
      </c>
      <c r="AJ307">
        <v>999.9</v>
      </c>
      <c r="AK307">
        <v>999.9</v>
      </c>
      <c r="AL307">
        <v>0</v>
      </c>
      <c r="AM307">
        <v>0</v>
      </c>
      <c r="AN307">
        <v>4998.2666666666701</v>
      </c>
      <c r="AO307">
        <v>0</v>
      </c>
      <c r="AP307">
        <v>1.6937899999999999</v>
      </c>
      <c r="AQ307">
        <v>-1.1747300000000001</v>
      </c>
      <c r="AR307">
        <v>415.20893333333299</v>
      </c>
      <c r="AS307">
        <v>415.50459999999998</v>
      </c>
      <c r="AT307">
        <v>2.1265546666666699</v>
      </c>
      <c r="AU307">
        <v>409.986533333333</v>
      </c>
      <c r="AV307">
        <v>13.2803666666667</v>
      </c>
      <c r="AW307">
        <v>1.54538933333333</v>
      </c>
      <c r="AX307">
        <v>1.3320860000000001</v>
      </c>
      <c r="AY307">
        <v>13.424799999999999</v>
      </c>
      <c r="AZ307">
        <v>11.165839999999999</v>
      </c>
      <c r="BA307">
        <v>1000</v>
      </c>
      <c r="BB307">
        <v>0.89999439999999997</v>
      </c>
      <c r="BC307">
        <v>0</v>
      </c>
      <c r="BD307">
        <v>0.10000566666666701</v>
      </c>
      <c r="BE307">
        <v>0</v>
      </c>
      <c r="BF307">
        <v>25</v>
      </c>
      <c r="BG307">
        <v>16488.766666666699</v>
      </c>
      <c r="BH307">
        <v>1771004326.0999999</v>
      </c>
      <c r="BI307" t="s">
        <v>878</v>
      </c>
      <c r="BJ307">
        <v>1771004304.0999999</v>
      </c>
      <c r="BK307">
        <v>1771004326.0999999</v>
      </c>
      <c r="BL307">
        <v>17</v>
      </c>
      <c r="BM307">
        <v>0.03</v>
      </c>
      <c r="BN307">
        <v>-1.2E-2</v>
      </c>
      <c r="BO307">
        <v>-0.85699999999999998</v>
      </c>
      <c r="BP307">
        <v>0.08</v>
      </c>
      <c r="BQ307">
        <v>410</v>
      </c>
      <c r="BR307">
        <v>14</v>
      </c>
      <c r="BS307">
        <v>0.16</v>
      </c>
      <c r="BT307">
        <v>0.13</v>
      </c>
      <c r="BU307">
        <v>-1.1724995</v>
      </c>
      <c r="BV307">
        <v>-8.8912330827069203E-2</v>
      </c>
      <c r="BW307">
        <v>1.8102508520920501E-2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2.1282199999999998</v>
      </c>
      <c r="CD307">
        <v>-4.1044511278193398E-2</v>
      </c>
      <c r="CE307">
        <v>4.6865691075668597E-3</v>
      </c>
      <c r="CF307">
        <v>1</v>
      </c>
      <c r="CG307">
        <v>2</v>
      </c>
      <c r="CH307">
        <v>2</v>
      </c>
      <c r="CI307" t="s">
        <v>304</v>
      </c>
      <c r="CJ307">
        <v>3.5325500000000001</v>
      </c>
      <c r="CK307">
        <v>2.7019500000000001</v>
      </c>
      <c r="CL307">
        <v>9.7982100000000003E-2</v>
      </c>
      <c r="CM307">
        <v>9.68218E-2</v>
      </c>
      <c r="CN307">
        <v>8.73776E-2</v>
      </c>
      <c r="CO307">
        <v>7.7419600000000005E-2</v>
      </c>
      <c r="CP307">
        <v>31642.9</v>
      </c>
      <c r="CQ307">
        <v>27819.599999999999</v>
      </c>
      <c r="CR307">
        <v>32467.200000000001</v>
      </c>
      <c r="CS307">
        <v>30728.1</v>
      </c>
      <c r="CT307">
        <v>40118.699999999997</v>
      </c>
      <c r="CU307">
        <v>39870</v>
      </c>
      <c r="CV307">
        <v>47413.2</v>
      </c>
      <c r="CW307">
        <v>46860.1</v>
      </c>
      <c r="CX307">
        <v>2.62676</v>
      </c>
      <c r="CY307">
        <v>2.1307800000000001</v>
      </c>
      <c r="CZ307">
        <v>0</v>
      </c>
      <c r="DA307">
        <v>0</v>
      </c>
      <c r="DB307">
        <v>999.9</v>
      </c>
      <c r="DC307">
        <v>999.9</v>
      </c>
      <c r="DD307">
        <v>50.561999999999998</v>
      </c>
      <c r="DE307">
        <v>27.774999999999999</v>
      </c>
      <c r="DF307">
        <v>18.879300000000001</v>
      </c>
      <c r="DG307">
        <v>30.290199999999999</v>
      </c>
      <c r="DH307">
        <v>16.558499999999999</v>
      </c>
      <c r="DI307">
        <v>2</v>
      </c>
      <c r="DJ307">
        <v>-0.136435</v>
      </c>
      <c r="DK307">
        <v>2.4198</v>
      </c>
      <c r="DL307">
        <v>20.184999999999999</v>
      </c>
      <c r="DM307">
        <v>5.2508299999999997</v>
      </c>
      <c r="DN307">
        <v>12.033899999999999</v>
      </c>
      <c r="DO307">
        <v>4.9676400000000003</v>
      </c>
      <c r="DP307">
        <v>3.2909999999999999</v>
      </c>
      <c r="DQ307">
        <v>9999</v>
      </c>
      <c r="DR307">
        <v>9999</v>
      </c>
      <c r="DS307">
        <v>597.9</v>
      </c>
      <c r="DT307">
        <v>9999</v>
      </c>
      <c r="DU307">
        <v>1.87103</v>
      </c>
      <c r="DV307">
        <v>1.8760699999999999</v>
      </c>
      <c r="DW307">
        <v>1.8762300000000001</v>
      </c>
      <c r="DX307">
        <v>1.88276</v>
      </c>
      <c r="DY307">
        <v>1.8755500000000001</v>
      </c>
      <c r="DZ307">
        <v>1.8745700000000001</v>
      </c>
      <c r="EA307">
        <v>1.8707499999999999</v>
      </c>
      <c r="EB307">
        <v>1.8745700000000001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-0.85699999999999998</v>
      </c>
      <c r="EQ307">
        <v>8.0299999999999996E-2</v>
      </c>
      <c r="ER307">
        <v>-0.85680000000002099</v>
      </c>
      <c r="ES307">
        <v>0</v>
      </c>
      <c r="ET307">
        <v>0</v>
      </c>
      <c r="EU307">
        <v>0</v>
      </c>
      <c r="EV307">
        <v>8.0349999999999297E-2</v>
      </c>
      <c r="EW307">
        <v>0</v>
      </c>
      <c r="EX307">
        <v>0</v>
      </c>
      <c r="EY307">
        <v>0</v>
      </c>
      <c r="EZ307">
        <v>-1</v>
      </c>
      <c r="FA307">
        <v>-1</v>
      </c>
      <c r="FB307">
        <v>-1</v>
      </c>
      <c r="FC307">
        <v>-1</v>
      </c>
      <c r="FD307">
        <v>2.1</v>
      </c>
      <c r="FE307">
        <v>1.8</v>
      </c>
      <c r="FF307">
        <v>1.24146</v>
      </c>
      <c r="FG307">
        <v>2.5952099999999998</v>
      </c>
      <c r="FH307">
        <v>2.19604</v>
      </c>
      <c r="FI307">
        <v>2.5744600000000002</v>
      </c>
      <c r="FJ307">
        <v>2.4462899999999999</v>
      </c>
      <c r="FK307">
        <v>2.2741699999999998</v>
      </c>
      <c r="FL307">
        <v>32.046399999999998</v>
      </c>
      <c r="FM307">
        <v>24.14</v>
      </c>
      <c r="FN307">
        <v>19</v>
      </c>
      <c r="FO307">
        <v>865.82799999999997</v>
      </c>
      <c r="FP307">
        <v>574.69200000000001</v>
      </c>
      <c r="FQ307">
        <v>17.875499999999999</v>
      </c>
      <c r="FR307">
        <v>25.289899999999999</v>
      </c>
      <c r="FS307">
        <v>30.0001</v>
      </c>
      <c r="FT307">
        <v>25.305499999999999</v>
      </c>
      <c r="FU307">
        <v>25.308900000000001</v>
      </c>
      <c r="FV307">
        <v>24.926400000000001</v>
      </c>
      <c r="FW307">
        <v>33.113799999999998</v>
      </c>
      <c r="FX307">
        <v>0</v>
      </c>
      <c r="FY307">
        <v>17.8736</v>
      </c>
      <c r="FZ307">
        <v>410</v>
      </c>
      <c r="GA307">
        <v>13.234</v>
      </c>
      <c r="GB307">
        <v>99.9084</v>
      </c>
      <c r="GC307">
        <v>99.756200000000007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2026-02-13T12:41:35Z</dcterms:created>
  <dcterms:modified xsi:type="dcterms:W3CDTF">2026-06-05T02:45:38Z</dcterms:modified>
</cp:coreProperties>
</file>