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"/>
    </mc:Choice>
  </mc:AlternateContent>
  <xr:revisionPtr revIDLastSave="6" documentId="11_ACE0710046ABDBA063AFF1ACF931E7563630E882" xr6:coauthVersionLast="47" xr6:coauthVersionMax="47" xr10:uidLastSave="{6CF96316-4A27-B44C-BA34-7BB3B72302EF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6" i="1"/>
  <c r="W118" i="1"/>
  <c r="V118" i="1"/>
  <c r="T118" i="1"/>
  <c r="U118" i="1" s="1"/>
  <c r="S118" i="1"/>
  <c r="Q118" i="1" s="1"/>
  <c r="N118" i="1"/>
  <c r="M118" i="1"/>
  <c r="L118" i="1" s="1"/>
  <c r="W117" i="1"/>
  <c r="V117" i="1"/>
  <c r="T117" i="1"/>
  <c r="U117" i="1" s="1"/>
  <c r="S117" i="1"/>
  <c r="Q117" i="1" s="1"/>
  <c r="R117" i="1" s="1"/>
  <c r="N117" i="1"/>
  <c r="M117" i="1"/>
  <c r="W116" i="1"/>
  <c r="V116" i="1"/>
  <c r="T116" i="1"/>
  <c r="U116" i="1" s="1"/>
  <c r="S116" i="1"/>
  <c r="Q116" i="1" s="1"/>
  <c r="N116" i="1"/>
  <c r="M116" i="1"/>
  <c r="L116" i="1" s="1"/>
  <c r="W115" i="1"/>
  <c r="V115" i="1"/>
  <c r="T115" i="1"/>
  <c r="S115" i="1"/>
  <c r="Q115" i="1" s="1"/>
  <c r="K115" i="1" s="1"/>
  <c r="N115" i="1"/>
  <c r="M115" i="1"/>
  <c r="L115" i="1" s="1"/>
  <c r="W114" i="1"/>
  <c r="V114" i="1"/>
  <c r="T114" i="1"/>
  <c r="U114" i="1" s="1"/>
  <c r="S114" i="1"/>
  <c r="Q114" i="1" s="1"/>
  <c r="K114" i="1" s="1"/>
  <c r="N114" i="1"/>
  <c r="M114" i="1"/>
  <c r="L114" i="1" s="1"/>
  <c r="W113" i="1"/>
  <c r="V113" i="1"/>
  <c r="U113" i="1" s="1"/>
  <c r="T113" i="1"/>
  <c r="S113" i="1"/>
  <c r="Q113" i="1"/>
  <c r="N113" i="1"/>
  <c r="M113" i="1"/>
  <c r="L113" i="1" s="1"/>
  <c r="W112" i="1"/>
  <c r="V112" i="1"/>
  <c r="T112" i="1"/>
  <c r="S112" i="1"/>
  <c r="Q112" i="1" s="1"/>
  <c r="N112" i="1"/>
  <c r="M112" i="1"/>
  <c r="W111" i="1"/>
  <c r="V111" i="1"/>
  <c r="T111" i="1"/>
  <c r="U111" i="1" s="1"/>
  <c r="S111" i="1"/>
  <c r="Q111" i="1" s="1"/>
  <c r="N111" i="1"/>
  <c r="M111" i="1"/>
  <c r="L111" i="1" s="1"/>
  <c r="W110" i="1"/>
  <c r="V110" i="1"/>
  <c r="T110" i="1"/>
  <c r="U110" i="1" s="1"/>
  <c r="S110" i="1"/>
  <c r="Q110" i="1" s="1"/>
  <c r="K110" i="1" s="1"/>
  <c r="N110" i="1"/>
  <c r="L110" i="1" s="1"/>
  <c r="M110" i="1"/>
  <c r="W109" i="1"/>
  <c r="V109" i="1"/>
  <c r="T109" i="1"/>
  <c r="U109" i="1" s="1"/>
  <c r="S109" i="1"/>
  <c r="Q109" i="1"/>
  <c r="K109" i="1" s="1"/>
  <c r="N109" i="1"/>
  <c r="M109" i="1"/>
  <c r="L109" i="1" s="1"/>
  <c r="W108" i="1"/>
  <c r="V108" i="1"/>
  <c r="T108" i="1"/>
  <c r="U108" i="1" s="1"/>
  <c r="S108" i="1"/>
  <c r="Q108" i="1" s="1"/>
  <c r="K108" i="1" s="1"/>
  <c r="N108" i="1"/>
  <c r="M108" i="1"/>
  <c r="W107" i="1"/>
  <c r="V107" i="1"/>
  <c r="T107" i="1"/>
  <c r="S107" i="1"/>
  <c r="Q107" i="1"/>
  <c r="N107" i="1"/>
  <c r="M107" i="1"/>
  <c r="L107" i="1" s="1"/>
  <c r="W106" i="1"/>
  <c r="V106" i="1"/>
  <c r="T106" i="1"/>
  <c r="U106" i="1" s="1"/>
  <c r="S106" i="1"/>
  <c r="Q106" i="1" s="1"/>
  <c r="N106" i="1"/>
  <c r="M106" i="1"/>
  <c r="W105" i="1"/>
  <c r="V105" i="1"/>
  <c r="U105" i="1" s="1"/>
  <c r="T105" i="1"/>
  <c r="S105" i="1"/>
  <c r="Q105" i="1" s="1"/>
  <c r="K105" i="1" s="1"/>
  <c r="N105" i="1"/>
  <c r="L105" i="1" s="1"/>
  <c r="M105" i="1"/>
  <c r="W104" i="1"/>
  <c r="V104" i="1"/>
  <c r="U104" i="1" s="1"/>
  <c r="T104" i="1"/>
  <c r="S104" i="1"/>
  <c r="Q104" i="1" s="1"/>
  <c r="K104" i="1" s="1"/>
  <c r="N104" i="1"/>
  <c r="L104" i="1" s="1"/>
  <c r="M104" i="1"/>
  <c r="W103" i="1"/>
  <c r="V103" i="1"/>
  <c r="T103" i="1"/>
  <c r="U103" i="1" s="1"/>
  <c r="S103" i="1"/>
  <c r="Q103" i="1" s="1"/>
  <c r="K103" i="1" s="1"/>
  <c r="N103" i="1"/>
  <c r="M103" i="1"/>
  <c r="L103" i="1" s="1"/>
  <c r="W102" i="1"/>
  <c r="V102" i="1"/>
  <c r="T102" i="1"/>
  <c r="S102" i="1"/>
  <c r="Q102" i="1" s="1"/>
  <c r="N102" i="1"/>
  <c r="M102" i="1"/>
  <c r="W101" i="1"/>
  <c r="V101" i="1"/>
  <c r="T101" i="1"/>
  <c r="U101" i="1" s="1"/>
  <c r="S101" i="1"/>
  <c r="Q101" i="1"/>
  <c r="N101" i="1"/>
  <c r="M101" i="1"/>
  <c r="W100" i="1"/>
  <c r="V100" i="1"/>
  <c r="T100" i="1"/>
  <c r="U100" i="1" s="1"/>
  <c r="S100" i="1"/>
  <c r="Q100" i="1" s="1"/>
  <c r="K100" i="1" s="1"/>
  <c r="N100" i="1"/>
  <c r="L100" i="1" s="1"/>
  <c r="M100" i="1"/>
  <c r="W99" i="1"/>
  <c r="V99" i="1"/>
  <c r="T99" i="1"/>
  <c r="U99" i="1" s="1"/>
  <c r="S99" i="1"/>
  <c r="Q99" i="1"/>
  <c r="N99" i="1"/>
  <c r="M99" i="1"/>
  <c r="L99" i="1" s="1"/>
  <c r="K99" i="1"/>
  <c r="W98" i="1"/>
  <c r="V98" i="1"/>
  <c r="T98" i="1"/>
  <c r="U98" i="1" s="1"/>
  <c r="S98" i="1"/>
  <c r="Q98" i="1"/>
  <c r="K98" i="1" s="1"/>
  <c r="N98" i="1"/>
  <c r="M98" i="1"/>
  <c r="W97" i="1"/>
  <c r="V97" i="1"/>
  <c r="T97" i="1"/>
  <c r="U97" i="1" s="1"/>
  <c r="S97" i="1"/>
  <c r="Q97" i="1" s="1"/>
  <c r="N97" i="1"/>
  <c r="M97" i="1"/>
  <c r="L97" i="1"/>
  <c r="W96" i="1"/>
  <c r="V96" i="1"/>
  <c r="T96" i="1"/>
  <c r="U96" i="1" s="1"/>
  <c r="S96" i="1"/>
  <c r="Q96" i="1" s="1"/>
  <c r="N96" i="1"/>
  <c r="M96" i="1"/>
  <c r="W95" i="1"/>
  <c r="V95" i="1"/>
  <c r="T95" i="1"/>
  <c r="U95" i="1" s="1"/>
  <c r="S95" i="1"/>
  <c r="Q95" i="1" s="1"/>
  <c r="N95" i="1"/>
  <c r="M95" i="1"/>
  <c r="L95" i="1" s="1"/>
  <c r="W94" i="1"/>
  <c r="V94" i="1"/>
  <c r="T94" i="1"/>
  <c r="S94" i="1"/>
  <c r="Q94" i="1" s="1"/>
  <c r="K94" i="1" s="1"/>
  <c r="N94" i="1"/>
  <c r="L94" i="1" s="1"/>
  <c r="M94" i="1"/>
  <c r="W93" i="1"/>
  <c r="V93" i="1"/>
  <c r="T93" i="1"/>
  <c r="S93" i="1"/>
  <c r="Q93" i="1" s="1"/>
  <c r="K93" i="1" s="1"/>
  <c r="N93" i="1"/>
  <c r="M93" i="1"/>
  <c r="L93" i="1" s="1"/>
  <c r="W92" i="1"/>
  <c r="V92" i="1"/>
  <c r="T92" i="1"/>
  <c r="U92" i="1" s="1"/>
  <c r="S92" i="1"/>
  <c r="Q92" i="1"/>
  <c r="K92" i="1" s="1"/>
  <c r="N92" i="1"/>
  <c r="M92" i="1"/>
  <c r="W91" i="1"/>
  <c r="V91" i="1"/>
  <c r="T91" i="1"/>
  <c r="U91" i="1" s="1"/>
  <c r="S91" i="1"/>
  <c r="Q91" i="1" s="1"/>
  <c r="N91" i="1"/>
  <c r="L91" i="1" s="1"/>
  <c r="M91" i="1"/>
  <c r="W90" i="1"/>
  <c r="V90" i="1"/>
  <c r="T90" i="1"/>
  <c r="U90" i="1" s="1"/>
  <c r="S90" i="1"/>
  <c r="Q90" i="1" s="1"/>
  <c r="N90" i="1"/>
  <c r="M90" i="1"/>
  <c r="W89" i="1"/>
  <c r="V89" i="1"/>
  <c r="T89" i="1"/>
  <c r="U89" i="1" s="1"/>
  <c r="S89" i="1"/>
  <c r="Q89" i="1" s="1"/>
  <c r="K89" i="1" s="1"/>
  <c r="N89" i="1"/>
  <c r="M89" i="1"/>
  <c r="L89" i="1" s="1"/>
  <c r="W88" i="1"/>
  <c r="V88" i="1"/>
  <c r="T88" i="1"/>
  <c r="U88" i="1" s="1"/>
  <c r="S88" i="1"/>
  <c r="Q88" i="1" s="1"/>
  <c r="K88" i="1" s="1"/>
  <c r="N88" i="1"/>
  <c r="M88" i="1"/>
  <c r="W87" i="1"/>
  <c r="V87" i="1"/>
  <c r="T87" i="1"/>
  <c r="U87" i="1" s="1"/>
  <c r="S87" i="1"/>
  <c r="Q87" i="1"/>
  <c r="K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/>
  <c r="N85" i="1"/>
  <c r="M85" i="1"/>
  <c r="L85" i="1" s="1"/>
  <c r="W84" i="1"/>
  <c r="V84" i="1"/>
  <c r="T84" i="1"/>
  <c r="S84" i="1"/>
  <c r="Q84" i="1" s="1"/>
  <c r="K84" i="1" s="1"/>
  <c r="N84" i="1"/>
  <c r="M84" i="1"/>
  <c r="W83" i="1"/>
  <c r="V83" i="1"/>
  <c r="T83" i="1"/>
  <c r="U83" i="1" s="1"/>
  <c r="S83" i="1"/>
  <c r="Q83" i="1"/>
  <c r="K83" i="1" s="1"/>
  <c r="N83" i="1"/>
  <c r="M83" i="1"/>
  <c r="L83" i="1" s="1"/>
  <c r="W82" i="1"/>
  <c r="V82" i="1"/>
  <c r="T82" i="1"/>
  <c r="U82" i="1" s="1"/>
  <c r="S82" i="1"/>
  <c r="Q82" i="1"/>
  <c r="K82" i="1" s="1"/>
  <c r="N82" i="1"/>
  <c r="M82" i="1"/>
  <c r="W81" i="1"/>
  <c r="V81" i="1"/>
  <c r="T81" i="1"/>
  <c r="U81" i="1" s="1"/>
  <c r="S81" i="1"/>
  <c r="Q81" i="1" s="1"/>
  <c r="N81" i="1"/>
  <c r="L81" i="1" s="1"/>
  <c r="M81" i="1"/>
  <c r="W80" i="1"/>
  <c r="V80" i="1"/>
  <c r="T80" i="1"/>
  <c r="U80" i="1" s="1"/>
  <c r="S80" i="1"/>
  <c r="Q80" i="1" s="1"/>
  <c r="N80" i="1"/>
  <c r="M80" i="1"/>
  <c r="W79" i="1"/>
  <c r="V79" i="1"/>
  <c r="T79" i="1"/>
  <c r="U79" i="1" s="1"/>
  <c r="S79" i="1"/>
  <c r="Q79" i="1" s="1"/>
  <c r="N79" i="1"/>
  <c r="M79" i="1"/>
  <c r="L79" i="1" s="1"/>
  <c r="W78" i="1"/>
  <c r="V78" i="1"/>
  <c r="T78" i="1"/>
  <c r="S78" i="1"/>
  <c r="Q78" i="1" s="1"/>
  <c r="K78" i="1" s="1"/>
  <c r="N78" i="1"/>
  <c r="L78" i="1" s="1"/>
  <c r="M78" i="1"/>
  <c r="W77" i="1"/>
  <c r="V77" i="1"/>
  <c r="U77" i="1" s="1"/>
  <c r="T77" i="1"/>
  <c r="S77" i="1"/>
  <c r="Q77" i="1" s="1"/>
  <c r="K77" i="1" s="1"/>
  <c r="N77" i="1"/>
  <c r="M77" i="1"/>
  <c r="L77" i="1" s="1"/>
  <c r="W76" i="1"/>
  <c r="V76" i="1"/>
  <c r="T76" i="1"/>
  <c r="U76" i="1" s="1"/>
  <c r="S76" i="1"/>
  <c r="Q76" i="1"/>
  <c r="K76" i="1" s="1"/>
  <c r="N76" i="1"/>
  <c r="M76" i="1"/>
  <c r="W75" i="1"/>
  <c r="V75" i="1"/>
  <c r="T75" i="1"/>
  <c r="U75" i="1" s="1"/>
  <c r="S75" i="1"/>
  <c r="Q75" i="1" s="1"/>
  <c r="N75" i="1"/>
  <c r="L75" i="1" s="1"/>
  <c r="M75" i="1"/>
  <c r="W74" i="1"/>
  <c r="V74" i="1"/>
  <c r="T74" i="1"/>
  <c r="U74" i="1" s="1"/>
  <c r="S74" i="1"/>
  <c r="Q74" i="1" s="1"/>
  <c r="N74" i="1"/>
  <c r="L74" i="1" s="1"/>
  <c r="M74" i="1"/>
  <c r="W73" i="1"/>
  <c r="V73" i="1"/>
  <c r="T73" i="1"/>
  <c r="U73" i="1" s="1"/>
  <c r="S73" i="1"/>
  <c r="Q73" i="1" s="1"/>
  <c r="K73" i="1" s="1"/>
  <c r="N73" i="1"/>
  <c r="M73" i="1"/>
  <c r="L73" i="1" s="1"/>
  <c r="W72" i="1"/>
  <c r="V72" i="1"/>
  <c r="T72" i="1"/>
  <c r="U72" i="1" s="1"/>
  <c r="S72" i="1"/>
  <c r="Q72" i="1" s="1"/>
  <c r="K72" i="1" s="1"/>
  <c r="N72" i="1"/>
  <c r="M72" i="1"/>
  <c r="W71" i="1"/>
  <c r="V71" i="1"/>
  <c r="T71" i="1"/>
  <c r="U71" i="1" s="1"/>
  <c r="S71" i="1"/>
  <c r="Q71" i="1"/>
  <c r="K71" i="1" s="1"/>
  <c r="N71" i="1"/>
  <c r="M71" i="1"/>
  <c r="W70" i="1"/>
  <c r="V70" i="1"/>
  <c r="T70" i="1"/>
  <c r="U70" i="1" s="1"/>
  <c r="S70" i="1"/>
  <c r="Q70" i="1" s="1"/>
  <c r="N70" i="1"/>
  <c r="M70" i="1"/>
  <c r="W69" i="1"/>
  <c r="V69" i="1"/>
  <c r="T69" i="1"/>
  <c r="S69" i="1"/>
  <c r="Q69" i="1"/>
  <c r="N69" i="1"/>
  <c r="M69" i="1"/>
  <c r="L69" i="1" s="1"/>
  <c r="W68" i="1"/>
  <c r="V68" i="1"/>
  <c r="U68" i="1"/>
  <c r="T68" i="1"/>
  <c r="S68" i="1"/>
  <c r="Q68" i="1" s="1"/>
  <c r="K68" i="1" s="1"/>
  <c r="N68" i="1"/>
  <c r="L68" i="1" s="1"/>
  <c r="M68" i="1"/>
  <c r="W67" i="1"/>
  <c r="V67" i="1"/>
  <c r="T67" i="1"/>
  <c r="S67" i="1"/>
  <c r="Q67" i="1" s="1"/>
  <c r="K67" i="1" s="1"/>
  <c r="N67" i="1"/>
  <c r="M67" i="1"/>
  <c r="L67" i="1" s="1"/>
  <c r="W66" i="1"/>
  <c r="V66" i="1"/>
  <c r="T66" i="1"/>
  <c r="S66" i="1"/>
  <c r="Q66" i="1" s="1"/>
  <c r="K66" i="1" s="1"/>
  <c r="N66" i="1"/>
  <c r="M66" i="1"/>
  <c r="W65" i="1"/>
  <c r="V65" i="1"/>
  <c r="U65" i="1"/>
  <c r="T65" i="1"/>
  <c r="S65" i="1"/>
  <c r="Q65" i="1" s="1"/>
  <c r="N65" i="1"/>
  <c r="M65" i="1"/>
  <c r="L65" i="1"/>
  <c r="W64" i="1"/>
  <c r="V64" i="1"/>
  <c r="T64" i="1"/>
  <c r="U64" i="1" s="1"/>
  <c r="S64" i="1"/>
  <c r="Q64" i="1" s="1"/>
  <c r="N64" i="1"/>
  <c r="M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K62" i="1" s="1"/>
  <c r="N62" i="1"/>
  <c r="M62" i="1"/>
  <c r="W61" i="1"/>
  <c r="V61" i="1"/>
  <c r="T61" i="1"/>
  <c r="U61" i="1" s="1"/>
  <c r="S61" i="1"/>
  <c r="Q61" i="1"/>
  <c r="K61" i="1" s="1"/>
  <c r="N61" i="1"/>
  <c r="M61" i="1"/>
  <c r="W60" i="1"/>
  <c r="V60" i="1"/>
  <c r="T60" i="1"/>
  <c r="S60" i="1"/>
  <c r="Q60" i="1" s="1"/>
  <c r="K60" i="1" s="1"/>
  <c r="N60" i="1"/>
  <c r="M60" i="1"/>
  <c r="W59" i="1"/>
  <c r="V59" i="1"/>
  <c r="T59" i="1"/>
  <c r="U59" i="1" s="1"/>
  <c r="S59" i="1"/>
  <c r="Q59" i="1"/>
  <c r="N59" i="1"/>
  <c r="M59" i="1"/>
  <c r="L59" i="1"/>
  <c r="W58" i="1"/>
  <c r="V58" i="1"/>
  <c r="U58" i="1"/>
  <c r="T58" i="1"/>
  <c r="S58" i="1"/>
  <c r="Q58" i="1" s="1"/>
  <c r="N58" i="1"/>
  <c r="M58" i="1"/>
  <c r="W57" i="1"/>
  <c r="V57" i="1"/>
  <c r="T57" i="1"/>
  <c r="U57" i="1" s="1"/>
  <c r="S57" i="1"/>
  <c r="Q57" i="1" s="1"/>
  <c r="K57" i="1" s="1"/>
  <c r="N57" i="1"/>
  <c r="L57" i="1" s="1"/>
  <c r="M57" i="1"/>
  <c r="W56" i="1"/>
  <c r="V56" i="1"/>
  <c r="T56" i="1"/>
  <c r="U56" i="1" s="1"/>
  <c r="S56" i="1"/>
  <c r="Q56" i="1" s="1"/>
  <c r="K56" i="1" s="1"/>
  <c r="N56" i="1"/>
  <c r="L56" i="1" s="1"/>
  <c r="M56" i="1"/>
  <c r="W55" i="1"/>
  <c r="V55" i="1"/>
  <c r="T55" i="1"/>
  <c r="S55" i="1"/>
  <c r="Q55" i="1"/>
  <c r="K55" i="1" s="1"/>
  <c r="N55" i="1"/>
  <c r="M55" i="1"/>
  <c r="L55" i="1" s="1"/>
  <c r="W54" i="1"/>
  <c r="V54" i="1"/>
  <c r="T54" i="1"/>
  <c r="U54" i="1" s="1"/>
  <c r="S54" i="1"/>
  <c r="Q54" i="1"/>
  <c r="N54" i="1"/>
  <c r="M54" i="1"/>
  <c r="W53" i="1"/>
  <c r="V53" i="1"/>
  <c r="T53" i="1"/>
  <c r="U53" i="1" s="1"/>
  <c r="S53" i="1"/>
  <c r="Q53" i="1" s="1"/>
  <c r="N53" i="1"/>
  <c r="M53" i="1"/>
  <c r="L53" i="1" s="1"/>
  <c r="W52" i="1"/>
  <c r="V52" i="1"/>
  <c r="U52" i="1" s="1"/>
  <c r="T52" i="1"/>
  <c r="S52" i="1"/>
  <c r="Q52" i="1" s="1"/>
  <c r="K52" i="1" s="1"/>
  <c r="N52" i="1"/>
  <c r="L52" i="1" s="1"/>
  <c r="M52" i="1"/>
  <c r="W51" i="1"/>
  <c r="V51" i="1"/>
  <c r="T51" i="1"/>
  <c r="S51" i="1"/>
  <c r="Q51" i="1" s="1"/>
  <c r="K51" i="1" s="1"/>
  <c r="N51" i="1"/>
  <c r="M51" i="1"/>
  <c r="L51" i="1" s="1"/>
  <c r="W50" i="1"/>
  <c r="V50" i="1"/>
  <c r="T50" i="1"/>
  <c r="U50" i="1" s="1"/>
  <c r="S50" i="1"/>
  <c r="Q50" i="1"/>
  <c r="K50" i="1" s="1"/>
  <c r="N50" i="1"/>
  <c r="M50" i="1"/>
  <c r="W49" i="1"/>
  <c r="V49" i="1"/>
  <c r="T49" i="1"/>
  <c r="U49" i="1" s="1"/>
  <c r="S49" i="1"/>
  <c r="Q49" i="1" s="1"/>
  <c r="N49" i="1"/>
  <c r="M49" i="1"/>
  <c r="L49" i="1" s="1"/>
  <c r="W48" i="1"/>
  <c r="V48" i="1"/>
  <c r="T48" i="1"/>
  <c r="S48" i="1"/>
  <c r="Q48" i="1" s="1"/>
  <c r="N48" i="1"/>
  <c r="M48" i="1"/>
  <c r="W47" i="1"/>
  <c r="V47" i="1"/>
  <c r="T47" i="1"/>
  <c r="U47" i="1" s="1"/>
  <c r="S47" i="1"/>
  <c r="Q47" i="1" s="1"/>
  <c r="N47" i="1"/>
  <c r="M47" i="1"/>
  <c r="L47" i="1" s="1"/>
  <c r="W46" i="1"/>
  <c r="V46" i="1"/>
  <c r="T46" i="1"/>
  <c r="U46" i="1" s="1"/>
  <c r="S46" i="1"/>
  <c r="Q46" i="1" s="1"/>
  <c r="K46" i="1" s="1"/>
  <c r="N46" i="1"/>
  <c r="M46" i="1"/>
  <c r="W45" i="1"/>
  <c r="V45" i="1"/>
  <c r="T45" i="1"/>
  <c r="S45" i="1"/>
  <c r="Q45" i="1"/>
  <c r="K45" i="1" s="1"/>
  <c r="N45" i="1"/>
  <c r="M45" i="1"/>
  <c r="L45" i="1" s="1"/>
  <c r="W44" i="1"/>
  <c r="V44" i="1"/>
  <c r="T44" i="1"/>
  <c r="U44" i="1" s="1"/>
  <c r="S44" i="1"/>
  <c r="Q44" i="1"/>
  <c r="K44" i="1" s="1"/>
  <c r="N44" i="1"/>
  <c r="M44" i="1"/>
  <c r="W43" i="1"/>
  <c r="V43" i="1"/>
  <c r="T43" i="1"/>
  <c r="S43" i="1"/>
  <c r="Q43" i="1" s="1"/>
  <c r="N43" i="1"/>
  <c r="M43" i="1"/>
  <c r="L43" i="1" s="1"/>
  <c r="W42" i="1"/>
  <c r="V42" i="1"/>
  <c r="T42" i="1"/>
  <c r="U42" i="1" s="1"/>
  <c r="S42" i="1"/>
  <c r="Q42" i="1" s="1"/>
  <c r="N42" i="1"/>
  <c r="M42" i="1"/>
  <c r="W41" i="1"/>
  <c r="V41" i="1"/>
  <c r="U41" i="1"/>
  <c r="T41" i="1"/>
  <c r="S41" i="1"/>
  <c r="Q41" i="1" s="1"/>
  <c r="K41" i="1" s="1"/>
  <c r="N41" i="1"/>
  <c r="M41" i="1"/>
  <c r="L41" i="1"/>
  <c r="W40" i="1"/>
  <c r="V40" i="1"/>
  <c r="U40" i="1"/>
  <c r="T40" i="1"/>
  <c r="S40" i="1"/>
  <c r="Q40" i="1" s="1"/>
  <c r="K40" i="1" s="1"/>
  <c r="N40" i="1"/>
  <c r="M40" i="1"/>
  <c r="W39" i="1"/>
  <c r="V39" i="1"/>
  <c r="T39" i="1"/>
  <c r="U39" i="1" s="1"/>
  <c r="S39" i="1"/>
  <c r="Q39" i="1" s="1"/>
  <c r="K39" i="1" s="1"/>
  <c r="N39" i="1"/>
  <c r="M39" i="1"/>
  <c r="W38" i="1"/>
  <c r="V38" i="1"/>
  <c r="T38" i="1"/>
  <c r="S38" i="1"/>
  <c r="Q38" i="1"/>
  <c r="N38" i="1"/>
  <c r="M38" i="1"/>
  <c r="L38" i="1" s="1"/>
  <c r="W37" i="1"/>
  <c r="V37" i="1"/>
  <c r="U37" i="1"/>
  <c r="T37" i="1"/>
  <c r="S37" i="1"/>
  <c r="Q37" i="1" s="1"/>
  <c r="N37" i="1"/>
  <c r="M37" i="1"/>
  <c r="L37" i="1"/>
  <c r="W36" i="1"/>
  <c r="V36" i="1"/>
  <c r="T36" i="1"/>
  <c r="U36" i="1" s="1"/>
  <c r="S36" i="1"/>
  <c r="Q36" i="1"/>
  <c r="K36" i="1" s="1"/>
  <c r="N36" i="1"/>
  <c r="M36" i="1"/>
  <c r="L36" i="1"/>
  <c r="W35" i="1"/>
  <c r="V35" i="1"/>
  <c r="T35" i="1"/>
  <c r="U35" i="1" s="1"/>
  <c r="S35" i="1"/>
  <c r="Q35" i="1" s="1"/>
  <c r="K35" i="1" s="1"/>
  <c r="N35" i="1"/>
  <c r="M35" i="1"/>
  <c r="W34" i="1"/>
  <c r="V34" i="1"/>
  <c r="T34" i="1"/>
  <c r="U34" i="1" s="1"/>
  <c r="S34" i="1"/>
  <c r="Q34" i="1" s="1"/>
  <c r="N34" i="1"/>
  <c r="M34" i="1"/>
  <c r="L34" i="1" s="1"/>
  <c r="W33" i="1"/>
  <c r="V33" i="1"/>
  <c r="T33" i="1"/>
  <c r="U33" i="1" s="1"/>
  <c r="S33" i="1"/>
  <c r="Q33" i="1" s="1"/>
  <c r="N33" i="1"/>
  <c r="L33" i="1" s="1"/>
  <c r="M33" i="1"/>
  <c r="W32" i="1"/>
  <c r="V32" i="1"/>
  <c r="T32" i="1"/>
  <c r="S32" i="1"/>
  <c r="Q32" i="1"/>
  <c r="K32" i="1" s="1"/>
  <c r="N32" i="1"/>
  <c r="M32" i="1"/>
  <c r="L32" i="1" s="1"/>
  <c r="W31" i="1"/>
  <c r="V31" i="1"/>
  <c r="T31" i="1"/>
  <c r="U31" i="1" s="1"/>
  <c r="S31" i="1"/>
  <c r="Q31" i="1"/>
  <c r="K31" i="1" s="1"/>
  <c r="N31" i="1"/>
  <c r="L31" i="1" s="1"/>
  <c r="M31" i="1"/>
  <c r="W30" i="1"/>
  <c r="V30" i="1"/>
  <c r="T30" i="1"/>
  <c r="S30" i="1"/>
  <c r="Q30" i="1"/>
  <c r="N30" i="1"/>
  <c r="M30" i="1"/>
  <c r="L30" i="1" s="1"/>
  <c r="W29" i="1"/>
  <c r="V29" i="1"/>
  <c r="U29" i="1"/>
  <c r="T29" i="1"/>
  <c r="S29" i="1"/>
  <c r="Q29" i="1" s="1"/>
  <c r="N29" i="1"/>
  <c r="L29" i="1" s="1"/>
  <c r="M29" i="1"/>
  <c r="W28" i="1"/>
  <c r="V28" i="1"/>
  <c r="T28" i="1"/>
  <c r="U28" i="1" s="1"/>
  <c r="S28" i="1"/>
  <c r="Q28" i="1" s="1"/>
  <c r="K28" i="1" s="1"/>
  <c r="N28" i="1"/>
  <c r="M28" i="1"/>
  <c r="L28" i="1" s="1"/>
  <c r="W27" i="1"/>
  <c r="V27" i="1"/>
  <c r="T27" i="1"/>
  <c r="S27" i="1"/>
  <c r="Q27" i="1"/>
  <c r="K27" i="1" s="1"/>
  <c r="N27" i="1"/>
  <c r="M27" i="1"/>
  <c r="L27" i="1" s="1"/>
  <c r="W26" i="1"/>
  <c r="V26" i="1"/>
  <c r="T26" i="1"/>
  <c r="U26" i="1" s="1"/>
  <c r="S26" i="1"/>
  <c r="Q26" i="1" s="1"/>
  <c r="N26" i="1"/>
  <c r="M26" i="1"/>
  <c r="W25" i="1"/>
  <c r="V25" i="1"/>
  <c r="T25" i="1"/>
  <c r="U25" i="1" s="1"/>
  <c r="S25" i="1"/>
  <c r="Q25" i="1" s="1"/>
  <c r="N25" i="1"/>
  <c r="M25" i="1"/>
  <c r="L25" i="1" s="1"/>
  <c r="W24" i="1"/>
  <c r="V24" i="1"/>
  <c r="T24" i="1"/>
  <c r="S24" i="1"/>
  <c r="Q24" i="1" s="1"/>
  <c r="K24" i="1" s="1"/>
  <c r="N24" i="1"/>
  <c r="M24" i="1"/>
  <c r="L24" i="1" s="1"/>
  <c r="W23" i="1"/>
  <c r="V23" i="1"/>
  <c r="T23" i="1"/>
  <c r="S23" i="1"/>
  <c r="Q23" i="1" s="1"/>
  <c r="K23" i="1" s="1"/>
  <c r="N23" i="1"/>
  <c r="M23" i="1"/>
  <c r="W22" i="1"/>
  <c r="V22" i="1"/>
  <c r="T22" i="1"/>
  <c r="U22" i="1" s="1"/>
  <c r="S22" i="1"/>
  <c r="Q22" i="1" s="1"/>
  <c r="R22" i="1" s="1"/>
  <c r="N22" i="1"/>
  <c r="M22" i="1"/>
  <c r="L22" i="1" s="1"/>
  <c r="W21" i="1"/>
  <c r="V21" i="1"/>
  <c r="T21" i="1"/>
  <c r="U21" i="1" s="1"/>
  <c r="S21" i="1"/>
  <c r="Q21" i="1" s="1"/>
  <c r="N21" i="1"/>
  <c r="M21" i="1"/>
  <c r="L21" i="1" s="1"/>
  <c r="W20" i="1"/>
  <c r="V20" i="1"/>
  <c r="U20" i="1" s="1"/>
  <c r="T20" i="1"/>
  <c r="S20" i="1"/>
  <c r="Q20" i="1" s="1"/>
  <c r="N20" i="1"/>
  <c r="M20" i="1"/>
  <c r="W19" i="1"/>
  <c r="V19" i="1"/>
  <c r="T19" i="1"/>
  <c r="S19" i="1"/>
  <c r="Q19" i="1" s="1"/>
  <c r="N19" i="1"/>
  <c r="M19" i="1"/>
  <c r="W18" i="1"/>
  <c r="V18" i="1"/>
  <c r="T18" i="1"/>
  <c r="U18" i="1" s="1"/>
  <c r="S18" i="1"/>
  <c r="Q18" i="1" s="1"/>
  <c r="N18" i="1"/>
  <c r="M18" i="1"/>
  <c r="L18" i="1" s="1"/>
  <c r="W17" i="1"/>
  <c r="V17" i="1"/>
  <c r="T17" i="1"/>
  <c r="S17" i="1"/>
  <c r="Q17" i="1" s="1"/>
  <c r="H17" i="1" s="1"/>
  <c r="N17" i="1"/>
  <c r="M17" i="1"/>
  <c r="L17" i="1" s="1"/>
  <c r="W16" i="1"/>
  <c r="V16" i="1"/>
  <c r="T16" i="1"/>
  <c r="S16" i="1"/>
  <c r="Q16" i="1"/>
  <c r="R16" i="1" s="1"/>
  <c r="N16" i="1"/>
  <c r="M16" i="1"/>
  <c r="U43" i="1" l="1"/>
  <c r="U48" i="1"/>
  <c r="U51" i="1"/>
  <c r="U60" i="1"/>
  <c r="L63" i="1"/>
  <c r="U66" i="1"/>
  <c r="U67" i="1"/>
  <c r="L71" i="1"/>
  <c r="L72" i="1"/>
  <c r="U84" i="1"/>
  <c r="L87" i="1"/>
  <c r="L88" i="1"/>
  <c r="U93" i="1"/>
  <c r="L106" i="1"/>
  <c r="L23" i="1"/>
  <c r="U16" i="1"/>
  <c r="U27" i="1"/>
  <c r="L46" i="1"/>
  <c r="U38" i="1"/>
  <c r="U55" i="1"/>
  <c r="L61" i="1"/>
  <c r="L62" i="1"/>
  <c r="U63" i="1"/>
  <c r="L101" i="1"/>
  <c r="U107" i="1"/>
  <c r="U112" i="1"/>
  <c r="U115" i="1"/>
  <c r="L117" i="1"/>
  <c r="U19" i="1"/>
  <c r="U23" i="1"/>
  <c r="U24" i="1"/>
  <c r="L42" i="1"/>
  <c r="L84" i="1"/>
  <c r="L39" i="1"/>
  <c r="L40" i="1"/>
  <c r="U45" i="1"/>
  <c r="U69" i="1"/>
  <c r="U78" i="1"/>
  <c r="L82" i="1"/>
  <c r="U85" i="1"/>
  <c r="U94" i="1"/>
  <c r="U102" i="1"/>
  <c r="L26" i="1"/>
  <c r="U30" i="1"/>
  <c r="U32" i="1"/>
  <c r="L35" i="1"/>
  <c r="R20" i="1"/>
  <c r="H20" i="1"/>
  <c r="K20" i="1"/>
  <c r="H116" i="1"/>
  <c r="K116" i="1"/>
  <c r="L20" i="1"/>
  <c r="L48" i="1"/>
  <c r="L64" i="1"/>
  <c r="L80" i="1"/>
  <c r="L96" i="1"/>
  <c r="L112" i="1"/>
  <c r="L50" i="1"/>
  <c r="L66" i="1"/>
  <c r="L98" i="1"/>
  <c r="L58" i="1"/>
  <c r="L90" i="1"/>
  <c r="L16" i="1"/>
  <c r="L44" i="1"/>
  <c r="L60" i="1"/>
  <c r="L76" i="1"/>
  <c r="L92" i="1"/>
  <c r="L108" i="1"/>
  <c r="U17" i="1"/>
  <c r="L54" i="1"/>
  <c r="L70" i="1"/>
  <c r="L86" i="1"/>
  <c r="L102" i="1"/>
  <c r="K21" i="1"/>
  <c r="H21" i="1"/>
  <c r="R21" i="1"/>
  <c r="K19" i="1"/>
  <c r="H19" i="1"/>
  <c r="R19" i="1"/>
  <c r="R18" i="1"/>
  <c r="K18" i="1"/>
  <c r="H18" i="1"/>
  <c r="K17" i="1"/>
  <c r="R25" i="1"/>
  <c r="H25" i="1"/>
  <c r="R29" i="1"/>
  <c r="H29" i="1"/>
  <c r="R33" i="1"/>
  <c r="H33" i="1"/>
  <c r="R37" i="1"/>
  <c r="H37" i="1"/>
  <c r="H42" i="1"/>
  <c r="R42" i="1"/>
  <c r="R47" i="1"/>
  <c r="H47" i="1"/>
  <c r="H58" i="1"/>
  <c r="R58" i="1"/>
  <c r="R63" i="1"/>
  <c r="H63" i="1"/>
  <c r="H74" i="1"/>
  <c r="R74" i="1"/>
  <c r="R79" i="1"/>
  <c r="H79" i="1"/>
  <c r="H90" i="1"/>
  <c r="R90" i="1"/>
  <c r="R95" i="1"/>
  <c r="H95" i="1"/>
  <c r="H106" i="1"/>
  <c r="R106" i="1"/>
  <c r="R111" i="1"/>
  <c r="H111" i="1"/>
  <c r="H48" i="1"/>
  <c r="R48" i="1"/>
  <c r="R53" i="1"/>
  <c r="H53" i="1"/>
  <c r="H64" i="1"/>
  <c r="R64" i="1"/>
  <c r="R69" i="1"/>
  <c r="H69" i="1"/>
  <c r="H80" i="1"/>
  <c r="R80" i="1"/>
  <c r="R85" i="1"/>
  <c r="H85" i="1"/>
  <c r="H96" i="1"/>
  <c r="R96" i="1"/>
  <c r="R101" i="1"/>
  <c r="H101" i="1"/>
  <c r="H112" i="1"/>
  <c r="R112" i="1"/>
  <c r="H26" i="1"/>
  <c r="R26" i="1"/>
  <c r="H30" i="1"/>
  <c r="R30" i="1"/>
  <c r="H34" i="1"/>
  <c r="R34" i="1"/>
  <c r="H38" i="1"/>
  <c r="R38" i="1"/>
  <c r="R43" i="1"/>
  <c r="H43" i="1"/>
  <c r="H54" i="1"/>
  <c r="R54" i="1"/>
  <c r="R59" i="1"/>
  <c r="H59" i="1"/>
  <c r="H70" i="1"/>
  <c r="R70" i="1"/>
  <c r="R75" i="1"/>
  <c r="H75" i="1"/>
  <c r="H86" i="1"/>
  <c r="R86" i="1"/>
  <c r="R91" i="1"/>
  <c r="H91" i="1"/>
  <c r="H102" i="1"/>
  <c r="R102" i="1"/>
  <c r="R107" i="1"/>
  <c r="H107" i="1"/>
  <c r="H44" i="1"/>
  <c r="R44" i="1"/>
  <c r="R49" i="1"/>
  <c r="H49" i="1"/>
  <c r="H60" i="1"/>
  <c r="R60" i="1"/>
  <c r="R65" i="1"/>
  <c r="H65" i="1"/>
  <c r="H76" i="1"/>
  <c r="R76" i="1"/>
  <c r="R81" i="1"/>
  <c r="H81" i="1"/>
  <c r="H92" i="1"/>
  <c r="R92" i="1"/>
  <c r="R97" i="1"/>
  <c r="H97" i="1"/>
  <c r="H108" i="1"/>
  <c r="R108" i="1"/>
  <c r="R113" i="1"/>
  <c r="H113" i="1"/>
  <c r="K118" i="1"/>
  <c r="H118" i="1"/>
  <c r="R118" i="1"/>
  <c r="H16" i="1"/>
  <c r="R17" i="1"/>
  <c r="R23" i="1"/>
  <c r="H23" i="1"/>
  <c r="K25" i="1"/>
  <c r="R27" i="1"/>
  <c r="H27" i="1"/>
  <c r="K29" i="1"/>
  <c r="R31" i="1"/>
  <c r="H31" i="1"/>
  <c r="K33" i="1"/>
  <c r="R35" i="1"/>
  <c r="H35" i="1"/>
  <c r="K37" i="1"/>
  <c r="R39" i="1"/>
  <c r="H39" i="1"/>
  <c r="K47" i="1"/>
  <c r="H50" i="1"/>
  <c r="R50" i="1"/>
  <c r="R55" i="1"/>
  <c r="H55" i="1"/>
  <c r="K63" i="1"/>
  <c r="H66" i="1"/>
  <c r="R66" i="1"/>
  <c r="R71" i="1"/>
  <c r="H71" i="1"/>
  <c r="K79" i="1"/>
  <c r="H82" i="1"/>
  <c r="R82" i="1"/>
  <c r="R87" i="1"/>
  <c r="H87" i="1"/>
  <c r="K95" i="1"/>
  <c r="H98" i="1"/>
  <c r="R98" i="1"/>
  <c r="R103" i="1"/>
  <c r="H103" i="1"/>
  <c r="K111" i="1"/>
  <c r="K16" i="1"/>
  <c r="H40" i="1"/>
  <c r="R40" i="1"/>
  <c r="K42" i="1"/>
  <c r="R45" i="1"/>
  <c r="H45" i="1"/>
  <c r="K53" i="1"/>
  <c r="H56" i="1"/>
  <c r="R56" i="1"/>
  <c r="K58" i="1"/>
  <c r="R61" i="1"/>
  <c r="H61" i="1"/>
  <c r="K69" i="1"/>
  <c r="H72" i="1"/>
  <c r="R72" i="1"/>
  <c r="K74" i="1"/>
  <c r="R77" i="1"/>
  <c r="H77" i="1"/>
  <c r="K85" i="1"/>
  <c r="H88" i="1"/>
  <c r="R88" i="1"/>
  <c r="K90" i="1"/>
  <c r="R93" i="1"/>
  <c r="H93" i="1"/>
  <c r="K101" i="1"/>
  <c r="H104" i="1"/>
  <c r="R104" i="1"/>
  <c r="K106" i="1"/>
  <c r="R109" i="1"/>
  <c r="H109" i="1"/>
  <c r="H114" i="1"/>
  <c r="R114" i="1"/>
  <c r="H22" i="1"/>
  <c r="H24" i="1"/>
  <c r="R24" i="1"/>
  <c r="K26" i="1"/>
  <c r="H28" i="1"/>
  <c r="R28" i="1"/>
  <c r="K30" i="1"/>
  <c r="H32" i="1"/>
  <c r="R32" i="1"/>
  <c r="K34" i="1"/>
  <c r="H36" i="1"/>
  <c r="R36" i="1"/>
  <c r="K38" i="1"/>
  <c r="K43" i="1"/>
  <c r="H46" i="1"/>
  <c r="R46" i="1"/>
  <c r="K48" i="1"/>
  <c r="R51" i="1"/>
  <c r="H51" i="1"/>
  <c r="K59" i="1"/>
  <c r="H62" i="1"/>
  <c r="R62" i="1"/>
  <c r="K64" i="1"/>
  <c r="R67" i="1"/>
  <c r="H67" i="1"/>
  <c r="K75" i="1"/>
  <c r="H78" i="1"/>
  <c r="R78" i="1"/>
  <c r="K80" i="1"/>
  <c r="R83" i="1"/>
  <c r="H83" i="1"/>
  <c r="K91" i="1"/>
  <c r="H94" i="1"/>
  <c r="R94" i="1"/>
  <c r="K96" i="1"/>
  <c r="R99" i="1"/>
  <c r="H99" i="1"/>
  <c r="K107" i="1"/>
  <c r="H110" i="1"/>
  <c r="R110" i="1"/>
  <c r="K112" i="1"/>
  <c r="L19" i="1"/>
  <c r="K22" i="1"/>
  <c r="R41" i="1"/>
  <c r="H41" i="1"/>
  <c r="K49" i="1"/>
  <c r="H52" i="1"/>
  <c r="R52" i="1"/>
  <c r="K54" i="1"/>
  <c r="R57" i="1"/>
  <c r="H57" i="1"/>
  <c r="K65" i="1"/>
  <c r="H68" i="1"/>
  <c r="R68" i="1"/>
  <c r="K70" i="1"/>
  <c r="R73" i="1"/>
  <c r="H73" i="1"/>
  <c r="K81" i="1"/>
  <c r="H84" i="1"/>
  <c r="R84" i="1"/>
  <c r="K86" i="1"/>
  <c r="R89" i="1"/>
  <c r="H89" i="1"/>
  <c r="K97" i="1"/>
  <c r="H100" i="1"/>
  <c r="R100" i="1"/>
  <c r="K102" i="1"/>
  <c r="R105" i="1"/>
  <c r="H105" i="1"/>
  <c r="K113" i="1"/>
  <c r="R115" i="1"/>
  <c r="H115" i="1"/>
  <c r="H117" i="1"/>
  <c r="K117" i="1"/>
  <c r="R116" i="1"/>
</calcChain>
</file>

<file path=xl/sharedStrings.xml><?xml version="1.0" encoding="utf-8"?>
<sst xmlns="http://schemas.openxmlformats.org/spreadsheetml/2006/main" count="1494" uniqueCount="505">
  <si>
    <t>File opened</t>
  </si>
  <si>
    <t>2026-01-16 10:45:56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</si>
  <si>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</si>
  <si>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</si>
  <si>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</si>
  <si>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</si>
  <si>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</si>
  <si>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</si>
  <si>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</si>
  <si>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</si>
  <si>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</si>
  <si>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</si>
  <si>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</si>
  <si>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{"co2aspan2": "-0.033915", "h2obspan1": "1.03315", "chamberpressurezero": "2.63782", "co2aspan1": "1.00052", "h2oaspan2": "0", "h2obspanconc2": "0", "tazero": "0.0324554", "h2oazero": "1.07438", "h2oaspanconc2": "0", "co2bspan2": "-0.0359676", "flowazero": "0.34786", "co2aspanconc2": "301.4", "tbzero": "0.0955181", "h2obspan2": "0", "co2aspan2a": "0.299679", "flowmeterzero": "1.00472", "co2aspanconc1": "2473", "co2bspan2a": "0.295418", "co2bspanconc1": "2473", "h2oaspan1": "1.01335", "co2bspan1": "1.00094", "h2obzero": "1.08151", "oxygen": "21", "h2obspan2b": "0.0728367", "flowbzero": "0.30857", "ssb_ref": "38888.9", "co2bspanconc2": "301.4", "h2oaspan2b": "0.0721966", "co2azero": "0.922307", "h2obspan2a": "0.0704999", "co2bzero": "0.99384", "co2bspan2b": "0.292556", "h2obspanconc1": "12.29", "co2aspan2b": "0.296788", "ssa_ref": "39976.8", "h2oaspan2a": "0.0712457", "h2oaspanconc1": "12.29"}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</si>
  <si>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</si>
  <si>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</si>
  <si>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</si>
  <si>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</si>
  <si>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</si>
  <si>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</si>
  <si>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</si>
  <si>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</si>
  <si>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</si>
  <si>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</si>
  <si>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</si>
  <si>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</si>
  <si>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</si>
  <si>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</si>
  <si>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</si>
  <si>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</si>
  <si>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</si>
  <si>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</si>
  <si>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</si>
  <si>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</si>
  <si>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10:45:56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</si>
  <si>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</si>
  <si>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</si>
  <si>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</si>
  <si>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</si>
  <si>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</si>
  <si>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</si>
  <si>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</si>
  <si>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</si>
  <si>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</si>
  <si>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</si>
  <si>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</si>
  <si>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</si>
  <si>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</si>
  <si>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</si>
  <si>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</si>
  <si>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</si>
  <si>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</si>
  <si>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</si>
  <si>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</si>
  <si>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</si>
  <si>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</si>
  <si>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</si>
  <si>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</si>
  <si>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</si>
  <si>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</si>
  <si>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</si>
  <si>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</si>
  <si>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</si>
  <si>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</si>
  <si>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</si>
  <si>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</si>
  <si>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</si>
  <si>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</si>
  <si>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</si>
  <si>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</si>
  <si>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</si>
  <si>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</si>
  <si>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</si>
  <si>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</si>
  <si>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</si>
  <si>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</si>
  <si>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</si>
  <si>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</si>
  <si>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</si>
  <si>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</si>
  <si>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</si>
  <si>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</si>
  <si>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</si>
  <si>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</si>
  <si>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</si>
  <si>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</si>
  <si>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</si>
  <si>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9.94806 89.29 380.673 626.225 857.863 1064.39 1243.66 1414.68</t>
  </si>
  <si>
    <t>Fs_true</t>
  </si>
  <si>
    <t>0.118314 102.302 402.527 601.178 801.857 1002.97 1200.35 1401.25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</si>
  <si>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</si>
  <si>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</si>
  <si>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</si>
  <si>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</si>
  <si>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</si>
  <si>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</si>
  <si>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</si>
  <si>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</si>
  <si>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</si>
  <si>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</si>
  <si>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</si>
  <si>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</si>
  <si>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</si>
  <si>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</si>
  <si>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</si>
  <si>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</si>
  <si>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</si>
  <si>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</si>
  <si>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</si>
  <si>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</si>
  <si>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</si>
  <si>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</si>
  <si>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</si>
  <si>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</si>
  <si>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</si>
  <si>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</si>
  <si>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</si>
  <si>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</si>
  <si>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</si>
  <si>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</si>
  <si>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</si>
  <si>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</si>
  <si>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</si>
  <si>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</si>
  <si>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</si>
  <si>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</si>
  <si>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</si>
  <si>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</si>
  <si>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</si>
  <si>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</si>
  <si>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</si>
  <si>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</si>
  <si>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</si>
  <si>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</si>
  <si>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</si>
  <si>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</si>
  <si>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</si>
  <si>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</si>
  <si>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</si>
  <si>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</si>
  <si>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</si>
  <si>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</si>
  <si>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</si>
  <si>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</si>
  <si>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</si>
  <si>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</si>
  <si>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</si>
  <si>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</si>
  <si>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</si>
  <si>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</si>
  <si>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</si>
  <si>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</si>
  <si>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</si>
  <si>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</si>
  <si>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</si>
  <si>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</si>
  <si>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</si>
  <si>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</si>
  <si>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</si>
  <si>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</si>
  <si>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</si>
  <si>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</si>
  <si>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</si>
  <si>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</si>
  <si>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</si>
  <si>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</si>
  <si>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</si>
  <si>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</si>
  <si>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</si>
  <si>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</si>
  <si>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</si>
  <si>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</si>
  <si>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</si>
  <si>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</si>
  <si>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</si>
  <si>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</si>
  <si>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</si>
  <si>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</si>
  <si>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</si>
  <si>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</si>
  <si>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</si>
  <si>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</si>
  <si>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</si>
  <si>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</si>
  <si>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</si>
  <si>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</si>
  <si>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</si>
  <si>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</si>
  <si>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</si>
  <si>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</si>
  <si>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</si>
  <si>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</si>
  <si>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</si>
  <si>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</si>
  <si>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</si>
  <si>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</si>
  <si>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</si>
  <si>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</si>
  <si>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</si>
  <si>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</si>
  <si>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</si>
  <si>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</si>
  <si>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</si>
  <si>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</si>
  <si>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</si>
  <si>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</si>
  <si>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</si>
  <si>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</si>
  <si>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</si>
  <si>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</si>
  <si>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</si>
  <si>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</si>
  <si>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</si>
  <si>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</si>
  <si>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</si>
  <si>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</si>
  <si>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</si>
  <si>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</si>
  <si>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</si>
  <si>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</si>
  <si>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</si>
  <si>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</si>
  <si>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</si>
  <si>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</si>
  <si>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CO2_hrs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</si>
  <si>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</si>
  <si>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</si>
  <si>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</si>
  <si>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</si>
  <si>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</si>
  <si>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</si>
  <si>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</si>
  <si>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</si>
  <si>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</si>
  <si>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</si>
  <si>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</si>
  <si>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</si>
  <si>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</si>
  <si>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</si>
  <si>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</si>
  <si>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</si>
  <si>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</si>
  <si>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</si>
  <si>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</si>
  <si>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</si>
  <si>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</si>
  <si>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</si>
  <si>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</si>
  <si>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</si>
  <si>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</si>
  <si>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</si>
  <si>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</si>
  <si>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</si>
  <si>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</si>
  <si>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</si>
  <si>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</si>
  <si>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</si>
  <si>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</si>
  <si>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</si>
  <si>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</si>
  <si>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</si>
  <si>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</si>
  <si>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</si>
  <si>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</si>
  <si>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</si>
  <si>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</si>
  <si>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</si>
  <si>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</si>
  <si>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</si>
  <si>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</si>
  <si>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</si>
  <si>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</si>
  <si>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</si>
  <si>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</si>
  <si>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</si>
  <si>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</si>
  <si>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</si>
  <si>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</si>
  <si>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</si>
  <si>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</si>
  <si>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</si>
  <si>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</si>
  <si>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</si>
  <si>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</si>
  <si>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</si>
  <si>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</si>
  <si>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</si>
  <si>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20260116 10:46:33</t>
  </si>
  <si>
    <t>10:46:33</t>
  </si>
  <si>
    <t>10:46:58</t>
  </si>
  <si>
    <t>0/2</t>
  </si>
  <si>
    <t>10111111</t>
  </si>
  <si>
    <t>oioooooo</t>
  </si>
  <si>
    <t>off</t>
  </si>
  <si>
    <t>on</t>
  </si>
  <si>
    <t>20260116 10:47:00</t>
  </si>
  <si>
    <t>10:47:00</t>
  </si>
  <si>
    <t>20260116 10:47:15</t>
  </si>
  <si>
    <t>10:47:15</t>
  </si>
  <si>
    <t>20260116 10:47:30</t>
  </si>
  <si>
    <t>10:47:30</t>
  </si>
  <si>
    <t>20260116 10:47:45</t>
  </si>
  <si>
    <t>10:47:45</t>
  </si>
  <si>
    <t>1/2</t>
  </si>
  <si>
    <t>20260116 10:48:00</t>
  </si>
  <si>
    <t>10:48:00</t>
  </si>
  <si>
    <t>20260116 10:48:15</t>
  </si>
  <si>
    <t>10:48:15</t>
  </si>
  <si>
    <t>20260116 10:48:30</t>
  </si>
  <si>
    <t>10:48:30</t>
  </si>
  <si>
    <t>20260116 10:48:45</t>
  </si>
  <si>
    <t>10:48:45</t>
  </si>
  <si>
    <t>20260116 10:49:00</t>
  </si>
  <si>
    <t>10:49:00</t>
  </si>
  <si>
    <t>20260116 10:49:15</t>
  </si>
  <si>
    <t>10:49:15</t>
  </si>
  <si>
    <t>20260116 10:49:30</t>
  </si>
  <si>
    <t>10:49:30</t>
  </si>
  <si>
    <t>20260116 10:49:45</t>
  </si>
  <si>
    <t>10:49:45</t>
  </si>
  <si>
    <t>2/2</t>
  </si>
  <si>
    <t>20260116 10:50:00</t>
  </si>
  <si>
    <t>10:50:00</t>
  </si>
  <si>
    <t>20260116 10:50:15</t>
  </si>
  <si>
    <t>10:50:15</t>
  </si>
  <si>
    <t>20260116 10:50:30</t>
  </si>
  <si>
    <t>10:50:30</t>
  </si>
  <si>
    <t>20260116 10:50:45</t>
  </si>
  <si>
    <t>10:50:45</t>
  </si>
  <si>
    <t>20260116 10:51:00</t>
  </si>
  <si>
    <t>10:51:00</t>
  </si>
  <si>
    <t>20260116 10:51:15</t>
  </si>
  <si>
    <t>10:51:15</t>
  </si>
  <si>
    <t>20260116 10:51:30</t>
  </si>
  <si>
    <t>10:51:30</t>
  </si>
  <si>
    <t>20260116 10:51:45</t>
  </si>
  <si>
    <t>10:51:45</t>
  </si>
  <si>
    <t>20260116 10:52:00</t>
  </si>
  <si>
    <t>10:52:00</t>
  </si>
  <si>
    <t>20260116 10:52:15</t>
  </si>
  <si>
    <t>10:52:15</t>
  </si>
  <si>
    <t>20260116 10:55:05</t>
  </si>
  <si>
    <t>10:55:05</t>
  </si>
  <si>
    <t>20260116 10:55:20</t>
  </si>
  <si>
    <t>10:55:20</t>
  </si>
  <si>
    <t>20260116 10:55:35</t>
  </si>
  <si>
    <t>10:55:35</t>
  </si>
  <si>
    <t>20260116 10:55:50</t>
  </si>
  <si>
    <t>10:55:50</t>
  </si>
  <si>
    <t>20260116 10:56:05</t>
  </si>
  <si>
    <t>10:56:05</t>
  </si>
  <si>
    <t>20260116 10:56:20</t>
  </si>
  <si>
    <t>10:56:20</t>
  </si>
  <si>
    <t>20260116 10:56:35</t>
  </si>
  <si>
    <t>10:56:35</t>
  </si>
  <si>
    <t>20260116 10:56:50</t>
  </si>
  <si>
    <t>10:56:50</t>
  </si>
  <si>
    <t>20260116 10:57:05</t>
  </si>
  <si>
    <t>10:57:05</t>
  </si>
  <si>
    <t>10:57:24</t>
  </si>
  <si>
    <t>20260116 10:57:26</t>
  </si>
  <si>
    <t>10:57:26</t>
  </si>
  <si>
    <t>20260116 10:57:41</t>
  </si>
  <si>
    <t>10:57:41</t>
  </si>
  <si>
    <t>20260116 10:57:56</t>
  </si>
  <si>
    <t>10:57:56</t>
  </si>
  <si>
    <t>20260116 10:58:11</t>
  </si>
  <si>
    <t>10:58:11</t>
  </si>
  <si>
    <t>20260116 10:58:26</t>
  </si>
  <si>
    <t>10:58:26</t>
  </si>
  <si>
    <t>20260116 10:58:41</t>
  </si>
  <si>
    <t>10:58:41</t>
  </si>
  <si>
    <t>20260116 10:58:56</t>
  </si>
  <si>
    <t>10:58:56</t>
  </si>
  <si>
    <t>20260116 10:59:11</t>
  </si>
  <si>
    <t>10:59:11</t>
  </si>
  <si>
    <t>20260116 10:59:26</t>
  </si>
  <si>
    <t>10:59:26</t>
  </si>
  <si>
    <t>20260116 10:59:41</t>
  </si>
  <si>
    <t>10:59:41</t>
  </si>
  <si>
    <t>20260116 10:59:56</t>
  </si>
  <si>
    <t>10:59:56</t>
  </si>
  <si>
    <t>20260116 11:01:58</t>
  </si>
  <si>
    <t>11:01:58</t>
  </si>
  <si>
    <t>20260116 11:02:13</t>
  </si>
  <si>
    <t>11:02:13</t>
  </si>
  <si>
    <t>20260116 11:02:28</t>
  </si>
  <si>
    <t>11:02:28</t>
  </si>
  <si>
    <t>20260116 11:02:43</t>
  </si>
  <si>
    <t>11:02:43</t>
  </si>
  <si>
    <t>20260116 11:02:58</t>
  </si>
  <si>
    <t>11:02:58</t>
  </si>
  <si>
    <t>20260116 11:03:13</t>
  </si>
  <si>
    <t>11:03:13</t>
  </si>
  <si>
    <t>20260116 11:03:28</t>
  </si>
  <si>
    <t>11:03:28</t>
  </si>
  <si>
    <t>20260116 11:03:43</t>
  </si>
  <si>
    <t>11:03:43</t>
  </si>
  <si>
    <t>20260116 11:03:58</t>
  </si>
  <si>
    <t>11:03:58</t>
  </si>
  <si>
    <t>20260116 11:04:13</t>
  </si>
  <si>
    <t>11:04:13</t>
  </si>
  <si>
    <t>20260116 11:04:28</t>
  </si>
  <si>
    <t>11:04:28</t>
  </si>
  <si>
    <t>20260116 11:04:43</t>
  </si>
  <si>
    <t>11:04:43</t>
  </si>
  <si>
    <t>20260116 11:04:58</t>
  </si>
  <si>
    <t>11:04:58</t>
  </si>
  <si>
    <t>20260116 11:07:19</t>
  </si>
  <si>
    <t>11:07:19</t>
  </si>
  <si>
    <t>20260116 11:07:34</t>
  </si>
  <si>
    <t>11:07:34</t>
  </si>
  <si>
    <t>11:08:00</t>
  </si>
  <si>
    <t>20260116 11:08:02</t>
  </si>
  <si>
    <t>11:08:02</t>
  </si>
  <si>
    <t>20260116 11:08:17</t>
  </si>
  <si>
    <t>11:08:17</t>
  </si>
  <si>
    <t>20260116 11:08:32</t>
  </si>
  <si>
    <t>11:08:32</t>
  </si>
  <si>
    <t>20260116 11:08:47</t>
  </si>
  <si>
    <t>11:08:47</t>
  </si>
  <si>
    <t>20260116 11:09:02</t>
  </si>
  <si>
    <t>11:09:02</t>
  </si>
  <si>
    <t>20260116 11:09:17</t>
  </si>
  <si>
    <t>11:09:17</t>
  </si>
  <si>
    <t>20260116 11:09:32</t>
  </si>
  <si>
    <t>11:09:32</t>
  </si>
  <si>
    <t>20260116 11:09:47</t>
  </si>
  <si>
    <t>11:09:47</t>
  </si>
  <si>
    <t>20260116 11:10:02</t>
  </si>
  <si>
    <t>11:10:02</t>
  </si>
  <si>
    <t>20260116 11:10:17</t>
  </si>
  <si>
    <t>11:10:17</t>
  </si>
  <si>
    <t>20260116 11:10:32</t>
  </si>
  <si>
    <t>11:10:32</t>
  </si>
  <si>
    <t>20260116 11:10:47</t>
  </si>
  <si>
    <t>11:10:47</t>
  </si>
  <si>
    <t>20260116 11:11:02</t>
  </si>
  <si>
    <t>11:11:02</t>
  </si>
  <si>
    <t>20260116 11:11:17</t>
  </si>
  <si>
    <t>11:11:17</t>
  </si>
  <si>
    <t>20260116 11:13:07</t>
  </si>
  <si>
    <t>11:13:07</t>
  </si>
  <si>
    <t>20260116 11:13:22</t>
  </si>
  <si>
    <t>11:13:22</t>
  </si>
  <si>
    <t>20260116 11:13:37</t>
  </si>
  <si>
    <t>11:13:37</t>
  </si>
  <si>
    <t>20260116 11:13:52</t>
  </si>
  <si>
    <t>11:13:52</t>
  </si>
  <si>
    <t>20260116 11:14:07</t>
  </si>
  <si>
    <t>11:14:07</t>
  </si>
  <si>
    <t>20260116 11:14:22</t>
  </si>
  <si>
    <t>11:14:22</t>
  </si>
  <si>
    <t>20260116 11:14:37</t>
  </si>
  <si>
    <t>11:14:37</t>
  </si>
  <si>
    <t>20260116 11:14:52</t>
  </si>
  <si>
    <t>11:14:52</t>
  </si>
  <si>
    <t>20260116 11:15:07</t>
  </si>
  <si>
    <t>11:15:07</t>
  </si>
  <si>
    <t>20260116 11:15:22</t>
  </si>
  <si>
    <t>11:15:22</t>
  </si>
  <si>
    <t>20260116 11:15:37</t>
  </si>
  <si>
    <t>11:15:37</t>
  </si>
  <si>
    <t>20260116 11:15:52</t>
  </si>
  <si>
    <t>11:15:52</t>
  </si>
  <si>
    <t>20260116 11:16:07</t>
  </si>
  <si>
    <t>11:16:07</t>
  </si>
  <si>
    <t>20260116 11:16:22</t>
  </si>
  <si>
    <t>11:16:22</t>
  </si>
  <si>
    <t>20260116 11:16:37</t>
  </si>
  <si>
    <t>11:16:37</t>
  </si>
  <si>
    <t>20260116 11:16:52</t>
  </si>
  <si>
    <t>11:16:52</t>
  </si>
  <si>
    <t>20260116 11:22:17</t>
  </si>
  <si>
    <t>11:22:17</t>
  </si>
  <si>
    <t>11:22:38</t>
  </si>
  <si>
    <t>20260116 11:22:40</t>
  </si>
  <si>
    <t>11:22:40</t>
  </si>
  <si>
    <t>20260116 11:22:55</t>
  </si>
  <si>
    <t>11:22:55</t>
  </si>
  <si>
    <t>20260116 11:23:10</t>
  </si>
  <si>
    <t>11:23:10</t>
  </si>
  <si>
    <t>20260116 11:23:25</t>
  </si>
  <si>
    <t>11:23:25</t>
  </si>
  <si>
    <t>20260116 11:23:40</t>
  </si>
  <si>
    <t>11:23:40</t>
  </si>
  <si>
    <t>20260116 11:23:55</t>
  </si>
  <si>
    <t>11:23:55</t>
  </si>
  <si>
    <t>20260116 11:24:10</t>
  </si>
  <si>
    <t>11:24:10</t>
  </si>
  <si>
    <t>20260116 11:24:25</t>
  </si>
  <si>
    <t>11:24:25</t>
  </si>
  <si>
    <t>20260116 11:24:40</t>
  </si>
  <si>
    <t>11:24:40</t>
  </si>
  <si>
    <t>20260116 11:24:55</t>
  </si>
  <si>
    <t>11:24:55</t>
  </si>
  <si>
    <t>20260116 11:25:10</t>
  </si>
  <si>
    <t>11:25:10</t>
  </si>
  <si>
    <t>20260116 11:25:25</t>
  </si>
  <si>
    <t>11:25:25</t>
  </si>
  <si>
    <t>20260116 11:25:40</t>
  </si>
  <si>
    <t>11:25:40</t>
  </si>
  <si>
    <t>20260116 11:25:55</t>
  </si>
  <si>
    <t>11:25:55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</si>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</sst>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18"/>
  <sheetViews>
    <sheetView tabSelected="1" topLeftCell="A108" workbookViewId="0">
      <selection activeCell="I120" sqref="I12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504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1768578393</v>
      </c>
      <c r="C16">
        <v>0</v>
      </c>
      <c r="D16" t="s">
        <v>287</v>
      </c>
      <c r="E16" t="s">
        <v>288</v>
      </c>
      <c r="F16">
        <v>15</v>
      </c>
      <c r="G16">
        <v>1768578384.5</v>
      </c>
      <c r="H16">
        <f t="shared" ref="H16:H47" si="0">AF16*Q16*(AB16-AC16)/(1000*X16*(1000-Q16*AB16))</f>
        <v>-5.2700454136061191E-4</v>
      </c>
      <c r="I16">
        <v>0</v>
      </c>
      <c r="J16">
        <f>K16*(0.0003137/0.0082157)</f>
        <v>2.1199496562040798E-2</v>
      </c>
      <c r="K16">
        <f t="shared" ref="K16:K47" si="1">AF16*Q16*(AA16-Z16*(1000-Q16*AC16)/(1000-Q16*AB16))/(1000*X16)</f>
        <v>0.55520785433458264</v>
      </c>
      <c r="L16">
        <f t="shared" ref="L16:L47" si="2">(M16/N16*100)</f>
        <v>72.486733032103984</v>
      </c>
      <c r="M16">
        <f t="shared" ref="M16:M47" si="3">AB16*(AG16+AH16)/1000</f>
        <v>1.5913247012305924</v>
      </c>
      <c r="N16">
        <f t="shared" ref="N16:N47" si="4">0.61365*EXP(17.502*AI16/(240.97+AI16))</f>
        <v>2.1953323520951114</v>
      </c>
      <c r="O16">
        <v>0</v>
      </c>
      <c r="P16">
        <v>0</v>
      </c>
      <c r="Q16">
        <f t="shared" ref="Q16:Q47" si="5">IF(O16*$H$13&gt;=S16,1,(S16/(S16-O16*$H$13)))</f>
        <v>1</v>
      </c>
      <c r="R16">
        <f t="shared" ref="R16:R47" si="6">(Q16-1)*100</f>
        <v>0</v>
      </c>
      <c r="S16">
        <f t="shared" ref="S16:S47" si="7">MAX(0,($B$13+$C$13*AN16)/(1+$D$13*AN16)*AG16/(AI16+273)*$E$13)</f>
        <v>25964.693712053671</v>
      </c>
      <c r="T16">
        <f t="shared" ref="T16:T47" si="8">$B$11*AO16+$C$11*AP16+$D$11*BA16</f>
        <v>0</v>
      </c>
      <c r="U16">
        <f t="shared" ref="U16:U47" si="9">T16*V16</f>
        <v>0</v>
      </c>
      <c r="V16">
        <f t="shared" ref="V16:V47" si="10">($B$11*$D$9+$C$11*$D$9+$D$11*(BB16*$E$9+BC16*$F$9+BD16*$G$9+BE16*$H$9))/($B$11+$C$11+$D$11)</f>
        <v>0</v>
      </c>
      <c r="W16">
        <f t="shared" ref="W16:W47" si="11">($B$11*$L$9+$C$11*$L$9+$D$11*(BB16*$M$9+BC16*$N$9+BD16*$O$9+BE16*$P$9))/($B$11+$C$11+$D$11)</f>
        <v>0</v>
      </c>
      <c r="X16">
        <v>1</v>
      </c>
      <c r="Y16">
        <v>1768578384.5</v>
      </c>
      <c r="Z16">
        <v>409.892875</v>
      </c>
      <c r="AA16">
        <v>410.37743749999998</v>
      </c>
      <c r="AB16">
        <v>16.060643750000001</v>
      </c>
      <c r="AC16">
        <v>16.80141875</v>
      </c>
      <c r="AD16">
        <v>410.88787500000001</v>
      </c>
      <c r="AE16">
        <v>15.89164375</v>
      </c>
      <c r="AF16">
        <v>699.99731250000002</v>
      </c>
      <c r="AG16">
        <v>99.0272875</v>
      </c>
      <c r="AH16">
        <v>5.4961381250000003E-2</v>
      </c>
      <c r="AI16">
        <v>18.928293750000002</v>
      </c>
      <c r="AJ16">
        <v>999.9</v>
      </c>
      <c r="AK16">
        <v>999.9</v>
      </c>
      <c r="AL16">
        <v>0</v>
      </c>
      <c r="AM16">
        <v>0</v>
      </c>
      <c r="AN16">
        <v>4998.53125</v>
      </c>
      <c r="AO16">
        <v>0</v>
      </c>
      <c r="AP16">
        <v>2.7758462499999998</v>
      </c>
      <c r="AQ16">
        <v>-0.12375650000000001</v>
      </c>
      <c r="AR16">
        <v>416.92943750000001</v>
      </c>
      <c r="AS16">
        <v>417.39037500000001</v>
      </c>
      <c r="AT16">
        <v>-0.78977118749999997</v>
      </c>
      <c r="AU16">
        <v>410.37743749999998</v>
      </c>
      <c r="AV16">
        <v>16.80141875</v>
      </c>
      <c r="AW16">
        <v>1.5855900000000001</v>
      </c>
      <c r="AX16">
        <v>1.6637999999999999</v>
      </c>
      <c r="AY16">
        <v>13.81945</v>
      </c>
      <c r="AZ16">
        <v>14.562537499999999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25</v>
      </c>
      <c r="BG16">
        <v>-0.12083341875</v>
      </c>
      <c r="BH16">
        <v>1768578418</v>
      </c>
      <c r="BI16" t="s">
        <v>289</v>
      </c>
      <c r="BJ16">
        <v>1768578418</v>
      </c>
      <c r="BK16">
        <v>1768578413</v>
      </c>
      <c r="BL16">
        <v>1</v>
      </c>
      <c r="BM16">
        <v>-0.36099999999999999</v>
      </c>
      <c r="BN16">
        <v>4.9000000000000002E-2</v>
      </c>
      <c r="BO16">
        <v>-0.995</v>
      </c>
      <c r="BP16">
        <v>0.16900000000000001</v>
      </c>
      <c r="BQ16">
        <v>412</v>
      </c>
      <c r="BR16">
        <v>17</v>
      </c>
      <c r="BS16">
        <v>0.52</v>
      </c>
      <c r="BT16">
        <v>0.02</v>
      </c>
      <c r="BU16">
        <v>-9.9542359999999996E-2</v>
      </c>
      <c r="BV16">
        <v>0.57476761804511201</v>
      </c>
      <c r="BW16">
        <v>0.17771012442763201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-0.82502304999999998</v>
      </c>
      <c r="CD16">
        <v>0.947821759398496</v>
      </c>
      <c r="CE16">
        <v>9.2022055212038698E-2</v>
      </c>
      <c r="CF16">
        <v>0</v>
      </c>
      <c r="CG16">
        <v>0</v>
      </c>
      <c r="CH16">
        <v>2</v>
      </c>
      <c r="CI16" t="s">
        <v>290</v>
      </c>
      <c r="CJ16">
        <v>3.3499599999999998</v>
      </c>
      <c r="CK16">
        <v>2.6926399999999999</v>
      </c>
      <c r="CL16">
        <v>9.7263500000000003E-2</v>
      </c>
      <c r="CM16">
        <v>9.5901899999999998E-2</v>
      </c>
      <c r="CN16">
        <v>8.8667200000000002E-2</v>
      </c>
      <c r="CO16">
        <v>9.0476299999999996E-2</v>
      </c>
      <c r="CP16">
        <v>31677.599999999999</v>
      </c>
      <c r="CQ16">
        <v>27816.400000000001</v>
      </c>
      <c r="CR16">
        <v>32474.2</v>
      </c>
      <c r="CS16">
        <v>30690.1</v>
      </c>
      <c r="CT16">
        <v>40057</v>
      </c>
      <c r="CU16">
        <v>39227.4</v>
      </c>
      <c r="CV16">
        <v>47412.1</v>
      </c>
      <c r="CW16">
        <v>46787.1</v>
      </c>
      <c r="CX16">
        <v>2.51674</v>
      </c>
      <c r="CY16">
        <v>2.3526400000000001</v>
      </c>
      <c r="CZ16">
        <v>0</v>
      </c>
      <c r="DA16">
        <v>0</v>
      </c>
      <c r="DB16">
        <v>999.9</v>
      </c>
      <c r="DC16">
        <v>999.9</v>
      </c>
      <c r="DD16">
        <v>67.147000000000006</v>
      </c>
      <c r="DE16">
        <v>23.050999999999998</v>
      </c>
      <c r="DF16">
        <v>19.177299999999999</v>
      </c>
      <c r="DG16">
        <v>29.51</v>
      </c>
      <c r="DH16">
        <v>12.6562</v>
      </c>
      <c r="DI16">
        <v>2</v>
      </c>
      <c r="DJ16">
        <v>-0.187612</v>
      </c>
      <c r="DK16">
        <v>1.4892300000000001</v>
      </c>
      <c r="DL16">
        <v>20.242799999999999</v>
      </c>
      <c r="DM16">
        <v>5.2513100000000001</v>
      </c>
      <c r="DN16">
        <v>12.033899999999999</v>
      </c>
      <c r="DO16">
        <v>4.9663599999999999</v>
      </c>
      <c r="DP16">
        <v>3.2909999999999999</v>
      </c>
      <c r="DQ16">
        <v>9999</v>
      </c>
      <c r="DR16">
        <v>9999</v>
      </c>
      <c r="DS16">
        <v>522.5</v>
      </c>
      <c r="DT16">
        <v>9999</v>
      </c>
      <c r="DU16">
        <v>1.87086</v>
      </c>
      <c r="DV16">
        <v>1.8759300000000001</v>
      </c>
      <c r="DW16">
        <v>1.8761300000000001</v>
      </c>
      <c r="DX16">
        <v>1.88263</v>
      </c>
      <c r="DY16">
        <v>1.8754500000000001</v>
      </c>
      <c r="DZ16">
        <v>1.8745000000000001</v>
      </c>
      <c r="EA16">
        <v>1.8705799999999999</v>
      </c>
      <c r="EB16">
        <v>1.87449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-0.995</v>
      </c>
      <c r="EQ16">
        <v>0.16900000000000001</v>
      </c>
      <c r="ER16">
        <v>-0.63400000000000001</v>
      </c>
      <c r="ES16">
        <v>0</v>
      </c>
      <c r="ET16">
        <v>0</v>
      </c>
      <c r="EU16">
        <v>0</v>
      </c>
      <c r="EV16">
        <v>0.12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1220.0999999999999</v>
      </c>
      <c r="FE16">
        <v>1220.0999999999999</v>
      </c>
      <c r="FF16">
        <v>0.90087899999999999</v>
      </c>
      <c r="FG16">
        <v>2.5732400000000002</v>
      </c>
      <c r="FH16">
        <v>2.19604</v>
      </c>
      <c r="FI16">
        <v>2.67822</v>
      </c>
      <c r="FJ16">
        <v>2.4462899999999999</v>
      </c>
      <c r="FK16">
        <v>2.2497600000000002</v>
      </c>
      <c r="FL16">
        <v>28.7956</v>
      </c>
      <c r="FM16">
        <v>24.157499999999999</v>
      </c>
      <c r="FN16">
        <v>19</v>
      </c>
      <c r="FO16">
        <v>757.86</v>
      </c>
      <c r="FP16">
        <v>754.60900000000004</v>
      </c>
      <c r="FQ16">
        <v>18.414200000000001</v>
      </c>
      <c r="FR16">
        <v>24.621500000000001</v>
      </c>
      <c r="FS16">
        <v>30.0002</v>
      </c>
      <c r="FT16">
        <v>24.594899999999999</v>
      </c>
      <c r="FU16">
        <v>24.590599999999998</v>
      </c>
      <c r="FV16">
        <v>18.1007</v>
      </c>
      <c r="FW16">
        <v>42.185600000000001</v>
      </c>
      <c r="FX16">
        <v>100</v>
      </c>
      <c r="FY16">
        <v>18.430099999999999</v>
      </c>
      <c r="FZ16">
        <v>410</v>
      </c>
      <c r="GA16">
        <v>16.396000000000001</v>
      </c>
      <c r="GB16">
        <v>99.915800000000004</v>
      </c>
      <c r="GC16">
        <v>99.613500000000002</v>
      </c>
    </row>
    <row r="17" spans="1:185" x14ac:dyDescent="0.2">
      <c r="A17">
        <v>2</v>
      </c>
      <c r="B17">
        <v>1768578420</v>
      </c>
      <c r="C17">
        <v>27</v>
      </c>
      <c r="D17" t="s">
        <v>295</v>
      </c>
      <c r="E17" t="s">
        <v>296</v>
      </c>
      <c r="F17">
        <v>15</v>
      </c>
      <c r="G17">
        <v>1768578419</v>
      </c>
      <c r="H17">
        <f t="shared" si="0"/>
        <v>0</v>
      </c>
      <c r="I17">
        <v>0</v>
      </c>
      <c r="J17">
        <f t="shared" ref="J17:J80" si="12">K17*(0.0003137/0.0082157)</f>
        <v>-6.4151090619182782E-4</v>
      </c>
      <c r="K17">
        <f t="shared" si="1"/>
        <v>-1.6800960000000635E-2</v>
      </c>
      <c r="L17">
        <f t="shared" si="2"/>
        <v>74.532650805980921</v>
      </c>
      <c r="M17">
        <f t="shared" si="3"/>
        <v>1.6418981700602395</v>
      </c>
      <c r="N17">
        <f t="shared" si="4"/>
        <v>2.2029246944863585</v>
      </c>
      <c r="O17">
        <v>324</v>
      </c>
      <c r="P17">
        <v>46</v>
      </c>
      <c r="Q17">
        <f t="shared" si="5"/>
        <v>1</v>
      </c>
      <c r="R17">
        <f t="shared" si="6"/>
        <v>0</v>
      </c>
      <c r="S17">
        <f t="shared" si="7"/>
        <v>26019.604061169404</v>
      </c>
      <c r="T17">
        <f t="shared" si="8"/>
        <v>0</v>
      </c>
      <c r="U17">
        <f t="shared" si="9"/>
        <v>0</v>
      </c>
      <c r="V17">
        <f t="shared" si="10"/>
        <v>0</v>
      </c>
      <c r="W17">
        <f t="shared" si="11"/>
        <v>0</v>
      </c>
      <c r="X17">
        <v>1</v>
      </c>
      <c r="Y17">
        <v>1768578419</v>
      </c>
      <c r="Z17">
        <v>411.60199999999998</v>
      </c>
      <c r="AA17">
        <v>411.57799999999997</v>
      </c>
      <c r="AB17">
        <v>16.569099999999999</v>
      </c>
      <c r="AC17">
        <v>16.569099999999999</v>
      </c>
      <c r="AD17">
        <v>412.596</v>
      </c>
      <c r="AE17">
        <v>16.400099999999998</v>
      </c>
      <c r="AF17">
        <v>700.04</v>
      </c>
      <c r="AG17">
        <v>99.027199999999993</v>
      </c>
      <c r="AH17">
        <v>6.6786399999999996E-2</v>
      </c>
      <c r="AI17">
        <v>18.983599999999999</v>
      </c>
      <c r="AJ17">
        <v>999.9</v>
      </c>
      <c r="AK17">
        <v>999.9</v>
      </c>
      <c r="AL17">
        <v>0</v>
      </c>
      <c r="AM17">
        <v>0</v>
      </c>
      <c r="AN17">
        <v>5008.5</v>
      </c>
      <c r="AO17">
        <v>0</v>
      </c>
      <c r="AP17">
        <v>2.8026599999999999</v>
      </c>
      <c r="AQ17">
        <v>2.3345899999999999E-2</v>
      </c>
      <c r="AR17">
        <v>418.536</v>
      </c>
      <c r="AS17">
        <v>418.51299999999998</v>
      </c>
      <c r="AT17">
        <v>-7.6293900000000005E-5</v>
      </c>
      <c r="AU17">
        <v>411.57799999999997</v>
      </c>
      <c r="AV17">
        <v>16.569099999999999</v>
      </c>
      <c r="AW17">
        <v>1.64079</v>
      </c>
      <c r="AX17">
        <v>1.6408</v>
      </c>
      <c r="AY17">
        <v>14.347300000000001</v>
      </c>
      <c r="AZ17">
        <v>14.3474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25</v>
      </c>
      <c r="BG17">
        <v>-0.16666700000000001</v>
      </c>
      <c r="BH17">
        <v>1768578418</v>
      </c>
      <c r="BI17" t="s">
        <v>289</v>
      </c>
      <c r="BJ17">
        <v>1768578418</v>
      </c>
      <c r="BK17">
        <v>1768578413</v>
      </c>
      <c r="BL17">
        <v>1</v>
      </c>
      <c r="BM17">
        <v>-0.36099999999999999</v>
      </c>
      <c r="BN17">
        <v>4.9000000000000002E-2</v>
      </c>
      <c r="BO17">
        <v>-0.995</v>
      </c>
      <c r="BP17">
        <v>0.16900000000000001</v>
      </c>
      <c r="BQ17">
        <v>412</v>
      </c>
      <c r="BR17">
        <v>17</v>
      </c>
      <c r="BS17">
        <v>0.52</v>
      </c>
      <c r="BT17">
        <v>0.02</v>
      </c>
      <c r="BU17">
        <v>0.36914637619047602</v>
      </c>
      <c r="BV17">
        <v>-0.61513153246753205</v>
      </c>
      <c r="BW17">
        <v>9.4661752671850397E-2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-4.1413832247618999E-2</v>
      </c>
      <c r="CD17">
        <v>0.27497362144675302</v>
      </c>
      <c r="CE17">
        <v>3.5574803096839698E-2</v>
      </c>
      <c r="CF17">
        <v>0</v>
      </c>
      <c r="CG17">
        <v>0</v>
      </c>
      <c r="CH17">
        <v>2</v>
      </c>
      <c r="CI17" t="s">
        <v>290</v>
      </c>
      <c r="CJ17">
        <v>3.3521999999999998</v>
      </c>
      <c r="CK17">
        <v>2.7032799999999999</v>
      </c>
      <c r="CL17">
        <v>9.7422400000000006E-2</v>
      </c>
      <c r="CM17">
        <v>9.6062300000000003E-2</v>
      </c>
      <c r="CN17">
        <v>9.0852199999999994E-2</v>
      </c>
      <c r="CO17">
        <v>9.0144500000000002E-2</v>
      </c>
      <c r="CP17">
        <v>31672.3</v>
      </c>
      <c r="CQ17">
        <v>27811.599999999999</v>
      </c>
      <c r="CR17">
        <v>32474.5</v>
      </c>
      <c r="CS17">
        <v>30690.3</v>
      </c>
      <c r="CT17">
        <v>39958.300000000003</v>
      </c>
      <c r="CU17">
        <v>39242.400000000001</v>
      </c>
      <c r="CV17">
        <v>47413</v>
      </c>
      <c r="CW17">
        <v>46787.3</v>
      </c>
      <c r="CX17">
        <v>1.855</v>
      </c>
      <c r="CY17">
        <v>1.7822</v>
      </c>
      <c r="CZ17">
        <v>0</v>
      </c>
      <c r="DA17">
        <v>0</v>
      </c>
      <c r="DB17">
        <v>999.9</v>
      </c>
      <c r="DC17">
        <v>999.9</v>
      </c>
      <c r="DD17">
        <v>67</v>
      </c>
      <c r="DE17">
        <v>23.091000000000001</v>
      </c>
      <c r="DF17">
        <v>19.181699999999999</v>
      </c>
      <c r="DG17">
        <v>30.29</v>
      </c>
      <c r="DH17">
        <v>13.4335</v>
      </c>
      <c r="DI17">
        <v>2</v>
      </c>
      <c r="DJ17">
        <v>-0.18663399999999999</v>
      </c>
      <c r="DK17">
        <v>1.47834</v>
      </c>
      <c r="DL17">
        <v>20.2408</v>
      </c>
      <c r="DM17">
        <v>5.2438900000000004</v>
      </c>
      <c r="DN17">
        <v>12.033899999999999</v>
      </c>
      <c r="DO17">
        <v>4.9657600000000004</v>
      </c>
      <c r="DP17">
        <v>3.2898800000000001</v>
      </c>
      <c r="DQ17">
        <v>9999</v>
      </c>
      <c r="DR17">
        <v>9999</v>
      </c>
      <c r="DS17">
        <v>522.5</v>
      </c>
      <c r="DT17">
        <v>9999</v>
      </c>
      <c r="DU17">
        <v>1.87086</v>
      </c>
      <c r="DV17">
        <v>1.8759300000000001</v>
      </c>
      <c r="DW17">
        <v>1.8761000000000001</v>
      </c>
      <c r="DX17">
        <v>1.88263</v>
      </c>
      <c r="DY17">
        <v>1.8754200000000001</v>
      </c>
      <c r="DZ17">
        <v>1.8744700000000001</v>
      </c>
      <c r="EA17">
        <v>1.8705700000000001</v>
      </c>
      <c r="EB17">
        <v>1.87446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-0.995</v>
      </c>
      <c r="EQ17">
        <v>0.16889999999999999</v>
      </c>
      <c r="ER17">
        <v>-0.994636363636346</v>
      </c>
      <c r="ES17">
        <v>0</v>
      </c>
      <c r="ET17">
        <v>0</v>
      </c>
      <c r="EU17">
        <v>0</v>
      </c>
      <c r="EV17">
        <v>0.16895000000000199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0.1</v>
      </c>
      <c r="FF17">
        <v>0.90087899999999999</v>
      </c>
      <c r="FG17">
        <v>2.5683600000000002</v>
      </c>
      <c r="FH17">
        <v>2.19604</v>
      </c>
      <c r="FI17">
        <v>2.67822</v>
      </c>
      <c r="FJ17">
        <v>2.4462899999999999</v>
      </c>
      <c r="FK17">
        <v>2.2827099999999998</v>
      </c>
      <c r="FL17">
        <v>28.837900000000001</v>
      </c>
      <c r="FM17">
        <v>24.1663</v>
      </c>
      <c r="FN17">
        <v>19</v>
      </c>
      <c r="FO17">
        <v>356.50900000000001</v>
      </c>
      <c r="FP17">
        <v>359.36799999999999</v>
      </c>
      <c r="FQ17">
        <v>18.595400000000001</v>
      </c>
      <c r="FR17">
        <v>24.6372</v>
      </c>
      <c r="FS17">
        <v>30.000399999999999</v>
      </c>
      <c r="FT17">
        <v>24.629100000000001</v>
      </c>
      <c r="FU17">
        <v>24.624400000000001</v>
      </c>
      <c r="FV17">
        <v>18.075399999999998</v>
      </c>
      <c r="FW17">
        <v>43.721400000000003</v>
      </c>
      <c r="FX17">
        <v>100</v>
      </c>
      <c r="FY17">
        <v>18.604199999999999</v>
      </c>
      <c r="FZ17">
        <v>410</v>
      </c>
      <c r="GA17">
        <v>15.9343</v>
      </c>
      <c r="GB17">
        <v>99.917299999999997</v>
      </c>
      <c r="GC17">
        <v>99.614000000000004</v>
      </c>
    </row>
    <row r="18" spans="1:185" x14ac:dyDescent="0.2">
      <c r="A18">
        <v>3</v>
      </c>
      <c r="B18">
        <v>1768578435</v>
      </c>
      <c r="C18">
        <v>42</v>
      </c>
      <c r="D18" t="s">
        <v>297</v>
      </c>
      <c r="E18" t="s">
        <v>298</v>
      </c>
      <c r="F18">
        <v>15</v>
      </c>
      <c r="G18">
        <v>1768578426.9333301</v>
      </c>
      <c r="H18">
        <f t="shared" si="0"/>
        <v>-3.4042708633615608E-4</v>
      </c>
      <c r="I18">
        <v>0</v>
      </c>
      <c r="J18">
        <f t="shared" si="12"/>
        <v>-8.8486466049191598E-3</v>
      </c>
      <c r="K18">
        <f t="shared" si="1"/>
        <v>-0.231743149225484</v>
      </c>
      <c r="L18">
        <f t="shared" si="2"/>
        <v>71.993423975942534</v>
      </c>
      <c r="M18">
        <f t="shared" si="3"/>
        <v>1.5872098253610547</v>
      </c>
      <c r="N18">
        <f t="shared" si="4"/>
        <v>2.2046594504123598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26032.522970097842</v>
      </c>
      <c r="T18">
        <f t="shared" si="8"/>
        <v>0</v>
      </c>
      <c r="U18">
        <f t="shared" si="9"/>
        <v>0</v>
      </c>
      <c r="V18">
        <f t="shared" si="10"/>
        <v>0</v>
      </c>
      <c r="W18">
        <f t="shared" si="11"/>
        <v>0</v>
      </c>
      <c r="X18">
        <v>1</v>
      </c>
      <c r="Y18">
        <v>1768578426.9333301</v>
      </c>
      <c r="Z18">
        <v>411.28933333333299</v>
      </c>
      <c r="AA18">
        <v>410.758733333333</v>
      </c>
      <c r="AB18">
        <v>16.018906666666702</v>
      </c>
      <c r="AC18">
        <v>16.497006666666699</v>
      </c>
      <c r="AD18">
        <v>412.28393333333298</v>
      </c>
      <c r="AE18">
        <v>15.84994</v>
      </c>
      <c r="AF18">
        <v>700.63546666666696</v>
      </c>
      <c r="AG18">
        <v>99.026579999999996</v>
      </c>
      <c r="AH18">
        <v>5.6950380000000002E-2</v>
      </c>
      <c r="AI18">
        <v>18.996213333333301</v>
      </c>
      <c r="AJ18">
        <v>999.9</v>
      </c>
      <c r="AK18">
        <v>999.9</v>
      </c>
      <c r="AL18">
        <v>0</v>
      </c>
      <c r="AM18">
        <v>0</v>
      </c>
      <c r="AN18">
        <v>5010.8666666666704</v>
      </c>
      <c r="AO18">
        <v>0</v>
      </c>
      <c r="AP18">
        <v>2.8031913333333298</v>
      </c>
      <c r="AQ18">
        <v>0.53070652666666696</v>
      </c>
      <c r="AR18">
        <v>417.98513333333301</v>
      </c>
      <c r="AS18">
        <v>417.648666666667</v>
      </c>
      <c r="AT18">
        <v>-0.478106419593333</v>
      </c>
      <c r="AU18">
        <v>410.758733333333</v>
      </c>
      <c r="AV18">
        <v>16.497006666666699</v>
      </c>
      <c r="AW18">
        <v>1.5862973333333299</v>
      </c>
      <c r="AX18">
        <v>1.6336426666666699</v>
      </c>
      <c r="AY18">
        <v>13.8251333333333</v>
      </c>
      <c r="AZ18">
        <v>14.2798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25</v>
      </c>
      <c r="BG18">
        <v>-9.111118E-2</v>
      </c>
      <c r="BH18">
        <v>1768578418</v>
      </c>
      <c r="BI18" t="s">
        <v>289</v>
      </c>
      <c r="BJ18">
        <v>1768578418</v>
      </c>
      <c r="BK18">
        <v>1768578413</v>
      </c>
      <c r="BL18">
        <v>1</v>
      </c>
      <c r="BM18">
        <v>-0.36099999999999999</v>
      </c>
      <c r="BN18">
        <v>4.9000000000000002E-2</v>
      </c>
      <c r="BO18">
        <v>-0.995</v>
      </c>
      <c r="BP18">
        <v>0.16900000000000001</v>
      </c>
      <c r="BQ18">
        <v>412</v>
      </c>
      <c r="BR18">
        <v>17</v>
      </c>
      <c r="BS18">
        <v>0.52</v>
      </c>
      <c r="BT18">
        <v>0.02</v>
      </c>
      <c r="BU18">
        <v>0.49071372380952399</v>
      </c>
      <c r="BV18">
        <v>4.79395811688312</v>
      </c>
      <c r="BW18">
        <v>0.96067543092535901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-0.31861305129523798</v>
      </c>
      <c r="CD18">
        <v>-2.3889863436857102</v>
      </c>
      <c r="CE18">
        <v>0.26426287248007002</v>
      </c>
      <c r="CF18">
        <v>0</v>
      </c>
      <c r="CG18">
        <v>0</v>
      </c>
      <c r="CH18">
        <v>2</v>
      </c>
      <c r="CI18" t="s">
        <v>290</v>
      </c>
      <c r="CJ18">
        <v>3.3499400000000001</v>
      </c>
      <c r="CK18">
        <v>2.6928399999999999</v>
      </c>
      <c r="CL18">
        <v>9.7347600000000006E-2</v>
      </c>
      <c r="CM18">
        <v>9.6286200000000002E-2</v>
      </c>
      <c r="CN18">
        <v>8.8070399999999993E-2</v>
      </c>
      <c r="CO18">
        <v>8.9587700000000006E-2</v>
      </c>
      <c r="CP18">
        <v>31673.4</v>
      </c>
      <c r="CQ18">
        <v>27804.7</v>
      </c>
      <c r="CR18">
        <v>32473</v>
      </c>
      <c r="CS18">
        <v>30690.3</v>
      </c>
      <c r="CT18">
        <v>40083.300000000003</v>
      </c>
      <c r="CU18">
        <v>39267.699999999997</v>
      </c>
      <c r="CV18">
        <v>47411</v>
      </c>
      <c r="CW18">
        <v>46787.8</v>
      </c>
      <c r="CX18">
        <v>2.5146799999999998</v>
      </c>
      <c r="CY18">
        <v>2.34944</v>
      </c>
      <c r="CZ18">
        <v>0</v>
      </c>
      <c r="DA18">
        <v>0</v>
      </c>
      <c r="DB18">
        <v>999.9</v>
      </c>
      <c r="DC18">
        <v>999.9</v>
      </c>
      <c r="DD18">
        <v>66.938999999999993</v>
      </c>
      <c r="DE18">
        <v>23.111000000000001</v>
      </c>
      <c r="DF18">
        <v>19.1889</v>
      </c>
      <c r="DG18">
        <v>29.9</v>
      </c>
      <c r="DH18">
        <v>12.696300000000001</v>
      </c>
      <c r="DI18">
        <v>2</v>
      </c>
      <c r="DJ18">
        <v>-0.18568699999999999</v>
      </c>
      <c r="DK18">
        <v>1.94943</v>
      </c>
      <c r="DL18">
        <v>20.234200000000001</v>
      </c>
      <c r="DM18">
        <v>5.2509499999999996</v>
      </c>
      <c r="DN18">
        <v>12.033899999999999</v>
      </c>
      <c r="DO18">
        <v>4.96692</v>
      </c>
      <c r="DP18">
        <v>3.2909999999999999</v>
      </c>
      <c r="DQ18">
        <v>9999</v>
      </c>
      <c r="DR18">
        <v>9999</v>
      </c>
      <c r="DS18">
        <v>522.5</v>
      </c>
      <c r="DT18">
        <v>9999</v>
      </c>
      <c r="DU18">
        <v>1.87086</v>
      </c>
      <c r="DV18">
        <v>1.87592</v>
      </c>
      <c r="DW18">
        <v>1.8761000000000001</v>
      </c>
      <c r="DX18">
        <v>1.8826400000000001</v>
      </c>
      <c r="DY18">
        <v>1.87544</v>
      </c>
      <c r="DZ18">
        <v>1.87449</v>
      </c>
      <c r="EA18">
        <v>1.8705700000000001</v>
      </c>
      <c r="EB18">
        <v>1.8744499999999999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-0.995</v>
      </c>
      <c r="EQ18">
        <v>0.16889999999999999</v>
      </c>
      <c r="ER18">
        <v>-0.994636363636346</v>
      </c>
      <c r="ES18">
        <v>0</v>
      </c>
      <c r="ET18">
        <v>0</v>
      </c>
      <c r="EU18">
        <v>0</v>
      </c>
      <c r="EV18">
        <v>0.16895000000000199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0.4</v>
      </c>
      <c r="FF18">
        <v>0.89355499999999999</v>
      </c>
      <c r="FG18">
        <v>2.5671400000000002</v>
      </c>
      <c r="FH18">
        <v>2.19604</v>
      </c>
      <c r="FI18">
        <v>2.67822</v>
      </c>
      <c r="FJ18">
        <v>2.4462899999999999</v>
      </c>
      <c r="FK18">
        <v>2.2522000000000002</v>
      </c>
      <c r="FL18">
        <v>28.859000000000002</v>
      </c>
      <c r="FM18">
        <v>24.148800000000001</v>
      </c>
      <c r="FN18">
        <v>19</v>
      </c>
      <c r="FO18">
        <v>756.51700000000005</v>
      </c>
      <c r="FP18">
        <v>751.98099999999999</v>
      </c>
      <c r="FQ18">
        <v>18.6172</v>
      </c>
      <c r="FR18">
        <v>24.645099999999999</v>
      </c>
      <c r="FS18">
        <v>30.000299999999999</v>
      </c>
      <c r="FT18">
        <v>24.620899999999999</v>
      </c>
      <c r="FU18">
        <v>24.617799999999999</v>
      </c>
      <c r="FV18">
        <v>17.909199999999998</v>
      </c>
      <c r="FW18">
        <v>44.598999999999997</v>
      </c>
      <c r="FX18">
        <v>100</v>
      </c>
      <c r="FY18">
        <v>18.209900000000001</v>
      </c>
      <c r="FZ18">
        <v>410</v>
      </c>
      <c r="GA18">
        <v>16.2319</v>
      </c>
      <c r="GB18">
        <v>99.912899999999993</v>
      </c>
      <c r="GC18">
        <v>99.614699999999999</v>
      </c>
    </row>
    <row r="19" spans="1:185" x14ac:dyDescent="0.2">
      <c r="A19">
        <v>4</v>
      </c>
      <c r="B19">
        <v>1768578450</v>
      </c>
      <c r="C19">
        <v>57</v>
      </c>
      <c r="D19" t="s">
        <v>299</v>
      </c>
      <c r="E19" t="s">
        <v>300</v>
      </c>
      <c r="F19">
        <v>15</v>
      </c>
      <c r="G19">
        <v>1768578441.9333301</v>
      </c>
      <c r="H19">
        <f t="shared" si="0"/>
        <v>-3.7221582592156764E-4</v>
      </c>
      <c r="I19">
        <v>0</v>
      </c>
      <c r="J19">
        <f t="shared" si="12"/>
        <v>4.1227217778012325E-2</v>
      </c>
      <c r="K19">
        <f t="shared" si="1"/>
        <v>1.0797272970953644</v>
      </c>
      <c r="L19">
        <f t="shared" si="2"/>
        <v>71.125580938482045</v>
      </c>
      <c r="M19">
        <f t="shared" si="3"/>
        <v>1.5690223734798878</v>
      </c>
      <c r="N19">
        <f t="shared" si="4"/>
        <v>2.2059888338022393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25947.394900169136</v>
      </c>
      <c r="T19">
        <f t="shared" si="8"/>
        <v>0</v>
      </c>
      <c r="U19">
        <f t="shared" si="9"/>
        <v>0</v>
      </c>
      <c r="V19">
        <f t="shared" si="10"/>
        <v>0</v>
      </c>
      <c r="W19">
        <f t="shared" si="11"/>
        <v>0</v>
      </c>
      <c r="X19">
        <v>1</v>
      </c>
      <c r="Y19">
        <v>1768578441.9333301</v>
      </c>
      <c r="Z19">
        <v>412.12733333333301</v>
      </c>
      <c r="AA19">
        <v>413.45066666666702</v>
      </c>
      <c r="AB19">
        <v>15.8358066666667</v>
      </c>
      <c r="AC19">
        <v>16.3591266666667</v>
      </c>
      <c r="AD19">
        <v>413.12200000000001</v>
      </c>
      <c r="AE19">
        <v>15.6668533333333</v>
      </c>
      <c r="AF19">
        <v>699.99519999999995</v>
      </c>
      <c r="AG19">
        <v>99.025739999999999</v>
      </c>
      <c r="AH19">
        <v>5.4932460000000002E-2</v>
      </c>
      <c r="AI19">
        <v>19.005873333333302</v>
      </c>
      <c r="AJ19">
        <v>999.9</v>
      </c>
      <c r="AK19">
        <v>999.9</v>
      </c>
      <c r="AL19">
        <v>0</v>
      </c>
      <c r="AM19">
        <v>0</v>
      </c>
      <c r="AN19">
        <v>4996.8666666666704</v>
      </c>
      <c r="AO19">
        <v>0</v>
      </c>
      <c r="AP19">
        <v>2.7665299999999999</v>
      </c>
      <c r="AQ19">
        <v>-1.32317709333333</v>
      </c>
      <c r="AR19">
        <v>418.75880000000001</v>
      </c>
      <c r="AS19">
        <v>420.32673333333298</v>
      </c>
      <c r="AT19">
        <v>-0.52333019999999997</v>
      </c>
      <c r="AU19">
        <v>413.45066666666702</v>
      </c>
      <c r="AV19">
        <v>16.3591266666667</v>
      </c>
      <c r="AW19">
        <v>1.568152</v>
      </c>
      <c r="AX19">
        <v>1.61997533333333</v>
      </c>
      <c r="AY19">
        <v>13.64936</v>
      </c>
      <c r="AZ19">
        <v>14.1501066666667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25</v>
      </c>
      <c r="BG19">
        <v>-3.5555546666666701E-2</v>
      </c>
      <c r="BH19">
        <v>1768578418</v>
      </c>
      <c r="BI19" t="s">
        <v>289</v>
      </c>
      <c r="BJ19">
        <v>1768578418</v>
      </c>
      <c r="BK19">
        <v>1768578413</v>
      </c>
      <c r="BL19">
        <v>1</v>
      </c>
      <c r="BM19">
        <v>-0.36099999999999999</v>
      </c>
      <c r="BN19">
        <v>4.9000000000000002E-2</v>
      </c>
      <c r="BO19">
        <v>-0.995</v>
      </c>
      <c r="BP19">
        <v>0.16900000000000001</v>
      </c>
      <c r="BQ19">
        <v>412</v>
      </c>
      <c r="BR19">
        <v>17</v>
      </c>
      <c r="BS19">
        <v>0.52</v>
      </c>
      <c r="BT19">
        <v>0.02</v>
      </c>
      <c r="BU19">
        <v>-0.64826020952381003</v>
      </c>
      <c r="BV19">
        <v>-4.50641269090909</v>
      </c>
      <c r="BW19">
        <v>1.78836684529291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-0.53812014285714305</v>
      </c>
      <c r="CD19">
        <v>0.280673064935064</v>
      </c>
      <c r="CE19">
        <v>2.8625102073073502E-2</v>
      </c>
      <c r="CF19">
        <v>0</v>
      </c>
      <c r="CG19">
        <v>0</v>
      </c>
      <c r="CH19">
        <v>2</v>
      </c>
      <c r="CI19" t="s">
        <v>290</v>
      </c>
      <c r="CJ19">
        <v>3.34998</v>
      </c>
      <c r="CK19">
        <v>2.6924299999999999</v>
      </c>
      <c r="CL19">
        <v>9.7684800000000002E-2</v>
      </c>
      <c r="CM19">
        <v>9.6081899999999998E-2</v>
      </c>
      <c r="CN19">
        <v>8.7722300000000003E-2</v>
      </c>
      <c r="CO19">
        <v>8.9014899999999994E-2</v>
      </c>
      <c r="CP19">
        <v>31661.3</v>
      </c>
      <c r="CQ19">
        <v>27810.5</v>
      </c>
      <c r="CR19">
        <v>32472.7</v>
      </c>
      <c r="CS19">
        <v>30689.9</v>
      </c>
      <c r="CT19">
        <v>40098.9</v>
      </c>
      <c r="CU19">
        <v>39292.699999999997</v>
      </c>
      <c r="CV19">
        <v>47410.7</v>
      </c>
      <c r="CW19">
        <v>46787.199999999997</v>
      </c>
      <c r="CX19">
        <v>2.51546</v>
      </c>
      <c r="CY19">
        <v>2.34992</v>
      </c>
      <c r="CZ19">
        <v>0</v>
      </c>
      <c r="DA19">
        <v>0</v>
      </c>
      <c r="DB19">
        <v>999.9</v>
      </c>
      <c r="DC19">
        <v>999.9</v>
      </c>
      <c r="DD19">
        <v>66.884</v>
      </c>
      <c r="DE19">
        <v>23.141999999999999</v>
      </c>
      <c r="DF19">
        <v>19.207999999999998</v>
      </c>
      <c r="DG19">
        <v>29.9</v>
      </c>
      <c r="DH19">
        <v>12.7163</v>
      </c>
      <c r="DI19">
        <v>2</v>
      </c>
      <c r="DJ19">
        <v>-0.18290400000000001</v>
      </c>
      <c r="DK19">
        <v>2.15665</v>
      </c>
      <c r="DL19">
        <v>20.2331</v>
      </c>
      <c r="DM19">
        <v>5.2493999999999996</v>
      </c>
      <c r="DN19">
        <v>12.033899999999999</v>
      </c>
      <c r="DO19">
        <v>4.9668400000000004</v>
      </c>
      <c r="DP19">
        <v>3.2907199999999999</v>
      </c>
      <c r="DQ19">
        <v>9999</v>
      </c>
      <c r="DR19">
        <v>9999</v>
      </c>
      <c r="DS19">
        <v>522.5</v>
      </c>
      <c r="DT19">
        <v>9999</v>
      </c>
      <c r="DU19">
        <v>1.87086</v>
      </c>
      <c r="DV19">
        <v>1.87595</v>
      </c>
      <c r="DW19">
        <v>1.8761399999999999</v>
      </c>
      <c r="DX19">
        <v>1.88263</v>
      </c>
      <c r="DY19">
        <v>1.8754500000000001</v>
      </c>
      <c r="DZ19">
        <v>1.8745000000000001</v>
      </c>
      <c r="EA19">
        <v>1.8705700000000001</v>
      </c>
      <c r="EB19">
        <v>1.8745099999999999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-0.995</v>
      </c>
      <c r="EQ19">
        <v>0.16900000000000001</v>
      </c>
      <c r="ER19">
        <v>-0.994636363636346</v>
      </c>
      <c r="ES19">
        <v>0</v>
      </c>
      <c r="ET19">
        <v>0</v>
      </c>
      <c r="EU19">
        <v>0</v>
      </c>
      <c r="EV19">
        <v>0.16895000000000199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0.6</v>
      </c>
      <c r="FF19">
        <v>0.87524400000000002</v>
      </c>
      <c r="FG19">
        <v>2.5683600000000002</v>
      </c>
      <c r="FH19">
        <v>2.19604</v>
      </c>
      <c r="FI19">
        <v>2.67822</v>
      </c>
      <c r="FJ19">
        <v>2.4462899999999999</v>
      </c>
      <c r="FK19">
        <v>2.2790499999999998</v>
      </c>
      <c r="FL19">
        <v>28.901299999999999</v>
      </c>
      <c r="FM19">
        <v>24.1663</v>
      </c>
      <c r="FN19">
        <v>19</v>
      </c>
      <c r="FO19">
        <v>757.30100000000004</v>
      </c>
      <c r="FP19">
        <v>752.57399999999996</v>
      </c>
      <c r="FQ19">
        <v>18.1465</v>
      </c>
      <c r="FR19">
        <v>24.6526</v>
      </c>
      <c r="FS19">
        <v>29.9999</v>
      </c>
      <c r="FT19">
        <v>24.630400000000002</v>
      </c>
      <c r="FU19">
        <v>24.627300000000002</v>
      </c>
      <c r="FV19">
        <v>17.566099999999999</v>
      </c>
      <c r="FW19">
        <v>45.7849</v>
      </c>
      <c r="FX19">
        <v>100</v>
      </c>
      <c r="FY19">
        <v>18.179300000000001</v>
      </c>
      <c r="FZ19">
        <v>410</v>
      </c>
      <c r="GA19">
        <v>16.152799999999999</v>
      </c>
      <c r="GB19">
        <v>99.912199999999999</v>
      </c>
      <c r="GC19">
        <v>99.613299999999995</v>
      </c>
    </row>
    <row r="20" spans="1:185" x14ac:dyDescent="0.2">
      <c r="A20">
        <v>5</v>
      </c>
      <c r="B20">
        <v>1768578465</v>
      </c>
      <c r="C20">
        <v>72</v>
      </c>
      <c r="D20" t="s">
        <v>301</v>
      </c>
      <c r="E20" t="s">
        <v>302</v>
      </c>
      <c r="F20">
        <v>15</v>
      </c>
      <c r="G20">
        <v>1768578456.9333301</v>
      </c>
      <c r="H20">
        <f t="shared" si="0"/>
        <v>-3.4801819556730743E-4</v>
      </c>
      <c r="I20">
        <v>0</v>
      </c>
      <c r="J20">
        <f t="shared" si="12"/>
        <v>-4.3404084756162496E-2</v>
      </c>
      <c r="K20">
        <f t="shared" si="1"/>
        <v>-1.1367387285024042</v>
      </c>
      <c r="L20">
        <f t="shared" si="2"/>
        <v>70.892702813765979</v>
      </c>
      <c r="M20">
        <f t="shared" si="3"/>
        <v>1.5610683879099956</v>
      </c>
      <c r="N20">
        <f t="shared" si="4"/>
        <v>2.2020156178992045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25966.404371735302</v>
      </c>
      <c r="T20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v>1</v>
      </c>
      <c r="Y20">
        <v>1768578456.9333301</v>
      </c>
      <c r="Z20">
        <v>411.99266666666699</v>
      </c>
      <c r="AA20">
        <v>410.16393333333298</v>
      </c>
      <c r="AB20">
        <v>15.7554</v>
      </c>
      <c r="AC20">
        <v>16.244733333333301</v>
      </c>
      <c r="AD20">
        <v>412.98726666666698</v>
      </c>
      <c r="AE20">
        <v>15.586446666666699</v>
      </c>
      <c r="AF20">
        <v>700.00346666666701</v>
      </c>
      <c r="AG20">
        <v>99.026613333333302</v>
      </c>
      <c r="AH20">
        <v>5.4869073333333303E-2</v>
      </c>
      <c r="AI20">
        <v>18.976986666666701</v>
      </c>
      <c r="AJ20">
        <v>999.9</v>
      </c>
      <c r="AK20">
        <v>999.9</v>
      </c>
      <c r="AL20">
        <v>0</v>
      </c>
      <c r="AM20">
        <v>0</v>
      </c>
      <c r="AN20">
        <v>4999.5666666666702</v>
      </c>
      <c r="AO20">
        <v>0</v>
      </c>
      <c r="AP20">
        <v>2.7665299999999999</v>
      </c>
      <c r="AQ20">
        <v>1.8286505333333301</v>
      </c>
      <c r="AR20">
        <v>418.58773333333301</v>
      </c>
      <c r="AS20">
        <v>416.93713333333301</v>
      </c>
      <c r="AT20">
        <v>-0.48933199999999999</v>
      </c>
      <c r="AU20">
        <v>410.16393333333298</v>
      </c>
      <c r="AV20">
        <v>16.244733333333301</v>
      </c>
      <c r="AW20">
        <v>1.5602053333333299</v>
      </c>
      <c r="AX20">
        <v>1.6086606666666701</v>
      </c>
      <c r="AY20">
        <v>13.5712666666667</v>
      </c>
      <c r="AZ20">
        <v>14.0419933333333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25</v>
      </c>
      <c r="BG20">
        <v>-7.1111060000000004E-2</v>
      </c>
      <c r="BH20">
        <v>1768578418</v>
      </c>
      <c r="BI20" t="s">
        <v>289</v>
      </c>
      <c r="BJ20">
        <v>1768578418</v>
      </c>
      <c r="BK20">
        <v>1768578413</v>
      </c>
      <c r="BL20">
        <v>1</v>
      </c>
      <c r="BM20">
        <v>-0.36099999999999999</v>
      </c>
      <c r="BN20">
        <v>4.9000000000000002E-2</v>
      </c>
      <c r="BO20">
        <v>-0.995</v>
      </c>
      <c r="BP20">
        <v>0.16900000000000001</v>
      </c>
      <c r="BQ20">
        <v>412</v>
      </c>
      <c r="BR20">
        <v>17</v>
      </c>
      <c r="BS20">
        <v>0.52</v>
      </c>
      <c r="BT20">
        <v>0.02</v>
      </c>
      <c r="BU20">
        <v>1.288260175</v>
      </c>
      <c r="BV20">
        <v>6.1682752105263203</v>
      </c>
      <c r="BW20">
        <v>1.1951363694374699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-0.49294510000000002</v>
      </c>
      <c r="CD20">
        <v>7.6193503759399497E-2</v>
      </c>
      <c r="CE20">
        <v>7.8883511452013805E-3</v>
      </c>
      <c r="CF20">
        <v>1</v>
      </c>
      <c r="CG20">
        <v>1</v>
      </c>
      <c r="CH20">
        <v>2</v>
      </c>
      <c r="CI20" t="s">
        <v>303</v>
      </c>
      <c r="CJ20">
        <v>3.3499500000000002</v>
      </c>
      <c r="CK20">
        <v>2.69285</v>
      </c>
      <c r="CL20">
        <v>9.7390900000000002E-2</v>
      </c>
      <c r="CM20">
        <v>9.5902200000000007E-2</v>
      </c>
      <c r="CN20">
        <v>8.7439500000000003E-2</v>
      </c>
      <c r="CO20">
        <v>8.8701500000000003E-2</v>
      </c>
      <c r="CP20">
        <v>31672</v>
      </c>
      <c r="CQ20">
        <v>27816.400000000001</v>
      </c>
      <c r="CR20">
        <v>32473.200000000001</v>
      </c>
      <c r="CS20">
        <v>30690.3</v>
      </c>
      <c r="CT20">
        <v>40112.800000000003</v>
      </c>
      <c r="CU20">
        <v>39307.599999999999</v>
      </c>
      <c r="CV20">
        <v>47411.9</v>
      </c>
      <c r="CW20">
        <v>46788.2</v>
      </c>
      <c r="CX20">
        <v>2.5159400000000001</v>
      </c>
      <c r="CY20">
        <v>2.3498600000000001</v>
      </c>
      <c r="CZ20">
        <v>0</v>
      </c>
      <c r="DA20">
        <v>0</v>
      </c>
      <c r="DB20">
        <v>999.9</v>
      </c>
      <c r="DC20">
        <v>999.9</v>
      </c>
      <c r="DD20">
        <v>66.816999999999993</v>
      </c>
      <c r="DE20">
        <v>23.152000000000001</v>
      </c>
      <c r="DF20">
        <v>19.201599999999999</v>
      </c>
      <c r="DG20">
        <v>30.26</v>
      </c>
      <c r="DH20">
        <v>12.7324</v>
      </c>
      <c r="DI20">
        <v>2</v>
      </c>
      <c r="DJ20">
        <v>-0.18384300000000001</v>
      </c>
      <c r="DK20">
        <v>1.8559300000000001</v>
      </c>
      <c r="DL20">
        <v>20.238</v>
      </c>
      <c r="DM20">
        <v>5.2507099999999998</v>
      </c>
      <c r="DN20">
        <v>12.033899999999999</v>
      </c>
      <c r="DO20">
        <v>4.9668400000000004</v>
      </c>
      <c r="DP20">
        <v>3.2909999999999999</v>
      </c>
      <c r="DQ20">
        <v>9999</v>
      </c>
      <c r="DR20">
        <v>9999</v>
      </c>
      <c r="DS20">
        <v>522.5</v>
      </c>
      <c r="DT20">
        <v>9999</v>
      </c>
      <c r="DU20">
        <v>1.8708800000000001</v>
      </c>
      <c r="DV20">
        <v>1.8759399999999999</v>
      </c>
      <c r="DW20">
        <v>1.87618</v>
      </c>
      <c r="DX20">
        <v>1.8826499999999999</v>
      </c>
      <c r="DY20">
        <v>1.8754599999999999</v>
      </c>
      <c r="DZ20">
        <v>1.8745400000000001</v>
      </c>
      <c r="EA20">
        <v>1.8706199999999999</v>
      </c>
      <c r="EB20">
        <v>1.87453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-0.995</v>
      </c>
      <c r="EQ20">
        <v>0.16900000000000001</v>
      </c>
      <c r="ER20">
        <v>-0.994636363636346</v>
      </c>
      <c r="ES20">
        <v>0</v>
      </c>
      <c r="ET20">
        <v>0</v>
      </c>
      <c r="EU20">
        <v>0</v>
      </c>
      <c r="EV20">
        <v>0.16895000000000199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0.9</v>
      </c>
      <c r="FF20">
        <v>0.87402299999999999</v>
      </c>
      <c r="FG20">
        <v>2.5720200000000002</v>
      </c>
      <c r="FH20">
        <v>2.19604</v>
      </c>
      <c r="FI20">
        <v>2.67822</v>
      </c>
      <c r="FJ20">
        <v>2.4462899999999999</v>
      </c>
      <c r="FK20">
        <v>2.2863799999999999</v>
      </c>
      <c r="FL20">
        <v>28.9224</v>
      </c>
      <c r="FM20">
        <v>24.1663</v>
      </c>
      <c r="FN20">
        <v>19</v>
      </c>
      <c r="FO20">
        <v>757.83</v>
      </c>
      <c r="FP20">
        <v>752.65300000000002</v>
      </c>
      <c r="FQ20">
        <v>18.192699999999999</v>
      </c>
      <c r="FR20">
        <v>24.660799999999998</v>
      </c>
      <c r="FS20">
        <v>29.9999</v>
      </c>
      <c r="FT20">
        <v>24.639500000000002</v>
      </c>
      <c r="FU20">
        <v>24.636399999999998</v>
      </c>
      <c r="FV20">
        <v>17.559100000000001</v>
      </c>
      <c r="FW20">
        <v>46.623100000000001</v>
      </c>
      <c r="FX20">
        <v>100</v>
      </c>
      <c r="FY20">
        <v>18.228000000000002</v>
      </c>
      <c r="FZ20">
        <v>410</v>
      </c>
      <c r="GA20">
        <v>16.1035</v>
      </c>
      <c r="GB20">
        <v>99.914400000000001</v>
      </c>
      <c r="GC20">
        <v>99.615099999999998</v>
      </c>
    </row>
    <row r="21" spans="1:185" x14ac:dyDescent="0.2">
      <c r="A21">
        <v>6</v>
      </c>
      <c r="B21">
        <v>1768578480</v>
      </c>
      <c r="C21">
        <v>87</v>
      </c>
      <c r="D21" t="s">
        <v>304</v>
      </c>
      <c r="E21" t="s">
        <v>305</v>
      </c>
      <c r="F21">
        <v>15</v>
      </c>
      <c r="G21">
        <v>1768578471.9333301</v>
      </c>
      <c r="H21">
        <f t="shared" si="0"/>
        <v>-3.3785145525984178E-4</v>
      </c>
      <c r="I21">
        <v>0</v>
      </c>
      <c r="J21">
        <f t="shared" si="12"/>
        <v>-3.1424138690072996E-2</v>
      </c>
      <c r="K21">
        <f t="shared" si="1"/>
        <v>-0.82298787451715871</v>
      </c>
      <c r="L21">
        <f t="shared" si="2"/>
        <v>70.745508260104131</v>
      </c>
      <c r="M21">
        <f t="shared" si="3"/>
        <v>1.5558447552882406</v>
      </c>
      <c r="N21">
        <f t="shared" si="4"/>
        <v>2.1992134816079001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25948.441868493916</v>
      </c>
      <c r="T21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v>1</v>
      </c>
      <c r="Y21">
        <v>1768578471.9333301</v>
      </c>
      <c r="Z21">
        <v>411.001933333333</v>
      </c>
      <c r="AA21">
        <v>409.62786666666699</v>
      </c>
      <c r="AB21">
        <v>15.70276</v>
      </c>
      <c r="AC21">
        <v>16.1778266666667</v>
      </c>
      <c r="AD21">
        <v>411.99666666666701</v>
      </c>
      <c r="AE21">
        <v>15.5338333333333</v>
      </c>
      <c r="AF21">
        <v>699.99913333333302</v>
      </c>
      <c r="AG21">
        <v>99.026006666666703</v>
      </c>
      <c r="AH21">
        <v>5.4967333333333299E-2</v>
      </c>
      <c r="AI21">
        <v>18.956586666666698</v>
      </c>
      <c r="AJ21">
        <v>999.9</v>
      </c>
      <c r="AK21">
        <v>999.9</v>
      </c>
      <c r="AL21">
        <v>0</v>
      </c>
      <c r="AM21">
        <v>0</v>
      </c>
      <c r="AN21">
        <v>4996.3</v>
      </c>
      <c r="AO21">
        <v>0</v>
      </c>
      <c r="AP21">
        <v>2.7665299999999999</v>
      </c>
      <c r="AQ21">
        <v>1.3740848666666701</v>
      </c>
      <c r="AR21">
        <v>417.55873333333301</v>
      </c>
      <c r="AS21">
        <v>416.36399999999998</v>
      </c>
      <c r="AT21">
        <v>-0.47504380000000002</v>
      </c>
      <c r="AU21">
        <v>409.62786666666699</v>
      </c>
      <c r="AV21">
        <v>16.1778266666667</v>
      </c>
      <c r="AW21">
        <v>1.5549833333333301</v>
      </c>
      <c r="AX21">
        <v>1.6020253333333301</v>
      </c>
      <c r="AY21">
        <v>13.5197933333333</v>
      </c>
      <c r="AZ21">
        <v>13.97828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25</v>
      </c>
      <c r="BG21">
        <v>-0.13999998</v>
      </c>
      <c r="BH21">
        <v>1768578418</v>
      </c>
      <c r="BI21" t="s">
        <v>289</v>
      </c>
      <c r="BJ21">
        <v>1768578418</v>
      </c>
      <c r="BK21">
        <v>1768578413</v>
      </c>
      <c r="BL21">
        <v>1</v>
      </c>
      <c r="BM21">
        <v>-0.36099999999999999</v>
      </c>
      <c r="BN21">
        <v>4.9000000000000002E-2</v>
      </c>
      <c r="BO21">
        <v>-0.995</v>
      </c>
      <c r="BP21">
        <v>0.16900000000000001</v>
      </c>
      <c r="BQ21">
        <v>412</v>
      </c>
      <c r="BR21">
        <v>17</v>
      </c>
      <c r="BS21">
        <v>0.52</v>
      </c>
      <c r="BT21">
        <v>0.02</v>
      </c>
      <c r="BU21">
        <v>1.3476689047619099</v>
      </c>
      <c r="BV21">
        <v>4.059234</v>
      </c>
      <c r="BW21">
        <v>0.72160577545841698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-0.47804247619047602</v>
      </c>
      <c r="CD21">
        <v>5.6015999999999899E-2</v>
      </c>
      <c r="CE21">
        <v>5.8975493426874498E-3</v>
      </c>
      <c r="CF21">
        <v>1</v>
      </c>
      <c r="CG21">
        <v>1</v>
      </c>
      <c r="CH21">
        <v>2</v>
      </c>
      <c r="CI21" t="s">
        <v>303</v>
      </c>
      <c r="CJ21">
        <v>3.34998</v>
      </c>
      <c r="CK21">
        <v>2.6926899999999998</v>
      </c>
      <c r="CL21">
        <v>9.7209500000000004E-2</v>
      </c>
      <c r="CM21">
        <v>9.5339300000000002E-2</v>
      </c>
      <c r="CN21">
        <v>8.7274900000000002E-2</v>
      </c>
      <c r="CO21">
        <v>8.8483199999999998E-2</v>
      </c>
      <c r="CP21">
        <v>31678.400000000001</v>
      </c>
      <c r="CQ21">
        <v>27834.400000000001</v>
      </c>
      <c r="CR21">
        <v>32473.200000000001</v>
      </c>
      <c r="CS21">
        <v>30691.1</v>
      </c>
      <c r="CT21">
        <v>40120.400000000001</v>
      </c>
      <c r="CU21">
        <v>39318.1</v>
      </c>
      <c r="CV21">
        <v>47412</v>
      </c>
      <c r="CW21">
        <v>46789.2</v>
      </c>
      <c r="CX21">
        <v>2.5159400000000001</v>
      </c>
      <c r="CY21">
        <v>2.3492999999999999</v>
      </c>
      <c r="CZ21">
        <v>0</v>
      </c>
      <c r="DA21">
        <v>0</v>
      </c>
      <c r="DB21">
        <v>999.9</v>
      </c>
      <c r="DC21">
        <v>999.9</v>
      </c>
      <c r="DD21">
        <v>66.744</v>
      </c>
      <c r="DE21">
        <v>23.192</v>
      </c>
      <c r="DF21">
        <v>19.227699999999999</v>
      </c>
      <c r="DG21">
        <v>30.05</v>
      </c>
      <c r="DH21">
        <v>12.7204</v>
      </c>
      <c r="DI21">
        <v>2</v>
      </c>
      <c r="DJ21">
        <v>-0.183396</v>
      </c>
      <c r="DK21">
        <v>1.7182599999999999</v>
      </c>
      <c r="DL21">
        <v>20.240200000000002</v>
      </c>
      <c r="DM21">
        <v>5.2519099999999996</v>
      </c>
      <c r="DN21">
        <v>12.033899999999999</v>
      </c>
      <c r="DO21">
        <v>4.9673999999999996</v>
      </c>
      <c r="DP21">
        <v>3.2909999999999999</v>
      </c>
      <c r="DQ21">
        <v>9999</v>
      </c>
      <c r="DR21">
        <v>9999</v>
      </c>
      <c r="DS21">
        <v>522.5</v>
      </c>
      <c r="DT21">
        <v>9999</v>
      </c>
      <c r="DU21">
        <v>1.87086</v>
      </c>
      <c r="DV21">
        <v>1.8759399999999999</v>
      </c>
      <c r="DW21">
        <v>1.8761399999999999</v>
      </c>
      <c r="DX21">
        <v>1.8826499999999999</v>
      </c>
      <c r="DY21">
        <v>1.8754599999999999</v>
      </c>
      <c r="DZ21">
        <v>1.87452</v>
      </c>
      <c r="EA21">
        <v>1.8706</v>
      </c>
      <c r="EB21">
        <v>1.8745000000000001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-0.99399999999999999</v>
      </c>
      <c r="EQ21">
        <v>0.16889999999999999</v>
      </c>
      <c r="ER21">
        <v>-0.994636363636346</v>
      </c>
      <c r="ES21">
        <v>0</v>
      </c>
      <c r="ET21">
        <v>0</v>
      </c>
      <c r="EU21">
        <v>0</v>
      </c>
      <c r="EV21">
        <v>0.16895000000000199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1.1000000000000001</v>
      </c>
      <c r="FF21">
        <v>0.88134800000000002</v>
      </c>
      <c r="FG21">
        <v>2.5720200000000002</v>
      </c>
      <c r="FH21">
        <v>2.19604</v>
      </c>
      <c r="FI21">
        <v>2.67822</v>
      </c>
      <c r="FJ21">
        <v>2.4462899999999999</v>
      </c>
      <c r="FK21">
        <v>2.2692899999999998</v>
      </c>
      <c r="FL21">
        <v>28.9436</v>
      </c>
      <c r="FM21">
        <v>24.1663</v>
      </c>
      <c r="FN21">
        <v>19</v>
      </c>
      <c r="FO21">
        <v>757.95399999999995</v>
      </c>
      <c r="FP21">
        <v>752.25599999999997</v>
      </c>
      <c r="FQ21">
        <v>18.281600000000001</v>
      </c>
      <c r="FR21">
        <v>24.6691</v>
      </c>
      <c r="FS21">
        <v>30.0001</v>
      </c>
      <c r="FT21">
        <v>24.648199999999999</v>
      </c>
      <c r="FU21">
        <v>24.645399999999999</v>
      </c>
      <c r="FV21">
        <v>17.708400000000001</v>
      </c>
      <c r="FW21">
        <v>47.177399999999999</v>
      </c>
      <c r="FX21">
        <v>100</v>
      </c>
      <c r="FY21">
        <v>18.319199999999999</v>
      </c>
      <c r="FZ21">
        <v>410</v>
      </c>
      <c r="GA21">
        <v>16.063700000000001</v>
      </c>
      <c r="GB21">
        <v>99.914500000000004</v>
      </c>
      <c r="GC21">
        <v>99.617500000000007</v>
      </c>
    </row>
    <row r="22" spans="1:185" x14ac:dyDescent="0.2">
      <c r="A22">
        <v>7</v>
      </c>
      <c r="B22">
        <v>1768578495</v>
      </c>
      <c r="C22">
        <v>102</v>
      </c>
      <c r="D22" t="s">
        <v>306</v>
      </c>
      <c r="E22" t="s">
        <v>307</v>
      </c>
      <c r="F22">
        <v>15</v>
      </c>
      <c r="G22">
        <v>1768578486.9333301</v>
      </c>
      <c r="H22">
        <f t="shared" si="0"/>
        <v>-3.3090896314703282E-4</v>
      </c>
      <c r="I22">
        <v>0</v>
      </c>
      <c r="J22">
        <f t="shared" si="12"/>
        <v>-5.7142688808971318E-2</v>
      </c>
      <c r="K22">
        <f t="shared" si="1"/>
        <v>-1.4965482577235116</v>
      </c>
      <c r="L22">
        <f t="shared" si="2"/>
        <v>70.603033057000246</v>
      </c>
      <c r="M22">
        <f t="shared" si="3"/>
        <v>1.5522468840361794</v>
      </c>
      <c r="N22">
        <f t="shared" si="4"/>
        <v>2.1985555249205757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26015.366580948194</v>
      </c>
      <c r="T22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v>1</v>
      </c>
      <c r="Y22">
        <v>1768578486.9333301</v>
      </c>
      <c r="Z22">
        <v>409.00206666666702</v>
      </c>
      <c r="AA22">
        <v>406.67079999999999</v>
      </c>
      <c r="AB22">
        <v>15.666413333333301</v>
      </c>
      <c r="AC22">
        <v>16.131733333333301</v>
      </c>
      <c r="AD22">
        <v>409.99686666666702</v>
      </c>
      <c r="AE22">
        <v>15.497453333333301</v>
      </c>
      <c r="AF22">
        <v>700.00173333333305</v>
      </c>
      <c r="AG22">
        <v>99.026179999999997</v>
      </c>
      <c r="AH22">
        <v>5.5010506666666702E-2</v>
      </c>
      <c r="AI22">
        <v>18.951793333333299</v>
      </c>
      <c r="AJ22">
        <v>999.9</v>
      </c>
      <c r="AK22">
        <v>999.9</v>
      </c>
      <c r="AL22">
        <v>0</v>
      </c>
      <c r="AM22">
        <v>0</v>
      </c>
      <c r="AN22">
        <v>5007.3666666666704</v>
      </c>
      <c r="AO22">
        <v>0</v>
      </c>
      <c r="AP22">
        <v>2.7593033333333299</v>
      </c>
      <c r="AQ22">
        <v>2.3313882000000001</v>
      </c>
      <c r="AR22">
        <v>415.511866666667</v>
      </c>
      <c r="AS22">
        <v>413.33893333333299</v>
      </c>
      <c r="AT22">
        <v>-0.46531060000000002</v>
      </c>
      <c r="AU22">
        <v>406.67079999999999</v>
      </c>
      <c r="AV22">
        <v>16.131733333333301</v>
      </c>
      <c r="AW22">
        <v>1.5513840000000001</v>
      </c>
      <c r="AX22">
        <v>1.5974633333333299</v>
      </c>
      <c r="AY22">
        <v>13.484213333333299</v>
      </c>
      <c r="AZ22">
        <v>13.9343466666667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25</v>
      </c>
      <c r="BG22">
        <v>-5.5555546666666698E-2</v>
      </c>
      <c r="BH22">
        <v>1768578418</v>
      </c>
      <c r="BI22" t="s">
        <v>289</v>
      </c>
      <c r="BJ22">
        <v>1768578418</v>
      </c>
      <c r="BK22">
        <v>1768578413</v>
      </c>
      <c r="BL22">
        <v>1</v>
      </c>
      <c r="BM22">
        <v>-0.36099999999999999</v>
      </c>
      <c r="BN22">
        <v>4.9000000000000002E-2</v>
      </c>
      <c r="BO22">
        <v>-0.995</v>
      </c>
      <c r="BP22">
        <v>0.16900000000000001</v>
      </c>
      <c r="BQ22">
        <v>412</v>
      </c>
      <c r="BR22">
        <v>17</v>
      </c>
      <c r="BS22">
        <v>0.52</v>
      </c>
      <c r="BT22">
        <v>0.02</v>
      </c>
      <c r="BU22">
        <v>2.3657566499999998</v>
      </c>
      <c r="BV22">
        <v>-4.82417571428571</v>
      </c>
      <c r="BW22">
        <v>0.87190354162385897</v>
      </c>
      <c r="BX22">
        <v>0</v>
      </c>
      <c r="BY22">
        <v>0</v>
      </c>
      <c r="BZ22">
        <v>0</v>
      </c>
      <c r="CA22">
        <v>0</v>
      </c>
      <c r="CB22">
        <v>-1</v>
      </c>
      <c r="CC22">
        <v>-0.46655669999999999</v>
      </c>
      <c r="CD22">
        <v>3.9135338345861297E-3</v>
      </c>
      <c r="CE22">
        <v>4.4042135291104999E-3</v>
      </c>
      <c r="CF22">
        <v>1</v>
      </c>
      <c r="CG22">
        <v>1</v>
      </c>
      <c r="CH22">
        <v>2</v>
      </c>
      <c r="CI22" t="s">
        <v>303</v>
      </c>
      <c r="CJ22">
        <v>3.3500100000000002</v>
      </c>
      <c r="CK22">
        <v>2.69292</v>
      </c>
      <c r="CL22">
        <v>9.6816799999999995E-2</v>
      </c>
      <c r="CM22">
        <v>9.54821E-2</v>
      </c>
      <c r="CN22">
        <v>8.7138300000000002E-2</v>
      </c>
      <c r="CO22">
        <v>8.8353399999999999E-2</v>
      </c>
      <c r="CP22">
        <v>31691.8</v>
      </c>
      <c r="CQ22">
        <v>27829</v>
      </c>
      <c r="CR22">
        <v>32472.9</v>
      </c>
      <c r="CS22">
        <v>30690</v>
      </c>
      <c r="CT22">
        <v>40126.300000000003</v>
      </c>
      <c r="CU22">
        <v>39322.9</v>
      </c>
      <c r="CV22">
        <v>47411.7</v>
      </c>
      <c r="CW22">
        <v>46788</v>
      </c>
      <c r="CX22">
        <v>2.5157799999999999</v>
      </c>
      <c r="CY22">
        <v>2.3491599999999999</v>
      </c>
      <c r="CZ22">
        <v>0</v>
      </c>
      <c r="DA22">
        <v>0</v>
      </c>
      <c r="DB22">
        <v>999.9</v>
      </c>
      <c r="DC22">
        <v>999.9</v>
      </c>
      <c r="DD22">
        <v>66.671000000000006</v>
      </c>
      <c r="DE22">
        <v>23.181999999999999</v>
      </c>
      <c r="DF22">
        <v>19.1934</v>
      </c>
      <c r="DG22">
        <v>30.14</v>
      </c>
      <c r="DH22">
        <v>12.692299999999999</v>
      </c>
      <c r="DI22">
        <v>2</v>
      </c>
      <c r="DJ22">
        <v>-0.18329100000000001</v>
      </c>
      <c r="DK22">
        <v>1.6136299999999999</v>
      </c>
      <c r="DL22">
        <v>20.241499999999998</v>
      </c>
      <c r="DM22">
        <v>5.2520300000000004</v>
      </c>
      <c r="DN22">
        <v>12.033899999999999</v>
      </c>
      <c r="DO22">
        <v>4.9672799999999997</v>
      </c>
      <c r="DP22">
        <v>3.2909999999999999</v>
      </c>
      <c r="DQ22">
        <v>9999</v>
      </c>
      <c r="DR22">
        <v>9999</v>
      </c>
      <c r="DS22">
        <v>522.5</v>
      </c>
      <c r="DT22">
        <v>9999</v>
      </c>
      <c r="DU22">
        <v>1.87087</v>
      </c>
      <c r="DV22">
        <v>1.8759300000000001</v>
      </c>
      <c r="DW22">
        <v>1.87616</v>
      </c>
      <c r="DX22">
        <v>1.8826499999999999</v>
      </c>
      <c r="DY22">
        <v>1.8754599999999999</v>
      </c>
      <c r="DZ22">
        <v>1.87452</v>
      </c>
      <c r="EA22">
        <v>1.8705799999999999</v>
      </c>
      <c r="EB22">
        <v>1.87452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-0.995</v>
      </c>
      <c r="EQ22">
        <v>0.16889999999999999</v>
      </c>
      <c r="ER22">
        <v>-0.994636363636346</v>
      </c>
      <c r="ES22">
        <v>0</v>
      </c>
      <c r="ET22">
        <v>0</v>
      </c>
      <c r="EU22">
        <v>0</v>
      </c>
      <c r="EV22">
        <v>0.16895000000000199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1.4</v>
      </c>
      <c r="FF22">
        <v>0.90087899999999999</v>
      </c>
      <c r="FG22">
        <v>2.5708000000000002</v>
      </c>
      <c r="FH22">
        <v>2.19604</v>
      </c>
      <c r="FI22">
        <v>2.67822</v>
      </c>
      <c r="FJ22">
        <v>2.4462899999999999</v>
      </c>
      <c r="FK22">
        <v>2.2973599999999998</v>
      </c>
      <c r="FL22">
        <v>28.964700000000001</v>
      </c>
      <c r="FM22">
        <v>24.1663</v>
      </c>
      <c r="FN22">
        <v>19</v>
      </c>
      <c r="FO22">
        <v>757.95600000000002</v>
      </c>
      <c r="FP22">
        <v>752.26599999999996</v>
      </c>
      <c r="FQ22">
        <v>18.388200000000001</v>
      </c>
      <c r="FR22">
        <v>24.677399999999999</v>
      </c>
      <c r="FS22">
        <v>30.0002</v>
      </c>
      <c r="FT22">
        <v>24.657699999999998</v>
      </c>
      <c r="FU22">
        <v>24.654900000000001</v>
      </c>
      <c r="FV22">
        <v>18.0763</v>
      </c>
      <c r="FW22">
        <v>47.454799999999999</v>
      </c>
      <c r="FX22">
        <v>100</v>
      </c>
      <c r="FY22">
        <v>18.420500000000001</v>
      </c>
      <c r="FZ22">
        <v>410</v>
      </c>
      <c r="GA22">
        <v>16.0426</v>
      </c>
      <c r="GB22">
        <v>99.913700000000006</v>
      </c>
      <c r="GC22">
        <v>99.614599999999996</v>
      </c>
    </row>
    <row r="23" spans="1:185" x14ac:dyDescent="0.2">
      <c r="A23">
        <v>8</v>
      </c>
      <c r="B23">
        <v>1768578510</v>
      </c>
      <c r="C23">
        <v>117</v>
      </c>
      <c r="D23" t="s">
        <v>308</v>
      </c>
      <c r="E23" t="s">
        <v>309</v>
      </c>
      <c r="F23">
        <v>15</v>
      </c>
      <c r="G23">
        <v>1768578501.9333301</v>
      </c>
      <c r="H23">
        <f t="shared" si="0"/>
        <v>-3.2660278003797231E-4</v>
      </c>
      <c r="I23">
        <v>0</v>
      </c>
      <c r="J23">
        <f t="shared" si="12"/>
        <v>0.14867269829091312</v>
      </c>
      <c r="K23">
        <f t="shared" si="1"/>
        <v>3.8936891531675322</v>
      </c>
      <c r="L23">
        <f t="shared" si="2"/>
        <v>70.481099918442851</v>
      </c>
      <c r="M23">
        <f t="shared" si="3"/>
        <v>1.5503375703293691</v>
      </c>
      <c r="N23">
        <f t="shared" si="4"/>
        <v>2.1996500794161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25968.657873795917</v>
      </c>
      <c r="T23">
        <f t="shared" si="8"/>
        <v>0</v>
      </c>
      <c r="U23">
        <f t="shared" si="9"/>
        <v>0</v>
      </c>
      <c r="V23">
        <f t="shared" si="10"/>
        <v>0</v>
      </c>
      <c r="W23">
        <f t="shared" si="11"/>
        <v>0</v>
      </c>
      <c r="X23">
        <v>1</v>
      </c>
      <c r="Y23">
        <v>1768578501.9333301</v>
      </c>
      <c r="Z23">
        <v>409.5016</v>
      </c>
      <c r="AA23">
        <v>414.87293333333298</v>
      </c>
      <c r="AB23">
        <v>15.647346666666699</v>
      </c>
      <c r="AC23">
        <v>16.106619999999999</v>
      </c>
      <c r="AD23">
        <v>410.496266666667</v>
      </c>
      <c r="AE23">
        <v>15.47838</v>
      </c>
      <c r="AF23">
        <v>700.00213333333295</v>
      </c>
      <c r="AG23">
        <v>99.024786666666699</v>
      </c>
      <c r="AH23">
        <v>5.5115079999999997E-2</v>
      </c>
      <c r="AI23">
        <v>18.959766666666699</v>
      </c>
      <c r="AJ23">
        <v>999.9</v>
      </c>
      <c r="AK23">
        <v>999.9</v>
      </c>
      <c r="AL23">
        <v>0</v>
      </c>
      <c r="AM23">
        <v>0</v>
      </c>
      <c r="AN23">
        <v>4999.7666666666701</v>
      </c>
      <c r="AO23">
        <v>0</v>
      </c>
      <c r="AP23">
        <v>2.7108979999999998</v>
      </c>
      <c r="AQ23">
        <v>-5.3713354266666702</v>
      </c>
      <c r="AR23">
        <v>416.01113333333302</v>
      </c>
      <c r="AS23">
        <v>421.66446666666701</v>
      </c>
      <c r="AT23">
        <v>-0.45928686666666702</v>
      </c>
      <c r="AU23">
        <v>414.87293333333298</v>
      </c>
      <c r="AV23">
        <v>16.106619999999999</v>
      </c>
      <c r="AW23">
        <v>1.549472</v>
      </c>
      <c r="AX23">
        <v>1.5949553333333299</v>
      </c>
      <c r="AY23">
        <v>13.4652933333333</v>
      </c>
      <c r="AZ23">
        <v>13.9101466666667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25</v>
      </c>
      <c r="BG23">
        <v>-0.113333393333333</v>
      </c>
      <c r="BH23">
        <v>1768578418</v>
      </c>
      <c r="BI23" t="s">
        <v>289</v>
      </c>
      <c r="BJ23">
        <v>1768578418</v>
      </c>
      <c r="BK23">
        <v>1768578413</v>
      </c>
      <c r="BL23">
        <v>1</v>
      </c>
      <c r="BM23">
        <v>-0.36099999999999999</v>
      </c>
      <c r="BN23">
        <v>4.9000000000000002E-2</v>
      </c>
      <c r="BO23">
        <v>-0.995</v>
      </c>
      <c r="BP23">
        <v>0.16900000000000001</v>
      </c>
      <c r="BQ23">
        <v>412</v>
      </c>
      <c r="BR23">
        <v>17</v>
      </c>
      <c r="BS23">
        <v>0.52</v>
      </c>
      <c r="BT23">
        <v>0.02</v>
      </c>
      <c r="BU23">
        <v>-2.7866557699999999</v>
      </c>
      <c r="BV23">
        <v>-39.301816574436103</v>
      </c>
      <c r="BW23">
        <v>5.0846047484581698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-0.46298584999999998</v>
      </c>
      <c r="CD23">
        <v>6.1823864661653703E-2</v>
      </c>
      <c r="CE23">
        <v>6.8802286464550002E-3</v>
      </c>
      <c r="CF23">
        <v>1</v>
      </c>
      <c r="CG23">
        <v>1</v>
      </c>
      <c r="CH23">
        <v>2</v>
      </c>
      <c r="CI23" t="s">
        <v>303</v>
      </c>
      <c r="CJ23">
        <v>3.3499099999999999</v>
      </c>
      <c r="CK23">
        <v>2.6928800000000002</v>
      </c>
      <c r="CL23">
        <v>9.78377E-2</v>
      </c>
      <c r="CM23">
        <v>9.8550100000000002E-2</v>
      </c>
      <c r="CN23">
        <v>8.7081800000000001E-2</v>
      </c>
      <c r="CO23">
        <v>8.8193999999999995E-2</v>
      </c>
      <c r="CP23">
        <v>31655</v>
      </c>
      <c r="CQ23">
        <v>27735</v>
      </c>
      <c r="CR23">
        <v>32471.9</v>
      </c>
      <c r="CS23">
        <v>30690.400000000001</v>
      </c>
      <c r="CT23">
        <v>40128</v>
      </c>
      <c r="CU23">
        <v>39331</v>
      </c>
      <c r="CV23">
        <v>47410.5</v>
      </c>
      <c r="CW23">
        <v>46788.800000000003</v>
      </c>
      <c r="CX23">
        <v>2.51566</v>
      </c>
      <c r="CY23">
        <v>2.3488199999999999</v>
      </c>
      <c r="CZ23">
        <v>0</v>
      </c>
      <c r="DA23">
        <v>0</v>
      </c>
      <c r="DB23">
        <v>999.9</v>
      </c>
      <c r="DC23">
        <v>999.9</v>
      </c>
      <c r="DD23">
        <v>66.622</v>
      </c>
      <c r="DE23">
        <v>23.212</v>
      </c>
      <c r="DF23">
        <v>19.215399999999999</v>
      </c>
      <c r="DG23">
        <v>30.2</v>
      </c>
      <c r="DH23">
        <v>12.696300000000001</v>
      </c>
      <c r="DI23">
        <v>2</v>
      </c>
      <c r="DJ23">
        <v>-0.18266499999999999</v>
      </c>
      <c r="DK23">
        <v>1.5483800000000001</v>
      </c>
      <c r="DL23">
        <v>20.2423</v>
      </c>
      <c r="DM23">
        <v>5.2521500000000003</v>
      </c>
      <c r="DN23">
        <v>12.033899999999999</v>
      </c>
      <c r="DO23">
        <v>4.9671200000000004</v>
      </c>
      <c r="DP23">
        <v>3.2909999999999999</v>
      </c>
      <c r="DQ23">
        <v>9999</v>
      </c>
      <c r="DR23">
        <v>9999</v>
      </c>
      <c r="DS23">
        <v>522.5</v>
      </c>
      <c r="DT23">
        <v>9999</v>
      </c>
      <c r="DU23">
        <v>1.87087</v>
      </c>
      <c r="DV23">
        <v>1.8759300000000001</v>
      </c>
      <c r="DW23">
        <v>1.87612</v>
      </c>
      <c r="DX23">
        <v>1.8826400000000001</v>
      </c>
      <c r="DY23">
        <v>1.8754500000000001</v>
      </c>
      <c r="DZ23">
        <v>1.8745000000000001</v>
      </c>
      <c r="EA23">
        <v>1.8705799999999999</v>
      </c>
      <c r="EB23">
        <v>1.87449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-0.99399999999999999</v>
      </c>
      <c r="EQ23">
        <v>0.16900000000000001</v>
      </c>
      <c r="ER23">
        <v>-0.994636363636346</v>
      </c>
      <c r="ES23">
        <v>0</v>
      </c>
      <c r="ET23">
        <v>0</v>
      </c>
      <c r="EU23">
        <v>0</v>
      </c>
      <c r="EV23">
        <v>0.16895000000000199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1.6</v>
      </c>
      <c r="FF23">
        <v>0.85449200000000003</v>
      </c>
      <c r="FG23">
        <v>2.5683600000000002</v>
      </c>
      <c r="FH23">
        <v>2.19604</v>
      </c>
      <c r="FI23">
        <v>2.67822</v>
      </c>
      <c r="FJ23">
        <v>2.4462899999999999</v>
      </c>
      <c r="FK23">
        <v>2.2534200000000002</v>
      </c>
      <c r="FL23">
        <v>28.985900000000001</v>
      </c>
      <c r="FM23">
        <v>24.1663</v>
      </c>
      <c r="FN23">
        <v>19</v>
      </c>
      <c r="FO23">
        <v>757.98</v>
      </c>
      <c r="FP23">
        <v>752.08299999999997</v>
      </c>
      <c r="FQ23">
        <v>18.479700000000001</v>
      </c>
      <c r="FR23">
        <v>24.684899999999999</v>
      </c>
      <c r="FS23">
        <v>30.0002</v>
      </c>
      <c r="FT23">
        <v>24.666399999999999</v>
      </c>
      <c r="FU23">
        <v>24.664400000000001</v>
      </c>
      <c r="FV23">
        <v>17.247800000000002</v>
      </c>
      <c r="FW23">
        <v>47.738300000000002</v>
      </c>
      <c r="FX23">
        <v>100</v>
      </c>
      <c r="FY23">
        <v>18.504999999999999</v>
      </c>
      <c r="FZ23">
        <v>410</v>
      </c>
      <c r="GA23">
        <v>16.0185</v>
      </c>
      <c r="GB23">
        <v>99.910899999999998</v>
      </c>
      <c r="GC23">
        <v>99.616200000000006</v>
      </c>
    </row>
    <row r="24" spans="1:185" x14ac:dyDescent="0.2">
      <c r="A24">
        <v>9</v>
      </c>
      <c r="B24">
        <v>1768578525</v>
      </c>
      <c r="C24">
        <v>132</v>
      </c>
      <c r="D24" t="s">
        <v>310</v>
      </c>
      <c r="E24" t="s">
        <v>311</v>
      </c>
      <c r="F24">
        <v>15</v>
      </c>
      <c r="G24">
        <v>1768578516.9333301</v>
      </c>
      <c r="H24">
        <f t="shared" si="0"/>
        <v>-3.1632180457708659E-4</v>
      </c>
      <c r="I24">
        <v>0</v>
      </c>
      <c r="J24">
        <f t="shared" si="12"/>
        <v>-0.13312796310581618</v>
      </c>
      <c r="K24">
        <f t="shared" si="1"/>
        <v>-3.4865776426154089</v>
      </c>
      <c r="L24">
        <f t="shared" si="2"/>
        <v>70.377879906316636</v>
      </c>
      <c r="M24">
        <f t="shared" si="3"/>
        <v>1.5488964026896459</v>
      </c>
      <c r="N24">
        <f t="shared" si="4"/>
        <v>2.2008284488698098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25959.251806101991</v>
      </c>
      <c r="T24">
        <f t="shared" si="8"/>
        <v>0</v>
      </c>
      <c r="U24">
        <f t="shared" si="9"/>
        <v>0</v>
      </c>
      <c r="V24">
        <f t="shared" si="10"/>
        <v>0</v>
      </c>
      <c r="W24">
        <f t="shared" si="11"/>
        <v>0</v>
      </c>
      <c r="X24">
        <v>1</v>
      </c>
      <c r="Y24">
        <v>1768578516.9333301</v>
      </c>
      <c r="Z24">
        <v>413.25319999999999</v>
      </c>
      <c r="AA24">
        <v>408.0856</v>
      </c>
      <c r="AB24">
        <v>15.63274</v>
      </c>
      <c r="AC24">
        <v>16.077566666666701</v>
      </c>
      <c r="AD24">
        <v>414.24813333333299</v>
      </c>
      <c r="AE24">
        <v>15.4637933333333</v>
      </c>
      <c r="AF24">
        <v>699.99586666666698</v>
      </c>
      <c r="AG24">
        <v>99.025413333333304</v>
      </c>
      <c r="AH24">
        <v>5.4876026666666702E-2</v>
      </c>
      <c r="AI24">
        <v>18.968346666666701</v>
      </c>
      <c r="AJ24">
        <v>999.9</v>
      </c>
      <c r="AK24">
        <v>999.9</v>
      </c>
      <c r="AL24">
        <v>0</v>
      </c>
      <c r="AM24">
        <v>0</v>
      </c>
      <c r="AN24">
        <v>4998.3</v>
      </c>
      <c r="AO24">
        <v>0</v>
      </c>
      <c r="AP24">
        <v>2.71007</v>
      </c>
      <c r="AQ24">
        <v>5.1678226</v>
      </c>
      <c r="AR24">
        <v>419.81626666666699</v>
      </c>
      <c r="AS24">
        <v>414.75380000000001</v>
      </c>
      <c r="AT24">
        <v>-0.444830533333333</v>
      </c>
      <c r="AU24">
        <v>408.0856</v>
      </c>
      <c r="AV24">
        <v>16.077566666666701</v>
      </c>
      <c r="AW24">
        <v>1.5480400000000001</v>
      </c>
      <c r="AX24">
        <v>1.5920879999999999</v>
      </c>
      <c r="AY24">
        <v>13.4510733333333</v>
      </c>
      <c r="AZ24">
        <v>13.882440000000001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25</v>
      </c>
      <c r="BG24">
        <v>-0.15555566666666701</v>
      </c>
      <c r="BH24">
        <v>1768578418</v>
      </c>
      <c r="BI24" t="s">
        <v>289</v>
      </c>
      <c r="BJ24">
        <v>1768578418</v>
      </c>
      <c r="BK24">
        <v>1768578413</v>
      </c>
      <c r="BL24">
        <v>1</v>
      </c>
      <c r="BM24">
        <v>-0.36099999999999999</v>
      </c>
      <c r="BN24">
        <v>4.9000000000000002E-2</v>
      </c>
      <c r="BO24">
        <v>-0.995</v>
      </c>
      <c r="BP24">
        <v>0.16900000000000001</v>
      </c>
      <c r="BQ24">
        <v>412</v>
      </c>
      <c r="BR24">
        <v>17</v>
      </c>
      <c r="BS24">
        <v>0.52</v>
      </c>
      <c r="BT24">
        <v>0.02</v>
      </c>
      <c r="BU24">
        <v>1.17539795</v>
      </c>
      <c r="BV24">
        <v>90.3398856992481</v>
      </c>
      <c r="BW24">
        <v>10.930273926768299</v>
      </c>
      <c r="BX24">
        <v>0</v>
      </c>
      <c r="BY24">
        <v>0</v>
      </c>
      <c r="BZ24">
        <v>0</v>
      </c>
      <c r="CA24">
        <v>0</v>
      </c>
      <c r="CB24">
        <v>-1</v>
      </c>
      <c r="CC24">
        <v>-0.44588549999999999</v>
      </c>
      <c r="CD24">
        <v>8.8206315789479701E-3</v>
      </c>
      <c r="CE24">
        <v>3.9431151580951798E-3</v>
      </c>
      <c r="CF24">
        <v>1</v>
      </c>
      <c r="CG24">
        <v>1</v>
      </c>
      <c r="CH24">
        <v>2</v>
      </c>
      <c r="CI24" t="s">
        <v>303</v>
      </c>
      <c r="CJ24">
        <v>3.3499599999999998</v>
      </c>
      <c r="CK24">
        <v>2.6929099999999999</v>
      </c>
      <c r="CL24">
        <v>9.6936300000000003E-2</v>
      </c>
      <c r="CM24">
        <v>9.3906299999999998E-2</v>
      </c>
      <c r="CN24">
        <v>8.7024699999999997E-2</v>
      </c>
      <c r="CO24">
        <v>8.8135000000000005E-2</v>
      </c>
      <c r="CP24">
        <v>31686.3</v>
      </c>
      <c r="CQ24">
        <v>27877.4</v>
      </c>
      <c r="CR24">
        <v>32471.599999999999</v>
      </c>
      <c r="CS24">
        <v>30690</v>
      </c>
      <c r="CT24">
        <v>40129.9</v>
      </c>
      <c r="CU24">
        <v>39332.699999999997</v>
      </c>
      <c r="CV24">
        <v>47409.8</v>
      </c>
      <c r="CW24">
        <v>46788.2</v>
      </c>
      <c r="CX24">
        <v>2.5157799999999999</v>
      </c>
      <c r="CY24">
        <v>2.3482599999999998</v>
      </c>
      <c r="CZ24">
        <v>0</v>
      </c>
      <c r="DA24">
        <v>0</v>
      </c>
      <c r="DB24">
        <v>999.9</v>
      </c>
      <c r="DC24">
        <v>999.9</v>
      </c>
      <c r="DD24">
        <v>66.555000000000007</v>
      </c>
      <c r="DE24">
        <v>23.231999999999999</v>
      </c>
      <c r="DF24">
        <v>19.2182</v>
      </c>
      <c r="DG24">
        <v>30.17</v>
      </c>
      <c r="DH24">
        <v>12.6843</v>
      </c>
      <c r="DI24">
        <v>2</v>
      </c>
      <c r="DJ24">
        <v>-0.181974</v>
      </c>
      <c r="DK24">
        <v>1.5115099999999999</v>
      </c>
      <c r="DL24">
        <v>20.2424</v>
      </c>
      <c r="DM24">
        <v>5.2513100000000001</v>
      </c>
      <c r="DN24">
        <v>12.033899999999999</v>
      </c>
      <c r="DO24">
        <v>4.9669999999999996</v>
      </c>
      <c r="DP24">
        <v>3.2909999999999999</v>
      </c>
      <c r="DQ24">
        <v>9999</v>
      </c>
      <c r="DR24">
        <v>9999</v>
      </c>
      <c r="DS24">
        <v>522.5</v>
      </c>
      <c r="DT24">
        <v>9999</v>
      </c>
      <c r="DU24">
        <v>1.8708800000000001</v>
      </c>
      <c r="DV24">
        <v>1.8759300000000001</v>
      </c>
      <c r="DW24">
        <v>1.87612</v>
      </c>
      <c r="DX24">
        <v>1.8826400000000001</v>
      </c>
      <c r="DY24">
        <v>1.8754500000000001</v>
      </c>
      <c r="DZ24">
        <v>1.8744700000000001</v>
      </c>
      <c r="EA24">
        <v>1.8705799999999999</v>
      </c>
      <c r="EB24">
        <v>1.8744799999999999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-0.995</v>
      </c>
      <c r="EQ24">
        <v>0.16900000000000001</v>
      </c>
      <c r="ER24">
        <v>-0.994636363636346</v>
      </c>
      <c r="ES24">
        <v>0</v>
      </c>
      <c r="ET24">
        <v>0</v>
      </c>
      <c r="EU24">
        <v>0</v>
      </c>
      <c r="EV24">
        <v>0.16895000000000199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1.9</v>
      </c>
      <c r="FF24">
        <v>0.89355499999999999</v>
      </c>
      <c r="FG24">
        <v>2.5634800000000002</v>
      </c>
      <c r="FH24">
        <v>2.19604</v>
      </c>
      <c r="FI24">
        <v>2.67822</v>
      </c>
      <c r="FJ24">
        <v>2.4462899999999999</v>
      </c>
      <c r="FK24">
        <v>2.2546400000000002</v>
      </c>
      <c r="FL24">
        <v>29.028199999999998</v>
      </c>
      <c r="FM24">
        <v>24.1663</v>
      </c>
      <c r="FN24">
        <v>19</v>
      </c>
      <c r="FO24">
        <v>758.21</v>
      </c>
      <c r="FP24">
        <v>751.68899999999996</v>
      </c>
      <c r="FQ24">
        <v>18.554300000000001</v>
      </c>
      <c r="FR24">
        <v>24.692399999999999</v>
      </c>
      <c r="FS24">
        <v>30.000299999999999</v>
      </c>
      <c r="FT24">
        <v>24.6755</v>
      </c>
      <c r="FU24">
        <v>24.673500000000001</v>
      </c>
      <c r="FV24">
        <v>17.974399999999999</v>
      </c>
      <c r="FW24">
        <v>48.0092</v>
      </c>
      <c r="FX24">
        <v>100</v>
      </c>
      <c r="FY24">
        <v>18.5715</v>
      </c>
      <c r="FZ24">
        <v>410</v>
      </c>
      <c r="GA24">
        <v>16.002500000000001</v>
      </c>
      <c r="GB24">
        <v>99.909700000000001</v>
      </c>
      <c r="GC24">
        <v>99.614900000000006</v>
      </c>
    </row>
    <row r="25" spans="1:185" x14ac:dyDescent="0.2">
      <c r="A25">
        <v>10</v>
      </c>
      <c r="B25">
        <v>1768578540</v>
      </c>
      <c r="C25">
        <v>147</v>
      </c>
      <c r="D25" t="s">
        <v>312</v>
      </c>
      <c r="E25" t="s">
        <v>313</v>
      </c>
      <c r="F25">
        <v>15</v>
      </c>
      <c r="G25">
        <v>1768578531.9333301</v>
      </c>
      <c r="H25">
        <f t="shared" si="0"/>
        <v>-3.0958557146688122E-4</v>
      </c>
      <c r="I25">
        <v>0</v>
      </c>
      <c r="J25">
        <f t="shared" si="12"/>
        <v>-7.8699638291285623E-2</v>
      </c>
      <c r="K25">
        <f t="shared" si="1"/>
        <v>-2.0611176866742595</v>
      </c>
      <c r="L25">
        <f t="shared" si="2"/>
        <v>70.260004708094698</v>
      </c>
      <c r="M25">
        <f t="shared" si="3"/>
        <v>1.5478844748560077</v>
      </c>
      <c r="N25">
        <f t="shared" si="4"/>
        <v>2.2030805168415752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25954.309886818766</v>
      </c>
      <c r="T25">
        <f t="shared" si="8"/>
        <v>0</v>
      </c>
      <c r="U25">
        <f t="shared" si="9"/>
        <v>0</v>
      </c>
      <c r="V25">
        <f t="shared" si="10"/>
        <v>0</v>
      </c>
      <c r="W25">
        <f t="shared" si="11"/>
        <v>0</v>
      </c>
      <c r="X25">
        <v>1</v>
      </c>
      <c r="Y25">
        <v>1768578531.9333301</v>
      </c>
      <c r="Z25">
        <v>406.31273333333297</v>
      </c>
      <c r="AA25">
        <v>403.18860000000001</v>
      </c>
      <c r="AB25">
        <v>15.622299999999999</v>
      </c>
      <c r="AC25">
        <v>16.057653333333299</v>
      </c>
      <c r="AD25">
        <v>407.30706666666703</v>
      </c>
      <c r="AE25">
        <v>15.45332</v>
      </c>
      <c r="AF25">
        <v>700.00413333333302</v>
      </c>
      <c r="AG25">
        <v>99.026626666666701</v>
      </c>
      <c r="AH25">
        <v>5.5101046666666702E-2</v>
      </c>
      <c r="AI25">
        <v>18.984733333333299</v>
      </c>
      <c r="AJ25">
        <v>999.9</v>
      </c>
      <c r="AK25">
        <v>999.9</v>
      </c>
      <c r="AL25">
        <v>0</v>
      </c>
      <c r="AM25">
        <v>0</v>
      </c>
      <c r="AN25">
        <v>4997.6666666666697</v>
      </c>
      <c r="AO25">
        <v>0</v>
      </c>
      <c r="AP25">
        <v>2.71007</v>
      </c>
      <c r="AQ25">
        <v>3.1238872</v>
      </c>
      <c r="AR25">
        <v>412.76086666666703</v>
      </c>
      <c r="AS25">
        <v>409.76859999999999</v>
      </c>
      <c r="AT25">
        <v>-0.43537140000000002</v>
      </c>
      <c r="AU25">
        <v>403.18860000000001</v>
      </c>
      <c r="AV25">
        <v>16.057653333333299</v>
      </c>
      <c r="AW25">
        <v>1.54702133333333</v>
      </c>
      <c r="AX25">
        <v>1.59013466666667</v>
      </c>
      <c r="AY25">
        <v>13.440993333333299</v>
      </c>
      <c r="AZ25">
        <v>13.86354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25</v>
      </c>
      <c r="BG25">
        <v>-7.7777760000000001E-2</v>
      </c>
      <c r="BH25">
        <v>1768578418</v>
      </c>
      <c r="BI25" t="s">
        <v>289</v>
      </c>
      <c r="BJ25">
        <v>1768578418</v>
      </c>
      <c r="BK25">
        <v>1768578413</v>
      </c>
      <c r="BL25">
        <v>1</v>
      </c>
      <c r="BM25">
        <v>-0.36099999999999999</v>
      </c>
      <c r="BN25">
        <v>4.9000000000000002E-2</v>
      </c>
      <c r="BO25">
        <v>-0.995</v>
      </c>
      <c r="BP25">
        <v>0.16900000000000001</v>
      </c>
      <c r="BQ25">
        <v>412</v>
      </c>
      <c r="BR25">
        <v>17</v>
      </c>
      <c r="BS25">
        <v>0.52</v>
      </c>
      <c r="BT25">
        <v>0.02</v>
      </c>
      <c r="BU25">
        <v>6.2577914000000003</v>
      </c>
      <c r="BV25">
        <v>-53.238645563909699</v>
      </c>
      <c r="BW25">
        <v>5.8590668062820201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-0.43831284999999998</v>
      </c>
      <c r="CD25">
        <v>3.9510541353383999E-2</v>
      </c>
      <c r="CE25">
        <v>5.4403212246612797E-3</v>
      </c>
      <c r="CF25">
        <v>1</v>
      </c>
      <c r="CG25">
        <v>1</v>
      </c>
      <c r="CH25">
        <v>2</v>
      </c>
      <c r="CI25" t="s">
        <v>303</v>
      </c>
      <c r="CJ25">
        <v>3.35</v>
      </c>
      <c r="CK25">
        <v>2.6928999999999998</v>
      </c>
      <c r="CL25">
        <v>9.6397300000000005E-2</v>
      </c>
      <c r="CM25">
        <v>9.5415100000000003E-2</v>
      </c>
      <c r="CN25">
        <v>8.6986599999999997E-2</v>
      </c>
      <c r="CO25">
        <v>8.8084099999999999E-2</v>
      </c>
      <c r="CP25">
        <v>31704.6</v>
      </c>
      <c r="CQ25">
        <v>27830.5</v>
      </c>
      <c r="CR25">
        <v>32471</v>
      </c>
      <c r="CS25">
        <v>30689.5</v>
      </c>
      <c r="CT25">
        <v>40131.1</v>
      </c>
      <c r="CU25">
        <v>39334.6</v>
      </c>
      <c r="CV25">
        <v>47409.2</v>
      </c>
      <c r="CW25">
        <v>46787.6</v>
      </c>
      <c r="CX25">
        <v>2.5154800000000002</v>
      </c>
      <c r="CY25">
        <v>2.3479800000000002</v>
      </c>
      <c r="CZ25">
        <v>0</v>
      </c>
      <c r="DA25">
        <v>0</v>
      </c>
      <c r="DB25">
        <v>999.9</v>
      </c>
      <c r="DC25">
        <v>999.9</v>
      </c>
      <c r="DD25">
        <v>66.481999999999999</v>
      </c>
      <c r="DE25">
        <v>23.251999999999999</v>
      </c>
      <c r="DF25">
        <v>19.221599999999999</v>
      </c>
      <c r="DG25">
        <v>30.08</v>
      </c>
      <c r="DH25">
        <v>12.712300000000001</v>
      </c>
      <c r="DI25">
        <v>2</v>
      </c>
      <c r="DJ25">
        <v>-0.18123800000000001</v>
      </c>
      <c r="DK25">
        <v>1.53529</v>
      </c>
      <c r="DL25">
        <v>20.2422</v>
      </c>
      <c r="DM25">
        <v>5.2511900000000002</v>
      </c>
      <c r="DN25">
        <v>12.033899999999999</v>
      </c>
      <c r="DO25">
        <v>4.9671200000000004</v>
      </c>
      <c r="DP25">
        <v>3.2909999999999999</v>
      </c>
      <c r="DQ25">
        <v>9999</v>
      </c>
      <c r="DR25">
        <v>9999</v>
      </c>
      <c r="DS25">
        <v>522.5</v>
      </c>
      <c r="DT25">
        <v>9999</v>
      </c>
      <c r="DU25">
        <v>1.8708800000000001</v>
      </c>
      <c r="DV25">
        <v>1.8759399999999999</v>
      </c>
      <c r="DW25">
        <v>1.8761300000000001</v>
      </c>
      <c r="DX25">
        <v>1.8826400000000001</v>
      </c>
      <c r="DY25">
        <v>1.8754599999999999</v>
      </c>
      <c r="DZ25">
        <v>1.87453</v>
      </c>
      <c r="EA25">
        <v>1.8705700000000001</v>
      </c>
      <c r="EB25">
        <v>1.8745000000000001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-0.99399999999999999</v>
      </c>
      <c r="EQ25">
        <v>0.16900000000000001</v>
      </c>
      <c r="ER25">
        <v>-0.994636363636346</v>
      </c>
      <c r="ES25">
        <v>0</v>
      </c>
      <c r="ET25">
        <v>0</v>
      </c>
      <c r="EU25">
        <v>0</v>
      </c>
      <c r="EV25">
        <v>0.16895000000000199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2.1</v>
      </c>
      <c r="FF25">
        <v>0.924072</v>
      </c>
      <c r="FG25">
        <v>2.5610400000000002</v>
      </c>
      <c r="FH25">
        <v>2.19604</v>
      </c>
      <c r="FI25">
        <v>2.67822</v>
      </c>
      <c r="FJ25">
        <v>2.4462899999999999</v>
      </c>
      <c r="FK25">
        <v>2.2802699999999998</v>
      </c>
      <c r="FL25">
        <v>29.028199999999998</v>
      </c>
      <c r="FM25">
        <v>24.1663</v>
      </c>
      <c r="FN25">
        <v>19</v>
      </c>
      <c r="FO25">
        <v>758.08299999999997</v>
      </c>
      <c r="FP25">
        <v>751.55600000000004</v>
      </c>
      <c r="FQ25">
        <v>18.601500000000001</v>
      </c>
      <c r="FR25">
        <v>24.6998</v>
      </c>
      <c r="FS25">
        <v>30.000399999999999</v>
      </c>
      <c r="FT25">
        <v>24.684200000000001</v>
      </c>
      <c r="FU25">
        <v>24.682600000000001</v>
      </c>
      <c r="FV25">
        <v>18.563300000000002</v>
      </c>
      <c r="FW25">
        <v>48.0092</v>
      </c>
      <c r="FX25">
        <v>100</v>
      </c>
      <c r="FY25">
        <v>18.603300000000001</v>
      </c>
      <c r="FZ25">
        <v>410</v>
      </c>
      <c r="GA25">
        <v>15.988899999999999</v>
      </c>
      <c r="GB25">
        <v>99.908199999999994</v>
      </c>
      <c r="GC25">
        <v>99.613500000000002</v>
      </c>
    </row>
    <row r="26" spans="1:185" x14ac:dyDescent="0.2">
      <c r="A26">
        <v>11</v>
      </c>
      <c r="B26">
        <v>1768578555</v>
      </c>
      <c r="C26">
        <v>162</v>
      </c>
      <c r="D26" t="s">
        <v>314</v>
      </c>
      <c r="E26" t="s">
        <v>315</v>
      </c>
      <c r="F26">
        <v>15</v>
      </c>
      <c r="G26">
        <v>1768578546.9333301</v>
      </c>
      <c r="H26">
        <f t="shared" si="0"/>
        <v>-3.0294494913754246E-4</v>
      </c>
      <c r="I26">
        <v>0</v>
      </c>
      <c r="J26">
        <f t="shared" si="12"/>
        <v>6.4079540753759351E-2</v>
      </c>
      <c r="K26">
        <f t="shared" si="1"/>
        <v>1.6782221325172477</v>
      </c>
      <c r="L26">
        <f t="shared" si="2"/>
        <v>70.173096555029744</v>
      </c>
      <c r="M26">
        <f t="shared" si="3"/>
        <v>1.547375831702019</v>
      </c>
      <c r="N26">
        <f t="shared" si="4"/>
        <v>2.2050841528541736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25990.820787654709</v>
      </c>
      <c r="T26">
        <f t="shared" si="8"/>
        <v>0</v>
      </c>
      <c r="U26">
        <f t="shared" si="9"/>
        <v>0</v>
      </c>
      <c r="V26">
        <f t="shared" si="10"/>
        <v>0</v>
      </c>
      <c r="W26">
        <f t="shared" si="11"/>
        <v>0</v>
      </c>
      <c r="X26">
        <v>1</v>
      </c>
      <c r="Y26">
        <v>1768578546.9333301</v>
      </c>
      <c r="Z26">
        <v>406.97059999999999</v>
      </c>
      <c r="AA26">
        <v>409.191933333333</v>
      </c>
      <c r="AB26">
        <v>15.617093333333299</v>
      </c>
      <c r="AC26">
        <v>16.043113333333299</v>
      </c>
      <c r="AD26">
        <v>407.96539999999999</v>
      </c>
      <c r="AE26">
        <v>15.44814</v>
      </c>
      <c r="AF26">
        <v>699.99959999999999</v>
      </c>
      <c r="AG26">
        <v>99.027313333333296</v>
      </c>
      <c r="AH26">
        <v>5.48781266666667E-2</v>
      </c>
      <c r="AI26">
        <v>18.999300000000002</v>
      </c>
      <c r="AJ26">
        <v>999.9</v>
      </c>
      <c r="AK26">
        <v>999.9</v>
      </c>
      <c r="AL26">
        <v>0</v>
      </c>
      <c r="AM26">
        <v>0</v>
      </c>
      <c r="AN26">
        <v>5003.9333333333298</v>
      </c>
      <c r="AO26">
        <v>0</v>
      </c>
      <c r="AP26">
        <v>2.71007</v>
      </c>
      <c r="AQ26">
        <v>-2.2213859999999999</v>
      </c>
      <c r="AR26">
        <v>413.42720000000003</v>
      </c>
      <c r="AS26">
        <v>415.86373333333302</v>
      </c>
      <c r="AT26">
        <v>-0.42601620000000001</v>
      </c>
      <c r="AU26">
        <v>409.191933333333</v>
      </c>
      <c r="AV26">
        <v>16.043113333333299</v>
      </c>
      <c r="AW26">
        <v>1.54651933333333</v>
      </c>
      <c r="AX26">
        <v>1.58870666666667</v>
      </c>
      <c r="AY26">
        <v>13.4359866666667</v>
      </c>
      <c r="AZ26">
        <v>13.849686666666701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25</v>
      </c>
      <c r="BG26">
        <v>-9.1111139999999993E-2</v>
      </c>
      <c r="BH26">
        <v>1768578418</v>
      </c>
      <c r="BI26" t="s">
        <v>289</v>
      </c>
      <c r="BJ26">
        <v>1768578418</v>
      </c>
      <c r="BK26">
        <v>1768578413</v>
      </c>
      <c r="BL26">
        <v>1</v>
      </c>
      <c r="BM26">
        <v>-0.36099999999999999</v>
      </c>
      <c r="BN26">
        <v>4.9000000000000002E-2</v>
      </c>
      <c r="BO26">
        <v>-0.995</v>
      </c>
      <c r="BP26">
        <v>0.16900000000000001</v>
      </c>
      <c r="BQ26">
        <v>412</v>
      </c>
      <c r="BR26">
        <v>17</v>
      </c>
      <c r="BS26">
        <v>0.52</v>
      </c>
      <c r="BT26">
        <v>0.02</v>
      </c>
      <c r="BU26">
        <v>-1.6667053333333299</v>
      </c>
      <c r="BV26">
        <v>-8.0307725454545391</v>
      </c>
      <c r="BW26">
        <v>1.0618364988478901</v>
      </c>
      <c r="BX26">
        <v>0</v>
      </c>
      <c r="BY26">
        <v>0</v>
      </c>
      <c r="BZ26">
        <v>0</v>
      </c>
      <c r="CA26">
        <v>0</v>
      </c>
      <c r="CB26">
        <v>-1</v>
      </c>
      <c r="CC26">
        <v>-0.43003195238095199</v>
      </c>
      <c r="CD26">
        <v>7.8249272727272404E-2</v>
      </c>
      <c r="CE26">
        <v>9.5457997119460705E-3</v>
      </c>
      <c r="CF26">
        <v>1</v>
      </c>
      <c r="CG26">
        <v>1</v>
      </c>
      <c r="CH26">
        <v>2</v>
      </c>
      <c r="CI26" t="s">
        <v>303</v>
      </c>
      <c r="CJ26">
        <v>3.34999</v>
      </c>
      <c r="CK26">
        <v>2.6926100000000002</v>
      </c>
      <c r="CL26">
        <v>9.6869300000000005E-2</v>
      </c>
      <c r="CM26">
        <v>9.5865300000000001E-2</v>
      </c>
      <c r="CN26">
        <v>8.6953100000000005E-2</v>
      </c>
      <c r="CO26">
        <v>8.7968699999999997E-2</v>
      </c>
      <c r="CP26">
        <v>31688.2</v>
      </c>
      <c r="CQ26">
        <v>27816.9</v>
      </c>
      <c r="CR26">
        <v>32471.200000000001</v>
      </c>
      <c r="CS26">
        <v>30689.8</v>
      </c>
      <c r="CT26">
        <v>40133</v>
      </c>
      <c r="CU26">
        <v>39340.300000000003</v>
      </c>
      <c r="CV26">
        <v>47409.599999999999</v>
      </c>
      <c r="CW26">
        <v>46788.1</v>
      </c>
      <c r="CX26">
        <v>2.5155599999999998</v>
      </c>
      <c r="CY26">
        <v>2.3478400000000001</v>
      </c>
      <c r="CZ26">
        <v>0</v>
      </c>
      <c r="DA26">
        <v>0</v>
      </c>
      <c r="DB26">
        <v>999.9</v>
      </c>
      <c r="DC26">
        <v>999.9</v>
      </c>
      <c r="DD26">
        <v>66.408000000000001</v>
      </c>
      <c r="DE26">
        <v>23.262</v>
      </c>
      <c r="DF26">
        <v>19.211300000000001</v>
      </c>
      <c r="DG26">
        <v>29.99</v>
      </c>
      <c r="DH26">
        <v>12.708299999999999</v>
      </c>
      <c r="DI26">
        <v>2</v>
      </c>
      <c r="DJ26">
        <v>-0.17860999999999999</v>
      </c>
      <c r="DK26">
        <v>2.32863</v>
      </c>
      <c r="DL26">
        <v>20.23</v>
      </c>
      <c r="DM26">
        <v>5.2480799999999999</v>
      </c>
      <c r="DN26">
        <v>12.033899999999999</v>
      </c>
      <c r="DO26">
        <v>4.9667199999999996</v>
      </c>
      <c r="DP26">
        <v>3.2906399999999998</v>
      </c>
      <c r="DQ26">
        <v>9999</v>
      </c>
      <c r="DR26">
        <v>9999</v>
      </c>
      <c r="DS26">
        <v>522.5</v>
      </c>
      <c r="DT26">
        <v>9999</v>
      </c>
      <c r="DU26">
        <v>1.8708800000000001</v>
      </c>
      <c r="DV26">
        <v>1.8759300000000001</v>
      </c>
      <c r="DW26">
        <v>1.87612</v>
      </c>
      <c r="DX26">
        <v>1.8826499999999999</v>
      </c>
      <c r="DY26">
        <v>1.8754500000000001</v>
      </c>
      <c r="DZ26">
        <v>1.8745400000000001</v>
      </c>
      <c r="EA26">
        <v>1.8705799999999999</v>
      </c>
      <c r="EB26">
        <v>1.8745099999999999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-0.99399999999999999</v>
      </c>
      <c r="EQ26">
        <v>0.16889999999999999</v>
      </c>
      <c r="ER26">
        <v>-0.994636363636346</v>
      </c>
      <c r="ES26">
        <v>0</v>
      </c>
      <c r="ET26">
        <v>0</v>
      </c>
      <c r="EU26">
        <v>0</v>
      </c>
      <c r="EV26">
        <v>0.16895000000000199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2.4</v>
      </c>
      <c r="FF26">
        <v>0.92651399999999995</v>
      </c>
      <c r="FG26">
        <v>2.5683600000000002</v>
      </c>
      <c r="FH26">
        <v>2.19604</v>
      </c>
      <c r="FI26">
        <v>2.67822</v>
      </c>
      <c r="FJ26">
        <v>2.4462899999999999</v>
      </c>
      <c r="FK26">
        <v>2.2790499999999998</v>
      </c>
      <c r="FL26">
        <v>29.049399999999999</v>
      </c>
      <c r="FM26">
        <v>24.1663</v>
      </c>
      <c r="FN26">
        <v>19</v>
      </c>
      <c r="FO26">
        <v>758.274</v>
      </c>
      <c r="FP26">
        <v>751.55200000000002</v>
      </c>
      <c r="FQ26">
        <v>18.4634</v>
      </c>
      <c r="FR26">
        <v>24.706900000000001</v>
      </c>
      <c r="FS26">
        <v>30.0016</v>
      </c>
      <c r="FT26">
        <v>24.692900000000002</v>
      </c>
      <c r="FU26">
        <v>24.691199999999998</v>
      </c>
      <c r="FV26">
        <v>18.593499999999999</v>
      </c>
      <c r="FW26">
        <v>48.280999999999999</v>
      </c>
      <c r="FX26">
        <v>100</v>
      </c>
      <c r="FY26">
        <v>18.3918</v>
      </c>
      <c r="FZ26">
        <v>410</v>
      </c>
      <c r="GA26">
        <v>15.981</v>
      </c>
      <c r="GB26">
        <v>99.908900000000003</v>
      </c>
      <c r="GC26">
        <v>99.614500000000007</v>
      </c>
    </row>
    <row r="27" spans="1:185" x14ac:dyDescent="0.2">
      <c r="A27">
        <v>12</v>
      </c>
      <c r="B27">
        <v>1768578570</v>
      </c>
      <c r="C27">
        <v>177</v>
      </c>
      <c r="D27" t="s">
        <v>316</v>
      </c>
      <c r="E27" t="s">
        <v>317</v>
      </c>
      <c r="F27">
        <v>15</v>
      </c>
      <c r="G27">
        <v>1768578561.9333301</v>
      </c>
      <c r="H27">
        <f t="shared" si="0"/>
        <v>-3.0193270406705019E-4</v>
      </c>
      <c r="I27">
        <v>0</v>
      </c>
      <c r="J27">
        <f t="shared" si="12"/>
        <v>3.5620331864065061E-2</v>
      </c>
      <c r="K27">
        <f t="shared" si="1"/>
        <v>0.93288479596939522</v>
      </c>
      <c r="L27">
        <f t="shared" si="2"/>
        <v>70.105380250853472</v>
      </c>
      <c r="M27">
        <f t="shared" si="3"/>
        <v>1.5458253934890016</v>
      </c>
      <c r="N27">
        <f t="shared" si="4"/>
        <v>2.2050025090195304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25972.027609991765</v>
      </c>
      <c r="T27">
        <f t="shared" si="8"/>
        <v>0</v>
      </c>
      <c r="U27">
        <f t="shared" si="9"/>
        <v>0</v>
      </c>
      <c r="V27">
        <f t="shared" si="10"/>
        <v>0</v>
      </c>
      <c r="W27">
        <f t="shared" si="11"/>
        <v>0</v>
      </c>
      <c r="X27">
        <v>1</v>
      </c>
      <c r="Y27">
        <v>1768578561.9333301</v>
      </c>
      <c r="Z27">
        <v>409.31506666666701</v>
      </c>
      <c r="AA27">
        <v>410.47120000000001</v>
      </c>
      <c r="AB27">
        <v>15.601333333333301</v>
      </c>
      <c r="AC27">
        <v>16.025933333333299</v>
      </c>
      <c r="AD27">
        <v>410.3098</v>
      </c>
      <c r="AE27">
        <v>15.4323933333333</v>
      </c>
      <c r="AF27">
        <v>700.00506666666695</v>
      </c>
      <c r="AG27">
        <v>99.027946666666693</v>
      </c>
      <c r="AH27">
        <v>5.4956086666666702E-2</v>
      </c>
      <c r="AI27">
        <v>18.998706666666699</v>
      </c>
      <c r="AJ27">
        <v>999.9</v>
      </c>
      <c r="AK27">
        <v>999.9</v>
      </c>
      <c r="AL27">
        <v>0</v>
      </c>
      <c r="AM27">
        <v>0</v>
      </c>
      <c r="AN27">
        <v>5000.7666666666701</v>
      </c>
      <c r="AO27">
        <v>0</v>
      </c>
      <c r="AP27">
        <v>2.71007</v>
      </c>
      <c r="AQ27">
        <v>-1.15602682666667</v>
      </c>
      <c r="AR27">
        <v>415.80220000000003</v>
      </c>
      <c r="AS27">
        <v>417.15640000000002</v>
      </c>
      <c r="AT27">
        <v>-0.42459473333333297</v>
      </c>
      <c r="AU27">
        <v>410.47120000000001</v>
      </c>
      <c r="AV27">
        <v>16.025933333333299</v>
      </c>
      <c r="AW27">
        <v>1.54496866666667</v>
      </c>
      <c r="AX27">
        <v>1.587016</v>
      </c>
      <c r="AY27">
        <v>13.4206066666667</v>
      </c>
      <c r="AZ27">
        <v>13.8332866666667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25</v>
      </c>
      <c r="BG27">
        <v>-0.11333335999999999</v>
      </c>
      <c r="BH27">
        <v>1768578418</v>
      </c>
      <c r="BI27" t="s">
        <v>289</v>
      </c>
      <c r="BJ27">
        <v>1768578418</v>
      </c>
      <c r="BK27">
        <v>1768578413</v>
      </c>
      <c r="BL27">
        <v>1</v>
      </c>
      <c r="BM27">
        <v>-0.36099999999999999</v>
      </c>
      <c r="BN27">
        <v>4.9000000000000002E-2</v>
      </c>
      <c r="BO27">
        <v>-0.995</v>
      </c>
      <c r="BP27">
        <v>0.16900000000000001</v>
      </c>
      <c r="BQ27">
        <v>412</v>
      </c>
      <c r="BR27">
        <v>17</v>
      </c>
      <c r="BS27">
        <v>0.52</v>
      </c>
      <c r="BT27">
        <v>0.02</v>
      </c>
      <c r="BU27">
        <v>-1.55808082</v>
      </c>
      <c r="BV27">
        <v>7.8834939428571396</v>
      </c>
      <c r="BW27">
        <v>0.84565498265514605</v>
      </c>
      <c r="BX27">
        <v>0</v>
      </c>
      <c r="BY27">
        <v>0</v>
      </c>
      <c r="BZ27">
        <v>0</v>
      </c>
      <c r="CA27">
        <v>0</v>
      </c>
      <c r="CB27">
        <v>-1</v>
      </c>
      <c r="CC27">
        <v>-0.42138799999999998</v>
      </c>
      <c r="CD27">
        <v>-6.0979669172932197E-2</v>
      </c>
      <c r="CE27">
        <v>6.2609908241427802E-3</v>
      </c>
      <c r="CF27">
        <v>1</v>
      </c>
      <c r="CG27">
        <v>1</v>
      </c>
      <c r="CH27">
        <v>2</v>
      </c>
      <c r="CI27" t="s">
        <v>303</v>
      </c>
      <c r="CJ27">
        <v>3.3499400000000001</v>
      </c>
      <c r="CK27">
        <v>2.69279</v>
      </c>
      <c r="CL27">
        <v>9.7138100000000005E-2</v>
      </c>
      <c r="CM27">
        <v>9.5707100000000003E-2</v>
      </c>
      <c r="CN27">
        <v>8.6897600000000005E-2</v>
      </c>
      <c r="CO27">
        <v>8.7960899999999995E-2</v>
      </c>
      <c r="CP27">
        <v>31678.400000000001</v>
      </c>
      <c r="CQ27">
        <v>27821.8</v>
      </c>
      <c r="CR27">
        <v>32470.9</v>
      </c>
      <c r="CS27">
        <v>30689.9</v>
      </c>
      <c r="CT27">
        <v>40135.5</v>
      </c>
      <c r="CU27">
        <v>39340.800000000003</v>
      </c>
      <c r="CV27">
        <v>47409.4</v>
      </c>
      <c r="CW27">
        <v>46788.4</v>
      </c>
      <c r="CX27">
        <v>2.5150800000000002</v>
      </c>
      <c r="CY27">
        <v>2.3473799999999998</v>
      </c>
      <c r="CZ27">
        <v>0</v>
      </c>
      <c r="DA27">
        <v>0</v>
      </c>
      <c r="DB27">
        <v>999.9</v>
      </c>
      <c r="DC27">
        <v>999.9</v>
      </c>
      <c r="DD27">
        <v>66.340999999999994</v>
      </c>
      <c r="DE27">
        <v>23.292999999999999</v>
      </c>
      <c r="DF27">
        <v>19.2273</v>
      </c>
      <c r="DG27">
        <v>29.84</v>
      </c>
      <c r="DH27">
        <v>12.7484</v>
      </c>
      <c r="DI27">
        <v>2</v>
      </c>
      <c r="DJ27">
        <v>-0.17958299999999999</v>
      </c>
      <c r="DK27">
        <v>1.81321</v>
      </c>
      <c r="DL27">
        <v>20.238900000000001</v>
      </c>
      <c r="DM27">
        <v>5.2507099999999998</v>
      </c>
      <c r="DN27">
        <v>12.033899999999999</v>
      </c>
      <c r="DO27">
        <v>4.9675200000000004</v>
      </c>
      <c r="DP27">
        <v>3.2909999999999999</v>
      </c>
      <c r="DQ27">
        <v>9999</v>
      </c>
      <c r="DR27">
        <v>9999</v>
      </c>
      <c r="DS27">
        <v>522.5</v>
      </c>
      <c r="DT27">
        <v>9999</v>
      </c>
      <c r="DU27">
        <v>1.8708800000000001</v>
      </c>
      <c r="DV27">
        <v>1.8759300000000001</v>
      </c>
      <c r="DW27">
        <v>1.87612</v>
      </c>
      <c r="DX27">
        <v>1.8826400000000001</v>
      </c>
      <c r="DY27">
        <v>1.8754599999999999</v>
      </c>
      <c r="DZ27">
        <v>1.8745000000000001</v>
      </c>
      <c r="EA27">
        <v>1.87059</v>
      </c>
      <c r="EB27">
        <v>1.8745000000000001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-0.995</v>
      </c>
      <c r="EQ27">
        <v>0.16900000000000001</v>
      </c>
      <c r="ER27">
        <v>-0.994636363636346</v>
      </c>
      <c r="ES27">
        <v>0</v>
      </c>
      <c r="ET27">
        <v>0</v>
      </c>
      <c r="EU27">
        <v>0</v>
      </c>
      <c r="EV27">
        <v>0.16895000000000199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2.6</v>
      </c>
      <c r="FF27">
        <v>0.92529300000000003</v>
      </c>
      <c r="FG27">
        <v>2.5659200000000002</v>
      </c>
      <c r="FH27">
        <v>2.19604</v>
      </c>
      <c r="FI27">
        <v>2.67822</v>
      </c>
      <c r="FJ27">
        <v>2.4462899999999999</v>
      </c>
      <c r="FK27">
        <v>2.2534200000000002</v>
      </c>
      <c r="FL27">
        <v>29.070599999999999</v>
      </c>
      <c r="FM27">
        <v>24.1663</v>
      </c>
      <c r="FN27">
        <v>19</v>
      </c>
      <c r="FO27">
        <v>757.99199999999996</v>
      </c>
      <c r="FP27">
        <v>751.24699999999996</v>
      </c>
      <c r="FQ27">
        <v>18.373699999999999</v>
      </c>
      <c r="FR27">
        <v>24.714400000000001</v>
      </c>
      <c r="FS27">
        <v>30.0001</v>
      </c>
      <c r="FT27">
        <v>24.7012</v>
      </c>
      <c r="FU27">
        <v>24.7</v>
      </c>
      <c r="FV27">
        <v>18.563800000000001</v>
      </c>
      <c r="FW27">
        <v>48.280999999999999</v>
      </c>
      <c r="FX27">
        <v>100</v>
      </c>
      <c r="FY27">
        <v>18.383199999999999</v>
      </c>
      <c r="FZ27">
        <v>410</v>
      </c>
      <c r="GA27">
        <v>15.9816</v>
      </c>
      <c r="GB27">
        <v>99.908299999999997</v>
      </c>
      <c r="GC27">
        <v>99.614900000000006</v>
      </c>
    </row>
    <row r="28" spans="1:185" x14ac:dyDescent="0.2">
      <c r="A28">
        <v>13</v>
      </c>
      <c r="B28">
        <v>1768578585</v>
      </c>
      <c r="C28">
        <v>192</v>
      </c>
      <c r="D28" t="s">
        <v>318</v>
      </c>
      <c r="E28" t="s">
        <v>319</v>
      </c>
      <c r="F28">
        <v>15</v>
      </c>
      <c r="G28">
        <v>1768578576.9333301</v>
      </c>
      <c r="H28">
        <f t="shared" si="0"/>
        <v>-3.0303484729685988E-4</v>
      </c>
      <c r="I28">
        <v>0</v>
      </c>
      <c r="J28">
        <f t="shared" si="12"/>
        <v>4.0178205324816084E-3</v>
      </c>
      <c r="K28">
        <f t="shared" si="1"/>
        <v>0.1052254005378041</v>
      </c>
      <c r="L28">
        <f t="shared" si="2"/>
        <v>70.148179569605801</v>
      </c>
      <c r="M28">
        <f t="shared" si="3"/>
        <v>1.5455803481349601</v>
      </c>
      <c r="N28">
        <f t="shared" si="4"/>
        <v>2.2033078514907576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25973.757254922519</v>
      </c>
      <c r="T28">
        <f t="shared" si="8"/>
        <v>0</v>
      </c>
      <c r="U28">
        <f t="shared" si="9"/>
        <v>0</v>
      </c>
      <c r="V28">
        <f t="shared" si="10"/>
        <v>0</v>
      </c>
      <c r="W28">
        <f t="shared" si="11"/>
        <v>0</v>
      </c>
      <c r="X28">
        <v>1</v>
      </c>
      <c r="Y28">
        <v>1768578576.9333301</v>
      </c>
      <c r="Z28">
        <v>409.91579999999999</v>
      </c>
      <c r="AA28">
        <v>409.88866666666701</v>
      </c>
      <c r="AB28">
        <v>15.5985933333333</v>
      </c>
      <c r="AC28">
        <v>16.024746666666701</v>
      </c>
      <c r="AD28">
        <v>410.91039999999998</v>
      </c>
      <c r="AE28">
        <v>15.429639999999999</v>
      </c>
      <c r="AF28">
        <v>700.00139999999999</v>
      </c>
      <c r="AG28">
        <v>99.029600000000002</v>
      </c>
      <c r="AH28">
        <v>5.4997893333333298E-2</v>
      </c>
      <c r="AI28">
        <v>18.9863866666667</v>
      </c>
      <c r="AJ28">
        <v>999.9</v>
      </c>
      <c r="AK28">
        <v>999.9</v>
      </c>
      <c r="AL28">
        <v>0</v>
      </c>
      <c r="AM28">
        <v>0</v>
      </c>
      <c r="AN28">
        <v>5000.8</v>
      </c>
      <c r="AO28">
        <v>0</v>
      </c>
      <c r="AP28">
        <v>2.71007</v>
      </c>
      <c r="AQ28">
        <v>2.70813466666667E-2</v>
      </c>
      <c r="AR28">
        <v>416.41120000000001</v>
      </c>
      <c r="AS28">
        <v>416.56400000000002</v>
      </c>
      <c r="AT28">
        <v>-0.42615019999999998</v>
      </c>
      <c r="AU28">
        <v>409.88866666666701</v>
      </c>
      <c r="AV28">
        <v>16.024746666666701</v>
      </c>
      <c r="AW28">
        <v>1.54472066666667</v>
      </c>
      <c r="AX28">
        <v>1.5869233333333299</v>
      </c>
      <c r="AY28">
        <v>13.41818</v>
      </c>
      <c r="AZ28">
        <v>13.832420000000001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25</v>
      </c>
      <c r="BG28">
        <v>-9.3333353333333396E-2</v>
      </c>
      <c r="BH28">
        <v>1768578418</v>
      </c>
      <c r="BI28" t="s">
        <v>289</v>
      </c>
      <c r="BJ28">
        <v>1768578418</v>
      </c>
      <c r="BK28">
        <v>1768578413</v>
      </c>
      <c r="BL28">
        <v>1</v>
      </c>
      <c r="BM28">
        <v>-0.36099999999999999</v>
      </c>
      <c r="BN28">
        <v>4.9000000000000002E-2</v>
      </c>
      <c r="BO28">
        <v>-0.995</v>
      </c>
      <c r="BP28">
        <v>0.16900000000000001</v>
      </c>
      <c r="BQ28">
        <v>412</v>
      </c>
      <c r="BR28">
        <v>17</v>
      </c>
      <c r="BS28">
        <v>0.52</v>
      </c>
      <c r="BT28">
        <v>0.02</v>
      </c>
      <c r="BU28">
        <v>-2.7052260000000002E-2</v>
      </c>
      <c r="BV28">
        <v>-0.46563968120300703</v>
      </c>
      <c r="BW28">
        <v>0.28950117486431798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-0.42674475000000001</v>
      </c>
      <c r="CD28">
        <v>1.2484015037593801E-2</v>
      </c>
      <c r="CE28">
        <v>1.38465883433429E-3</v>
      </c>
      <c r="CF28">
        <v>1</v>
      </c>
      <c r="CG28">
        <v>2</v>
      </c>
      <c r="CH28">
        <v>2</v>
      </c>
      <c r="CI28" t="s">
        <v>320</v>
      </c>
      <c r="CJ28">
        <v>3.3499599999999998</v>
      </c>
      <c r="CK28">
        <v>2.69279</v>
      </c>
      <c r="CL28">
        <v>9.7180100000000005E-2</v>
      </c>
      <c r="CM28">
        <v>9.5844600000000002E-2</v>
      </c>
      <c r="CN28">
        <v>8.6916599999999997E-2</v>
      </c>
      <c r="CO28">
        <v>8.7962700000000005E-2</v>
      </c>
      <c r="CP28">
        <v>31677.599999999999</v>
      </c>
      <c r="CQ28">
        <v>27818.1</v>
      </c>
      <c r="CR28">
        <v>32471.599999999999</v>
      </c>
      <c r="CS28">
        <v>30690.5</v>
      </c>
      <c r="CT28">
        <v>40135.5</v>
      </c>
      <c r="CU28">
        <v>39341.4</v>
      </c>
      <c r="CV28">
        <v>47410.400000000001</v>
      </c>
      <c r="CW28">
        <v>46789.2</v>
      </c>
      <c r="CX28">
        <v>2.5150600000000001</v>
      </c>
      <c r="CY28">
        <v>2.347</v>
      </c>
      <c r="CZ28">
        <v>0</v>
      </c>
      <c r="DA28">
        <v>0</v>
      </c>
      <c r="DB28">
        <v>999.9</v>
      </c>
      <c r="DC28">
        <v>999.9</v>
      </c>
      <c r="DD28">
        <v>66.292000000000002</v>
      </c>
      <c r="DE28">
        <v>23.303000000000001</v>
      </c>
      <c r="DF28">
        <v>19.224499999999999</v>
      </c>
      <c r="DG28">
        <v>29.72</v>
      </c>
      <c r="DH28">
        <v>12.728400000000001</v>
      </c>
      <c r="DI28">
        <v>2</v>
      </c>
      <c r="DJ28">
        <v>-0.17935200000000001</v>
      </c>
      <c r="DK28">
        <v>1.73519</v>
      </c>
      <c r="DL28">
        <v>20.239899999999999</v>
      </c>
      <c r="DM28">
        <v>5.2516699999999998</v>
      </c>
      <c r="DN28">
        <v>12.033899999999999</v>
      </c>
      <c r="DO28">
        <v>4.9674399999999999</v>
      </c>
      <c r="DP28">
        <v>3.2909999999999999</v>
      </c>
      <c r="DQ28">
        <v>9999</v>
      </c>
      <c r="DR28">
        <v>9999</v>
      </c>
      <c r="DS28">
        <v>522.5</v>
      </c>
      <c r="DT28">
        <v>9999</v>
      </c>
      <c r="DU28">
        <v>1.87087</v>
      </c>
      <c r="DV28">
        <v>1.8759300000000001</v>
      </c>
      <c r="DW28">
        <v>1.8761099999999999</v>
      </c>
      <c r="DX28">
        <v>1.88263</v>
      </c>
      <c r="DY28">
        <v>1.87544</v>
      </c>
      <c r="DZ28">
        <v>1.8744799999999999</v>
      </c>
      <c r="EA28">
        <v>1.8705799999999999</v>
      </c>
      <c r="EB28">
        <v>1.8744799999999999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-0.995</v>
      </c>
      <c r="EQ28">
        <v>0.16889999999999999</v>
      </c>
      <c r="ER28">
        <v>-0.994636363636346</v>
      </c>
      <c r="ES28">
        <v>0</v>
      </c>
      <c r="ET28">
        <v>0</v>
      </c>
      <c r="EU28">
        <v>0</v>
      </c>
      <c r="EV28">
        <v>0.16895000000000199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2.9</v>
      </c>
      <c r="FF28">
        <v>0.924072</v>
      </c>
      <c r="FG28">
        <v>2.5695800000000002</v>
      </c>
      <c r="FH28">
        <v>2.19604</v>
      </c>
      <c r="FI28">
        <v>2.67822</v>
      </c>
      <c r="FJ28">
        <v>2.4462899999999999</v>
      </c>
      <c r="FK28">
        <v>2.2766099999999998</v>
      </c>
      <c r="FL28">
        <v>29.091799999999999</v>
      </c>
      <c r="FM28">
        <v>24.1663</v>
      </c>
      <c r="FN28">
        <v>19</v>
      </c>
      <c r="FO28">
        <v>758.09900000000005</v>
      </c>
      <c r="FP28">
        <v>751.01499999999999</v>
      </c>
      <c r="FQ28">
        <v>18.396000000000001</v>
      </c>
      <c r="FR28">
        <v>24.722300000000001</v>
      </c>
      <c r="FS28">
        <v>30.0002</v>
      </c>
      <c r="FT28">
        <v>24.709900000000001</v>
      </c>
      <c r="FU28">
        <v>24.708600000000001</v>
      </c>
      <c r="FV28">
        <v>18.5532</v>
      </c>
      <c r="FW28">
        <v>48.280999999999999</v>
      </c>
      <c r="FX28">
        <v>100</v>
      </c>
      <c r="FY28">
        <v>18.411899999999999</v>
      </c>
      <c r="FZ28">
        <v>410</v>
      </c>
      <c r="GA28">
        <v>15.972200000000001</v>
      </c>
      <c r="GB28">
        <v>99.910499999999999</v>
      </c>
      <c r="GC28">
        <v>99.616699999999994</v>
      </c>
    </row>
    <row r="29" spans="1:185" x14ac:dyDescent="0.2">
      <c r="A29">
        <v>14</v>
      </c>
      <c r="B29">
        <v>1768578600</v>
      </c>
      <c r="C29">
        <v>207</v>
      </c>
      <c r="D29" t="s">
        <v>321</v>
      </c>
      <c r="E29" t="s">
        <v>322</v>
      </c>
      <c r="F29">
        <v>15</v>
      </c>
      <c r="G29">
        <v>1768578591.9333301</v>
      </c>
      <c r="H29">
        <f t="shared" si="0"/>
        <v>-2.9859431278333207E-4</v>
      </c>
      <c r="I29">
        <v>0</v>
      </c>
      <c r="J29">
        <f t="shared" si="12"/>
        <v>-6.2410084760110215E-3</v>
      </c>
      <c r="K29">
        <f t="shared" si="1"/>
        <v>-0.16344996281913848</v>
      </c>
      <c r="L29">
        <f t="shared" si="2"/>
        <v>70.202285441856716</v>
      </c>
      <c r="M29">
        <f t="shared" si="3"/>
        <v>1.5462358248453172</v>
      </c>
      <c r="N29">
        <f t="shared" si="4"/>
        <v>2.2025434287690651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25897.826789149818</v>
      </c>
      <c r="T29">
        <f t="shared" si="8"/>
        <v>0</v>
      </c>
      <c r="U29">
        <f t="shared" si="9"/>
        <v>0</v>
      </c>
      <c r="V29">
        <f t="shared" si="10"/>
        <v>0</v>
      </c>
      <c r="W29">
        <f t="shared" si="11"/>
        <v>0</v>
      </c>
      <c r="X29">
        <v>1</v>
      </c>
      <c r="Y29">
        <v>1768578591.9333301</v>
      </c>
      <c r="Z29">
        <v>410.17779999999999</v>
      </c>
      <c r="AA29">
        <v>409.76933333333301</v>
      </c>
      <c r="AB29">
        <v>15.605086666666701</v>
      </c>
      <c r="AC29">
        <v>16.024993333333299</v>
      </c>
      <c r="AD29">
        <v>411.17233333333297</v>
      </c>
      <c r="AE29">
        <v>15.436113333333299</v>
      </c>
      <c r="AF29">
        <v>700.000133333333</v>
      </c>
      <c r="AG29">
        <v>99.030553333333302</v>
      </c>
      <c r="AH29">
        <v>5.4819140000000002E-2</v>
      </c>
      <c r="AI29">
        <v>18.980826666666701</v>
      </c>
      <c r="AJ29">
        <v>999.9</v>
      </c>
      <c r="AK29">
        <v>999.9</v>
      </c>
      <c r="AL29">
        <v>0</v>
      </c>
      <c r="AM29">
        <v>0</v>
      </c>
      <c r="AN29">
        <v>4988.0333333333301</v>
      </c>
      <c r="AO29">
        <v>0</v>
      </c>
      <c r="AP29">
        <v>2.71007</v>
      </c>
      <c r="AQ29">
        <v>0.40839677600000002</v>
      </c>
      <c r="AR29">
        <v>416.68020000000001</v>
      </c>
      <c r="AS29">
        <v>416.44286666666699</v>
      </c>
      <c r="AT29">
        <v>-0.41991873333333302</v>
      </c>
      <c r="AU29">
        <v>409.76933333333301</v>
      </c>
      <c r="AV29">
        <v>16.024993333333299</v>
      </c>
      <c r="AW29">
        <v>1.5453793333333301</v>
      </c>
      <c r="AX29">
        <v>1.5869646666666699</v>
      </c>
      <c r="AY29">
        <v>13.4246866666667</v>
      </c>
      <c r="AZ29">
        <v>13.8328066666667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25</v>
      </c>
      <c r="BG29">
        <v>-0.104444433333333</v>
      </c>
      <c r="BH29">
        <v>1768578418</v>
      </c>
      <c r="BI29" t="s">
        <v>289</v>
      </c>
      <c r="BJ29">
        <v>1768578418</v>
      </c>
      <c r="BK29">
        <v>1768578413</v>
      </c>
      <c r="BL29">
        <v>1</v>
      </c>
      <c r="BM29">
        <v>-0.36099999999999999</v>
      </c>
      <c r="BN29">
        <v>4.9000000000000002E-2</v>
      </c>
      <c r="BO29">
        <v>-0.995</v>
      </c>
      <c r="BP29">
        <v>0.16900000000000001</v>
      </c>
      <c r="BQ29">
        <v>412</v>
      </c>
      <c r="BR29">
        <v>17</v>
      </c>
      <c r="BS29">
        <v>0.52</v>
      </c>
      <c r="BT29">
        <v>0.02</v>
      </c>
      <c r="BU29">
        <v>0.22306781142857099</v>
      </c>
      <c r="BV29">
        <v>4.1648496903896097</v>
      </c>
      <c r="BW29">
        <v>0.44074550080583502</v>
      </c>
      <c r="BX29">
        <v>0</v>
      </c>
      <c r="BY29">
        <v>0</v>
      </c>
      <c r="BZ29">
        <v>0</v>
      </c>
      <c r="CA29">
        <v>0</v>
      </c>
      <c r="CB29">
        <v>-1</v>
      </c>
      <c r="CC29">
        <v>-0.421483761904762</v>
      </c>
      <c r="CD29">
        <v>3.1666363636363097E-2</v>
      </c>
      <c r="CE29">
        <v>3.2810284668764299E-3</v>
      </c>
      <c r="CF29">
        <v>1</v>
      </c>
      <c r="CG29">
        <v>1</v>
      </c>
      <c r="CH29">
        <v>2</v>
      </c>
      <c r="CI29" t="s">
        <v>303</v>
      </c>
      <c r="CJ29">
        <v>3.34998</v>
      </c>
      <c r="CK29">
        <v>2.6924600000000001</v>
      </c>
      <c r="CL29">
        <v>9.7160300000000005E-2</v>
      </c>
      <c r="CM29">
        <v>9.5642599999999994E-2</v>
      </c>
      <c r="CN29">
        <v>8.6938500000000002E-2</v>
      </c>
      <c r="CO29">
        <v>8.7961399999999995E-2</v>
      </c>
      <c r="CP29">
        <v>31678</v>
      </c>
      <c r="CQ29">
        <v>27824.2</v>
      </c>
      <c r="CR29">
        <v>32471.4</v>
      </c>
      <c r="CS29">
        <v>30690.400000000001</v>
      </c>
      <c r="CT29">
        <v>40134.199999999997</v>
      </c>
      <c r="CU29">
        <v>39341.699999999997</v>
      </c>
      <c r="CV29">
        <v>47410.1</v>
      </c>
      <c r="CW29">
        <v>46789.5</v>
      </c>
      <c r="CX29">
        <v>2.5150800000000002</v>
      </c>
      <c r="CY29">
        <v>2.34666</v>
      </c>
      <c r="CZ29">
        <v>0</v>
      </c>
      <c r="DA29">
        <v>0</v>
      </c>
      <c r="DB29">
        <v>999.9</v>
      </c>
      <c r="DC29">
        <v>999.9</v>
      </c>
      <c r="DD29">
        <v>66.224999999999994</v>
      </c>
      <c r="DE29">
        <v>23.323</v>
      </c>
      <c r="DF29">
        <v>19.228400000000001</v>
      </c>
      <c r="DG29">
        <v>30.14</v>
      </c>
      <c r="DH29">
        <v>12.7043</v>
      </c>
      <c r="DI29">
        <v>2</v>
      </c>
      <c r="DJ29">
        <v>-0.17894099999999999</v>
      </c>
      <c r="DK29">
        <v>1.68641</v>
      </c>
      <c r="DL29">
        <v>20.240600000000001</v>
      </c>
      <c r="DM29">
        <v>5.2520300000000004</v>
      </c>
      <c r="DN29">
        <v>12.033899999999999</v>
      </c>
      <c r="DO29">
        <v>4.9675599999999998</v>
      </c>
      <c r="DP29">
        <v>3.2909999999999999</v>
      </c>
      <c r="DQ29">
        <v>9999</v>
      </c>
      <c r="DR29">
        <v>9999</v>
      </c>
      <c r="DS29">
        <v>522.5</v>
      </c>
      <c r="DT29">
        <v>9999</v>
      </c>
      <c r="DU29">
        <v>1.87087</v>
      </c>
      <c r="DV29">
        <v>1.87592</v>
      </c>
      <c r="DW29">
        <v>1.8761300000000001</v>
      </c>
      <c r="DX29">
        <v>1.88263</v>
      </c>
      <c r="DY29">
        <v>1.8754500000000001</v>
      </c>
      <c r="DZ29">
        <v>1.8745099999999999</v>
      </c>
      <c r="EA29">
        <v>1.87059</v>
      </c>
      <c r="EB29">
        <v>1.8745099999999999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-0.99399999999999999</v>
      </c>
      <c r="EQ29">
        <v>0.16889999999999999</v>
      </c>
      <c r="ER29">
        <v>-0.994636363636346</v>
      </c>
      <c r="ES29">
        <v>0</v>
      </c>
      <c r="ET29">
        <v>0</v>
      </c>
      <c r="EU29">
        <v>0</v>
      </c>
      <c r="EV29">
        <v>0.16895000000000199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3.1</v>
      </c>
      <c r="FF29">
        <v>0.92773399999999995</v>
      </c>
      <c r="FG29">
        <v>2.5634800000000002</v>
      </c>
      <c r="FH29">
        <v>2.19604</v>
      </c>
      <c r="FI29">
        <v>2.67822</v>
      </c>
      <c r="FJ29">
        <v>2.4462899999999999</v>
      </c>
      <c r="FK29">
        <v>2.2802699999999998</v>
      </c>
      <c r="FL29">
        <v>29.113</v>
      </c>
      <c r="FM29">
        <v>24.1663</v>
      </c>
      <c r="FN29">
        <v>19</v>
      </c>
      <c r="FO29">
        <v>758.23400000000004</v>
      </c>
      <c r="FP29">
        <v>750.81600000000003</v>
      </c>
      <c r="FQ29">
        <v>18.4375</v>
      </c>
      <c r="FR29">
        <v>24.729800000000001</v>
      </c>
      <c r="FS29">
        <v>30.000299999999999</v>
      </c>
      <c r="FT29">
        <v>24.7182</v>
      </c>
      <c r="FU29">
        <v>24.716899999999999</v>
      </c>
      <c r="FV29">
        <v>18.607800000000001</v>
      </c>
      <c r="FW29">
        <v>48.280999999999999</v>
      </c>
      <c r="FX29">
        <v>100</v>
      </c>
      <c r="FY29">
        <v>18.452300000000001</v>
      </c>
      <c r="FZ29">
        <v>410</v>
      </c>
      <c r="GA29">
        <v>15.959099999999999</v>
      </c>
      <c r="GB29">
        <v>99.909800000000004</v>
      </c>
      <c r="GC29">
        <v>99.617000000000004</v>
      </c>
    </row>
    <row r="30" spans="1:185" x14ac:dyDescent="0.2">
      <c r="A30">
        <v>15</v>
      </c>
      <c r="B30">
        <v>1768578615</v>
      </c>
      <c r="C30">
        <v>222</v>
      </c>
      <c r="D30" t="s">
        <v>323</v>
      </c>
      <c r="E30" t="s">
        <v>324</v>
      </c>
      <c r="F30">
        <v>15</v>
      </c>
      <c r="G30">
        <v>1768578606.9333301</v>
      </c>
      <c r="H30">
        <f t="shared" si="0"/>
        <v>-2.8913909364303083E-4</v>
      </c>
      <c r="I30">
        <v>0</v>
      </c>
      <c r="J30">
        <f t="shared" si="12"/>
        <v>3.1515351772786007E-3</v>
      </c>
      <c r="K30">
        <f t="shared" si="1"/>
        <v>8.2537671520458392E-2</v>
      </c>
      <c r="L30">
        <f t="shared" si="2"/>
        <v>70.241765547543139</v>
      </c>
      <c r="M30">
        <f t="shared" si="3"/>
        <v>1.5470474574845683</v>
      </c>
      <c r="N30">
        <f t="shared" si="4"/>
        <v>2.2024609510099076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25971.26708188259</v>
      </c>
      <c r="T30">
        <f t="shared" si="8"/>
        <v>0</v>
      </c>
      <c r="U30">
        <f t="shared" si="9"/>
        <v>0</v>
      </c>
      <c r="V30">
        <f t="shared" si="10"/>
        <v>0</v>
      </c>
      <c r="W30">
        <f t="shared" si="11"/>
        <v>0</v>
      </c>
      <c r="X30">
        <v>1</v>
      </c>
      <c r="Y30">
        <v>1768578606.9333301</v>
      </c>
      <c r="Z30">
        <v>410.05986666666701</v>
      </c>
      <c r="AA30">
        <v>410.00839999999999</v>
      </c>
      <c r="AB30">
        <v>15.613340000000001</v>
      </c>
      <c r="AC30">
        <v>16.019946666666701</v>
      </c>
      <c r="AD30">
        <v>411.05473333333299</v>
      </c>
      <c r="AE30">
        <v>15.4444</v>
      </c>
      <c r="AF30">
        <v>700</v>
      </c>
      <c r="AG30">
        <v>99.030226666666707</v>
      </c>
      <c r="AH30">
        <v>5.4751786666666698E-2</v>
      </c>
      <c r="AI30">
        <v>18.980226666666699</v>
      </c>
      <c r="AJ30">
        <v>999.9</v>
      </c>
      <c r="AK30">
        <v>999.9</v>
      </c>
      <c r="AL30">
        <v>0</v>
      </c>
      <c r="AM30">
        <v>0</v>
      </c>
      <c r="AN30">
        <v>5000.2666666666701</v>
      </c>
      <c r="AO30">
        <v>0</v>
      </c>
      <c r="AP30">
        <v>2.71007</v>
      </c>
      <c r="AQ30">
        <v>5.1544433333333299E-2</v>
      </c>
      <c r="AR30">
        <v>416.56393333333301</v>
      </c>
      <c r="AS30">
        <v>416.68373333333301</v>
      </c>
      <c r="AT30">
        <v>-0.40660279999999999</v>
      </c>
      <c r="AU30">
        <v>410.00839999999999</v>
      </c>
      <c r="AV30">
        <v>16.019946666666701</v>
      </c>
      <c r="AW30">
        <v>1.5461940000000001</v>
      </c>
      <c r="AX30">
        <v>1.58646</v>
      </c>
      <c r="AY30">
        <v>13.4327733333333</v>
      </c>
      <c r="AZ30">
        <v>13.827920000000001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25</v>
      </c>
      <c r="BG30">
        <v>-8.8888846666666702E-2</v>
      </c>
      <c r="BH30">
        <v>1768578418</v>
      </c>
      <c r="BI30" t="s">
        <v>289</v>
      </c>
      <c r="BJ30">
        <v>1768578418</v>
      </c>
      <c r="BK30">
        <v>1768578413</v>
      </c>
      <c r="BL30">
        <v>1</v>
      </c>
      <c r="BM30">
        <v>-0.36099999999999999</v>
      </c>
      <c r="BN30">
        <v>4.9000000000000002E-2</v>
      </c>
      <c r="BO30">
        <v>-0.995</v>
      </c>
      <c r="BP30">
        <v>0.16900000000000001</v>
      </c>
      <c r="BQ30">
        <v>412</v>
      </c>
      <c r="BR30">
        <v>17</v>
      </c>
      <c r="BS30">
        <v>0.52</v>
      </c>
      <c r="BT30">
        <v>0.02</v>
      </c>
      <c r="BU30">
        <v>0.234625475</v>
      </c>
      <c r="BV30">
        <v>-3.3554884646616499</v>
      </c>
      <c r="BW30">
        <v>0.44826456392283398</v>
      </c>
      <c r="BX30">
        <v>0</v>
      </c>
      <c r="BY30">
        <v>0</v>
      </c>
      <c r="BZ30">
        <v>0</v>
      </c>
      <c r="CA30">
        <v>0</v>
      </c>
      <c r="CB30">
        <v>-1</v>
      </c>
      <c r="CC30">
        <v>-0.40926905000000002</v>
      </c>
      <c r="CD30">
        <v>8.56942105263159E-2</v>
      </c>
      <c r="CE30">
        <v>8.8731563407560901E-3</v>
      </c>
      <c r="CF30">
        <v>1</v>
      </c>
      <c r="CG30">
        <v>1</v>
      </c>
      <c r="CH30">
        <v>2</v>
      </c>
      <c r="CI30" t="s">
        <v>303</v>
      </c>
      <c r="CJ30">
        <v>3.3500399999999999</v>
      </c>
      <c r="CK30">
        <v>2.6928299999999998</v>
      </c>
      <c r="CL30">
        <v>9.7193199999999993E-2</v>
      </c>
      <c r="CM30">
        <v>9.5807799999999999E-2</v>
      </c>
      <c r="CN30">
        <v>8.6975999999999998E-2</v>
      </c>
      <c r="CO30">
        <v>8.7912000000000004E-2</v>
      </c>
      <c r="CP30">
        <v>31676</v>
      </c>
      <c r="CQ30">
        <v>27818.799999999999</v>
      </c>
      <c r="CR30">
        <v>32470.5</v>
      </c>
      <c r="CS30">
        <v>30690.1</v>
      </c>
      <c r="CT30">
        <v>40131.699999999997</v>
      </c>
      <c r="CU30">
        <v>39343.9</v>
      </c>
      <c r="CV30">
        <v>47409.1</v>
      </c>
      <c r="CW30">
        <v>46789.4</v>
      </c>
      <c r="CX30">
        <v>2.5151599999999998</v>
      </c>
      <c r="CY30">
        <v>2.3463400000000001</v>
      </c>
      <c r="CZ30">
        <v>0</v>
      </c>
      <c r="DA30">
        <v>0</v>
      </c>
      <c r="DB30">
        <v>999.9</v>
      </c>
      <c r="DC30">
        <v>999.9</v>
      </c>
      <c r="DD30">
        <v>66.14</v>
      </c>
      <c r="DE30">
        <v>23.343</v>
      </c>
      <c r="DF30">
        <v>19.227900000000002</v>
      </c>
      <c r="DG30">
        <v>29.9</v>
      </c>
      <c r="DH30">
        <v>12.6242</v>
      </c>
      <c r="DI30">
        <v>2</v>
      </c>
      <c r="DJ30">
        <v>-0.17843500000000001</v>
      </c>
      <c r="DK30">
        <v>1.65116</v>
      </c>
      <c r="DL30">
        <v>20.2409</v>
      </c>
      <c r="DM30">
        <v>5.2519099999999996</v>
      </c>
      <c r="DN30">
        <v>12.033899999999999</v>
      </c>
      <c r="DO30">
        <v>4.9673999999999996</v>
      </c>
      <c r="DP30">
        <v>3.2909999999999999</v>
      </c>
      <c r="DQ30">
        <v>9999</v>
      </c>
      <c r="DR30">
        <v>9999</v>
      </c>
      <c r="DS30">
        <v>522.5</v>
      </c>
      <c r="DT30">
        <v>9999</v>
      </c>
      <c r="DU30">
        <v>1.87087</v>
      </c>
      <c r="DV30">
        <v>1.87592</v>
      </c>
      <c r="DW30">
        <v>1.8761099999999999</v>
      </c>
      <c r="DX30">
        <v>1.88263</v>
      </c>
      <c r="DY30">
        <v>1.87544</v>
      </c>
      <c r="DZ30">
        <v>1.8744700000000001</v>
      </c>
      <c r="EA30">
        <v>1.8705700000000001</v>
      </c>
      <c r="EB30">
        <v>1.87449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-0.99399999999999999</v>
      </c>
      <c r="EQ30">
        <v>0.16889999999999999</v>
      </c>
      <c r="ER30">
        <v>-0.994636363636346</v>
      </c>
      <c r="ES30">
        <v>0</v>
      </c>
      <c r="ET30">
        <v>0</v>
      </c>
      <c r="EU30">
        <v>0</v>
      </c>
      <c r="EV30">
        <v>0.16895000000000199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3.4</v>
      </c>
      <c r="FF30">
        <v>0.92651399999999995</v>
      </c>
      <c r="FG30">
        <v>2.5647000000000002</v>
      </c>
      <c r="FH30">
        <v>2.19604</v>
      </c>
      <c r="FI30">
        <v>2.67822</v>
      </c>
      <c r="FJ30">
        <v>2.4462899999999999</v>
      </c>
      <c r="FK30">
        <v>2.2631800000000002</v>
      </c>
      <c r="FL30">
        <v>29.1342</v>
      </c>
      <c r="FM30">
        <v>24.1663</v>
      </c>
      <c r="FN30">
        <v>19</v>
      </c>
      <c r="FO30">
        <v>758.41899999999998</v>
      </c>
      <c r="FP30">
        <v>750.63599999999997</v>
      </c>
      <c r="FQ30">
        <v>18.480799999999999</v>
      </c>
      <c r="FR30">
        <v>24.737200000000001</v>
      </c>
      <c r="FS30">
        <v>30.0002</v>
      </c>
      <c r="FT30">
        <v>24.726500000000001</v>
      </c>
      <c r="FU30">
        <v>24.725200000000001</v>
      </c>
      <c r="FV30">
        <v>18.584399999999999</v>
      </c>
      <c r="FW30">
        <v>48.552399999999999</v>
      </c>
      <c r="FX30">
        <v>100</v>
      </c>
      <c r="FY30">
        <v>18.4938</v>
      </c>
      <c r="FZ30">
        <v>410</v>
      </c>
      <c r="GA30">
        <v>15.939</v>
      </c>
      <c r="GB30">
        <v>99.907399999999996</v>
      </c>
      <c r="GC30">
        <v>99.616500000000002</v>
      </c>
    </row>
    <row r="31" spans="1:185" x14ac:dyDescent="0.2">
      <c r="A31">
        <v>16</v>
      </c>
      <c r="B31">
        <v>1768578630.0999999</v>
      </c>
      <c r="C31">
        <v>237.09999990463299</v>
      </c>
      <c r="D31" t="s">
        <v>325</v>
      </c>
      <c r="E31" t="s">
        <v>326</v>
      </c>
      <c r="F31">
        <v>15</v>
      </c>
      <c r="G31">
        <v>1768578622.59286</v>
      </c>
      <c r="H31">
        <f t="shared" si="0"/>
        <v>-2.6820424822578164E-4</v>
      </c>
      <c r="I31">
        <v>0</v>
      </c>
      <c r="J31">
        <f t="shared" si="12"/>
        <v>-3.6053547608372884E-3</v>
      </c>
      <c r="K31">
        <f t="shared" si="1"/>
        <v>-9.4423057407111599E-2</v>
      </c>
      <c r="L31">
        <f t="shared" si="2"/>
        <v>70.251299982844088</v>
      </c>
      <c r="M31">
        <f t="shared" si="3"/>
        <v>1.5475590892504865</v>
      </c>
      <c r="N31">
        <f t="shared" si="4"/>
        <v>2.202890323208841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25989.760697781559</v>
      </c>
      <c r="T31">
        <f t="shared" si="8"/>
        <v>0</v>
      </c>
      <c r="U31">
        <f t="shared" si="9"/>
        <v>0</v>
      </c>
      <c r="V31">
        <f t="shared" si="10"/>
        <v>0</v>
      </c>
      <c r="W31">
        <f t="shared" si="11"/>
        <v>0</v>
      </c>
      <c r="X31">
        <v>1</v>
      </c>
      <c r="Y31">
        <v>1768578622.59286</v>
      </c>
      <c r="Z31">
        <v>410.23649999999998</v>
      </c>
      <c r="AA31">
        <v>409.944428571429</v>
      </c>
      <c r="AB31">
        <v>15.6185142857143</v>
      </c>
      <c r="AC31">
        <v>15.9956785714286</v>
      </c>
      <c r="AD31">
        <v>411.23099999999999</v>
      </c>
      <c r="AE31">
        <v>15.4495428571429</v>
      </c>
      <c r="AF31">
        <v>700.00078571428605</v>
      </c>
      <c r="AG31">
        <v>99.030228571428594</v>
      </c>
      <c r="AH31">
        <v>5.4681871428571401E-2</v>
      </c>
      <c r="AI31">
        <v>18.983350000000002</v>
      </c>
      <c r="AJ31">
        <v>999.9</v>
      </c>
      <c r="AK31">
        <v>999.9</v>
      </c>
      <c r="AL31">
        <v>0</v>
      </c>
      <c r="AM31">
        <v>0</v>
      </c>
      <c r="AN31">
        <v>5003.3928571428596</v>
      </c>
      <c r="AO31">
        <v>0</v>
      </c>
      <c r="AP31">
        <v>2.71007</v>
      </c>
      <c r="AQ31">
        <v>0.29201392857142899</v>
      </c>
      <c r="AR31">
        <v>416.74542857142899</v>
      </c>
      <c r="AS31">
        <v>416.60835714285702</v>
      </c>
      <c r="AT31">
        <v>-0.377171785714286</v>
      </c>
      <c r="AU31">
        <v>409.944428571429</v>
      </c>
      <c r="AV31">
        <v>15.9956785714286</v>
      </c>
      <c r="AW31">
        <v>1.54670357142857</v>
      </c>
      <c r="AX31">
        <v>1.5840557142857099</v>
      </c>
      <c r="AY31">
        <v>13.4378285714286</v>
      </c>
      <c r="AZ31">
        <v>13.804557142857099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25</v>
      </c>
      <c r="BG31">
        <v>-0.114285728571429</v>
      </c>
      <c r="BH31">
        <v>1768578418</v>
      </c>
      <c r="BI31" t="s">
        <v>289</v>
      </c>
      <c r="BJ31">
        <v>1768578418</v>
      </c>
      <c r="BK31">
        <v>1768578413</v>
      </c>
      <c r="BL31">
        <v>1</v>
      </c>
      <c r="BM31">
        <v>-0.36099999999999999</v>
      </c>
      <c r="BN31">
        <v>4.9000000000000002E-2</v>
      </c>
      <c r="BO31">
        <v>-0.995</v>
      </c>
      <c r="BP31">
        <v>0.16900000000000001</v>
      </c>
      <c r="BQ31">
        <v>412</v>
      </c>
      <c r="BR31">
        <v>17</v>
      </c>
      <c r="BS31">
        <v>0.52</v>
      </c>
      <c r="BT31">
        <v>0.02</v>
      </c>
      <c r="BU31">
        <v>0.222702015</v>
      </c>
      <c r="BV31">
        <v>1.1881180075446001</v>
      </c>
      <c r="BW31">
        <v>0.14157031945373399</v>
      </c>
      <c r="BX31">
        <v>0</v>
      </c>
      <c r="BY31">
        <v>0</v>
      </c>
      <c r="BZ31">
        <v>0</v>
      </c>
      <c r="CA31">
        <v>0</v>
      </c>
      <c r="CB31">
        <v>-1</v>
      </c>
      <c r="CC31">
        <v>-0.38290394999999999</v>
      </c>
      <c r="CD31">
        <v>0.128945719717518</v>
      </c>
      <c r="CE31">
        <v>1.36452626118921E-2</v>
      </c>
      <c r="CF31">
        <v>0</v>
      </c>
      <c r="CG31">
        <v>0</v>
      </c>
      <c r="CH31">
        <v>2</v>
      </c>
      <c r="CI31" t="s">
        <v>290</v>
      </c>
      <c r="CJ31">
        <v>3.35</v>
      </c>
      <c r="CK31">
        <v>2.6924000000000001</v>
      </c>
      <c r="CL31">
        <v>9.7189200000000003E-2</v>
      </c>
      <c r="CM31">
        <v>9.5820000000000002E-2</v>
      </c>
      <c r="CN31">
        <v>8.6965200000000006E-2</v>
      </c>
      <c r="CO31">
        <v>8.7796299999999994E-2</v>
      </c>
      <c r="CP31">
        <v>31676</v>
      </c>
      <c r="CQ31">
        <v>27819.3</v>
      </c>
      <c r="CR31">
        <v>32470.400000000001</v>
      </c>
      <c r="CS31">
        <v>30691.1</v>
      </c>
      <c r="CT31">
        <v>40132.5</v>
      </c>
      <c r="CU31">
        <v>39350.400000000001</v>
      </c>
      <c r="CV31">
        <v>47409.4</v>
      </c>
      <c r="CW31">
        <v>46791.1</v>
      </c>
      <c r="CX31">
        <v>2.5148600000000001</v>
      </c>
      <c r="CY31">
        <v>2.3461799999999999</v>
      </c>
      <c r="CZ31">
        <v>0</v>
      </c>
      <c r="DA31">
        <v>0</v>
      </c>
      <c r="DB31">
        <v>999.9</v>
      </c>
      <c r="DC31">
        <v>999.9</v>
      </c>
      <c r="DD31">
        <v>66.066000000000003</v>
      </c>
      <c r="DE31">
        <v>23.363</v>
      </c>
      <c r="DF31">
        <v>19.228200000000001</v>
      </c>
      <c r="DG31">
        <v>29.99</v>
      </c>
      <c r="DH31">
        <v>12.6683</v>
      </c>
      <c r="DI31">
        <v>2</v>
      </c>
      <c r="DJ31">
        <v>-0.17788200000000001</v>
      </c>
      <c r="DK31">
        <v>1.6286799999999999</v>
      </c>
      <c r="DL31">
        <v>20.241099999999999</v>
      </c>
      <c r="DM31">
        <v>5.2516699999999998</v>
      </c>
      <c r="DN31">
        <v>12.033899999999999</v>
      </c>
      <c r="DO31">
        <v>4.9674399999999999</v>
      </c>
      <c r="DP31">
        <v>3.2909999999999999</v>
      </c>
      <c r="DQ31">
        <v>9999</v>
      </c>
      <c r="DR31">
        <v>9999</v>
      </c>
      <c r="DS31">
        <v>522.5</v>
      </c>
      <c r="DT31">
        <v>9999</v>
      </c>
      <c r="DU31">
        <v>1.8708400000000001</v>
      </c>
      <c r="DV31">
        <v>1.87592</v>
      </c>
      <c r="DW31">
        <v>1.87609</v>
      </c>
      <c r="DX31">
        <v>1.88263</v>
      </c>
      <c r="DY31">
        <v>1.87541</v>
      </c>
      <c r="DZ31">
        <v>1.8744799999999999</v>
      </c>
      <c r="EA31">
        <v>1.8705700000000001</v>
      </c>
      <c r="EB31">
        <v>1.87452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-0.995</v>
      </c>
      <c r="EQ31">
        <v>0.16900000000000001</v>
      </c>
      <c r="ER31">
        <v>-0.994636363636346</v>
      </c>
      <c r="ES31">
        <v>0</v>
      </c>
      <c r="ET31">
        <v>0</v>
      </c>
      <c r="EU31">
        <v>0</v>
      </c>
      <c r="EV31">
        <v>0.16895000000000199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3.6</v>
      </c>
      <c r="FF31">
        <v>0.92529300000000003</v>
      </c>
      <c r="FG31">
        <v>2.5695800000000002</v>
      </c>
      <c r="FH31">
        <v>2.19604</v>
      </c>
      <c r="FI31">
        <v>2.677</v>
      </c>
      <c r="FJ31">
        <v>2.4462899999999999</v>
      </c>
      <c r="FK31">
        <v>2.2692899999999998</v>
      </c>
      <c r="FL31">
        <v>29.1554</v>
      </c>
      <c r="FM31">
        <v>24.157499999999999</v>
      </c>
      <c r="FN31">
        <v>19</v>
      </c>
      <c r="FO31">
        <v>758.28599999999994</v>
      </c>
      <c r="FP31">
        <v>750.60699999999997</v>
      </c>
      <c r="FQ31">
        <v>18.519100000000002</v>
      </c>
      <c r="FR31">
        <v>24.744399999999999</v>
      </c>
      <c r="FS31">
        <v>30.0001</v>
      </c>
      <c r="FT31">
        <v>24.7348</v>
      </c>
      <c r="FU31">
        <v>24.733499999999999</v>
      </c>
      <c r="FV31">
        <v>18.581099999999999</v>
      </c>
      <c r="FW31">
        <v>48.835999999999999</v>
      </c>
      <c r="FX31">
        <v>100</v>
      </c>
      <c r="FY31">
        <v>18.529</v>
      </c>
      <c r="FZ31">
        <v>410</v>
      </c>
      <c r="GA31">
        <v>15.924200000000001</v>
      </c>
      <c r="GB31">
        <v>99.907700000000006</v>
      </c>
      <c r="GC31">
        <v>99.619900000000001</v>
      </c>
    </row>
    <row r="32" spans="1:185" x14ac:dyDescent="0.2">
      <c r="A32">
        <v>17</v>
      </c>
      <c r="B32">
        <v>1768578645.0999999</v>
      </c>
      <c r="C32">
        <v>252.09999990463299</v>
      </c>
      <c r="D32" t="s">
        <v>327</v>
      </c>
      <c r="E32" t="s">
        <v>328</v>
      </c>
      <c r="F32">
        <v>15</v>
      </c>
      <c r="G32">
        <v>1768578637.03333</v>
      </c>
      <c r="H32">
        <f t="shared" si="0"/>
        <v>-2.6220718348185214E-4</v>
      </c>
      <c r="I32">
        <v>0</v>
      </c>
      <c r="J32">
        <f t="shared" si="12"/>
        <v>-4.0641282320003259E-4</v>
      </c>
      <c r="K32">
        <f t="shared" si="1"/>
        <v>-1.0643818398356734E-2</v>
      </c>
      <c r="L32">
        <f t="shared" si="2"/>
        <v>70.205113365600809</v>
      </c>
      <c r="M32">
        <f t="shared" si="3"/>
        <v>1.5470999496968829</v>
      </c>
      <c r="N32">
        <f t="shared" si="4"/>
        <v>2.2036855658079926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25879.049157127643</v>
      </c>
      <c r="T32">
        <f t="shared" si="8"/>
        <v>0</v>
      </c>
      <c r="U32">
        <f t="shared" si="9"/>
        <v>0</v>
      </c>
      <c r="V32">
        <f t="shared" si="10"/>
        <v>0</v>
      </c>
      <c r="W32">
        <f t="shared" si="11"/>
        <v>0</v>
      </c>
      <c r="X32">
        <v>1</v>
      </c>
      <c r="Y32">
        <v>1768578637.03333</v>
      </c>
      <c r="Z32">
        <v>410.22039999999998</v>
      </c>
      <c r="AA32">
        <v>410.051533333333</v>
      </c>
      <c r="AB32">
        <v>15.6139733333333</v>
      </c>
      <c r="AC32">
        <v>15.982706666666701</v>
      </c>
      <c r="AD32">
        <v>411.21499999999997</v>
      </c>
      <c r="AE32">
        <v>15.445026666666701</v>
      </c>
      <c r="AF32">
        <v>699.99933333333297</v>
      </c>
      <c r="AG32">
        <v>99.029713333333305</v>
      </c>
      <c r="AH32">
        <v>5.4607913333333299E-2</v>
      </c>
      <c r="AI32">
        <v>18.989133333333299</v>
      </c>
      <c r="AJ32">
        <v>999.9</v>
      </c>
      <c r="AK32">
        <v>999.9</v>
      </c>
      <c r="AL32">
        <v>0</v>
      </c>
      <c r="AM32">
        <v>0</v>
      </c>
      <c r="AN32">
        <v>4985.0666666666702</v>
      </c>
      <c r="AO32">
        <v>0</v>
      </c>
      <c r="AP32">
        <v>2.7093926666666701</v>
      </c>
      <c r="AQ32">
        <v>0.16885578333333301</v>
      </c>
      <c r="AR32">
        <v>416.72713333333297</v>
      </c>
      <c r="AS32">
        <v>416.71173333333297</v>
      </c>
      <c r="AT32">
        <v>-0.36873699999999998</v>
      </c>
      <c r="AU32">
        <v>410.051533333333</v>
      </c>
      <c r="AV32">
        <v>15.982706666666701</v>
      </c>
      <c r="AW32">
        <v>1.54624733333333</v>
      </c>
      <c r="AX32">
        <v>1.5827626666666701</v>
      </c>
      <c r="AY32">
        <v>13.433313333333301</v>
      </c>
      <c r="AZ32">
        <v>13.792020000000001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25</v>
      </c>
      <c r="BG32">
        <v>-0.115555566666667</v>
      </c>
      <c r="BH32">
        <v>1768578418</v>
      </c>
      <c r="BI32" t="s">
        <v>289</v>
      </c>
      <c r="BJ32">
        <v>1768578418</v>
      </c>
      <c r="BK32">
        <v>1768578413</v>
      </c>
      <c r="BL32">
        <v>1</v>
      </c>
      <c r="BM32">
        <v>-0.36099999999999999</v>
      </c>
      <c r="BN32">
        <v>4.9000000000000002E-2</v>
      </c>
      <c r="BO32">
        <v>-0.995</v>
      </c>
      <c r="BP32">
        <v>0.16900000000000001</v>
      </c>
      <c r="BQ32">
        <v>412</v>
      </c>
      <c r="BR32">
        <v>17</v>
      </c>
      <c r="BS32">
        <v>0.52</v>
      </c>
      <c r="BT32">
        <v>0.02</v>
      </c>
      <c r="BU32">
        <v>0.20124661250000001</v>
      </c>
      <c r="BV32">
        <v>-1.06618941428571</v>
      </c>
      <c r="BW32">
        <v>0.21916361127317199</v>
      </c>
      <c r="BX32">
        <v>0</v>
      </c>
      <c r="BY32">
        <v>0</v>
      </c>
      <c r="BZ32">
        <v>0</v>
      </c>
      <c r="CA32">
        <v>0</v>
      </c>
      <c r="CB32">
        <v>-1</v>
      </c>
      <c r="CC32">
        <v>-0.36825995</v>
      </c>
      <c r="CD32">
        <v>3.6627518796983299E-3</v>
      </c>
      <c r="CE32">
        <v>2.7974028039415501E-3</v>
      </c>
      <c r="CF32">
        <v>1</v>
      </c>
      <c r="CG32">
        <v>1</v>
      </c>
      <c r="CH32">
        <v>2</v>
      </c>
      <c r="CI32" t="s">
        <v>303</v>
      </c>
      <c r="CJ32">
        <v>3.34998</v>
      </c>
      <c r="CK32">
        <v>2.6923400000000002</v>
      </c>
      <c r="CL32">
        <v>9.7197199999999997E-2</v>
      </c>
      <c r="CM32">
        <v>9.5788100000000001E-2</v>
      </c>
      <c r="CN32">
        <v>8.69534E-2</v>
      </c>
      <c r="CO32">
        <v>8.7738099999999999E-2</v>
      </c>
      <c r="CP32">
        <v>31676</v>
      </c>
      <c r="CQ32">
        <v>27819.9</v>
      </c>
      <c r="CR32">
        <v>32470.7</v>
      </c>
      <c r="CS32">
        <v>30690.7</v>
      </c>
      <c r="CT32">
        <v>40133.4</v>
      </c>
      <c r="CU32">
        <v>39352.6</v>
      </c>
      <c r="CV32">
        <v>47409.9</v>
      </c>
      <c r="CW32">
        <v>46790.6</v>
      </c>
      <c r="CX32">
        <v>2.5147599999999999</v>
      </c>
      <c r="CY32">
        <v>2.3457400000000002</v>
      </c>
      <c r="CZ32">
        <v>0</v>
      </c>
      <c r="DA32">
        <v>0</v>
      </c>
      <c r="DB32">
        <v>999.9</v>
      </c>
      <c r="DC32">
        <v>999.9</v>
      </c>
      <c r="DD32">
        <v>66.018000000000001</v>
      </c>
      <c r="DE32">
        <v>23.373000000000001</v>
      </c>
      <c r="DF32">
        <v>19.226400000000002</v>
      </c>
      <c r="DG32">
        <v>30.47</v>
      </c>
      <c r="DH32">
        <v>12.6723</v>
      </c>
      <c r="DI32">
        <v>2</v>
      </c>
      <c r="DJ32">
        <v>-0.17726800000000001</v>
      </c>
      <c r="DK32">
        <v>1.62323</v>
      </c>
      <c r="DL32">
        <v>20.241199999999999</v>
      </c>
      <c r="DM32">
        <v>5.2519099999999996</v>
      </c>
      <c r="DN32">
        <v>12.033899999999999</v>
      </c>
      <c r="DO32">
        <v>4.9674399999999999</v>
      </c>
      <c r="DP32">
        <v>3.2909999999999999</v>
      </c>
      <c r="DQ32">
        <v>9999</v>
      </c>
      <c r="DR32">
        <v>9999</v>
      </c>
      <c r="DS32">
        <v>522.6</v>
      </c>
      <c r="DT32">
        <v>9999</v>
      </c>
      <c r="DU32">
        <v>1.8708800000000001</v>
      </c>
      <c r="DV32">
        <v>1.87592</v>
      </c>
      <c r="DW32">
        <v>1.8761300000000001</v>
      </c>
      <c r="DX32">
        <v>1.8826400000000001</v>
      </c>
      <c r="DY32">
        <v>1.8754500000000001</v>
      </c>
      <c r="DZ32">
        <v>1.87452</v>
      </c>
      <c r="EA32">
        <v>1.8706100000000001</v>
      </c>
      <c r="EB32">
        <v>1.87449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-0.995</v>
      </c>
      <c r="EQ32">
        <v>0.16900000000000001</v>
      </c>
      <c r="ER32">
        <v>-0.994636363636346</v>
      </c>
      <c r="ES32">
        <v>0</v>
      </c>
      <c r="ET32">
        <v>0</v>
      </c>
      <c r="EU32">
        <v>0</v>
      </c>
      <c r="EV32">
        <v>0.16895000000000199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3.9</v>
      </c>
      <c r="FF32">
        <v>0.92651399999999995</v>
      </c>
      <c r="FG32">
        <v>2.5659200000000002</v>
      </c>
      <c r="FH32">
        <v>2.19604</v>
      </c>
      <c r="FI32">
        <v>2.677</v>
      </c>
      <c r="FJ32">
        <v>2.4462899999999999</v>
      </c>
      <c r="FK32">
        <v>2.2387700000000001</v>
      </c>
      <c r="FL32">
        <v>29.176600000000001</v>
      </c>
      <c r="FM32">
        <v>24.157499999999999</v>
      </c>
      <c r="FN32">
        <v>19</v>
      </c>
      <c r="FO32">
        <v>758.32100000000003</v>
      </c>
      <c r="FP32">
        <v>750.31299999999999</v>
      </c>
      <c r="FQ32">
        <v>18.547000000000001</v>
      </c>
      <c r="FR32">
        <v>24.751799999999999</v>
      </c>
      <c r="FS32">
        <v>30.000299999999999</v>
      </c>
      <c r="FT32">
        <v>24.743099999999998</v>
      </c>
      <c r="FU32">
        <v>24.741800000000001</v>
      </c>
      <c r="FV32">
        <v>18.587700000000002</v>
      </c>
      <c r="FW32">
        <v>49.108899999999998</v>
      </c>
      <c r="FX32">
        <v>100</v>
      </c>
      <c r="FY32">
        <v>18.5517</v>
      </c>
      <c r="FZ32">
        <v>410</v>
      </c>
      <c r="GA32">
        <v>15.912100000000001</v>
      </c>
      <c r="GB32">
        <v>99.908699999999996</v>
      </c>
      <c r="GC32">
        <v>99.618899999999996</v>
      </c>
    </row>
    <row r="33" spans="1:185" x14ac:dyDescent="0.2">
      <c r="A33">
        <v>18</v>
      </c>
      <c r="B33">
        <v>1768578660.0999999</v>
      </c>
      <c r="C33">
        <v>267.09999990463302</v>
      </c>
      <c r="D33" t="s">
        <v>329</v>
      </c>
      <c r="E33" t="s">
        <v>330</v>
      </c>
      <c r="F33">
        <v>15</v>
      </c>
      <c r="G33">
        <v>1768578652.03333</v>
      </c>
      <c r="H33">
        <f t="shared" si="0"/>
        <v>-2.5415990121058153E-4</v>
      </c>
      <c r="I33">
        <v>0</v>
      </c>
      <c r="J33">
        <f t="shared" si="12"/>
        <v>-1.0433192746509518E-2</v>
      </c>
      <c r="K33">
        <f t="shared" si="1"/>
        <v>-0.27324189240515856</v>
      </c>
      <c r="L33">
        <f t="shared" si="2"/>
        <v>70.155517200867337</v>
      </c>
      <c r="M33">
        <f t="shared" si="3"/>
        <v>1.5468337398061618</v>
      </c>
      <c r="N33">
        <f t="shared" si="4"/>
        <v>2.2048639957671616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25959.914226289704</v>
      </c>
      <c r="T33">
        <f t="shared" si="8"/>
        <v>0</v>
      </c>
      <c r="U33">
        <f t="shared" si="9"/>
        <v>0</v>
      </c>
      <c r="V33">
        <f t="shared" si="10"/>
        <v>0</v>
      </c>
      <c r="W33">
        <f t="shared" si="11"/>
        <v>0</v>
      </c>
      <c r="X33">
        <v>1</v>
      </c>
      <c r="Y33">
        <v>1768578652.03333</v>
      </c>
      <c r="Z33">
        <v>410.14339999999999</v>
      </c>
      <c r="AA33">
        <v>409.60413333333298</v>
      </c>
      <c r="AB33">
        <v>15.611179999999999</v>
      </c>
      <c r="AC33">
        <v>15.9686</v>
      </c>
      <c r="AD33">
        <v>411.13826666666699</v>
      </c>
      <c r="AE33">
        <v>15.4422266666667</v>
      </c>
      <c r="AF33">
        <v>699.99486666666701</v>
      </c>
      <c r="AG33">
        <v>99.030259999999998</v>
      </c>
      <c r="AH33">
        <v>5.47380466666667E-2</v>
      </c>
      <c r="AI33">
        <v>18.997699999999998</v>
      </c>
      <c r="AJ33">
        <v>999.9</v>
      </c>
      <c r="AK33">
        <v>999.9</v>
      </c>
      <c r="AL33">
        <v>0</v>
      </c>
      <c r="AM33">
        <v>0</v>
      </c>
      <c r="AN33">
        <v>4998.6333333333296</v>
      </c>
      <c r="AO33">
        <v>0</v>
      </c>
      <c r="AP33">
        <v>2.6688926666666699</v>
      </c>
      <c r="AQ33">
        <v>0.53939208000000005</v>
      </c>
      <c r="AR33">
        <v>416.64786666666703</v>
      </c>
      <c r="AS33">
        <v>416.25106666666699</v>
      </c>
      <c r="AT33">
        <v>-0.35741893333333302</v>
      </c>
      <c r="AU33">
        <v>409.60413333333298</v>
      </c>
      <c r="AV33">
        <v>15.9686</v>
      </c>
      <c r="AW33">
        <v>1.5459786666666699</v>
      </c>
      <c r="AX33">
        <v>1.5813740000000001</v>
      </c>
      <c r="AY33">
        <v>13.43064</v>
      </c>
      <c r="AZ33">
        <v>13.778499999999999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25</v>
      </c>
      <c r="BG33">
        <v>-8.6666646666666694E-2</v>
      </c>
      <c r="BH33">
        <v>1768578418</v>
      </c>
      <c r="BI33" t="s">
        <v>289</v>
      </c>
      <c r="BJ33">
        <v>1768578418</v>
      </c>
      <c r="BK33">
        <v>1768578413</v>
      </c>
      <c r="BL33">
        <v>1</v>
      </c>
      <c r="BM33">
        <v>-0.36099999999999999</v>
      </c>
      <c r="BN33">
        <v>4.9000000000000002E-2</v>
      </c>
      <c r="BO33">
        <v>-0.995</v>
      </c>
      <c r="BP33">
        <v>0.16900000000000001</v>
      </c>
      <c r="BQ33">
        <v>412</v>
      </c>
      <c r="BR33">
        <v>17</v>
      </c>
      <c r="BS33">
        <v>0.52</v>
      </c>
      <c r="BT33">
        <v>0.02</v>
      </c>
      <c r="BU33">
        <v>0.38971862000000002</v>
      </c>
      <c r="BV33">
        <v>2.7301794045112802</v>
      </c>
      <c r="BW33">
        <v>0.29499310379660698</v>
      </c>
      <c r="BX33">
        <v>0</v>
      </c>
      <c r="BY33">
        <v>0</v>
      </c>
      <c r="BZ33">
        <v>0</v>
      </c>
      <c r="CA33">
        <v>0</v>
      </c>
      <c r="CB33">
        <v>-1</v>
      </c>
      <c r="CC33">
        <v>-0.36009554999999999</v>
      </c>
      <c r="CD33">
        <v>3.9471112781953997E-2</v>
      </c>
      <c r="CE33">
        <v>4.6149517817091002E-3</v>
      </c>
      <c r="CF33">
        <v>1</v>
      </c>
      <c r="CG33">
        <v>1</v>
      </c>
      <c r="CH33">
        <v>2</v>
      </c>
      <c r="CI33" t="s">
        <v>303</v>
      </c>
      <c r="CJ33">
        <v>3.3499599999999998</v>
      </c>
      <c r="CK33">
        <v>2.6926000000000001</v>
      </c>
      <c r="CL33">
        <v>9.7136100000000003E-2</v>
      </c>
      <c r="CM33">
        <v>9.5711900000000003E-2</v>
      </c>
      <c r="CN33">
        <v>8.6945400000000006E-2</v>
      </c>
      <c r="CO33">
        <v>8.7722700000000001E-2</v>
      </c>
      <c r="CP33">
        <v>31677.4</v>
      </c>
      <c r="CQ33">
        <v>27822.5</v>
      </c>
      <c r="CR33">
        <v>32470</v>
      </c>
      <c r="CS33">
        <v>30691</v>
      </c>
      <c r="CT33">
        <v>40133.1</v>
      </c>
      <c r="CU33">
        <v>39353.199999999997</v>
      </c>
      <c r="CV33">
        <v>47409</v>
      </c>
      <c r="CW33">
        <v>46790.5</v>
      </c>
      <c r="CX33">
        <v>2.5147200000000001</v>
      </c>
      <c r="CY33">
        <v>2.3454999999999999</v>
      </c>
      <c r="CZ33">
        <v>0</v>
      </c>
      <c r="DA33">
        <v>0</v>
      </c>
      <c r="DB33">
        <v>999.9</v>
      </c>
      <c r="DC33">
        <v>999.9</v>
      </c>
      <c r="DD33">
        <v>65.95</v>
      </c>
      <c r="DE33">
        <v>23.393000000000001</v>
      </c>
      <c r="DF33">
        <v>19.226900000000001</v>
      </c>
      <c r="DG33">
        <v>30.17</v>
      </c>
      <c r="DH33">
        <v>12.7043</v>
      </c>
      <c r="DI33">
        <v>2</v>
      </c>
      <c r="DJ33">
        <v>-0.176644</v>
      </c>
      <c r="DK33">
        <v>1.6443300000000001</v>
      </c>
      <c r="DL33">
        <v>20.2409</v>
      </c>
      <c r="DM33">
        <v>5.2520300000000004</v>
      </c>
      <c r="DN33">
        <v>12.033899999999999</v>
      </c>
      <c r="DO33">
        <v>4.9673600000000002</v>
      </c>
      <c r="DP33">
        <v>3.2909999999999999</v>
      </c>
      <c r="DQ33">
        <v>9999</v>
      </c>
      <c r="DR33">
        <v>9999</v>
      </c>
      <c r="DS33">
        <v>522.6</v>
      </c>
      <c r="DT33">
        <v>9999</v>
      </c>
      <c r="DU33">
        <v>1.87086</v>
      </c>
      <c r="DV33">
        <v>1.87592</v>
      </c>
      <c r="DW33">
        <v>1.8761099999999999</v>
      </c>
      <c r="DX33">
        <v>1.88263</v>
      </c>
      <c r="DY33">
        <v>1.8754299999999999</v>
      </c>
      <c r="DZ33">
        <v>1.8745099999999999</v>
      </c>
      <c r="EA33">
        <v>1.87059</v>
      </c>
      <c r="EB33">
        <v>1.8744700000000001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-0.995</v>
      </c>
      <c r="EQ33">
        <v>0.16900000000000001</v>
      </c>
      <c r="ER33">
        <v>-0.994636363636346</v>
      </c>
      <c r="ES33">
        <v>0</v>
      </c>
      <c r="ET33">
        <v>0</v>
      </c>
      <c r="EU33">
        <v>0</v>
      </c>
      <c r="EV33">
        <v>0.16895000000000199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4.0999999999999996</v>
      </c>
      <c r="FF33">
        <v>0.92895499999999998</v>
      </c>
      <c r="FG33">
        <v>2.5647000000000002</v>
      </c>
      <c r="FH33">
        <v>2.19604</v>
      </c>
      <c r="FI33">
        <v>2.677</v>
      </c>
      <c r="FJ33">
        <v>2.4462899999999999</v>
      </c>
      <c r="FK33">
        <v>2.2619600000000002</v>
      </c>
      <c r="FL33">
        <v>29.197800000000001</v>
      </c>
      <c r="FM33">
        <v>24.157499999999999</v>
      </c>
      <c r="FN33">
        <v>19</v>
      </c>
      <c r="FO33">
        <v>758.4</v>
      </c>
      <c r="FP33">
        <v>750.202</v>
      </c>
      <c r="FQ33">
        <v>18.556899999999999</v>
      </c>
      <c r="FR33">
        <v>24.758400000000002</v>
      </c>
      <c r="FS33">
        <v>30.000299999999999</v>
      </c>
      <c r="FT33">
        <v>24.751000000000001</v>
      </c>
      <c r="FU33">
        <v>24.749700000000001</v>
      </c>
      <c r="FV33">
        <v>18.647400000000001</v>
      </c>
      <c r="FW33">
        <v>49.385300000000001</v>
      </c>
      <c r="FX33">
        <v>100</v>
      </c>
      <c r="FY33">
        <v>18.5563</v>
      </c>
      <c r="FZ33">
        <v>410</v>
      </c>
      <c r="GA33">
        <v>15.898400000000001</v>
      </c>
      <c r="GB33">
        <v>99.906700000000001</v>
      </c>
      <c r="GC33">
        <v>99.619</v>
      </c>
    </row>
    <row r="34" spans="1:185" x14ac:dyDescent="0.2">
      <c r="A34">
        <v>19</v>
      </c>
      <c r="B34">
        <v>1768578675.0999999</v>
      </c>
      <c r="C34">
        <v>282.09999990463302</v>
      </c>
      <c r="D34" t="s">
        <v>331</v>
      </c>
      <c r="E34" t="s">
        <v>332</v>
      </c>
      <c r="F34">
        <v>15</v>
      </c>
      <c r="G34">
        <v>1768578667.03333</v>
      </c>
      <c r="H34">
        <f t="shared" si="0"/>
        <v>-2.4315425462594659E-4</v>
      </c>
      <c r="I34">
        <v>0</v>
      </c>
      <c r="J34">
        <f t="shared" si="12"/>
        <v>1.3839460590426081E-2</v>
      </c>
      <c r="K34">
        <f t="shared" si="1"/>
        <v>0.36245092882615093</v>
      </c>
      <c r="L34">
        <f t="shared" si="2"/>
        <v>70.128619466096737</v>
      </c>
      <c r="M34">
        <f t="shared" si="3"/>
        <v>1.546602239804026</v>
      </c>
      <c r="N34">
        <f t="shared" si="4"/>
        <v>2.2053795605540496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26037.811586455773</v>
      </c>
      <c r="T34">
        <f t="shared" si="8"/>
        <v>0</v>
      </c>
      <c r="U34">
        <f t="shared" si="9"/>
        <v>0</v>
      </c>
      <c r="V34">
        <f t="shared" si="10"/>
        <v>0</v>
      </c>
      <c r="W34">
        <f t="shared" si="11"/>
        <v>0</v>
      </c>
      <c r="X34">
        <v>1</v>
      </c>
      <c r="Y34">
        <v>1768578667.03333</v>
      </c>
      <c r="Z34">
        <v>410.096133333333</v>
      </c>
      <c r="AA34">
        <v>410.47146666666703</v>
      </c>
      <c r="AB34">
        <v>15.608879999999999</v>
      </c>
      <c r="AC34">
        <v>15.95082</v>
      </c>
      <c r="AD34">
        <v>411.090666666667</v>
      </c>
      <c r="AE34">
        <v>15.4399266666667</v>
      </c>
      <c r="AF34">
        <v>700.00260000000003</v>
      </c>
      <c r="AG34">
        <v>99.0302066666667</v>
      </c>
      <c r="AH34">
        <v>5.45604533333333E-2</v>
      </c>
      <c r="AI34">
        <v>19.001446666666698</v>
      </c>
      <c r="AJ34">
        <v>999.9</v>
      </c>
      <c r="AK34">
        <v>999.9</v>
      </c>
      <c r="AL34">
        <v>0</v>
      </c>
      <c r="AM34">
        <v>0</v>
      </c>
      <c r="AN34">
        <v>5011.6666666666697</v>
      </c>
      <c r="AO34">
        <v>0</v>
      </c>
      <c r="AP34">
        <v>2.6845526666666699</v>
      </c>
      <c r="AQ34">
        <v>-0.37546795999999999</v>
      </c>
      <c r="AR34">
        <v>416.59859999999998</v>
      </c>
      <c r="AS34">
        <v>417.12493333333299</v>
      </c>
      <c r="AT34">
        <v>-0.34194786666666699</v>
      </c>
      <c r="AU34">
        <v>410.47146666666703</v>
      </c>
      <c r="AV34">
        <v>15.95082</v>
      </c>
      <c r="AW34">
        <v>1.5457513333333299</v>
      </c>
      <c r="AX34">
        <v>1.57961333333333</v>
      </c>
      <c r="AY34">
        <v>13.428366666666699</v>
      </c>
      <c r="AZ34">
        <v>13.76136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25</v>
      </c>
      <c r="BG34">
        <v>-0.21111099999999999</v>
      </c>
      <c r="BH34">
        <v>1768578418</v>
      </c>
      <c r="BI34" t="s">
        <v>289</v>
      </c>
      <c r="BJ34">
        <v>1768578418</v>
      </c>
      <c r="BK34">
        <v>1768578413</v>
      </c>
      <c r="BL34">
        <v>1</v>
      </c>
      <c r="BM34">
        <v>-0.36099999999999999</v>
      </c>
      <c r="BN34">
        <v>4.9000000000000002E-2</v>
      </c>
      <c r="BO34">
        <v>-0.995</v>
      </c>
      <c r="BP34">
        <v>0.16900000000000001</v>
      </c>
      <c r="BQ34">
        <v>412</v>
      </c>
      <c r="BR34">
        <v>17</v>
      </c>
      <c r="BS34">
        <v>0.52</v>
      </c>
      <c r="BT34">
        <v>0.02</v>
      </c>
      <c r="BU34">
        <v>-0.12002722</v>
      </c>
      <c r="BV34">
        <v>-6.1994011849624098</v>
      </c>
      <c r="BW34">
        <v>0.61285581594032301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-0.34566160000000001</v>
      </c>
      <c r="CD34">
        <v>8.4854796992481094E-2</v>
      </c>
      <c r="CE34">
        <v>9.2465297674316702E-3</v>
      </c>
      <c r="CF34">
        <v>1</v>
      </c>
      <c r="CG34">
        <v>1</v>
      </c>
      <c r="CH34">
        <v>2</v>
      </c>
      <c r="CI34" t="s">
        <v>303</v>
      </c>
      <c r="CJ34">
        <v>3.3499500000000002</v>
      </c>
      <c r="CK34">
        <v>2.69232</v>
      </c>
      <c r="CL34">
        <v>9.7247200000000006E-2</v>
      </c>
      <c r="CM34">
        <v>9.5975000000000005E-2</v>
      </c>
      <c r="CN34">
        <v>8.6908299999999994E-2</v>
      </c>
      <c r="CO34">
        <v>8.7621000000000004E-2</v>
      </c>
      <c r="CP34">
        <v>31673.4</v>
      </c>
      <c r="CQ34">
        <v>27814.400000000001</v>
      </c>
      <c r="CR34">
        <v>32469.9</v>
      </c>
      <c r="CS34">
        <v>30691</v>
      </c>
      <c r="CT34">
        <v>40134.800000000003</v>
      </c>
      <c r="CU34">
        <v>39358</v>
      </c>
      <c r="CV34">
        <v>47409</v>
      </c>
      <c r="CW34">
        <v>46790.8</v>
      </c>
      <c r="CX34">
        <v>2.5145</v>
      </c>
      <c r="CY34">
        <v>2.3450799999999998</v>
      </c>
      <c r="CZ34">
        <v>0</v>
      </c>
      <c r="DA34">
        <v>0</v>
      </c>
      <c r="DB34">
        <v>999.9</v>
      </c>
      <c r="DC34">
        <v>999.9</v>
      </c>
      <c r="DD34">
        <v>65.876999999999995</v>
      </c>
      <c r="DE34">
        <v>23.414000000000001</v>
      </c>
      <c r="DF34">
        <v>19.232299999999999</v>
      </c>
      <c r="DG34">
        <v>30.23</v>
      </c>
      <c r="DH34">
        <v>12.724399999999999</v>
      </c>
      <c r="DI34">
        <v>2</v>
      </c>
      <c r="DJ34">
        <v>-0.175707</v>
      </c>
      <c r="DK34">
        <v>1.8284199999999999</v>
      </c>
      <c r="DL34">
        <v>20.238399999999999</v>
      </c>
      <c r="DM34">
        <v>5.2517899999999997</v>
      </c>
      <c r="DN34">
        <v>12.033899999999999</v>
      </c>
      <c r="DO34">
        <v>4.9673600000000002</v>
      </c>
      <c r="DP34">
        <v>3.2909999999999999</v>
      </c>
      <c r="DQ34">
        <v>9999</v>
      </c>
      <c r="DR34">
        <v>9999</v>
      </c>
      <c r="DS34">
        <v>522.6</v>
      </c>
      <c r="DT34">
        <v>9999</v>
      </c>
      <c r="DU34">
        <v>1.8708800000000001</v>
      </c>
      <c r="DV34">
        <v>1.8759300000000001</v>
      </c>
      <c r="DW34">
        <v>1.87618</v>
      </c>
      <c r="DX34">
        <v>1.88263</v>
      </c>
      <c r="DY34">
        <v>1.8754599999999999</v>
      </c>
      <c r="DZ34">
        <v>1.87452</v>
      </c>
      <c r="EA34">
        <v>1.8706199999999999</v>
      </c>
      <c r="EB34">
        <v>1.8745099999999999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-0.995</v>
      </c>
      <c r="EQ34">
        <v>0.16900000000000001</v>
      </c>
      <c r="ER34">
        <v>-0.994636363636346</v>
      </c>
      <c r="ES34">
        <v>0</v>
      </c>
      <c r="ET34">
        <v>0</v>
      </c>
      <c r="EU34">
        <v>0</v>
      </c>
      <c r="EV34">
        <v>0.16895000000000199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4.4000000000000004</v>
      </c>
      <c r="FF34">
        <v>0.924072</v>
      </c>
      <c r="FG34">
        <v>2.5695800000000002</v>
      </c>
      <c r="FH34">
        <v>2.19604</v>
      </c>
      <c r="FI34">
        <v>2.677</v>
      </c>
      <c r="FJ34">
        <v>2.4462899999999999</v>
      </c>
      <c r="FK34">
        <v>2.2387700000000001</v>
      </c>
      <c r="FL34">
        <v>29.219000000000001</v>
      </c>
      <c r="FM34">
        <v>24.157499999999999</v>
      </c>
      <c r="FN34">
        <v>19</v>
      </c>
      <c r="FO34">
        <v>758.32299999999998</v>
      </c>
      <c r="FP34">
        <v>749.92</v>
      </c>
      <c r="FQ34">
        <v>18.463999999999999</v>
      </c>
      <c r="FR34">
        <v>24.7651</v>
      </c>
      <c r="FS34">
        <v>30.000299999999999</v>
      </c>
      <c r="FT34">
        <v>24.758400000000002</v>
      </c>
      <c r="FU34">
        <v>24.7575</v>
      </c>
      <c r="FV34">
        <v>18.552600000000002</v>
      </c>
      <c r="FW34">
        <v>49.385300000000001</v>
      </c>
      <c r="FX34">
        <v>100</v>
      </c>
      <c r="FY34">
        <v>18.4666</v>
      </c>
      <c r="FZ34">
        <v>410</v>
      </c>
      <c r="GA34">
        <v>15.8941</v>
      </c>
      <c r="GB34">
        <v>99.906599999999997</v>
      </c>
      <c r="GC34">
        <v>99.619500000000002</v>
      </c>
    </row>
    <row r="35" spans="1:185" x14ac:dyDescent="0.2">
      <c r="A35">
        <v>20</v>
      </c>
      <c r="B35">
        <v>1768578690.0999999</v>
      </c>
      <c r="C35">
        <v>297.09999990463302</v>
      </c>
      <c r="D35" t="s">
        <v>333</v>
      </c>
      <c r="E35" t="s">
        <v>334</v>
      </c>
      <c r="F35">
        <v>15</v>
      </c>
      <c r="G35">
        <v>1768578682.03333</v>
      </c>
      <c r="H35">
        <f t="shared" si="0"/>
        <v>-2.4357027955325213E-4</v>
      </c>
      <c r="I35">
        <v>0</v>
      </c>
      <c r="J35">
        <f t="shared" si="12"/>
        <v>-8.7202025044905726E-4</v>
      </c>
      <c r="K35">
        <f t="shared" si="1"/>
        <v>-2.2837924040848962E-2</v>
      </c>
      <c r="L35">
        <f t="shared" si="2"/>
        <v>70.10298824776963</v>
      </c>
      <c r="M35">
        <f t="shared" si="3"/>
        <v>1.5457398531471269</v>
      </c>
      <c r="N35">
        <f t="shared" si="4"/>
        <v>2.2049557255447034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25944.128160988988</v>
      </c>
      <c r="T35">
        <f t="shared" si="8"/>
        <v>0</v>
      </c>
      <c r="U35">
        <f t="shared" si="9"/>
        <v>0</v>
      </c>
      <c r="V35">
        <f t="shared" si="10"/>
        <v>0</v>
      </c>
      <c r="W35">
        <f t="shared" si="11"/>
        <v>0</v>
      </c>
      <c r="X35">
        <v>1</v>
      </c>
      <c r="Y35">
        <v>1768578682.03333</v>
      </c>
      <c r="Z35">
        <v>410.70853333333298</v>
      </c>
      <c r="AA35">
        <v>410.53300000000002</v>
      </c>
      <c r="AB35">
        <v>15.5999933333333</v>
      </c>
      <c r="AC35">
        <v>15.94252</v>
      </c>
      <c r="AD35">
        <v>411.70293333333302</v>
      </c>
      <c r="AE35">
        <v>15.431039999999999</v>
      </c>
      <c r="AF35">
        <v>700.00559999999996</v>
      </c>
      <c r="AG35">
        <v>99.0313533333333</v>
      </c>
      <c r="AH35">
        <v>5.4577033333333302E-2</v>
      </c>
      <c r="AI35">
        <v>18.998366666666701</v>
      </c>
      <c r="AJ35">
        <v>999.9</v>
      </c>
      <c r="AK35">
        <v>999.9</v>
      </c>
      <c r="AL35">
        <v>0</v>
      </c>
      <c r="AM35">
        <v>0</v>
      </c>
      <c r="AN35">
        <v>4995.9666666666699</v>
      </c>
      <c r="AO35">
        <v>0</v>
      </c>
      <c r="AP35">
        <v>2.6544379999999999</v>
      </c>
      <c r="AQ35">
        <v>0.17530311333333301</v>
      </c>
      <c r="AR35">
        <v>417.21706666666699</v>
      </c>
      <c r="AS35">
        <v>417.18406666666698</v>
      </c>
      <c r="AT35">
        <v>-0.34251920000000002</v>
      </c>
      <c r="AU35">
        <v>410.53300000000002</v>
      </c>
      <c r="AV35">
        <v>15.94252</v>
      </c>
      <c r="AW35">
        <v>1.5448886666666699</v>
      </c>
      <c r="AX35">
        <v>1.57880933333333</v>
      </c>
      <c r="AY35">
        <v>13.419833333333299</v>
      </c>
      <c r="AZ35">
        <v>13.7535266666667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25</v>
      </c>
      <c r="BG35">
        <v>-0.16444431333333301</v>
      </c>
      <c r="BH35">
        <v>1768578418</v>
      </c>
      <c r="BI35" t="s">
        <v>289</v>
      </c>
      <c r="BJ35">
        <v>1768578418</v>
      </c>
      <c r="BK35">
        <v>1768578413</v>
      </c>
      <c r="BL35">
        <v>1</v>
      </c>
      <c r="BM35">
        <v>-0.36099999999999999</v>
      </c>
      <c r="BN35">
        <v>4.9000000000000002E-2</v>
      </c>
      <c r="BO35">
        <v>-0.995</v>
      </c>
      <c r="BP35">
        <v>0.16900000000000001</v>
      </c>
      <c r="BQ35">
        <v>412</v>
      </c>
      <c r="BR35">
        <v>17</v>
      </c>
      <c r="BS35">
        <v>0.52</v>
      </c>
      <c r="BT35">
        <v>0.02</v>
      </c>
      <c r="BU35">
        <v>-9.43152523809523E-2</v>
      </c>
      <c r="BV35">
        <v>5.5415529662337599</v>
      </c>
      <c r="BW35">
        <v>0.58008889568038902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-0.34111919047618999</v>
      </c>
      <c r="CD35">
        <v>-2.3786025974026199E-2</v>
      </c>
      <c r="CE35">
        <v>2.68835330407451E-3</v>
      </c>
      <c r="CF35">
        <v>1</v>
      </c>
      <c r="CG35">
        <v>1</v>
      </c>
      <c r="CH35">
        <v>2</v>
      </c>
      <c r="CI35" t="s">
        <v>303</v>
      </c>
      <c r="CJ35">
        <v>3.3499599999999998</v>
      </c>
      <c r="CK35">
        <v>2.6924999999999999</v>
      </c>
      <c r="CL35">
        <v>9.7252599999999995E-2</v>
      </c>
      <c r="CM35">
        <v>9.5769199999999999E-2</v>
      </c>
      <c r="CN35">
        <v>8.6892700000000003E-2</v>
      </c>
      <c r="CO35">
        <v>8.7619699999999995E-2</v>
      </c>
      <c r="CP35">
        <v>31673.4</v>
      </c>
      <c r="CQ35">
        <v>27820.7</v>
      </c>
      <c r="CR35">
        <v>32470.2</v>
      </c>
      <c r="CS35">
        <v>30691</v>
      </c>
      <c r="CT35">
        <v>40135.9</v>
      </c>
      <c r="CU35">
        <v>39358.400000000001</v>
      </c>
      <c r="CV35">
        <v>47409.4</v>
      </c>
      <c r="CW35">
        <v>46791.3</v>
      </c>
      <c r="CX35">
        <v>2.5145200000000001</v>
      </c>
      <c r="CY35">
        <v>2.3448199999999999</v>
      </c>
      <c r="CZ35">
        <v>0</v>
      </c>
      <c r="DA35">
        <v>0</v>
      </c>
      <c r="DB35">
        <v>999.9</v>
      </c>
      <c r="DC35">
        <v>999.9</v>
      </c>
      <c r="DD35">
        <v>65.828000000000003</v>
      </c>
      <c r="DE35">
        <v>23.434000000000001</v>
      </c>
      <c r="DF35">
        <v>19.239699999999999</v>
      </c>
      <c r="DG35">
        <v>30.08</v>
      </c>
      <c r="DH35">
        <v>12.7204</v>
      </c>
      <c r="DI35">
        <v>2</v>
      </c>
      <c r="DJ35">
        <v>-0.17555499999999999</v>
      </c>
      <c r="DK35">
        <v>1.7402500000000001</v>
      </c>
      <c r="DL35">
        <v>20.239699999999999</v>
      </c>
      <c r="DM35">
        <v>5.2513100000000001</v>
      </c>
      <c r="DN35">
        <v>12.033899999999999</v>
      </c>
      <c r="DO35">
        <v>4.9673600000000002</v>
      </c>
      <c r="DP35">
        <v>3.2909999999999999</v>
      </c>
      <c r="DQ35">
        <v>9999</v>
      </c>
      <c r="DR35">
        <v>9999</v>
      </c>
      <c r="DS35">
        <v>522.6</v>
      </c>
      <c r="DT35">
        <v>9999</v>
      </c>
      <c r="DU35">
        <v>1.8708800000000001</v>
      </c>
      <c r="DV35">
        <v>1.8759300000000001</v>
      </c>
      <c r="DW35">
        <v>1.87615</v>
      </c>
      <c r="DX35">
        <v>1.88263</v>
      </c>
      <c r="DY35">
        <v>1.8754500000000001</v>
      </c>
      <c r="DZ35">
        <v>1.87452</v>
      </c>
      <c r="EA35">
        <v>1.87063</v>
      </c>
      <c r="EB35">
        <v>1.87453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-0.99399999999999999</v>
      </c>
      <c r="EQ35">
        <v>0.16889999999999999</v>
      </c>
      <c r="ER35">
        <v>-0.994636363636346</v>
      </c>
      <c r="ES35">
        <v>0</v>
      </c>
      <c r="ET35">
        <v>0</v>
      </c>
      <c r="EU35">
        <v>0</v>
      </c>
      <c r="EV35">
        <v>0.16895000000000199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4.5999999999999996</v>
      </c>
      <c r="FF35">
        <v>0.92285200000000001</v>
      </c>
      <c r="FG35">
        <v>2.5610400000000002</v>
      </c>
      <c r="FH35">
        <v>2.19604</v>
      </c>
      <c r="FI35">
        <v>2.677</v>
      </c>
      <c r="FJ35">
        <v>2.4462899999999999</v>
      </c>
      <c r="FK35">
        <v>2.2265600000000001</v>
      </c>
      <c r="FL35">
        <v>29.240200000000002</v>
      </c>
      <c r="FM35">
        <v>24.157499999999999</v>
      </c>
      <c r="FN35">
        <v>19</v>
      </c>
      <c r="FO35">
        <v>758.44600000000003</v>
      </c>
      <c r="FP35">
        <v>749.78499999999997</v>
      </c>
      <c r="FQ35">
        <v>18.461099999999998</v>
      </c>
      <c r="FR35">
        <v>24.771699999999999</v>
      </c>
      <c r="FS35">
        <v>30.0002</v>
      </c>
      <c r="FT35">
        <v>24.765999999999998</v>
      </c>
      <c r="FU35">
        <v>24.765000000000001</v>
      </c>
      <c r="FV35">
        <v>18.514099999999999</v>
      </c>
      <c r="FW35">
        <v>49.385300000000001</v>
      </c>
      <c r="FX35">
        <v>100</v>
      </c>
      <c r="FY35">
        <v>18.467500000000001</v>
      </c>
      <c r="FZ35">
        <v>410</v>
      </c>
      <c r="GA35">
        <v>15.892099999999999</v>
      </c>
      <c r="GB35">
        <v>99.907399999999996</v>
      </c>
      <c r="GC35">
        <v>99.62</v>
      </c>
    </row>
    <row r="36" spans="1:185" x14ac:dyDescent="0.2">
      <c r="A36">
        <v>21</v>
      </c>
      <c r="B36">
        <v>1768578705.0999999</v>
      </c>
      <c r="C36">
        <v>312.09999990463302</v>
      </c>
      <c r="D36" t="s">
        <v>335</v>
      </c>
      <c r="E36" t="s">
        <v>336</v>
      </c>
      <c r="F36">
        <v>15</v>
      </c>
      <c r="G36">
        <v>1768578697.03333</v>
      </c>
      <c r="H36">
        <f t="shared" si="0"/>
        <v>-2.4364332762668339E-4</v>
      </c>
      <c r="I36">
        <v>0</v>
      </c>
      <c r="J36">
        <f t="shared" si="12"/>
        <v>-2.2574598976282459E-2</v>
      </c>
      <c r="K36">
        <f t="shared" si="1"/>
        <v>-0.59122133506357599</v>
      </c>
      <c r="L36">
        <f t="shared" si="2"/>
        <v>70.117676426232308</v>
      </c>
      <c r="M36">
        <f t="shared" si="3"/>
        <v>1.5458405448357804</v>
      </c>
      <c r="N36">
        <f t="shared" si="4"/>
        <v>2.2046374375541244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25966.973393535238</v>
      </c>
      <c r="T36">
        <f t="shared" si="8"/>
        <v>0</v>
      </c>
      <c r="U36">
        <f t="shared" si="9"/>
        <v>0</v>
      </c>
      <c r="V36">
        <f t="shared" si="10"/>
        <v>0</v>
      </c>
      <c r="W36">
        <f t="shared" si="11"/>
        <v>0</v>
      </c>
      <c r="X36">
        <v>1</v>
      </c>
      <c r="Y36">
        <v>1768578697.03333</v>
      </c>
      <c r="Z36">
        <v>410.25286666666699</v>
      </c>
      <c r="AA36">
        <v>409.26546666666701</v>
      </c>
      <c r="AB36">
        <v>15.601233333333299</v>
      </c>
      <c r="AC36">
        <v>15.9438666666667</v>
      </c>
      <c r="AD36">
        <v>411.24740000000003</v>
      </c>
      <c r="AE36">
        <v>15.43228</v>
      </c>
      <c r="AF36">
        <v>699.99666666666701</v>
      </c>
      <c r="AG36">
        <v>99.029906666666704</v>
      </c>
      <c r="AH36">
        <v>5.4602346666666697E-2</v>
      </c>
      <c r="AI36">
        <v>18.9960533333333</v>
      </c>
      <c r="AJ36">
        <v>999.9</v>
      </c>
      <c r="AK36">
        <v>999.9</v>
      </c>
      <c r="AL36">
        <v>0</v>
      </c>
      <c r="AM36">
        <v>0</v>
      </c>
      <c r="AN36">
        <v>4999.8</v>
      </c>
      <c r="AO36">
        <v>0</v>
      </c>
      <c r="AP36">
        <v>2.65361</v>
      </c>
      <c r="AQ36">
        <v>0.98714959999999996</v>
      </c>
      <c r="AR36">
        <v>416.75459999999998</v>
      </c>
      <c r="AS36">
        <v>415.89659999999998</v>
      </c>
      <c r="AT36">
        <v>-0.34263440000000001</v>
      </c>
      <c r="AU36">
        <v>409.26546666666701</v>
      </c>
      <c r="AV36">
        <v>15.9438666666667</v>
      </c>
      <c r="AW36">
        <v>1.5449900000000001</v>
      </c>
      <c r="AX36">
        <v>1.5789200000000001</v>
      </c>
      <c r="AY36">
        <v>13.4208133333333</v>
      </c>
      <c r="AZ36">
        <v>13.7545933333333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25</v>
      </c>
      <c r="BG36">
        <v>-0.16222216</v>
      </c>
      <c r="BH36">
        <v>1768578418</v>
      </c>
      <c r="BI36" t="s">
        <v>289</v>
      </c>
      <c r="BJ36">
        <v>1768578418</v>
      </c>
      <c r="BK36">
        <v>1768578413</v>
      </c>
      <c r="BL36">
        <v>1</v>
      </c>
      <c r="BM36">
        <v>-0.36099999999999999</v>
      </c>
      <c r="BN36">
        <v>4.9000000000000002E-2</v>
      </c>
      <c r="BO36">
        <v>-0.995</v>
      </c>
      <c r="BP36">
        <v>0.16900000000000001</v>
      </c>
      <c r="BQ36">
        <v>412</v>
      </c>
      <c r="BR36">
        <v>17</v>
      </c>
      <c r="BS36">
        <v>0.52</v>
      </c>
      <c r="BT36">
        <v>0.02</v>
      </c>
      <c r="BU36">
        <v>0.90878110000000001</v>
      </c>
      <c r="BV36">
        <v>1.91511230075188</v>
      </c>
      <c r="BW36">
        <v>0.26954497162772301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-0.34277479999999999</v>
      </c>
      <c r="CD36">
        <v>7.3413834586464298E-3</v>
      </c>
      <c r="CE36">
        <v>9.72111187056297E-4</v>
      </c>
      <c r="CF36">
        <v>1</v>
      </c>
      <c r="CG36">
        <v>1</v>
      </c>
      <c r="CH36">
        <v>2</v>
      </c>
      <c r="CI36" t="s">
        <v>303</v>
      </c>
      <c r="CJ36">
        <v>3.3499300000000001</v>
      </c>
      <c r="CK36">
        <v>2.6924800000000002</v>
      </c>
      <c r="CL36">
        <v>9.7089300000000003E-2</v>
      </c>
      <c r="CM36">
        <v>9.5511499999999999E-2</v>
      </c>
      <c r="CN36">
        <v>8.6902999999999994E-2</v>
      </c>
      <c r="CO36">
        <v>8.7625499999999995E-2</v>
      </c>
      <c r="CP36">
        <v>31678.799999999999</v>
      </c>
      <c r="CQ36">
        <v>27829</v>
      </c>
      <c r="CR36">
        <v>32469.8</v>
      </c>
      <c r="CS36">
        <v>30691.5</v>
      </c>
      <c r="CT36">
        <v>40135.300000000003</v>
      </c>
      <c r="CU36">
        <v>39358.9</v>
      </c>
      <c r="CV36">
        <v>47409.3</v>
      </c>
      <c r="CW36">
        <v>46792.1</v>
      </c>
      <c r="CX36">
        <v>2.5144199999999999</v>
      </c>
      <c r="CY36">
        <v>2.3444799999999999</v>
      </c>
      <c r="CZ36">
        <v>0</v>
      </c>
      <c r="DA36">
        <v>0</v>
      </c>
      <c r="DB36">
        <v>999.9</v>
      </c>
      <c r="DC36">
        <v>999.9</v>
      </c>
      <c r="DD36">
        <v>65.760999999999996</v>
      </c>
      <c r="DE36">
        <v>23.443999999999999</v>
      </c>
      <c r="DF36">
        <v>19.233899999999998</v>
      </c>
      <c r="DG36">
        <v>29.96</v>
      </c>
      <c r="DH36">
        <v>12.7925</v>
      </c>
      <c r="DI36">
        <v>2</v>
      </c>
      <c r="DJ36">
        <v>-0.175179</v>
      </c>
      <c r="DK36">
        <v>1.7232700000000001</v>
      </c>
      <c r="DL36">
        <v>20.240600000000001</v>
      </c>
      <c r="DM36">
        <v>5.2519099999999996</v>
      </c>
      <c r="DN36">
        <v>12.033899999999999</v>
      </c>
      <c r="DO36">
        <v>4.9672799999999997</v>
      </c>
      <c r="DP36">
        <v>3.2909999999999999</v>
      </c>
      <c r="DQ36">
        <v>9999</v>
      </c>
      <c r="DR36">
        <v>9999</v>
      </c>
      <c r="DS36">
        <v>522.6</v>
      </c>
      <c r="DT36">
        <v>9999</v>
      </c>
      <c r="DU36">
        <v>1.8708800000000001</v>
      </c>
      <c r="DV36">
        <v>1.8759399999999999</v>
      </c>
      <c r="DW36">
        <v>1.87619</v>
      </c>
      <c r="DX36">
        <v>1.8826799999999999</v>
      </c>
      <c r="DY36">
        <v>1.8754599999999999</v>
      </c>
      <c r="DZ36">
        <v>1.8745099999999999</v>
      </c>
      <c r="EA36">
        <v>1.8706199999999999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-0.995</v>
      </c>
      <c r="EQ36">
        <v>0.16889999999999999</v>
      </c>
      <c r="ER36">
        <v>-0.994636363636346</v>
      </c>
      <c r="ES36">
        <v>0</v>
      </c>
      <c r="ET36">
        <v>0</v>
      </c>
      <c r="EU36">
        <v>0</v>
      </c>
      <c r="EV36">
        <v>0.16895000000000199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4.9000000000000004</v>
      </c>
      <c r="FF36">
        <v>0.92895499999999998</v>
      </c>
      <c r="FG36">
        <v>2.5610400000000002</v>
      </c>
      <c r="FH36">
        <v>2.19604</v>
      </c>
      <c r="FI36">
        <v>2.677</v>
      </c>
      <c r="FJ36">
        <v>2.4462899999999999</v>
      </c>
      <c r="FK36">
        <v>2.2827099999999998</v>
      </c>
      <c r="FL36">
        <v>29.261399999999998</v>
      </c>
      <c r="FM36">
        <v>24.1663</v>
      </c>
      <c r="FN36">
        <v>19</v>
      </c>
      <c r="FO36">
        <v>758.47500000000002</v>
      </c>
      <c r="FP36">
        <v>749.58</v>
      </c>
      <c r="FQ36">
        <v>18.472000000000001</v>
      </c>
      <c r="FR36">
        <v>24.777999999999999</v>
      </c>
      <c r="FS36">
        <v>30.000299999999999</v>
      </c>
      <c r="FT36">
        <v>24.773800000000001</v>
      </c>
      <c r="FU36">
        <v>24.7728</v>
      </c>
      <c r="FV36">
        <v>18.652000000000001</v>
      </c>
      <c r="FW36">
        <v>49.385300000000001</v>
      </c>
      <c r="FX36">
        <v>100</v>
      </c>
      <c r="FY36">
        <v>18.4757</v>
      </c>
      <c r="FZ36">
        <v>410</v>
      </c>
      <c r="GA36">
        <v>15.879300000000001</v>
      </c>
      <c r="GB36">
        <v>99.906800000000004</v>
      </c>
      <c r="GC36">
        <v>99.621799999999993</v>
      </c>
    </row>
    <row r="37" spans="1:185" x14ac:dyDescent="0.2">
      <c r="A37">
        <v>22</v>
      </c>
      <c r="B37">
        <v>1768578720.0999999</v>
      </c>
      <c r="C37">
        <v>327.09999990463302</v>
      </c>
      <c r="D37" t="s">
        <v>337</v>
      </c>
      <c r="E37" t="s">
        <v>338</v>
      </c>
      <c r="F37">
        <v>15</v>
      </c>
      <c r="G37">
        <v>1768578712.03333</v>
      </c>
      <c r="H37">
        <f t="shared" si="0"/>
        <v>-2.3665879339413565E-4</v>
      </c>
      <c r="I37">
        <v>0</v>
      </c>
      <c r="J37">
        <f t="shared" si="12"/>
        <v>-1.6806303055420312E-2</v>
      </c>
      <c r="K37">
        <f t="shared" si="1"/>
        <v>-0.44015155885373491</v>
      </c>
      <c r="L37">
        <f t="shared" si="2"/>
        <v>70.157702801219173</v>
      </c>
      <c r="M37">
        <f t="shared" si="3"/>
        <v>1.5464083450145667</v>
      </c>
      <c r="N37">
        <f t="shared" si="4"/>
        <v>2.2041889675265907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25932.279330067919</v>
      </c>
      <c r="T37">
        <f t="shared" si="8"/>
        <v>0</v>
      </c>
      <c r="U37">
        <f t="shared" si="9"/>
        <v>0</v>
      </c>
      <c r="V37">
        <f t="shared" si="10"/>
        <v>0</v>
      </c>
      <c r="W37">
        <f t="shared" si="11"/>
        <v>0</v>
      </c>
      <c r="X37">
        <v>1</v>
      </c>
      <c r="Y37">
        <v>1768578712.03333</v>
      </c>
      <c r="Z37">
        <v>409.40766666666701</v>
      </c>
      <c r="AA37">
        <v>408.64046666666701</v>
      </c>
      <c r="AB37">
        <v>15.6067866666667</v>
      </c>
      <c r="AC37">
        <v>15.939593333333301</v>
      </c>
      <c r="AD37">
        <v>410.4024</v>
      </c>
      <c r="AE37">
        <v>15.43784</v>
      </c>
      <c r="AF37">
        <v>700.001933333333</v>
      </c>
      <c r="AG37">
        <v>99.030846666666704</v>
      </c>
      <c r="AH37">
        <v>5.4786913333333298E-2</v>
      </c>
      <c r="AI37">
        <v>18.992793333333299</v>
      </c>
      <c r="AJ37">
        <v>999.9</v>
      </c>
      <c r="AK37">
        <v>999.9</v>
      </c>
      <c r="AL37">
        <v>0</v>
      </c>
      <c r="AM37">
        <v>0</v>
      </c>
      <c r="AN37">
        <v>4993.9333333333298</v>
      </c>
      <c r="AO37">
        <v>0</v>
      </c>
      <c r="AP37">
        <v>2.65361</v>
      </c>
      <c r="AQ37">
        <v>0.76723472666666703</v>
      </c>
      <c r="AR37">
        <v>415.89839999999998</v>
      </c>
      <c r="AS37">
        <v>415.25953333333302</v>
      </c>
      <c r="AT37">
        <v>-0.33281519999999998</v>
      </c>
      <c r="AU37">
        <v>408.64046666666701</v>
      </c>
      <c r="AV37">
        <v>15.939593333333301</v>
      </c>
      <c r="AW37">
        <v>1.54555333333333</v>
      </c>
      <c r="AX37">
        <v>1.57851266666667</v>
      </c>
      <c r="AY37">
        <v>13.42642</v>
      </c>
      <c r="AZ37">
        <v>13.75062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25</v>
      </c>
      <c r="BG37">
        <v>-8.4444386666666704E-2</v>
      </c>
      <c r="BH37">
        <v>1768578418</v>
      </c>
      <c r="BI37" t="s">
        <v>289</v>
      </c>
      <c r="BJ37">
        <v>1768578418</v>
      </c>
      <c r="BK37">
        <v>1768578413</v>
      </c>
      <c r="BL37">
        <v>1</v>
      </c>
      <c r="BM37">
        <v>-0.36099999999999999</v>
      </c>
      <c r="BN37">
        <v>4.9000000000000002E-2</v>
      </c>
      <c r="BO37">
        <v>-0.995</v>
      </c>
      <c r="BP37">
        <v>0.16900000000000001</v>
      </c>
      <c r="BQ37">
        <v>412</v>
      </c>
      <c r="BR37">
        <v>17</v>
      </c>
      <c r="BS37">
        <v>0.52</v>
      </c>
      <c r="BT37">
        <v>0.02</v>
      </c>
      <c r="BU37">
        <v>0.85492823333333301</v>
      </c>
      <c r="BV37">
        <v>-2.5765532727272702</v>
      </c>
      <c r="BW37">
        <v>0.355131508041999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-0.33534785714285698</v>
      </c>
      <c r="CD37">
        <v>6.6375974025973603E-2</v>
      </c>
      <c r="CE37">
        <v>7.2354416213374498E-3</v>
      </c>
      <c r="CF37">
        <v>1</v>
      </c>
      <c r="CG37">
        <v>1</v>
      </c>
      <c r="CH37">
        <v>2</v>
      </c>
      <c r="CI37" t="s">
        <v>303</v>
      </c>
      <c r="CJ37">
        <v>3.34998</v>
      </c>
      <c r="CK37">
        <v>2.6927599999999998</v>
      </c>
      <c r="CL37">
        <v>9.6995999999999999E-2</v>
      </c>
      <c r="CM37">
        <v>9.5619599999999999E-2</v>
      </c>
      <c r="CN37">
        <v>8.6934499999999998E-2</v>
      </c>
      <c r="CO37">
        <v>8.7577699999999994E-2</v>
      </c>
      <c r="CP37">
        <v>31682</v>
      </c>
      <c r="CQ37">
        <v>27825.8</v>
      </c>
      <c r="CR37">
        <v>32469.7</v>
      </c>
      <c r="CS37">
        <v>30691.7</v>
      </c>
      <c r="CT37">
        <v>40133.699999999997</v>
      </c>
      <c r="CU37">
        <v>39361.199999999997</v>
      </c>
      <c r="CV37">
        <v>47409.1</v>
      </c>
      <c r="CW37">
        <v>46792.3</v>
      </c>
      <c r="CX37">
        <v>2.5142600000000002</v>
      </c>
      <c r="CY37">
        <v>2.3440799999999999</v>
      </c>
      <c r="CZ37">
        <v>0</v>
      </c>
      <c r="DA37">
        <v>0</v>
      </c>
      <c r="DB37">
        <v>999.9</v>
      </c>
      <c r="DC37">
        <v>999.9</v>
      </c>
      <c r="DD37">
        <v>65.688000000000002</v>
      </c>
      <c r="DE37">
        <v>23.484000000000002</v>
      </c>
      <c r="DF37">
        <v>19.258900000000001</v>
      </c>
      <c r="DG37">
        <v>30.08</v>
      </c>
      <c r="DH37">
        <v>12.7925</v>
      </c>
      <c r="DI37">
        <v>2</v>
      </c>
      <c r="DJ37">
        <v>-0.17480299999999999</v>
      </c>
      <c r="DK37">
        <v>1.6972100000000001</v>
      </c>
      <c r="DL37">
        <v>20.241099999999999</v>
      </c>
      <c r="DM37">
        <v>5.2519099999999996</v>
      </c>
      <c r="DN37">
        <v>12.033899999999999</v>
      </c>
      <c r="DO37">
        <v>4.9674399999999999</v>
      </c>
      <c r="DP37">
        <v>3.2909999999999999</v>
      </c>
      <c r="DQ37">
        <v>9999</v>
      </c>
      <c r="DR37">
        <v>9999</v>
      </c>
      <c r="DS37">
        <v>522.6</v>
      </c>
      <c r="DT37">
        <v>9999</v>
      </c>
      <c r="DU37">
        <v>1.8708800000000001</v>
      </c>
      <c r="DV37">
        <v>1.8759399999999999</v>
      </c>
      <c r="DW37">
        <v>1.87618</v>
      </c>
      <c r="DX37">
        <v>1.88266</v>
      </c>
      <c r="DY37">
        <v>1.8754599999999999</v>
      </c>
      <c r="DZ37">
        <v>1.8745099999999999</v>
      </c>
      <c r="EA37">
        <v>1.87059</v>
      </c>
      <c r="EB37">
        <v>1.87453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-0.99399999999999999</v>
      </c>
      <c r="EQ37">
        <v>0.16889999999999999</v>
      </c>
      <c r="ER37">
        <v>-0.994636363636346</v>
      </c>
      <c r="ES37">
        <v>0</v>
      </c>
      <c r="ET37">
        <v>0</v>
      </c>
      <c r="EU37">
        <v>0</v>
      </c>
      <c r="EV37">
        <v>0.16895000000000199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5.0999999999999996</v>
      </c>
      <c r="FF37">
        <v>0.93627899999999997</v>
      </c>
      <c r="FG37">
        <v>2.5610400000000002</v>
      </c>
      <c r="FH37">
        <v>2.19604</v>
      </c>
      <c r="FI37">
        <v>2.677</v>
      </c>
      <c r="FJ37">
        <v>2.4462899999999999</v>
      </c>
      <c r="FK37">
        <v>2.2839399999999999</v>
      </c>
      <c r="FL37">
        <v>29.282699999999998</v>
      </c>
      <c r="FM37">
        <v>24.1663</v>
      </c>
      <c r="FN37">
        <v>19</v>
      </c>
      <c r="FO37">
        <v>758.44299999999998</v>
      </c>
      <c r="FP37">
        <v>749.31799999999998</v>
      </c>
      <c r="FQ37">
        <v>18.483899999999998</v>
      </c>
      <c r="FR37">
        <v>24.784600000000001</v>
      </c>
      <c r="FS37">
        <v>30.0002</v>
      </c>
      <c r="FT37">
        <v>24.780999999999999</v>
      </c>
      <c r="FU37">
        <v>24.7807</v>
      </c>
      <c r="FV37">
        <v>18.797000000000001</v>
      </c>
      <c r="FW37">
        <v>49.660899999999998</v>
      </c>
      <c r="FX37">
        <v>100</v>
      </c>
      <c r="FY37">
        <v>18.4908</v>
      </c>
      <c r="FZ37">
        <v>410</v>
      </c>
      <c r="GA37">
        <v>15.8652</v>
      </c>
      <c r="GB37">
        <v>99.906499999999994</v>
      </c>
      <c r="GC37">
        <v>99.622200000000007</v>
      </c>
    </row>
    <row r="38" spans="1:185" x14ac:dyDescent="0.2">
      <c r="A38">
        <v>23</v>
      </c>
      <c r="B38">
        <v>1768578735.0999999</v>
      </c>
      <c r="C38">
        <v>342.09999990463302</v>
      </c>
      <c r="D38" t="s">
        <v>339</v>
      </c>
      <c r="E38" t="s">
        <v>340</v>
      </c>
      <c r="F38">
        <v>15</v>
      </c>
      <c r="G38">
        <v>1768578727.03333</v>
      </c>
      <c r="H38">
        <f t="shared" si="0"/>
        <v>-2.2593641374245264E-4</v>
      </c>
      <c r="I38">
        <v>0</v>
      </c>
      <c r="J38">
        <f t="shared" si="12"/>
        <v>2.9169824899700041E-2</v>
      </c>
      <c r="K38">
        <f t="shared" si="1"/>
        <v>0.76394813652682692</v>
      </c>
      <c r="L38">
        <f t="shared" si="2"/>
        <v>70.172264347655343</v>
      </c>
      <c r="M38">
        <f t="shared" si="3"/>
        <v>1.5466662467391845</v>
      </c>
      <c r="N38">
        <f t="shared" si="4"/>
        <v>2.2040990997191088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25986.39902945752</v>
      </c>
      <c r="T38">
        <f t="shared" si="8"/>
        <v>0</v>
      </c>
      <c r="U38">
        <f t="shared" si="9"/>
        <v>0</v>
      </c>
      <c r="V38">
        <f t="shared" si="10"/>
        <v>0</v>
      </c>
      <c r="W38">
        <f t="shared" si="11"/>
        <v>0</v>
      </c>
      <c r="X38">
        <v>1</v>
      </c>
      <c r="Y38">
        <v>1768578727.03333</v>
      </c>
      <c r="Z38">
        <v>409.63619999999997</v>
      </c>
      <c r="AA38">
        <v>410.59533333333297</v>
      </c>
      <c r="AB38">
        <v>15.609393333333299</v>
      </c>
      <c r="AC38">
        <v>15.92712</v>
      </c>
      <c r="AD38">
        <v>410.63086666666698</v>
      </c>
      <c r="AE38">
        <v>15.4404533333333</v>
      </c>
      <c r="AF38">
        <v>700.00319999999999</v>
      </c>
      <c r="AG38">
        <v>99.030913333333302</v>
      </c>
      <c r="AH38">
        <v>5.4695806666666701E-2</v>
      </c>
      <c r="AI38">
        <v>18.992139999999999</v>
      </c>
      <c r="AJ38">
        <v>999.9</v>
      </c>
      <c r="AK38">
        <v>999.9</v>
      </c>
      <c r="AL38">
        <v>0</v>
      </c>
      <c r="AM38">
        <v>0</v>
      </c>
      <c r="AN38">
        <v>5002.9333333333298</v>
      </c>
      <c r="AO38">
        <v>0</v>
      </c>
      <c r="AP38">
        <v>2.65361</v>
      </c>
      <c r="AQ38">
        <v>-0.95912174666666705</v>
      </c>
      <c r="AR38">
        <v>416.1318</v>
      </c>
      <c r="AS38">
        <v>417.24086666666699</v>
      </c>
      <c r="AT38">
        <v>-0.31773133333333298</v>
      </c>
      <c r="AU38">
        <v>410.59533333333297</v>
      </c>
      <c r="AV38">
        <v>15.92712</v>
      </c>
      <c r="AW38">
        <v>1.545814</v>
      </c>
      <c r="AX38">
        <v>1.57727866666667</v>
      </c>
      <c r="AY38">
        <v>13.428986666666701</v>
      </c>
      <c r="AZ38">
        <v>13.738580000000001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25</v>
      </c>
      <c r="BG38">
        <v>-7.3333313333333303E-2</v>
      </c>
      <c r="BH38">
        <v>1768578418</v>
      </c>
      <c r="BI38" t="s">
        <v>289</v>
      </c>
      <c r="BJ38">
        <v>1768578418</v>
      </c>
      <c r="BK38">
        <v>1768578413</v>
      </c>
      <c r="BL38">
        <v>1</v>
      </c>
      <c r="BM38">
        <v>-0.36099999999999999</v>
      </c>
      <c r="BN38">
        <v>4.9000000000000002E-2</v>
      </c>
      <c r="BO38">
        <v>-0.995</v>
      </c>
      <c r="BP38">
        <v>0.16900000000000001</v>
      </c>
      <c r="BQ38">
        <v>412</v>
      </c>
      <c r="BR38">
        <v>17</v>
      </c>
      <c r="BS38">
        <v>0.52</v>
      </c>
      <c r="BT38">
        <v>0.02</v>
      </c>
      <c r="BU38">
        <v>-0.62820974500000004</v>
      </c>
      <c r="BV38">
        <v>-6.83411558345865</v>
      </c>
      <c r="BW38">
        <v>0.80628335335592205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-0.31928885000000001</v>
      </c>
      <c r="CD38">
        <v>5.4713999999999902E-2</v>
      </c>
      <c r="CE38">
        <v>6.0014907254364704E-3</v>
      </c>
      <c r="CF38">
        <v>1</v>
      </c>
      <c r="CG38">
        <v>1</v>
      </c>
      <c r="CH38">
        <v>2</v>
      </c>
      <c r="CI38" t="s">
        <v>303</v>
      </c>
      <c r="CJ38">
        <v>3.3498899999999998</v>
      </c>
      <c r="CK38">
        <v>2.6925500000000002</v>
      </c>
      <c r="CL38">
        <v>9.7209400000000001E-2</v>
      </c>
      <c r="CM38">
        <v>9.6101000000000006E-2</v>
      </c>
      <c r="CN38">
        <v>8.6925199999999994E-2</v>
      </c>
      <c r="CO38">
        <v>8.7511500000000006E-2</v>
      </c>
      <c r="CP38">
        <v>31674.7</v>
      </c>
      <c r="CQ38">
        <v>27810.7</v>
      </c>
      <c r="CR38">
        <v>32469.9</v>
      </c>
      <c r="CS38">
        <v>30691.3</v>
      </c>
      <c r="CT38">
        <v>40134.400000000001</v>
      </c>
      <c r="CU38">
        <v>39363.9</v>
      </c>
      <c r="CV38">
        <v>47409.3</v>
      </c>
      <c r="CW38">
        <v>46792</v>
      </c>
      <c r="CX38">
        <v>2.5142600000000002</v>
      </c>
      <c r="CY38">
        <v>2.3439000000000001</v>
      </c>
      <c r="CZ38">
        <v>0</v>
      </c>
      <c r="DA38">
        <v>0</v>
      </c>
      <c r="DB38">
        <v>999.9</v>
      </c>
      <c r="DC38">
        <v>999.9</v>
      </c>
      <c r="DD38">
        <v>65.644999999999996</v>
      </c>
      <c r="DE38">
        <v>23.484000000000002</v>
      </c>
      <c r="DF38">
        <v>19.245200000000001</v>
      </c>
      <c r="DG38">
        <v>30.26</v>
      </c>
      <c r="DH38">
        <v>12.8405</v>
      </c>
      <c r="DI38">
        <v>2</v>
      </c>
      <c r="DJ38">
        <v>-0.174181</v>
      </c>
      <c r="DK38">
        <v>1.68197</v>
      </c>
      <c r="DL38">
        <v>20.241099999999999</v>
      </c>
      <c r="DM38">
        <v>5.2522700000000002</v>
      </c>
      <c r="DN38">
        <v>12.033899999999999</v>
      </c>
      <c r="DO38">
        <v>4.96732</v>
      </c>
      <c r="DP38">
        <v>3.2909999999999999</v>
      </c>
      <c r="DQ38">
        <v>9999</v>
      </c>
      <c r="DR38">
        <v>9999</v>
      </c>
      <c r="DS38">
        <v>522.6</v>
      </c>
      <c r="DT38">
        <v>9999</v>
      </c>
      <c r="DU38">
        <v>1.8708800000000001</v>
      </c>
      <c r="DV38">
        <v>1.8759399999999999</v>
      </c>
      <c r="DW38">
        <v>1.87619</v>
      </c>
      <c r="DX38">
        <v>1.88266</v>
      </c>
      <c r="DY38">
        <v>1.8754500000000001</v>
      </c>
      <c r="DZ38">
        <v>1.87453</v>
      </c>
      <c r="EA38">
        <v>1.8705799999999999</v>
      </c>
      <c r="EB38">
        <v>1.87453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-0.99399999999999999</v>
      </c>
      <c r="EQ38">
        <v>0.16900000000000001</v>
      </c>
      <c r="ER38">
        <v>-0.994636363636346</v>
      </c>
      <c r="ES38">
        <v>0</v>
      </c>
      <c r="ET38">
        <v>0</v>
      </c>
      <c r="EU38">
        <v>0</v>
      </c>
      <c r="EV38">
        <v>0.16895000000000199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5.4</v>
      </c>
      <c r="FF38">
        <v>0.92895499999999998</v>
      </c>
      <c r="FG38">
        <v>2.5671400000000002</v>
      </c>
      <c r="FH38">
        <v>2.19604</v>
      </c>
      <c r="FI38">
        <v>2.67822</v>
      </c>
      <c r="FJ38">
        <v>2.4462899999999999</v>
      </c>
      <c r="FK38">
        <v>2.2717299999999998</v>
      </c>
      <c r="FL38">
        <v>29.303899999999999</v>
      </c>
      <c r="FM38">
        <v>24.1663</v>
      </c>
      <c r="FN38">
        <v>19</v>
      </c>
      <c r="FO38">
        <v>758.54899999999998</v>
      </c>
      <c r="FP38">
        <v>749.24599999999998</v>
      </c>
      <c r="FQ38">
        <v>18.5031</v>
      </c>
      <c r="FR38">
        <v>24.790900000000001</v>
      </c>
      <c r="FS38">
        <v>30.0002</v>
      </c>
      <c r="FT38">
        <v>24.788399999999999</v>
      </c>
      <c r="FU38">
        <v>24.787400000000002</v>
      </c>
      <c r="FV38">
        <v>18.636800000000001</v>
      </c>
      <c r="FW38">
        <v>49.935899999999997</v>
      </c>
      <c r="FX38">
        <v>100</v>
      </c>
      <c r="FY38">
        <v>18.507400000000001</v>
      </c>
      <c r="FZ38">
        <v>410</v>
      </c>
      <c r="GA38">
        <v>15.8553</v>
      </c>
      <c r="GB38">
        <v>99.906999999999996</v>
      </c>
      <c r="GC38">
        <v>99.621399999999994</v>
      </c>
    </row>
    <row r="39" spans="1:185" x14ac:dyDescent="0.2">
      <c r="A39">
        <v>24</v>
      </c>
      <c r="B39">
        <v>1768578905.0999999</v>
      </c>
      <c r="C39">
        <v>512.09999990463302</v>
      </c>
      <c r="D39" t="s">
        <v>341</v>
      </c>
      <c r="E39" t="s">
        <v>342</v>
      </c>
      <c r="F39">
        <v>15</v>
      </c>
      <c r="G39">
        <v>1768578897.0999999</v>
      </c>
      <c r="H39">
        <f t="shared" si="0"/>
        <v>-8.7035864748770083E-4</v>
      </c>
      <c r="I39">
        <v>0</v>
      </c>
      <c r="J39">
        <f t="shared" si="12"/>
        <v>-1.5316617594771223E-2</v>
      </c>
      <c r="K39">
        <f t="shared" si="1"/>
        <v>-0.40113718576143426</v>
      </c>
      <c r="L39">
        <f t="shared" si="2"/>
        <v>73.128290629981478</v>
      </c>
      <c r="M39">
        <f t="shared" si="3"/>
        <v>1.6017786475202853</v>
      </c>
      <c r="N39">
        <f t="shared" si="4"/>
        <v>2.1903679598160615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25925.148277050335</v>
      </c>
      <c r="T39">
        <f t="shared" si="8"/>
        <v>99.999939999999995</v>
      </c>
      <c r="U39">
        <f t="shared" si="9"/>
        <v>84.299496920271466</v>
      </c>
      <c r="V39">
        <f t="shared" si="10"/>
        <v>0.84299547499999972</v>
      </c>
      <c r="W39">
        <f t="shared" si="11"/>
        <v>0.15868888237999998</v>
      </c>
      <c r="X39">
        <v>1</v>
      </c>
      <c r="Y39">
        <v>1768578897.0999999</v>
      </c>
      <c r="Z39">
        <v>409.96013333333298</v>
      </c>
      <c r="AA39">
        <v>408.87733333333301</v>
      </c>
      <c r="AB39">
        <v>16.1655266666667</v>
      </c>
      <c r="AC39">
        <v>17.388813333333299</v>
      </c>
      <c r="AD39">
        <v>410.95473333333302</v>
      </c>
      <c r="AE39">
        <v>15.99658</v>
      </c>
      <c r="AF39">
        <v>699.99033333333296</v>
      </c>
      <c r="AG39">
        <v>99.031379999999999</v>
      </c>
      <c r="AH39">
        <v>5.4698700000000003E-2</v>
      </c>
      <c r="AI39">
        <v>18.892040000000001</v>
      </c>
      <c r="AJ39">
        <v>999.9</v>
      </c>
      <c r="AK39">
        <v>999.9</v>
      </c>
      <c r="AL39">
        <v>0</v>
      </c>
      <c r="AM39">
        <v>0</v>
      </c>
      <c r="AN39">
        <v>4991.2333333333299</v>
      </c>
      <c r="AO39">
        <v>0</v>
      </c>
      <c r="AP39">
        <v>2.6302746666666699</v>
      </c>
      <c r="AQ39">
        <v>1.0827422</v>
      </c>
      <c r="AR39">
        <v>416.69633333333297</v>
      </c>
      <c r="AS39">
        <v>416.113133333333</v>
      </c>
      <c r="AT39">
        <v>-1.22329713333333</v>
      </c>
      <c r="AU39">
        <v>408.87733333333301</v>
      </c>
      <c r="AV39">
        <v>17.388813333333299</v>
      </c>
      <c r="AW39">
        <v>1.6008946666666699</v>
      </c>
      <c r="AX39">
        <v>1.7220393333333299</v>
      </c>
      <c r="AY39">
        <v>13.9672466666667</v>
      </c>
      <c r="AZ39">
        <v>15.0961133333333</v>
      </c>
      <c r="BA39">
        <v>99.999939999999995</v>
      </c>
      <c r="BB39">
        <v>0.90014793333333298</v>
      </c>
      <c r="BC39">
        <v>0</v>
      </c>
      <c r="BD39">
        <v>9.9851966666666694E-2</v>
      </c>
      <c r="BE39">
        <v>0</v>
      </c>
      <c r="BF39">
        <v>25</v>
      </c>
      <c r="BG39">
        <v>1648.9466666666699</v>
      </c>
      <c r="BH39">
        <v>1768578418</v>
      </c>
      <c r="BI39" t="s">
        <v>289</v>
      </c>
      <c r="BJ39">
        <v>1768578418</v>
      </c>
      <c r="BK39">
        <v>1768578413</v>
      </c>
      <c r="BL39">
        <v>1</v>
      </c>
      <c r="BM39">
        <v>-0.36099999999999999</v>
      </c>
      <c r="BN39">
        <v>4.9000000000000002E-2</v>
      </c>
      <c r="BO39">
        <v>-0.995</v>
      </c>
      <c r="BP39">
        <v>0.16900000000000001</v>
      </c>
      <c r="BQ39">
        <v>412</v>
      </c>
      <c r="BR39">
        <v>17</v>
      </c>
      <c r="BS39">
        <v>0.52</v>
      </c>
      <c r="BT39">
        <v>0.02</v>
      </c>
      <c r="BU39">
        <v>1.26187765</v>
      </c>
      <c r="BV39">
        <v>-4.7148798045112796</v>
      </c>
      <c r="BW39">
        <v>0.62676282843171804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-1.35977535</v>
      </c>
      <c r="CD39">
        <v>3.15705676691729</v>
      </c>
      <c r="CE39">
        <v>0.30384714253852602</v>
      </c>
      <c r="CF39">
        <v>0</v>
      </c>
      <c r="CG39">
        <v>0</v>
      </c>
      <c r="CH39">
        <v>2</v>
      </c>
      <c r="CI39" t="s">
        <v>290</v>
      </c>
      <c r="CJ39">
        <v>3.34998</v>
      </c>
      <c r="CK39">
        <v>2.6925599999999998</v>
      </c>
      <c r="CL39">
        <v>9.7065799999999994E-2</v>
      </c>
      <c r="CM39">
        <v>9.5691100000000001E-2</v>
      </c>
      <c r="CN39">
        <v>8.9711100000000002E-2</v>
      </c>
      <c r="CO39">
        <v>9.2252799999999996E-2</v>
      </c>
      <c r="CP39">
        <v>31677.3</v>
      </c>
      <c r="CQ39">
        <v>27823.4</v>
      </c>
      <c r="CR39">
        <v>32467.8</v>
      </c>
      <c r="CS39">
        <v>30691.8</v>
      </c>
      <c r="CT39">
        <v>40006.699999999997</v>
      </c>
      <c r="CU39">
        <v>39154.300000000003</v>
      </c>
      <c r="CV39">
        <v>47407.8</v>
      </c>
      <c r="CW39">
        <v>46794.6</v>
      </c>
      <c r="CX39">
        <v>2.5125199999999999</v>
      </c>
      <c r="CY39">
        <v>2.3419400000000001</v>
      </c>
      <c r="CZ39">
        <v>0</v>
      </c>
      <c r="DA39">
        <v>0</v>
      </c>
      <c r="DB39">
        <v>999.9</v>
      </c>
      <c r="DC39">
        <v>999.9</v>
      </c>
      <c r="DD39">
        <v>64.918999999999997</v>
      </c>
      <c r="DE39">
        <v>23.696000000000002</v>
      </c>
      <c r="DF39">
        <v>19.277699999999999</v>
      </c>
      <c r="DG39">
        <v>30.1</v>
      </c>
      <c r="DH39">
        <v>12.8606</v>
      </c>
      <c r="DI39">
        <v>2</v>
      </c>
      <c r="DJ39">
        <v>-0.16814999999999999</v>
      </c>
      <c r="DK39">
        <v>1.53437</v>
      </c>
      <c r="DL39">
        <v>20.239100000000001</v>
      </c>
      <c r="DM39">
        <v>5.2520300000000004</v>
      </c>
      <c r="DN39">
        <v>12.033899999999999</v>
      </c>
      <c r="DO39">
        <v>4.9674800000000001</v>
      </c>
      <c r="DP39">
        <v>3.2909999999999999</v>
      </c>
      <c r="DQ39">
        <v>9999</v>
      </c>
      <c r="DR39">
        <v>9999</v>
      </c>
      <c r="DS39">
        <v>522.6</v>
      </c>
      <c r="DT39">
        <v>9999</v>
      </c>
      <c r="DU39">
        <v>1.8708800000000001</v>
      </c>
      <c r="DV39">
        <v>1.8759699999999999</v>
      </c>
      <c r="DW39">
        <v>1.8762099999999999</v>
      </c>
      <c r="DX39">
        <v>1.8827400000000001</v>
      </c>
      <c r="DY39">
        <v>1.8754599999999999</v>
      </c>
      <c r="DZ39">
        <v>1.8745400000000001</v>
      </c>
      <c r="EA39">
        <v>1.87066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-0.99399999999999999</v>
      </c>
      <c r="EQ39">
        <v>0.16900000000000001</v>
      </c>
      <c r="ER39">
        <v>-0.994636363636346</v>
      </c>
      <c r="ES39">
        <v>0</v>
      </c>
      <c r="ET39">
        <v>0</v>
      </c>
      <c r="EU39">
        <v>0</v>
      </c>
      <c r="EV39">
        <v>0.16895000000000199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8.1</v>
      </c>
      <c r="FE39">
        <v>8.1999999999999993</v>
      </c>
      <c r="FF39">
        <v>0.92773399999999995</v>
      </c>
      <c r="FG39">
        <v>2.5659200000000002</v>
      </c>
      <c r="FH39">
        <v>2.19604</v>
      </c>
      <c r="FI39">
        <v>2.67456</v>
      </c>
      <c r="FJ39">
        <v>2.4462899999999999</v>
      </c>
      <c r="FK39">
        <v>2.2924799999999999</v>
      </c>
      <c r="FL39">
        <v>29.495200000000001</v>
      </c>
      <c r="FM39">
        <v>24.1663</v>
      </c>
      <c r="FN39">
        <v>19</v>
      </c>
      <c r="FO39">
        <v>758.43600000000004</v>
      </c>
      <c r="FP39">
        <v>748.745</v>
      </c>
      <c r="FQ39">
        <v>18.271799999999999</v>
      </c>
      <c r="FR39">
        <v>24.884899999999998</v>
      </c>
      <c r="FS39">
        <v>30.0001</v>
      </c>
      <c r="FT39">
        <v>24.8826</v>
      </c>
      <c r="FU39">
        <v>24.879200000000001</v>
      </c>
      <c r="FV39">
        <v>18.623699999999999</v>
      </c>
      <c r="FW39">
        <v>38.339100000000002</v>
      </c>
      <c r="FX39">
        <v>100</v>
      </c>
      <c r="FY39">
        <v>18.3505</v>
      </c>
      <c r="FZ39">
        <v>410</v>
      </c>
      <c r="GA39">
        <v>16.508199999999999</v>
      </c>
      <c r="GB39">
        <v>99.902500000000003</v>
      </c>
      <c r="GC39">
        <v>99.625299999999996</v>
      </c>
    </row>
    <row r="40" spans="1:185" x14ac:dyDescent="0.2">
      <c r="A40">
        <v>25</v>
      </c>
      <c r="B40">
        <v>1768578920.0999999</v>
      </c>
      <c r="C40">
        <v>527.09999990463302</v>
      </c>
      <c r="D40" t="s">
        <v>343</v>
      </c>
      <c r="E40" t="s">
        <v>344</v>
      </c>
      <c r="F40">
        <v>15</v>
      </c>
      <c r="G40">
        <v>1768578912.03333</v>
      </c>
      <c r="H40">
        <f t="shared" si="0"/>
        <v>-4.1973450717699377E-4</v>
      </c>
      <c r="I40">
        <v>0</v>
      </c>
      <c r="J40">
        <f t="shared" si="12"/>
        <v>3.2324843873089759E-2</v>
      </c>
      <c r="K40">
        <f t="shared" si="1"/>
        <v>0.84657704752356866</v>
      </c>
      <c r="L40">
        <f t="shared" si="2"/>
        <v>73.563454662436953</v>
      </c>
      <c r="M40">
        <f t="shared" si="3"/>
        <v>1.611754525532179</v>
      </c>
      <c r="N40">
        <f t="shared" si="4"/>
        <v>2.1909717711438241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25942.071795352538</v>
      </c>
      <c r="T40">
        <f t="shared" si="8"/>
        <v>100.00078000000001</v>
      </c>
      <c r="U40">
        <f t="shared" si="9"/>
        <v>84.3002148365469</v>
      </c>
      <c r="V40">
        <f t="shared" si="10"/>
        <v>0.84299557299999961</v>
      </c>
      <c r="W40">
        <f t="shared" si="11"/>
        <v>0.15868847777999995</v>
      </c>
      <c r="X40">
        <v>1</v>
      </c>
      <c r="Y40">
        <v>1768578912.03333</v>
      </c>
      <c r="Z40">
        <v>410.15780000000001</v>
      </c>
      <c r="AA40">
        <v>411.121266666667</v>
      </c>
      <c r="AB40">
        <v>16.26614</v>
      </c>
      <c r="AC40">
        <v>16.856013333333301</v>
      </c>
      <c r="AD40">
        <v>411.15246666666701</v>
      </c>
      <c r="AE40">
        <v>16.097200000000001</v>
      </c>
      <c r="AF40">
        <v>699.99273333333304</v>
      </c>
      <c r="AG40">
        <v>99.031733333333307</v>
      </c>
      <c r="AH40">
        <v>5.4744806666666701E-2</v>
      </c>
      <c r="AI40">
        <v>18.896453333333302</v>
      </c>
      <c r="AJ40">
        <v>999.9</v>
      </c>
      <c r="AK40">
        <v>999.9</v>
      </c>
      <c r="AL40">
        <v>0</v>
      </c>
      <c r="AM40">
        <v>0</v>
      </c>
      <c r="AN40">
        <v>4994.1000000000004</v>
      </c>
      <c r="AO40">
        <v>0</v>
      </c>
      <c r="AP40">
        <v>2.71007</v>
      </c>
      <c r="AQ40">
        <v>-0.96335835333333297</v>
      </c>
      <c r="AR40">
        <v>416.93973333333298</v>
      </c>
      <c r="AS40">
        <v>418.1696</v>
      </c>
      <c r="AT40">
        <v>-0.58988153333333304</v>
      </c>
      <c r="AU40">
        <v>411.121266666667</v>
      </c>
      <c r="AV40">
        <v>16.856013333333301</v>
      </c>
      <c r="AW40">
        <v>1.6108640000000001</v>
      </c>
      <c r="AX40">
        <v>1.6692819999999999</v>
      </c>
      <c r="AY40">
        <v>14.06312</v>
      </c>
      <c r="AZ40">
        <v>14.613060000000001</v>
      </c>
      <c r="BA40">
        <v>100.00078000000001</v>
      </c>
      <c r="BB40">
        <v>0.90015433333333295</v>
      </c>
      <c r="BC40">
        <v>0</v>
      </c>
      <c r="BD40">
        <v>9.9845900000000001E-2</v>
      </c>
      <c r="BE40">
        <v>0</v>
      </c>
      <c r="BF40">
        <v>25</v>
      </c>
      <c r="BG40">
        <v>1648.9639999999999</v>
      </c>
      <c r="BH40">
        <v>1768578418</v>
      </c>
      <c r="BI40" t="s">
        <v>289</v>
      </c>
      <c r="BJ40">
        <v>1768578418</v>
      </c>
      <c r="BK40">
        <v>1768578413</v>
      </c>
      <c r="BL40">
        <v>1</v>
      </c>
      <c r="BM40">
        <v>-0.36099999999999999</v>
      </c>
      <c r="BN40">
        <v>4.9000000000000002E-2</v>
      </c>
      <c r="BO40">
        <v>-0.995</v>
      </c>
      <c r="BP40">
        <v>0.16900000000000001</v>
      </c>
      <c r="BQ40">
        <v>412</v>
      </c>
      <c r="BR40">
        <v>17</v>
      </c>
      <c r="BS40">
        <v>0.52</v>
      </c>
      <c r="BT40">
        <v>0.02</v>
      </c>
      <c r="BU40">
        <v>-0.53228615714285699</v>
      </c>
      <c r="BV40">
        <v>-8.5314297740259697</v>
      </c>
      <c r="BW40">
        <v>1.20625383983616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-0.70548971428571405</v>
      </c>
      <c r="CD40">
        <v>2.2257626493506502</v>
      </c>
      <c r="CE40">
        <v>0.22610338922043199</v>
      </c>
      <c r="CF40">
        <v>0</v>
      </c>
      <c r="CG40">
        <v>0</v>
      </c>
      <c r="CH40">
        <v>2</v>
      </c>
      <c r="CI40" t="s">
        <v>290</v>
      </c>
      <c r="CJ40">
        <v>3.3499099999999999</v>
      </c>
      <c r="CK40">
        <v>2.6924800000000002</v>
      </c>
      <c r="CL40">
        <v>9.7313399999999994E-2</v>
      </c>
      <c r="CM40">
        <v>9.57871E-2</v>
      </c>
      <c r="CN40">
        <v>8.9478199999999994E-2</v>
      </c>
      <c r="CO40">
        <v>9.0131600000000006E-2</v>
      </c>
      <c r="CP40">
        <v>31667.599999999999</v>
      </c>
      <c r="CQ40">
        <v>27820.9</v>
      </c>
      <c r="CR40">
        <v>32466.7</v>
      </c>
      <c r="CS40">
        <v>30692.400000000001</v>
      </c>
      <c r="CT40">
        <v>40015.9</v>
      </c>
      <c r="CU40">
        <v>39249.699999999997</v>
      </c>
      <c r="CV40">
        <v>47406.1</v>
      </c>
      <c r="CW40">
        <v>46795.3</v>
      </c>
      <c r="CX40">
        <v>2.5127600000000001</v>
      </c>
      <c r="CY40">
        <v>2.34104</v>
      </c>
      <c r="CZ40">
        <v>0</v>
      </c>
      <c r="DA40">
        <v>0</v>
      </c>
      <c r="DB40">
        <v>999.9</v>
      </c>
      <c r="DC40">
        <v>999.9</v>
      </c>
      <c r="DD40">
        <v>64.858000000000004</v>
      </c>
      <c r="DE40">
        <v>23.716000000000001</v>
      </c>
      <c r="DF40">
        <v>19.282599999999999</v>
      </c>
      <c r="DG40">
        <v>30.25</v>
      </c>
      <c r="DH40">
        <v>12.9688</v>
      </c>
      <c r="DI40">
        <v>2</v>
      </c>
      <c r="DJ40">
        <v>-0.16791900000000001</v>
      </c>
      <c r="DK40">
        <v>1.3365</v>
      </c>
      <c r="DL40">
        <v>20.2409</v>
      </c>
      <c r="DM40">
        <v>5.25143</v>
      </c>
      <c r="DN40">
        <v>12.033899999999999</v>
      </c>
      <c r="DO40">
        <v>4.9673999999999996</v>
      </c>
      <c r="DP40">
        <v>3.2909999999999999</v>
      </c>
      <c r="DQ40">
        <v>9999</v>
      </c>
      <c r="DR40">
        <v>9999</v>
      </c>
      <c r="DS40">
        <v>522.6</v>
      </c>
      <c r="DT40">
        <v>9999</v>
      </c>
      <c r="DU40">
        <v>1.8708800000000001</v>
      </c>
      <c r="DV40">
        <v>1.8759300000000001</v>
      </c>
      <c r="DW40">
        <v>1.8761399999999999</v>
      </c>
      <c r="DX40">
        <v>1.8826700000000001</v>
      </c>
      <c r="DY40">
        <v>1.8754599999999999</v>
      </c>
      <c r="DZ40">
        <v>1.87452</v>
      </c>
      <c r="EA40">
        <v>1.8706</v>
      </c>
      <c r="EB40">
        <v>1.8745099999999999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-0.99399999999999999</v>
      </c>
      <c r="EQ40">
        <v>0.16889999999999999</v>
      </c>
      <c r="ER40">
        <v>-0.994636363636346</v>
      </c>
      <c r="ES40">
        <v>0</v>
      </c>
      <c r="ET40">
        <v>0</v>
      </c>
      <c r="EU40">
        <v>0</v>
      </c>
      <c r="EV40">
        <v>0.16895000000000199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8.4</v>
      </c>
      <c r="FE40">
        <v>8.5</v>
      </c>
      <c r="FF40">
        <v>0.92040999999999995</v>
      </c>
      <c r="FG40">
        <v>2.5610400000000002</v>
      </c>
      <c r="FH40">
        <v>2.19604</v>
      </c>
      <c r="FI40">
        <v>2.67578</v>
      </c>
      <c r="FJ40">
        <v>2.4462899999999999</v>
      </c>
      <c r="FK40">
        <v>2.2936999999999999</v>
      </c>
      <c r="FL40">
        <v>29.516500000000001</v>
      </c>
      <c r="FM40">
        <v>24.1663</v>
      </c>
      <c r="FN40">
        <v>19</v>
      </c>
      <c r="FO40">
        <v>758.73599999999999</v>
      </c>
      <c r="FP40">
        <v>748</v>
      </c>
      <c r="FQ40">
        <v>18.501200000000001</v>
      </c>
      <c r="FR40">
        <v>24.893699999999999</v>
      </c>
      <c r="FS40">
        <v>30.000299999999999</v>
      </c>
      <c r="FT40">
        <v>24.889700000000001</v>
      </c>
      <c r="FU40">
        <v>24.886399999999998</v>
      </c>
      <c r="FV40">
        <v>18.473199999999999</v>
      </c>
      <c r="FW40">
        <v>44.548299999999998</v>
      </c>
      <c r="FX40">
        <v>100</v>
      </c>
      <c r="FY40">
        <v>18.568000000000001</v>
      </c>
      <c r="FZ40">
        <v>410</v>
      </c>
      <c r="GA40">
        <v>16.106400000000001</v>
      </c>
      <c r="GB40">
        <v>99.899000000000001</v>
      </c>
      <c r="GC40">
        <v>99.626900000000006</v>
      </c>
    </row>
    <row r="41" spans="1:185" x14ac:dyDescent="0.2">
      <c r="A41">
        <v>26</v>
      </c>
      <c r="B41">
        <v>1768578935.0999999</v>
      </c>
      <c r="C41">
        <v>542.09999990463302</v>
      </c>
      <c r="D41" t="s">
        <v>345</v>
      </c>
      <c r="E41" t="s">
        <v>346</v>
      </c>
      <c r="F41">
        <v>15</v>
      </c>
      <c r="G41">
        <v>1768578927.03333</v>
      </c>
      <c r="H41">
        <f t="shared" si="0"/>
        <v>-1.7236368561094335E-4</v>
      </c>
      <c r="I41">
        <v>0</v>
      </c>
      <c r="J41">
        <f t="shared" si="12"/>
        <v>-9.3013089919860119E-3</v>
      </c>
      <c r="K41">
        <f t="shared" si="1"/>
        <v>-0.24359822851596896</v>
      </c>
      <c r="L41">
        <f t="shared" si="2"/>
        <v>72.894322287433539</v>
      </c>
      <c r="M41">
        <f t="shared" si="3"/>
        <v>1.5994268336154303</v>
      </c>
      <c r="N41">
        <f t="shared" si="4"/>
        <v>2.1941720334659864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25975.891499542806</v>
      </c>
      <c r="T41">
        <f t="shared" si="8"/>
        <v>99.999226666666701</v>
      </c>
      <c r="U41">
        <f t="shared" si="9"/>
        <v>84.298939623158745</v>
      </c>
      <c r="V41">
        <f t="shared" si="10"/>
        <v>0.84299591539999963</v>
      </c>
      <c r="W41">
        <f t="shared" si="11"/>
        <v>0.15868974952399995</v>
      </c>
      <c r="X41">
        <v>1</v>
      </c>
      <c r="Y41">
        <v>1768578927.03333</v>
      </c>
      <c r="Z41">
        <v>410.99546666666703</v>
      </c>
      <c r="AA41">
        <v>410.54626666666701</v>
      </c>
      <c r="AB41">
        <v>16.141839999999998</v>
      </c>
      <c r="AC41">
        <v>16.3841</v>
      </c>
      <c r="AD41">
        <v>411.99020000000002</v>
      </c>
      <c r="AE41">
        <v>15.9728866666667</v>
      </c>
      <c r="AF41">
        <v>699.99760000000003</v>
      </c>
      <c r="AG41">
        <v>99.031186666666699</v>
      </c>
      <c r="AH41">
        <v>5.4594980000000001E-2</v>
      </c>
      <c r="AI41">
        <v>18.919826666666701</v>
      </c>
      <c r="AJ41">
        <v>999.9</v>
      </c>
      <c r="AK41">
        <v>999.9</v>
      </c>
      <c r="AL41">
        <v>0</v>
      </c>
      <c r="AM41">
        <v>0</v>
      </c>
      <c r="AN41">
        <v>5000.1000000000004</v>
      </c>
      <c r="AO41">
        <v>0</v>
      </c>
      <c r="AP41">
        <v>2.71007</v>
      </c>
      <c r="AQ41">
        <v>0.44919506666666698</v>
      </c>
      <c r="AR41">
        <v>417.73853333333301</v>
      </c>
      <c r="AS41">
        <v>417.38486666666699</v>
      </c>
      <c r="AT41">
        <v>-0.24226626666666701</v>
      </c>
      <c r="AU41">
        <v>410.54626666666701</v>
      </c>
      <c r="AV41">
        <v>16.3841</v>
      </c>
      <c r="AW41">
        <v>1.5985453333333299</v>
      </c>
      <c r="AX41">
        <v>1.6225373333333299</v>
      </c>
      <c r="AY41">
        <v>13.944713333333301</v>
      </c>
      <c r="AZ41">
        <v>14.17418</v>
      </c>
      <c r="BA41">
        <v>99.999226666666701</v>
      </c>
      <c r="BB41">
        <v>0.90013673333333299</v>
      </c>
      <c r="BC41">
        <v>0</v>
      </c>
      <c r="BD41">
        <v>9.9863286666666606E-2</v>
      </c>
      <c r="BE41">
        <v>0</v>
      </c>
      <c r="BF41">
        <v>25</v>
      </c>
      <c r="BG41">
        <v>1648.93066666667</v>
      </c>
      <c r="BH41">
        <v>1768578418</v>
      </c>
      <c r="BI41" t="s">
        <v>289</v>
      </c>
      <c r="BJ41">
        <v>1768578418</v>
      </c>
      <c r="BK41">
        <v>1768578413</v>
      </c>
      <c r="BL41">
        <v>1</v>
      </c>
      <c r="BM41">
        <v>-0.36099999999999999</v>
      </c>
      <c r="BN41">
        <v>4.9000000000000002E-2</v>
      </c>
      <c r="BO41">
        <v>-0.995</v>
      </c>
      <c r="BP41">
        <v>0.16900000000000001</v>
      </c>
      <c r="BQ41">
        <v>412</v>
      </c>
      <c r="BR41">
        <v>17</v>
      </c>
      <c r="BS41">
        <v>0.52</v>
      </c>
      <c r="BT41">
        <v>0.02</v>
      </c>
      <c r="BU41">
        <v>-6.6976250000000098E-2</v>
      </c>
      <c r="BV41">
        <v>9.7359490375939899</v>
      </c>
      <c r="BW41">
        <v>1.2411868715510901</v>
      </c>
      <c r="BX41">
        <v>0</v>
      </c>
      <c r="BY41">
        <v>0</v>
      </c>
      <c r="BZ41">
        <v>0</v>
      </c>
      <c r="CA41">
        <v>0</v>
      </c>
      <c r="CB41">
        <v>-1</v>
      </c>
      <c r="CC41">
        <v>-0.28890494999999999</v>
      </c>
      <c r="CD41">
        <v>1.0433007969924799</v>
      </c>
      <c r="CE41">
        <v>0.10166912219030701</v>
      </c>
      <c r="CF41">
        <v>0</v>
      </c>
      <c r="CG41">
        <v>0</v>
      </c>
      <c r="CH41">
        <v>2</v>
      </c>
      <c r="CI41" t="s">
        <v>290</v>
      </c>
      <c r="CJ41">
        <v>3.3499599999999998</v>
      </c>
      <c r="CK41">
        <v>2.6924199999999998</v>
      </c>
      <c r="CL41">
        <v>9.7254599999999997E-2</v>
      </c>
      <c r="CM41">
        <v>9.5810199999999998E-2</v>
      </c>
      <c r="CN41">
        <v>8.8743100000000005E-2</v>
      </c>
      <c r="CO41">
        <v>8.8606799999999999E-2</v>
      </c>
      <c r="CP41">
        <v>31669.8</v>
      </c>
      <c r="CQ41">
        <v>27819.9</v>
      </c>
      <c r="CR41">
        <v>32466.9</v>
      </c>
      <c r="CS41">
        <v>30692.2</v>
      </c>
      <c r="CT41">
        <v>40049.800000000003</v>
      </c>
      <c r="CU41">
        <v>39317.699999999997</v>
      </c>
      <c r="CV41">
        <v>47406.6</v>
      </c>
      <c r="CW41">
        <v>46795.1</v>
      </c>
      <c r="CX41">
        <v>2.5129600000000001</v>
      </c>
      <c r="CY41">
        <v>2.3403</v>
      </c>
      <c r="CZ41">
        <v>0</v>
      </c>
      <c r="DA41">
        <v>0</v>
      </c>
      <c r="DB41">
        <v>999.9</v>
      </c>
      <c r="DC41">
        <v>999.9</v>
      </c>
      <c r="DD41">
        <v>64.808999999999997</v>
      </c>
      <c r="DE41">
        <v>23.736000000000001</v>
      </c>
      <c r="DF41">
        <v>19.290600000000001</v>
      </c>
      <c r="DG41">
        <v>30.16</v>
      </c>
      <c r="DH41">
        <v>12.9567</v>
      </c>
      <c r="DI41">
        <v>2</v>
      </c>
      <c r="DJ41">
        <v>-0.16747999999999999</v>
      </c>
      <c r="DK41">
        <v>1.2587200000000001</v>
      </c>
      <c r="DL41">
        <v>20.241800000000001</v>
      </c>
      <c r="DM41">
        <v>5.2515499999999999</v>
      </c>
      <c r="DN41">
        <v>12.033899999999999</v>
      </c>
      <c r="DO41">
        <v>4.9675200000000004</v>
      </c>
      <c r="DP41">
        <v>3.2909999999999999</v>
      </c>
      <c r="DQ41">
        <v>9999</v>
      </c>
      <c r="DR41">
        <v>9999</v>
      </c>
      <c r="DS41">
        <v>522.6</v>
      </c>
      <c r="DT41">
        <v>9999</v>
      </c>
      <c r="DU41">
        <v>1.8708800000000001</v>
      </c>
      <c r="DV41">
        <v>1.8759399999999999</v>
      </c>
      <c r="DW41">
        <v>1.87619</v>
      </c>
      <c r="DX41">
        <v>1.88269</v>
      </c>
      <c r="DY41">
        <v>1.8754599999999999</v>
      </c>
      <c r="DZ41">
        <v>1.87452</v>
      </c>
      <c r="EA41">
        <v>1.87063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-0.995</v>
      </c>
      <c r="EQ41">
        <v>0.16889999999999999</v>
      </c>
      <c r="ER41">
        <v>-0.994636363636346</v>
      </c>
      <c r="ES41">
        <v>0</v>
      </c>
      <c r="ET41">
        <v>0</v>
      </c>
      <c r="EU41">
        <v>0</v>
      </c>
      <c r="EV41">
        <v>0.16895000000000199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8.6</v>
      </c>
      <c r="FE41">
        <v>8.6999999999999993</v>
      </c>
      <c r="FF41">
        <v>0.91674800000000001</v>
      </c>
      <c r="FG41">
        <v>2.5561500000000001</v>
      </c>
      <c r="FH41">
        <v>2.19604</v>
      </c>
      <c r="FI41">
        <v>2.677</v>
      </c>
      <c r="FJ41">
        <v>2.4462899999999999</v>
      </c>
      <c r="FK41">
        <v>2.2607400000000002</v>
      </c>
      <c r="FL41">
        <v>29.537800000000001</v>
      </c>
      <c r="FM41">
        <v>24.1663</v>
      </c>
      <c r="FN41">
        <v>19</v>
      </c>
      <c r="FO41">
        <v>759.00400000000002</v>
      </c>
      <c r="FP41">
        <v>747.423</v>
      </c>
      <c r="FQ41">
        <v>18.692900000000002</v>
      </c>
      <c r="FR41">
        <v>24.901599999999998</v>
      </c>
      <c r="FS41">
        <v>30.0002</v>
      </c>
      <c r="FT41">
        <v>24.896799999999999</v>
      </c>
      <c r="FU41">
        <v>24.894600000000001</v>
      </c>
      <c r="FV41">
        <v>18.395900000000001</v>
      </c>
      <c r="FW41">
        <v>48.864899999999999</v>
      </c>
      <c r="FX41">
        <v>100</v>
      </c>
      <c r="FY41">
        <v>18.7362</v>
      </c>
      <c r="FZ41">
        <v>410</v>
      </c>
      <c r="GA41">
        <v>15.859</v>
      </c>
      <c r="GB41">
        <v>99.899799999999999</v>
      </c>
      <c r="GC41">
        <v>99.626499999999993</v>
      </c>
    </row>
    <row r="42" spans="1:185" x14ac:dyDescent="0.2">
      <c r="A42">
        <v>27</v>
      </c>
      <c r="B42">
        <v>1768578950.0999999</v>
      </c>
      <c r="C42">
        <v>557.09999990463302</v>
      </c>
      <c r="D42" t="s">
        <v>347</v>
      </c>
      <c r="E42" t="s">
        <v>348</v>
      </c>
      <c r="F42">
        <v>15</v>
      </c>
      <c r="G42">
        <v>1768578942.03333</v>
      </c>
      <c r="H42">
        <f t="shared" si="0"/>
        <v>-7.2444026660815224E-5</v>
      </c>
      <c r="I42">
        <v>0</v>
      </c>
      <c r="J42">
        <f t="shared" si="12"/>
        <v>-2.0895492749469766E-2</v>
      </c>
      <c r="K42">
        <f t="shared" si="1"/>
        <v>-0.54724609429970905</v>
      </c>
      <c r="L42">
        <f t="shared" si="2"/>
        <v>71.900089093126482</v>
      </c>
      <c r="M42">
        <f t="shared" si="3"/>
        <v>1.5811140606285043</v>
      </c>
      <c r="N42">
        <f t="shared" si="4"/>
        <v>2.1990432565119811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26035.68955002923</v>
      </c>
      <c r="T42">
        <f t="shared" si="8"/>
        <v>100.000926666667</v>
      </c>
      <c r="U42">
        <f t="shared" si="9"/>
        <v>84.300347035977225</v>
      </c>
      <c r="V42">
        <f t="shared" si="10"/>
        <v>0.84299565859999981</v>
      </c>
      <c r="W42">
        <f t="shared" si="11"/>
        <v>0.15868879571599995</v>
      </c>
      <c r="X42">
        <v>1</v>
      </c>
      <c r="Y42">
        <v>1768578942.03333</v>
      </c>
      <c r="Z42">
        <v>410.53553333333298</v>
      </c>
      <c r="AA42">
        <v>409.71126666666697</v>
      </c>
      <c r="AB42">
        <v>15.957046666666701</v>
      </c>
      <c r="AC42">
        <v>16.058886666666702</v>
      </c>
      <c r="AD42">
        <v>411.53033333333298</v>
      </c>
      <c r="AE42">
        <v>15.7880933333333</v>
      </c>
      <c r="AF42">
        <v>700.00033333333295</v>
      </c>
      <c r="AG42">
        <v>99.030853333333397</v>
      </c>
      <c r="AH42">
        <v>5.4779093333333299E-2</v>
      </c>
      <c r="AI42">
        <v>18.955346666666699</v>
      </c>
      <c r="AJ42">
        <v>999.9</v>
      </c>
      <c r="AK42">
        <v>999.9</v>
      </c>
      <c r="AL42">
        <v>0</v>
      </c>
      <c r="AM42">
        <v>0</v>
      </c>
      <c r="AN42">
        <v>5010.6000000000004</v>
      </c>
      <c r="AO42">
        <v>0</v>
      </c>
      <c r="AP42">
        <v>2.71007</v>
      </c>
      <c r="AQ42">
        <v>0.82430986666666695</v>
      </c>
      <c r="AR42">
        <v>417.19299999999998</v>
      </c>
      <c r="AS42">
        <v>416.39839999999998</v>
      </c>
      <c r="AT42">
        <v>-0.10185551333333299</v>
      </c>
      <c r="AU42">
        <v>409.71126666666697</v>
      </c>
      <c r="AV42">
        <v>16.058886666666702</v>
      </c>
      <c r="AW42">
        <v>1.5802386666666699</v>
      </c>
      <c r="AX42">
        <v>1.5903259999999999</v>
      </c>
      <c r="AY42">
        <v>13.7673666666667</v>
      </c>
      <c r="AZ42">
        <v>13.8651933333333</v>
      </c>
      <c r="BA42">
        <v>100.000926666667</v>
      </c>
      <c r="BB42">
        <v>0.90014993333333304</v>
      </c>
      <c r="BC42">
        <v>0</v>
      </c>
      <c r="BD42">
        <v>9.9850246666666698E-2</v>
      </c>
      <c r="BE42">
        <v>0</v>
      </c>
      <c r="BF42">
        <v>25</v>
      </c>
      <c r="BG42">
        <v>1648.9639999999999</v>
      </c>
      <c r="BH42">
        <v>1768578418</v>
      </c>
      <c r="BI42" t="s">
        <v>289</v>
      </c>
      <c r="BJ42">
        <v>1768578418</v>
      </c>
      <c r="BK42">
        <v>1768578413</v>
      </c>
      <c r="BL42">
        <v>1</v>
      </c>
      <c r="BM42">
        <v>-0.36099999999999999</v>
      </c>
      <c r="BN42">
        <v>4.9000000000000002E-2</v>
      </c>
      <c r="BO42">
        <v>-0.995</v>
      </c>
      <c r="BP42">
        <v>0.16900000000000001</v>
      </c>
      <c r="BQ42">
        <v>412</v>
      </c>
      <c r="BR42">
        <v>17</v>
      </c>
      <c r="BS42">
        <v>0.52</v>
      </c>
      <c r="BT42">
        <v>0.02</v>
      </c>
      <c r="BU42">
        <v>0.83505419999999997</v>
      </c>
      <c r="BV42">
        <v>0.90886818045112705</v>
      </c>
      <c r="BW42">
        <v>0.34600986704783399</v>
      </c>
      <c r="BX42">
        <v>0</v>
      </c>
      <c r="BY42">
        <v>0</v>
      </c>
      <c r="BZ42">
        <v>0</v>
      </c>
      <c r="CA42">
        <v>0</v>
      </c>
      <c r="CB42">
        <v>-1</v>
      </c>
      <c r="CC42">
        <v>-0.125768355</v>
      </c>
      <c r="CD42">
        <v>0.43165016390977501</v>
      </c>
      <c r="CE42">
        <v>4.1772325727549298E-2</v>
      </c>
      <c r="CF42">
        <v>0</v>
      </c>
      <c r="CG42">
        <v>0</v>
      </c>
      <c r="CH42">
        <v>2</v>
      </c>
      <c r="CI42" t="s">
        <v>290</v>
      </c>
      <c r="CJ42">
        <v>3.3499699999999999</v>
      </c>
      <c r="CK42">
        <v>2.69251</v>
      </c>
      <c r="CL42">
        <v>9.7134100000000001E-2</v>
      </c>
      <c r="CM42">
        <v>9.5638600000000004E-2</v>
      </c>
      <c r="CN42">
        <v>8.7950200000000006E-2</v>
      </c>
      <c r="CO42">
        <v>8.7524000000000005E-2</v>
      </c>
      <c r="CP42">
        <v>31674.1</v>
      </c>
      <c r="CQ42">
        <v>27825.3</v>
      </c>
      <c r="CR42">
        <v>32467.1</v>
      </c>
      <c r="CS42">
        <v>30692.3</v>
      </c>
      <c r="CT42">
        <v>40086.199999999997</v>
      </c>
      <c r="CU42">
        <v>39366.400000000001</v>
      </c>
      <c r="CV42">
        <v>47407</v>
      </c>
      <c r="CW42">
        <v>46795.6</v>
      </c>
      <c r="CX42">
        <v>2.5129999999999999</v>
      </c>
      <c r="CY42">
        <v>2.3395600000000001</v>
      </c>
      <c r="CZ42">
        <v>0</v>
      </c>
      <c r="DA42">
        <v>0</v>
      </c>
      <c r="DB42">
        <v>999.9</v>
      </c>
      <c r="DC42">
        <v>999.9</v>
      </c>
      <c r="DD42">
        <v>64.736000000000004</v>
      </c>
      <c r="DE42">
        <v>23.756</v>
      </c>
      <c r="DF42">
        <v>19.293600000000001</v>
      </c>
      <c r="DG42">
        <v>30.28</v>
      </c>
      <c r="DH42">
        <v>12.9567</v>
      </c>
      <c r="DI42">
        <v>2</v>
      </c>
      <c r="DJ42">
        <v>-0.166797</v>
      </c>
      <c r="DK42">
        <v>1.27773</v>
      </c>
      <c r="DL42">
        <v>20.241399999999999</v>
      </c>
      <c r="DM42">
        <v>5.2513100000000001</v>
      </c>
      <c r="DN42">
        <v>12.033899999999999</v>
      </c>
      <c r="DO42">
        <v>4.9675599999999998</v>
      </c>
      <c r="DP42">
        <v>3.2909999999999999</v>
      </c>
      <c r="DQ42">
        <v>9999</v>
      </c>
      <c r="DR42">
        <v>9999</v>
      </c>
      <c r="DS42">
        <v>522.6</v>
      </c>
      <c r="DT42">
        <v>9999</v>
      </c>
      <c r="DU42">
        <v>1.8708800000000001</v>
      </c>
      <c r="DV42">
        <v>1.8759399999999999</v>
      </c>
      <c r="DW42">
        <v>1.87618</v>
      </c>
      <c r="DX42">
        <v>1.8827</v>
      </c>
      <c r="DY42">
        <v>1.8754599999999999</v>
      </c>
      <c r="DZ42">
        <v>1.87453</v>
      </c>
      <c r="EA42">
        <v>1.8706199999999999</v>
      </c>
      <c r="EB42">
        <v>1.87453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-0.995</v>
      </c>
      <c r="EQ42">
        <v>0.16889999999999999</v>
      </c>
      <c r="ER42">
        <v>-0.994636363636346</v>
      </c>
      <c r="ES42">
        <v>0</v>
      </c>
      <c r="ET42">
        <v>0</v>
      </c>
      <c r="EU42">
        <v>0</v>
      </c>
      <c r="EV42">
        <v>0.16895000000000199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8.9</v>
      </c>
      <c r="FE42">
        <v>9</v>
      </c>
      <c r="FF42">
        <v>0.92040999999999995</v>
      </c>
      <c r="FG42">
        <v>2.5598100000000001</v>
      </c>
      <c r="FH42">
        <v>2.19604</v>
      </c>
      <c r="FI42">
        <v>2.677</v>
      </c>
      <c r="FJ42">
        <v>2.4462899999999999</v>
      </c>
      <c r="FK42">
        <v>2.2668499999999998</v>
      </c>
      <c r="FL42">
        <v>29.559100000000001</v>
      </c>
      <c r="FM42">
        <v>24.1663</v>
      </c>
      <c r="FN42">
        <v>19</v>
      </c>
      <c r="FO42">
        <v>759.15</v>
      </c>
      <c r="FP42">
        <v>746.84699999999998</v>
      </c>
      <c r="FQ42">
        <v>18.814499999999999</v>
      </c>
      <c r="FR42">
        <v>24.9087</v>
      </c>
      <c r="FS42">
        <v>30.000299999999999</v>
      </c>
      <c r="FT42">
        <v>24.904800000000002</v>
      </c>
      <c r="FU42">
        <v>24.902999999999999</v>
      </c>
      <c r="FV42">
        <v>18.4694</v>
      </c>
      <c r="FW42">
        <v>51.288600000000002</v>
      </c>
      <c r="FX42">
        <v>100</v>
      </c>
      <c r="FY42">
        <v>18.829499999999999</v>
      </c>
      <c r="FZ42">
        <v>410</v>
      </c>
      <c r="GA42">
        <v>15.7354</v>
      </c>
      <c r="GB42">
        <v>99.900599999999997</v>
      </c>
      <c r="GC42">
        <v>99.627300000000005</v>
      </c>
    </row>
    <row r="43" spans="1:185" x14ac:dyDescent="0.2">
      <c r="A43">
        <v>28</v>
      </c>
      <c r="B43">
        <v>1768578965.0999999</v>
      </c>
      <c r="C43">
        <v>572.09999990463302</v>
      </c>
      <c r="D43" t="s">
        <v>349</v>
      </c>
      <c r="E43" t="s">
        <v>350</v>
      </c>
      <c r="F43">
        <v>15</v>
      </c>
      <c r="G43">
        <v>1768578957.03333</v>
      </c>
      <c r="H43">
        <f t="shared" si="0"/>
        <v>-6.137896896739648E-5</v>
      </c>
      <c r="I43">
        <v>0</v>
      </c>
      <c r="J43">
        <f t="shared" si="12"/>
        <v>-5.5837760233558558E-3</v>
      </c>
      <c r="K43">
        <f t="shared" si="1"/>
        <v>-0.14623726067926268</v>
      </c>
      <c r="L43">
        <f t="shared" si="2"/>
        <v>70.940607136220777</v>
      </c>
      <c r="M43">
        <f t="shared" si="3"/>
        <v>1.5637287910401474</v>
      </c>
      <c r="N43">
        <f t="shared" si="4"/>
        <v>2.2042788385465344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25953.947524994088</v>
      </c>
      <c r="T43">
        <f t="shared" si="8"/>
        <v>99.999539999999996</v>
      </c>
      <c r="U43">
        <f t="shared" si="9"/>
        <v>84.299218721810121</v>
      </c>
      <c r="V43">
        <f t="shared" si="10"/>
        <v>0.84299606500000024</v>
      </c>
      <c r="W43">
        <f t="shared" si="11"/>
        <v>0.15868996762000004</v>
      </c>
      <c r="X43">
        <v>1</v>
      </c>
      <c r="Y43">
        <v>1768578957.03333</v>
      </c>
      <c r="Z43">
        <v>410.07946666666697</v>
      </c>
      <c r="AA43">
        <v>409.83460000000002</v>
      </c>
      <c r="AB43">
        <v>15.781786666666701</v>
      </c>
      <c r="AC43">
        <v>15.8680866666667</v>
      </c>
      <c r="AD43">
        <v>411.073933333333</v>
      </c>
      <c r="AE43">
        <v>15.612833333333301</v>
      </c>
      <c r="AF43">
        <v>700.00346666666701</v>
      </c>
      <c r="AG43">
        <v>99.029726666666704</v>
      </c>
      <c r="AH43">
        <v>5.4668786666666698E-2</v>
      </c>
      <c r="AI43">
        <v>18.993446666666699</v>
      </c>
      <c r="AJ43">
        <v>999.9</v>
      </c>
      <c r="AK43">
        <v>999.9</v>
      </c>
      <c r="AL43">
        <v>0</v>
      </c>
      <c r="AM43">
        <v>0</v>
      </c>
      <c r="AN43">
        <v>4997.6000000000004</v>
      </c>
      <c r="AO43">
        <v>0</v>
      </c>
      <c r="AP43">
        <v>2.71383333333333</v>
      </c>
      <c r="AQ43">
        <v>0.24476726666666701</v>
      </c>
      <c r="AR43">
        <v>416.65506666666698</v>
      </c>
      <c r="AS43">
        <v>416.44279999999998</v>
      </c>
      <c r="AT43">
        <v>-8.6289353333333305E-2</v>
      </c>
      <c r="AU43">
        <v>409.83460000000002</v>
      </c>
      <c r="AV43">
        <v>15.8680866666667</v>
      </c>
      <c r="AW43">
        <v>1.56286666666667</v>
      </c>
      <c r="AX43">
        <v>1.5714113333333299</v>
      </c>
      <c r="AY43">
        <v>13.59742</v>
      </c>
      <c r="AZ43">
        <v>13.68126</v>
      </c>
      <c r="BA43">
        <v>99.999539999999996</v>
      </c>
      <c r="BB43">
        <v>0.90013406666666695</v>
      </c>
      <c r="BC43">
        <v>0</v>
      </c>
      <c r="BD43">
        <v>9.9866033333333298E-2</v>
      </c>
      <c r="BE43">
        <v>0</v>
      </c>
      <c r="BF43">
        <v>25</v>
      </c>
      <c r="BG43">
        <v>1648.934</v>
      </c>
      <c r="BH43">
        <v>1768578418</v>
      </c>
      <c r="BI43" t="s">
        <v>289</v>
      </c>
      <c r="BJ43">
        <v>1768578418</v>
      </c>
      <c r="BK43">
        <v>1768578413</v>
      </c>
      <c r="BL43">
        <v>1</v>
      </c>
      <c r="BM43">
        <v>-0.36099999999999999</v>
      </c>
      <c r="BN43">
        <v>4.9000000000000002E-2</v>
      </c>
      <c r="BO43">
        <v>-0.995</v>
      </c>
      <c r="BP43">
        <v>0.16900000000000001</v>
      </c>
      <c r="BQ43">
        <v>412</v>
      </c>
      <c r="BR43">
        <v>17</v>
      </c>
      <c r="BS43">
        <v>0.52</v>
      </c>
      <c r="BT43">
        <v>0.02</v>
      </c>
      <c r="BU43">
        <v>0.46819328571428598</v>
      </c>
      <c r="BV43">
        <v>-3.0396169870129901</v>
      </c>
      <c r="BW43">
        <v>0.44687400447224601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-8.07645857142857E-2</v>
      </c>
      <c r="CD43">
        <v>-9.77609454545455E-2</v>
      </c>
      <c r="CE43">
        <v>1.5906422615357799E-2</v>
      </c>
      <c r="CF43">
        <v>1</v>
      </c>
      <c r="CG43">
        <v>1</v>
      </c>
      <c r="CH43">
        <v>2</v>
      </c>
      <c r="CI43" t="s">
        <v>303</v>
      </c>
      <c r="CJ43">
        <v>3.3499500000000002</v>
      </c>
      <c r="CK43">
        <v>2.69279</v>
      </c>
      <c r="CL43">
        <v>9.7112400000000001E-2</v>
      </c>
      <c r="CM43">
        <v>9.5580200000000004E-2</v>
      </c>
      <c r="CN43">
        <v>8.7321599999999999E-2</v>
      </c>
      <c r="CO43">
        <v>8.7184700000000004E-2</v>
      </c>
      <c r="CP43">
        <v>31674.2</v>
      </c>
      <c r="CQ43">
        <v>27827</v>
      </c>
      <c r="CR43">
        <v>32466.400000000001</v>
      </c>
      <c r="CS43">
        <v>30692.2</v>
      </c>
      <c r="CT43">
        <v>40114.199999999997</v>
      </c>
      <c r="CU43">
        <v>39381.4</v>
      </c>
      <c r="CV43">
        <v>47406.3</v>
      </c>
      <c r="CW43">
        <v>46795.5</v>
      </c>
      <c r="CX43">
        <v>2.5129199999999998</v>
      </c>
      <c r="CY43">
        <v>2.3392599999999999</v>
      </c>
      <c r="CZ43">
        <v>0</v>
      </c>
      <c r="DA43">
        <v>0</v>
      </c>
      <c r="DB43">
        <v>999.9</v>
      </c>
      <c r="DC43">
        <v>999.9</v>
      </c>
      <c r="DD43">
        <v>64.698999999999998</v>
      </c>
      <c r="DE43">
        <v>23.765999999999998</v>
      </c>
      <c r="DF43">
        <v>19.295000000000002</v>
      </c>
      <c r="DG43">
        <v>30.16</v>
      </c>
      <c r="DH43">
        <v>12.960699999999999</v>
      </c>
      <c r="DI43">
        <v>2</v>
      </c>
      <c r="DJ43">
        <v>-0.165931</v>
      </c>
      <c r="DK43">
        <v>1.8499699999999999</v>
      </c>
      <c r="DL43">
        <v>20.231100000000001</v>
      </c>
      <c r="DM43">
        <v>5.2509499999999996</v>
      </c>
      <c r="DN43">
        <v>12.033899999999999</v>
      </c>
      <c r="DO43">
        <v>4.9674399999999999</v>
      </c>
      <c r="DP43">
        <v>3.2909999999999999</v>
      </c>
      <c r="DQ43">
        <v>9999</v>
      </c>
      <c r="DR43">
        <v>9999</v>
      </c>
      <c r="DS43">
        <v>522.6</v>
      </c>
      <c r="DT43">
        <v>9999</v>
      </c>
      <c r="DU43">
        <v>1.8708800000000001</v>
      </c>
      <c r="DV43">
        <v>1.87595</v>
      </c>
      <c r="DW43">
        <v>1.8762099999999999</v>
      </c>
      <c r="DX43">
        <v>1.8826799999999999</v>
      </c>
      <c r="DY43">
        <v>1.8754599999999999</v>
      </c>
      <c r="DZ43">
        <v>1.8745400000000001</v>
      </c>
      <c r="EA43">
        <v>1.87063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-0.995</v>
      </c>
      <c r="EQ43">
        <v>0.16900000000000001</v>
      </c>
      <c r="ER43">
        <v>-0.994636363636346</v>
      </c>
      <c r="ES43">
        <v>0</v>
      </c>
      <c r="ET43">
        <v>0</v>
      </c>
      <c r="EU43">
        <v>0</v>
      </c>
      <c r="EV43">
        <v>0.16895000000000199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9.1</v>
      </c>
      <c r="FE43">
        <v>9.1999999999999993</v>
      </c>
      <c r="FF43">
        <v>0.92163099999999998</v>
      </c>
      <c r="FG43">
        <v>2.5610400000000002</v>
      </c>
      <c r="FH43">
        <v>2.19604</v>
      </c>
      <c r="FI43">
        <v>2.677</v>
      </c>
      <c r="FJ43">
        <v>2.4462899999999999</v>
      </c>
      <c r="FK43">
        <v>2.2827099999999998</v>
      </c>
      <c r="FL43">
        <v>29.580400000000001</v>
      </c>
      <c r="FM43">
        <v>24.148800000000001</v>
      </c>
      <c r="FN43">
        <v>19</v>
      </c>
      <c r="FO43">
        <v>759.19</v>
      </c>
      <c r="FP43">
        <v>746.68700000000001</v>
      </c>
      <c r="FQ43">
        <v>18.851900000000001</v>
      </c>
      <c r="FR43">
        <v>24.915800000000001</v>
      </c>
      <c r="FS43">
        <v>30.000399999999999</v>
      </c>
      <c r="FT43">
        <v>24.912299999999998</v>
      </c>
      <c r="FU43">
        <v>24.911300000000001</v>
      </c>
      <c r="FV43">
        <v>18.511700000000001</v>
      </c>
      <c r="FW43">
        <v>51.563499999999998</v>
      </c>
      <c r="FX43">
        <v>100</v>
      </c>
      <c r="FY43">
        <v>18.3736</v>
      </c>
      <c r="FZ43">
        <v>410</v>
      </c>
      <c r="GA43">
        <v>15.7796</v>
      </c>
      <c r="GB43">
        <v>99.898899999999998</v>
      </c>
      <c r="GC43">
        <v>99.626999999999995</v>
      </c>
    </row>
    <row r="44" spans="1:185" x14ac:dyDescent="0.2">
      <c r="A44">
        <v>29</v>
      </c>
      <c r="B44">
        <v>1768578980.0999999</v>
      </c>
      <c r="C44">
        <v>587.09999990463302</v>
      </c>
      <c r="D44" t="s">
        <v>351</v>
      </c>
      <c r="E44" t="s">
        <v>352</v>
      </c>
      <c r="F44">
        <v>15</v>
      </c>
      <c r="G44">
        <v>1768578972.03333</v>
      </c>
      <c r="H44">
        <f t="shared" si="0"/>
        <v>-1.255877229101412E-4</v>
      </c>
      <c r="I44">
        <v>0</v>
      </c>
      <c r="J44">
        <f t="shared" si="12"/>
        <v>-3.4349862278048975E-2</v>
      </c>
      <c r="K44">
        <f t="shared" si="1"/>
        <v>-0.89961161465657291</v>
      </c>
      <c r="L44">
        <f t="shared" si="2"/>
        <v>70.319461504291098</v>
      </c>
      <c r="M44">
        <f t="shared" si="3"/>
        <v>1.5519668889198224</v>
      </c>
      <c r="N44">
        <f t="shared" si="4"/>
        <v>2.2070232844788165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25925.798214257324</v>
      </c>
      <c r="T44">
        <f t="shared" si="8"/>
        <v>99.999546666666703</v>
      </c>
      <c r="U44">
        <f t="shared" si="9"/>
        <v>84.299248661673673</v>
      </c>
      <c r="V44">
        <f t="shared" si="10"/>
        <v>0.84299630820000027</v>
      </c>
      <c r="W44">
        <f t="shared" si="11"/>
        <v>0.15869078349200005</v>
      </c>
      <c r="X44">
        <v>1</v>
      </c>
      <c r="Y44">
        <v>1768578972.03333</v>
      </c>
      <c r="Z44">
        <v>409.38066666666703</v>
      </c>
      <c r="AA44">
        <v>408.022066666667</v>
      </c>
      <c r="AB44">
        <v>15.6631466666667</v>
      </c>
      <c r="AC44">
        <v>15.8397466666667</v>
      </c>
      <c r="AD44">
        <v>410.375333333333</v>
      </c>
      <c r="AE44">
        <v>15.4941933333333</v>
      </c>
      <c r="AF44">
        <v>700.00353333333305</v>
      </c>
      <c r="AG44">
        <v>99.029133333333306</v>
      </c>
      <c r="AH44">
        <v>5.4845253333333302E-2</v>
      </c>
      <c r="AI44">
        <v>19.013386666666701</v>
      </c>
      <c r="AJ44">
        <v>999.9</v>
      </c>
      <c r="AK44">
        <v>999.9</v>
      </c>
      <c r="AL44">
        <v>0</v>
      </c>
      <c r="AM44">
        <v>0</v>
      </c>
      <c r="AN44">
        <v>4993.2333333333299</v>
      </c>
      <c r="AO44">
        <v>0</v>
      </c>
      <c r="AP44">
        <v>2.7249773333333298</v>
      </c>
      <c r="AQ44">
        <v>1.3586491333333299</v>
      </c>
      <c r="AR44">
        <v>415.89479999999998</v>
      </c>
      <c r="AS44">
        <v>414.58893333333299</v>
      </c>
      <c r="AT44">
        <v>-0.17660126666666701</v>
      </c>
      <c r="AU44">
        <v>408.022066666667</v>
      </c>
      <c r="AV44">
        <v>15.8397466666667</v>
      </c>
      <c r="AW44">
        <v>1.5511079999999999</v>
      </c>
      <c r="AX44">
        <v>1.5685960000000001</v>
      </c>
      <c r="AY44">
        <v>13.481453333333301</v>
      </c>
      <c r="AZ44">
        <v>13.65372</v>
      </c>
      <c r="BA44">
        <v>99.999546666666703</v>
      </c>
      <c r="BB44">
        <v>0.90012286666666697</v>
      </c>
      <c r="BC44">
        <v>0</v>
      </c>
      <c r="BD44">
        <v>9.9877126666666705E-2</v>
      </c>
      <c r="BE44">
        <v>0</v>
      </c>
      <c r="BF44">
        <v>25</v>
      </c>
      <c r="BG44">
        <v>1648.93066666667</v>
      </c>
      <c r="BH44">
        <v>1768578418</v>
      </c>
      <c r="BI44" t="s">
        <v>289</v>
      </c>
      <c r="BJ44">
        <v>1768578418</v>
      </c>
      <c r="BK44">
        <v>1768578413</v>
      </c>
      <c r="BL44">
        <v>1</v>
      </c>
      <c r="BM44">
        <v>-0.36099999999999999</v>
      </c>
      <c r="BN44">
        <v>4.9000000000000002E-2</v>
      </c>
      <c r="BO44">
        <v>-0.995</v>
      </c>
      <c r="BP44">
        <v>0.16900000000000001</v>
      </c>
      <c r="BQ44">
        <v>412</v>
      </c>
      <c r="BR44">
        <v>17</v>
      </c>
      <c r="BS44">
        <v>0.52</v>
      </c>
      <c r="BT44">
        <v>0.02</v>
      </c>
      <c r="BU44">
        <v>1.1084205238095199</v>
      </c>
      <c r="BV44">
        <v>2.4636674805194798</v>
      </c>
      <c r="BW44">
        <v>0.53783160973386102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-0.15775288095238099</v>
      </c>
      <c r="CD44">
        <v>-0.38199136363636399</v>
      </c>
      <c r="CE44">
        <v>3.8586720815371803E-2</v>
      </c>
      <c r="CF44">
        <v>0</v>
      </c>
      <c r="CG44">
        <v>0</v>
      </c>
      <c r="CH44">
        <v>2</v>
      </c>
      <c r="CI44" t="s">
        <v>290</v>
      </c>
      <c r="CJ44">
        <v>3.3499699999999999</v>
      </c>
      <c r="CK44">
        <v>2.6926999999999999</v>
      </c>
      <c r="CL44">
        <v>9.6874600000000005E-2</v>
      </c>
      <c r="CM44">
        <v>9.5471700000000007E-2</v>
      </c>
      <c r="CN44">
        <v>8.6928199999999997E-2</v>
      </c>
      <c r="CO44">
        <v>8.7164000000000005E-2</v>
      </c>
      <c r="CP44">
        <v>31681</v>
      </c>
      <c r="CQ44">
        <v>27829.4</v>
      </c>
      <c r="CR44">
        <v>32464.9</v>
      </c>
      <c r="CS44">
        <v>30691.200000000001</v>
      </c>
      <c r="CT44">
        <v>40130</v>
      </c>
      <c r="CU44">
        <v>39381.1</v>
      </c>
      <c r="CV44">
        <v>47403.9</v>
      </c>
      <c r="CW44">
        <v>46794</v>
      </c>
      <c r="CX44">
        <v>2.51248</v>
      </c>
      <c r="CY44">
        <v>2.3386399999999998</v>
      </c>
      <c r="CZ44">
        <v>0</v>
      </c>
      <c r="DA44">
        <v>0</v>
      </c>
      <c r="DB44">
        <v>999.9</v>
      </c>
      <c r="DC44">
        <v>999.9</v>
      </c>
      <c r="DD44">
        <v>64.626000000000005</v>
      </c>
      <c r="DE44">
        <v>23.786000000000001</v>
      </c>
      <c r="DF44">
        <v>19.293800000000001</v>
      </c>
      <c r="DG44">
        <v>30.34</v>
      </c>
      <c r="DH44">
        <v>12.9046</v>
      </c>
      <c r="DI44">
        <v>2</v>
      </c>
      <c r="DJ44">
        <v>-0.16298399999999999</v>
      </c>
      <c r="DK44">
        <v>2.1177100000000002</v>
      </c>
      <c r="DL44">
        <v>20.230799999999999</v>
      </c>
      <c r="DM44">
        <v>5.2509499999999996</v>
      </c>
      <c r="DN44">
        <v>12.033899999999999</v>
      </c>
      <c r="DO44">
        <v>4.9674399999999999</v>
      </c>
      <c r="DP44">
        <v>3.2909999999999999</v>
      </c>
      <c r="DQ44">
        <v>9999</v>
      </c>
      <c r="DR44">
        <v>9999</v>
      </c>
      <c r="DS44">
        <v>522.6</v>
      </c>
      <c r="DT44">
        <v>9999</v>
      </c>
      <c r="DU44">
        <v>1.8708800000000001</v>
      </c>
      <c r="DV44">
        <v>1.8759600000000001</v>
      </c>
      <c r="DW44">
        <v>1.8762099999999999</v>
      </c>
      <c r="DX44">
        <v>1.88266</v>
      </c>
      <c r="DY44">
        <v>1.8754599999999999</v>
      </c>
      <c r="DZ44">
        <v>1.87452</v>
      </c>
      <c r="EA44">
        <v>1.87063</v>
      </c>
      <c r="EB44">
        <v>1.87453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-0.995</v>
      </c>
      <c r="EQ44">
        <v>0.16900000000000001</v>
      </c>
      <c r="ER44">
        <v>-0.994636363636346</v>
      </c>
      <c r="ES44">
        <v>0</v>
      </c>
      <c r="ET44">
        <v>0</v>
      </c>
      <c r="EU44">
        <v>0</v>
      </c>
      <c r="EV44">
        <v>0.16895000000000199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9.4</v>
      </c>
      <c r="FE44">
        <v>9.5</v>
      </c>
      <c r="FF44">
        <v>0.93383799999999995</v>
      </c>
      <c r="FG44">
        <v>2.5622600000000002</v>
      </c>
      <c r="FH44">
        <v>2.19604</v>
      </c>
      <c r="FI44">
        <v>2.677</v>
      </c>
      <c r="FJ44">
        <v>2.4462899999999999</v>
      </c>
      <c r="FK44">
        <v>2.2448700000000001</v>
      </c>
      <c r="FL44">
        <v>29.601700000000001</v>
      </c>
      <c r="FM44">
        <v>24.157499999999999</v>
      </c>
      <c r="FN44">
        <v>19</v>
      </c>
      <c r="FO44">
        <v>758.93</v>
      </c>
      <c r="FP44">
        <v>746.21400000000006</v>
      </c>
      <c r="FQ44">
        <v>18.291499999999999</v>
      </c>
      <c r="FR44">
        <v>24.921700000000001</v>
      </c>
      <c r="FS44">
        <v>29.999600000000001</v>
      </c>
      <c r="FT44">
        <v>24.919799999999999</v>
      </c>
      <c r="FU44">
        <v>24.918900000000001</v>
      </c>
      <c r="FV44">
        <v>18.747</v>
      </c>
      <c r="FW44">
        <v>51.563499999999998</v>
      </c>
      <c r="FX44">
        <v>100</v>
      </c>
      <c r="FY44">
        <v>18.333100000000002</v>
      </c>
      <c r="FZ44">
        <v>410</v>
      </c>
      <c r="GA44">
        <v>15.805199999999999</v>
      </c>
      <c r="GB44">
        <v>99.893900000000002</v>
      </c>
      <c r="GC44">
        <v>99.623800000000003</v>
      </c>
    </row>
    <row r="45" spans="1:185" x14ac:dyDescent="0.2">
      <c r="A45">
        <v>30</v>
      </c>
      <c r="B45">
        <v>1768578995.0999999</v>
      </c>
      <c r="C45">
        <v>602.09999990463302</v>
      </c>
      <c r="D45" t="s">
        <v>353</v>
      </c>
      <c r="E45" t="s">
        <v>354</v>
      </c>
      <c r="F45">
        <v>15</v>
      </c>
      <c r="G45">
        <v>1768578987.03333</v>
      </c>
      <c r="H45">
        <f t="shared" si="0"/>
        <v>-1.6897467519159617E-4</v>
      </c>
      <c r="I45">
        <v>0</v>
      </c>
      <c r="J45">
        <f t="shared" si="12"/>
        <v>2.2081475041862277E-2</v>
      </c>
      <c r="K45">
        <f t="shared" si="1"/>
        <v>0.57830658113301847</v>
      </c>
      <c r="L45">
        <f t="shared" si="2"/>
        <v>70.146169491197512</v>
      </c>
      <c r="M45">
        <f t="shared" si="3"/>
        <v>1.5456948977970029</v>
      </c>
      <c r="N45">
        <f t="shared" si="4"/>
        <v>2.2035342899101122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25929.660186921887</v>
      </c>
      <c r="T45">
        <f t="shared" si="8"/>
        <v>100.00050666666699</v>
      </c>
      <c r="U45">
        <f t="shared" si="9"/>
        <v>84.300123938464139</v>
      </c>
      <c r="V45">
        <f t="shared" si="10"/>
        <v>0.8429969681999997</v>
      </c>
      <c r="W45">
        <f t="shared" si="11"/>
        <v>0.15869256341199997</v>
      </c>
      <c r="X45">
        <v>1</v>
      </c>
      <c r="Y45">
        <v>1768578987.03333</v>
      </c>
      <c r="Z45">
        <v>409.09346666666698</v>
      </c>
      <c r="AA45">
        <v>409.82086666666697</v>
      </c>
      <c r="AB45">
        <v>15.599740000000001</v>
      </c>
      <c r="AC45">
        <v>15.8373666666667</v>
      </c>
      <c r="AD45">
        <v>410.08800000000002</v>
      </c>
      <c r="AE45">
        <v>15.4307933333333</v>
      </c>
      <c r="AF45">
        <v>700.00019999999995</v>
      </c>
      <c r="AG45">
        <v>99.029933333333304</v>
      </c>
      <c r="AH45">
        <v>5.4724346666666701E-2</v>
      </c>
      <c r="AI45">
        <v>18.988033333333298</v>
      </c>
      <c r="AJ45">
        <v>999.9</v>
      </c>
      <c r="AK45">
        <v>999.9</v>
      </c>
      <c r="AL45">
        <v>0</v>
      </c>
      <c r="AM45">
        <v>0</v>
      </c>
      <c r="AN45">
        <v>4993.4666666666699</v>
      </c>
      <c r="AO45">
        <v>0</v>
      </c>
      <c r="AP45">
        <v>2.762616</v>
      </c>
      <c r="AQ45">
        <v>-0.72748780000000002</v>
      </c>
      <c r="AR45">
        <v>415.57626666666698</v>
      </c>
      <c r="AS45">
        <v>416.41579999999999</v>
      </c>
      <c r="AT45">
        <v>-0.23762486666666699</v>
      </c>
      <c r="AU45">
        <v>409.82086666666697</v>
      </c>
      <c r="AV45">
        <v>15.8373666666667</v>
      </c>
      <c r="AW45">
        <v>1.5448406666666701</v>
      </c>
      <c r="AX45">
        <v>1.5683733333333301</v>
      </c>
      <c r="AY45">
        <v>13.4193466666667</v>
      </c>
      <c r="AZ45">
        <v>13.651533333333299</v>
      </c>
      <c r="BA45">
        <v>100.00050666666699</v>
      </c>
      <c r="BB45">
        <v>0.90009893333333302</v>
      </c>
      <c r="BC45">
        <v>0</v>
      </c>
      <c r="BD45">
        <v>9.9900993333333396E-2</v>
      </c>
      <c r="BE45">
        <v>0</v>
      </c>
      <c r="BF45">
        <v>25</v>
      </c>
      <c r="BG45">
        <v>1648.93333333333</v>
      </c>
      <c r="BH45">
        <v>1768578418</v>
      </c>
      <c r="BI45" t="s">
        <v>289</v>
      </c>
      <c r="BJ45">
        <v>1768578418</v>
      </c>
      <c r="BK45">
        <v>1768578413</v>
      </c>
      <c r="BL45">
        <v>1</v>
      </c>
      <c r="BM45">
        <v>-0.36099999999999999</v>
      </c>
      <c r="BN45">
        <v>4.9000000000000002E-2</v>
      </c>
      <c r="BO45">
        <v>-0.995</v>
      </c>
      <c r="BP45">
        <v>0.16900000000000001</v>
      </c>
      <c r="BQ45">
        <v>412</v>
      </c>
      <c r="BR45">
        <v>17</v>
      </c>
      <c r="BS45">
        <v>0.52</v>
      </c>
      <c r="BT45">
        <v>0.02</v>
      </c>
      <c r="BU45">
        <v>-0.28034789999999998</v>
      </c>
      <c r="BV45">
        <v>-7.2844356090225597</v>
      </c>
      <c r="BW45">
        <v>0.91029127835462098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-0.23043939999999999</v>
      </c>
      <c r="CD45">
        <v>-0.15232673684210499</v>
      </c>
      <c r="CE45">
        <v>1.5139854752935999E-2</v>
      </c>
      <c r="CF45">
        <v>0</v>
      </c>
      <c r="CG45">
        <v>0</v>
      </c>
      <c r="CH45">
        <v>2</v>
      </c>
      <c r="CI45" t="s">
        <v>290</v>
      </c>
      <c r="CJ45">
        <v>3.3499500000000002</v>
      </c>
      <c r="CK45">
        <v>2.6926899999999998</v>
      </c>
      <c r="CL45">
        <v>9.7031400000000004E-2</v>
      </c>
      <c r="CM45">
        <v>9.5715700000000001E-2</v>
      </c>
      <c r="CN45">
        <v>8.6807099999999998E-2</v>
      </c>
      <c r="CO45">
        <v>8.7161199999999994E-2</v>
      </c>
      <c r="CP45">
        <v>31677.1</v>
      </c>
      <c r="CQ45">
        <v>27822.799999999999</v>
      </c>
      <c r="CR45">
        <v>32466.6</v>
      </c>
      <c r="CS45">
        <v>30692.2</v>
      </c>
      <c r="CT45">
        <v>40137.5</v>
      </c>
      <c r="CU45">
        <v>39382.699999999997</v>
      </c>
      <c r="CV45">
        <v>47406.2</v>
      </c>
      <c r="CW45">
        <v>46795.9</v>
      </c>
      <c r="CX45">
        <v>2.5124599999999999</v>
      </c>
      <c r="CY45">
        <v>2.3383799999999999</v>
      </c>
      <c r="CZ45">
        <v>0</v>
      </c>
      <c r="DA45">
        <v>0</v>
      </c>
      <c r="DB45">
        <v>999.9</v>
      </c>
      <c r="DC45">
        <v>999.9</v>
      </c>
      <c r="DD45">
        <v>64.576999999999998</v>
      </c>
      <c r="DE45">
        <v>23.795999999999999</v>
      </c>
      <c r="DF45">
        <v>19.2913</v>
      </c>
      <c r="DG45">
        <v>30.1</v>
      </c>
      <c r="DH45">
        <v>12.916700000000001</v>
      </c>
      <c r="DI45">
        <v>2</v>
      </c>
      <c r="DJ45">
        <v>-0.164053</v>
      </c>
      <c r="DK45">
        <v>1.82605</v>
      </c>
      <c r="DL45">
        <v>20.235199999999999</v>
      </c>
      <c r="DM45">
        <v>5.2513100000000001</v>
      </c>
      <c r="DN45">
        <v>12.033899999999999</v>
      </c>
      <c r="DO45">
        <v>4.9673999999999996</v>
      </c>
      <c r="DP45">
        <v>3.2909999999999999</v>
      </c>
      <c r="DQ45">
        <v>9999</v>
      </c>
      <c r="DR45">
        <v>9999</v>
      </c>
      <c r="DS45">
        <v>522.6</v>
      </c>
      <c r="DT45">
        <v>9999</v>
      </c>
      <c r="DU45">
        <v>1.8708899999999999</v>
      </c>
      <c r="DV45">
        <v>1.8759600000000001</v>
      </c>
      <c r="DW45">
        <v>1.87622</v>
      </c>
      <c r="DX45">
        <v>1.88273</v>
      </c>
      <c r="DY45">
        <v>1.8754599999999999</v>
      </c>
      <c r="DZ45">
        <v>1.87453</v>
      </c>
      <c r="EA45">
        <v>1.8706199999999999</v>
      </c>
      <c r="EB45">
        <v>1.87453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-0.995</v>
      </c>
      <c r="EQ45">
        <v>0.16900000000000001</v>
      </c>
      <c r="ER45">
        <v>-0.994636363636346</v>
      </c>
      <c r="ES45">
        <v>0</v>
      </c>
      <c r="ET45">
        <v>0</v>
      </c>
      <c r="EU45">
        <v>0</v>
      </c>
      <c r="EV45">
        <v>0.16895000000000199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9.6</v>
      </c>
      <c r="FE45">
        <v>9.6999999999999993</v>
      </c>
      <c r="FF45">
        <v>0.93261700000000003</v>
      </c>
      <c r="FG45">
        <v>2.5622600000000002</v>
      </c>
      <c r="FH45">
        <v>2.19604</v>
      </c>
      <c r="FI45">
        <v>2.677</v>
      </c>
      <c r="FJ45">
        <v>2.4462899999999999</v>
      </c>
      <c r="FK45">
        <v>2.2338900000000002</v>
      </c>
      <c r="FL45">
        <v>29.623000000000001</v>
      </c>
      <c r="FM45">
        <v>24.157499999999999</v>
      </c>
      <c r="FN45">
        <v>19</v>
      </c>
      <c r="FO45">
        <v>759.01400000000001</v>
      </c>
      <c r="FP45">
        <v>746.07899999999995</v>
      </c>
      <c r="FQ45">
        <v>18.330200000000001</v>
      </c>
      <c r="FR45">
        <v>24.9284</v>
      </c>
      <c r="FS45">
        <v>29.9999</v>
      </c>
      <c r="FT45">
        <v>24.927</v>
      </c>
      <c r="FU45">
        <v>24.926400000000001</v>
      </c>
      <c r="FV45">
        <v>18.732900000000001</v>
      </c>
      <c r="FW45">
        <v>51.563499999999998</v>
      </c>
      <c r="FX45">
        <v>100</v>
      </c>
      <c r="FY45">
        <v>18.3565</v>
      </c>
      <c r="FZ45">
        <v>410</v>
      </c>
      <c r="GA45">
        <v>15.8156</v>
      </c>
      <c r="GB45">
        <v>99.898899999999998</v>
      </c>
      <c r="GC45">
        <v>99.627499999999998</v>
      </c>
    </row>
    <row r="46" spans="1:185" x14ac:dyDescent="0.2">
      <c r="A46">
        <v>31</v>
      </c>
      <c r="B46">
        <v>1768579010.0999999</v>
      </c>
      <c r="C46">
        <v>617.09999990463302</v>
      </c>
      <c r="D46" t="s">
        <v>355</v>
      </c>
      <c r="E46" t="s">
        <v>356</v>
      </c>
      <c r="F46">
        <v>15</v>
      </c>
      <c r="G46">
        <v>1768579002.03333</v>
      </c>
      <c r="H46">
        <f t="shared" si="0"/>
        <v>-1.8060980749722946E-4</v>
      </c>
      <c r="I46">
        <v>0</v>
      </c>
      <c r="J46">
        <f t="shared" si="12"/>
        <v>-2.6175964347245539E-3</v>
      </c>
      <c r="K46">
        <f t="shared" si="1"/>
        <v>-6.8553991165975506E-2</v>
      </c>
      <c r="L46">
        <f t="shared" si="2"/>
        <v>70.142539605944194</v>
      </c>
      <c r="M46">
        <f t="shared" si="3"/>
        <v>1.5440330416286188</v>
      </c>
      <c r="N46">
        <f t="shared" si="4"/>
        <v>2.2012790673147662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25985.656784906721</v>
      </c>
      <c r="T46">
        <f t="shared" si="8"/>
        <v>100.000806666667</v>
      </c>
      <c r="U46">
        <f t="shared" si="9"/>
        <v>84.300218516277482</v>
      </c>
      <c r="V46">
        <f t="shared" si="10"/>
        <v>0.8429953849999996</v>
      </c>
      <c r="W46">
        <f t="shared" si="11"/>
        <v>0.15868865737999993</v>
      </c>
      <c r="X46">
        <v>1</v>
      </c>
      <c r="Y46">
        <v>1768579002.03333</v>
      </c>
      <c r="Z46">
        <v>409.53506666666698</v>
      </c>
      <c r="AA46">
        <v>409.33146666666698</v>
      </c>
      <c r="AB46">
        <v>15.582893333333301</v>
      </c>
      <c r="AC46">
        <v>15.8368866666667</v>
      </c>
      <c r="AD46">
        <v>410.52953333333301</v>
      </c>
      <c r="AE46">
        <v>15.4139466666667</v>
      </c>
      <c r="AF46">
        <v>700.00019999999995</v>
      </c>
      <c r="AG46">
        <v>99.030280000000005</v>
      </c>
      <c r="AH46">
        <v>5.4851919999999998E-2</v>
      </c>
      <c r="AI46">
        <v>18.971626666666701</v>
      </c>
      <c r="AJ46">
        <v>999.9</v>
      </c>
      <c r="AK46">
        <v>999.9</v>
      </c>
      <c r="AL46">
        <v>0</v>
      </c>
      <c r="AM46">
        <v>0</v>
      </c>
      <c r="AN46">
        <v>5002.5333333333301</v>
      </c>
      <c r="AO46">
        <v>0</v>
      </c>
      <c r="AP46">
        <v>2.7665299999999999</v>
      </c>
      <c r="AQ46">
        <v>0.20335299333333301</v>
      </c>
      <c r="AR46">
        <v>416.01773333333301</v>
      </c>
      <c r="AS46">
        <v>415.91840000000002</v>
      </c>
      <c r="AT46">
        <v>-0.253984933333333</v>
      </c>
      <c r="AU46">
        <v>409.33146666666698</v>
      </c>
      <c r="AV46">
        <v>15.8368866666667</v>
      </c>
      <c r="AW46">
        <v>1.54317866666667</v>
      </c>
      <c r="AX46">
        <v>1.5683320000000001</v>
      </c>
      <c r="AY46">
        <v>13.4028333333333</v>
      </c>
      <c r="AZ46">
        <v>13.651120000000001</v>
      </c>
      <c r="BA46">
        <v>100.000806666667</v>
      </c>
      <c r="BB46">
        <v>0.90015093333333296</v>
      </c>
      <c r="BC46">
        <v>0</v>
      </c>
      <c r="BD46">
        <v>9.9848966666666594E-2</v>
      </c>
      <c r="BE46">
        <v>0</v>
      </c>
      <c r="BF46">
        <v>25</v>
      </c>
      <c r="BG46">
        <v>1648.962</v>
      </c>
      <c r="BH46">
        <v>1768578418</v>
      </c>
      <c r="BI46" t="s">
        <v>289</v>
      </c>
      <c r="BJ46">
        <v>1768578418</v>
      </c>
      <c r="BK46">
        <v>1768578413</v>
      </c>
      <c r="BL46">
        <v>1</v>
      </c>
      <c r="BM46">
        <v>-0.36099999999999999</v>
      </c>
      <c r="BN46">
        <v>4.9000000000000002E-2</v>
      </c>
      <c r="BO46">
        <v>-0.995</v>
      </c>
      <c r="BP46">
        <v>0.16900000000000001</v>
      </c>
      <c r="BQ46">
        <v>412</v>
      </c>
      <c r="BR46">
        <v>17</v>
      </c>
      <c r="BS46">
        <v>0.52</v>
      </c>
      <c r="BT46">
        <v>0.02</v>
      </c>
      <c r="BU46">
        <v>-5.8430861904761898E-2</v>
      </c>
      <c r="BV46">
        <v>3.1087100571428601</v>
      </c>
      <c r="BW46">
        <v>0.52010912258573905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-0.251652428571429</v>
      </c>
      <c r="CD46">
        <v>-4.3228909090909103E-2</v>
      </c>
      <c r="CE46">
        <v>4.4649523921253204E-3</v>
      </c>
      <c r="CF46">
        <v>1</v>
      </c>
      <c r="CG46">
        <v>1</v>
      </c>
      <c r="CH46">
        <v>2</v>
      </c>
      <c r="CI46" t="s">
        <v>303</v>
      </c>
      <c r="CJ46">
        <v>3.3499099999999999</v>
      </c>
      <c r="CK46">
        <v>2.6926899999999998</v>
      </c>
      <c r="CL46">
        <v>9.7011500000000001E-2</v>
      </c>
      <c r="CM46">
        <v>9.5700099999999996E-2</v>
      </c>
      <c r="CN46">
        <v>8.6768600000000001E-2</v>
      </c>
      <c r="CO46">
        <v>8.7156399999999995E-2</v>
      </c>
      <c r="CP46">
        <v>31677.7</v>
      </c>
      <c r="CQ46">
        <v>27823.9</v>
      </c>
      <c r="CR46">
        <v>32466.5</v>
      </c>
      <c r="CS46">
        <v>30692.9</v>
      </c>
      <c r="CT46">
        <v>40139.1</v>
      </c>
      <c r="CU46">
        <v>39383.800000000003</v>
      </c>
      <c r="CV46">
        <v>47406.1</v>
      </c>
      <c r="CW46">
        <v>46796.9</v>
      </c>
      <c r="CX46">
        <v>2.5125000000000002</v>
      </c>
      <c r="CY46">
        <v>2.33812</v>
      </c>
      <c r="CZ46">
        <v>0</v>
      </c>
      <c r="DA46">
        <v>0</v>
      </c>
      <c r="DB46">
        <v>999.9</v>
      </c>
      <c r="DC46">
        <v>999.9</v>
      </c>
      <c r="DD46">
        <v>64.528000000000006</v>
      </c>
      <c r="DE46">
        <v>23.826000000000001</v>
      </c>
      <c r="DF46">
        <v>19.311800000000002</v>
      </c>
      <c r="DG46">
        <v>30.07</v>
      </c>
      <c r="DH46">
        <v>12.972799999999999</v>
      </c>
      <c r="DI46">
        <v>2</v>
      </c>
      <c r="DJ46">
        <v>-0.16397400000000001</v>
      </c>
      <c r="DK46">
        <v>1.7321899999999999</v>
      </c>
      <c r="DL46">
        <v>20.236599999999999</v>
      </c>
      <c r="DM46">
        <v>5.25047</v>
      </c>
      <c r="DN46">
        <v>12.033899999999999</v>
      </c>
      <c r="DO46">
        <v>4.9673999999999996</v>
      </c>
      <c r="DP46">
        <v>3.2909999999999999</v>
      </c>
      <c r="DQ46">
        <v>9999</v>
      </c>
      <c r="DR46">
        <v>9999</v>
      </c>
      <c r="DS46">
        <v>522.70000000000005</v>
      </c>
      <c r="DT46">
        <v>9999</v>
      </c>
      <c r="DU46">
        <v>1.8709</v>
      </c>
      <c r="DV46">
        <v>1.8759999999999999</v>
      </c>
      <c r="DW46">
        <v>1.87622</v>
      </c>
      <c r="DX46">
        <v>1.8827400000000001</v>
      </c>
      <c r="DY46">
        <v>1.87547</v>
      </c>
      <c r="DZ46">
        <v>1.8745400000000001</v>
      </c>
      <c r="EA46">
        <v>1.8706700000000001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-0.995</v>
      </c>
      <c r="EQ46">
        <v>0.16889999999999999</v>
      </c>
      <c r="ER46">
        <v>-0.994636363636346</v>
      </c>
      <c r="ES46">
        <v>0</v>
      </c>
      <c r="ET46">
        <v>0</v>
      </c>
      <c r="EU46">
        <v>0</v>
      </c>
      <c r="EV46">
        <v>0.16895000000000199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9.9</v>
      </c>
      <c r="FE46">
        <v>10</v>
      </c>
      <c r="FF46">
        <v>0.9375</v>
      </c>
      <c r="FG46">
        <v>2.5585900000000001</v>
      </c>
      <c r="FH46">
        <v>2.19604</v>
      </c>
      <c r="FI46">
        <v>2.677</v>
      </c>
      <c r="FJ46">
        <v>2.4462899999999999</v>
      </c>
      <c r="FK46">
        <v>2.2729499999999998</v>
      </c>
      <c r="FL46">
        <v>29.623000000000001</v>
      </c>
      <c r="FM46">
        <v>24.1663</v>
      </c>
      <c r="FN46">
        <v>19</v>
      </c>
      <c r="FO46">
        <v>759.14800000000002</v>
      </c>
      <c r="FP46">
        <v>745.93799999999999</v>
      </c>
      <c r="FQ46">
        <v>18.392399999999999</v>
      </c>
      <c r="FR46">
        <v>24.934699999999999</v>
      </c>
      <c r="FS46">
        <v>30.0001</v>
      </c>
      <c r="FT46">
        <v>24.934100000000001</v>
      </c>
      <c r="FU46">
        <v>24.933499999999999</v>
      </c>
      <c r="FV46">
        <v>18.819099999999999</v>
      </c>
      <c r="FW46">
        <v>51.563499999999998</v>
      </c>
      <c r="FX46">
        <v>100</v>
      </c>
      <c r="FY46">
        <v>18.4163</v>
      </c>
      <c r="FZ46">
        <v>410</v>
      </c>
      <c r="GA46">
        <v>15.8156</v>
      </c>
      <c r="GB46">
        <v>99.898600000000002</v>
      </c>
      <c r="GC46">
        <v>99.6297</v>
      </c>
    </row>
    <row r="47" spans="1:185" x14ac:dyDescent="0.2">
      <c r="A47">
        <v>32</v>
      </c>
      <c r="B47">
        <v>1768579025.0999999</v>
      </c>
      <c r="C47">
        <v>632.09999990463302</v>
      </c>
      <c r="D47" t="s">
        <v>357</v>
      </c>
      <c r="E47" t="s">
        <v>358</v>
      </c>
      <c r="F47">
        <v>15</v>
      </c>
      <c r="G47">
        <v>1768579017.03333</v>
      </c>
      <c r="H47">
        <f t="shared" si="0"/>
        <v>-2.0176127570374953E-4</v>
      </c>
      <c r="I47">
        <v>0</v>
      </c>
      <c r="J47">
        <f t="shared" si="12"/>
        <v>1.0517598399054853E-2</v>
      </c>
      <c r="K47">
        <f t="shared" si="1"/>
        <v>0.27545244873163832</v>
      </c>
      <c r="L47">
        <f t="shared" si="2"/>
        <v>70.02323595803098</v>
      </c>
      <c r="M47">
        <f t="shared" si="3"/>
        <v>1.5410816786239401</v>
      </c>
      <c r="N47">
        <f t="shared" si="4"/>
        <v>2.2008147117731038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25964.142344776192</v>
      </c>
      <c r="T47">
        <f t="shared" si="8"/>
        <v>100.00109999999999</v>
      </c>
      <c r="U47">
        <f t="shared" si="9"/>
        <v>84.300505675362118</v>
      </c>
      <c r="V47">
        <f t="shared" si="10"/>
        <v>0.8429957837999994</v>
      </c>
      <c r="W47">
        <f t="shared" si="11"/>
        <v>0.1586893165879999</v>
      </c>
      <c r="X47">
        <v>1</v>
      </c>
      <c r="Y47">
        <v>1768579017.03333</v>
      </c>
      <c r="Z47">
        <v>409.75106666666699</v>
      </c>
      <c r="AA47">
        <v>410.02646666666698</v>
      </c>
      <c r="AB47">
        <v>15.553240000000001</v>
      </c>
      <c r="AC47">
        <v>15.8369866666667</v>
      </c>
      <c r="AD47">
        <v>410.68206666666703</v>
      </c>
      <c r="AE47">
        <v>15.411239999999999</v>
      </c>
      <c r="AF47">
        <v>700.00199999999995</v>
      </c>
      <c r="AG47">
        <v>99.029526666666698</v>
      </c>
      <c r="AH47">
        <v>5.4759219999999997E-2</v>
      </c>
      <c r="AI47">
        <v>18.968246666666701</v>
      </c>
      <c r="AJ47">
        <v>999.9</v>
      </c>
      <c r="AK47">
        <v>999.9</v>
      </c>
      <c r="AL47">
        <v>0</v>
      </c>
      <c r="AM47">
        <v>0</v>
      </c>
      <c r="AN47">
        <v>4998.9333333333298</v>
      </c>
      <c r="AO47">
        <v>0</v>
      </c>
      <c r="AP47">
        <v>2.7665299999999999</v>
      </c>
      <c r="AQ47">
        <v>-0.33909510666666698</v>
      </c>
      <c r="AR47">
        <v>416.17160000000001</v>
      </c>
      <c r="AS47">
        <v>416.624666666667</v>
      </c>
      <c r="AT47">
        <v>-0.25680399999999998</v>
      </c>
      <c r="AU47">
        <v>410.02646666666698</v>
      </c>
      <c r="AV47">
        <v>15.8369866666667</v>
      </c>
      <c r="AW47">
        <v>1.54289866666667</v>
      </c>
      <c r="AX47">
        <v>1.56833</v>
      </c>
      <c r="AY47">
        <v>13.400033333333299</v>
      </c>
      <c r="AZ47">
        <v>13.651106666666699</v>
      </c>
      <c r="BA47">
        <v>100.00109999999999</v>
      </c>
      <c r="BB47">
        <v>0.90014266666666598</v>
      </c>
      <c r="BC47">
        <v>0</v>
      </c>
      <c r="BD47">
        <v>9.9857406666666607E-2</v>
      </c>
      <c r="BE47">
        <v>0</v>
      </c>
      <c r="BF47">
        <v>25</v>
      </c>
      <c r="BG47">
        <v>1648.96333333333</v>
      </c>
      <c r="BH47">
        <v>1768579044.0999999</v>
      </c>
      <c r="BI47" t="s">
        <v>359</v>
      </c>
      <c r="BJ47">
        <v>1768579043.0999999</v>
      </c>
      <c r="BK47">
        <v>1768579044.0999999</v>
      </c>
      <c r="BL47">
        <v>2</v>
      </c>
      <c r="BM47">
        <v>6.4000000000000001E-2</v>
      </c>
      <c r="BN47">
        <v>-2.7E-2</v>
      </c>
      <c r="BO47">
        <v>-0.93100000000000005</v>
      </c>
      <c r="BP47">
        <v>0.14199999999999999</v>
      </c>
      <c r="BQ47">
        <v>408</v>
      </c>
      <c r="BR47">
        <v>16</v>
      </c>
      <c r="BS47">
        <v>0.15</v>
      </c>
      <c r="BT47">
        <v>0.06</v>
      </c>
      <c r="BU47">
        <v>-0.26082767499999998</v>
      </c>
      <c r="BV47">
        <v>-1.2654524706766901</v>
      </c>
      <c r="BW47">
        <v>0.21841625322556199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-0.25675829999999999</v>
      </c>
      <c r="CD47">
        <v>-2.6374736842107601E-3</v>
      </c>
      <c r="CE47">
        <v>1.3619023129431899E-3</v>
      </c>
      <c r="CF47">
        <v>1</v>
      </c>
      <c r="CG47">
        <v>1</v>
      </c>
      <c r="CH47">
        <v>2</v>
      </c>
      <c r="CI47" t="s">
        <v>303</v>
      </c>
      <c r="CJ47">
        <v>3.3498800000000002</v>
      </c>
      <c r="CK47">
        <v>2.6924999999999999</v>
      </c>
      <c r="CL47">
        <v>9.7068100000000004E-2</v>
      </c>
      <c r="CM47">
        <v>9.5743999999999996E-2</v>
      </c>
      <c r="CN47">
        <v>8.6787299999999998E-2</v>
      </c>
      <c r="CO47">
        <v>8.7155700000000003E-2</v>
      </c>
      <c r="CP47">
        <v>31675</v>
      </c>
      <c r="CQ47">
        <v>27822</v>
      </c>
      <c r="CR47">
        <v>32465.8</v>
      </c>
      <c r="CS47">
        <v>30692.3</v>
      </c>
      <c r="CT47">
        <v>40138.400000000001</v>
      </c>
      <c r="CU47">
        <v>39383.199999999997</v>
      </c>
      <c r="CV47">
        <v>47406.2</v>
      </c>
      <c r="CW47">
        <v>46796.1</v>
      </c>
      <c r="CX47">
        <v>2.5121000000000002</v>
      </c>
      <c r="CY47">
        <v>2.3377599999999998</v>
      </c>
      <c r="CZ47">
        <v>0</v>
      </c>
      <c r="DA47">
        <v>0</v>
      </c>
      <c r="DB47">
        <v>999.9</v>
      </c>
      <c r="DC47">
        <v>999.9</v>
      </c>
      <c r="DD47">
        <v>64.454999999999998</v>
      </c>
      <c r="DE47">
        <v>23.856999999999999</v>
      </c>
      <c r="DF47">
        <v>19.325800000000001</v>
      </c>
      <c r="DG47">
        <v>30.07</v>
      </c>
      <c r="DH47">
        <v>12.9808</v>
      </c>
      <c r="DI47">
        <v>2</v>
      </c>
      <c r="DJ47">
        <v>-0.163913</v>
      </c>
      <c r="DK47">
        <v>1.6629100000000001</v>
      </c>
      <c r="DL47">
        <v>20.237400000000001</v>
      </c>
      <c r="DM47">
        <v>5.2503500000000001</v>
      </c>
      <c r="DN47">
        <v>12.033899999999999</v>
      </c>
      <c r="DO47">
        <v>4.9673600000000002</v>
      </c>
      <c r="DP47">
        <v>3.2909999999999999</v>
      </c>
      <c r="DQ47">
        <v>9999</v>
      </c>
      <c r="DR47">
        <v>9999</v>
      </c>
      <c r="DS47">
        <v>522.70000000000005</v>
      </c>
      <c r="DT47">
        <v>9999</v>
      </c>
      <c r="DU47">
        <v>1.8709</v>
      </c>
      <c r="DV47">
        <v>1.8759699999999999</v>
      </c>
      <c r="DW47">
        <v>1.87622</v>
      </c>
      <c r="DX47">
        <v>1.8827400000000001</v>
      </c>
      <c r="DY47">
        <v>1.8754599999999999</v>
      </c>
      <c r="DZ47">
        <v>1.8745400000000001</v>
      </c>
      <c r="EA47">
        <v>1.87069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-0.93100000000000005</v>
      </c>
      <c r="EQ47">
        <v>0.14199999999999999</v>
      </c>
      <c r="ER47">
        <v>-0.994636363636346</v>
      </c>
      <c r="ES47">
        <v>0</v>
      </c>
      <c r="ET47">
        <v>0</v>
      </c>
      <c r="EU47">
        <v>0</v>
      </c>
      <c r="EV47">
        <v>0.16895000000000199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10.1</v>
      </c>
      <c r="FE47">
        <v>10.199999999999999</v>
      </c>
      <c r="FF47">
        <v>0.9375</v>
      </c>
      <c r="FG47">
        <v>2.5561500000000001</v>
      </c>
      <c r="FH47">
        <v>2.19604</v>
      </c>
      <c r="FI47">
        <v>2.677</v>
      </c>
      <c r="FJ47">
        <v>2.4462899999999999</v>
      </c>
      <c r="FK47">
        <v>2.2741699999999998</v>
      </c>
      <c r="FL47">
        <v>29.665700000000001</v>
      </c>
      <c r="FM47">
        <v>24.1663</v>
      </c>
      <c r="FN47">
        <v>19</v>
      </c>
      <c r="FO47">
        <v>758.90899999999999</v>
      </c>
      <c r="FP47">
        <v>745.70100000000002</v>
      </c>
      <c r="FQ47">
        <v>18.461300000000001</v>
      </c>
      <c r="FR47">
        <v>24.940999999999999</v>
      </c>
      <c r="FS47">
        <v>30.0001</v>
      </c>
      <c r="FT47">
        <v>24.9407</v>
      </c>
      <c r="FU47">
        <v>24.9405</v>
      </c>
      <c r="FV47">
        <v>18.8123</v>
      </c>
      <c r="FW47">
        <v>51.563499999999998</v>
      </c>
      <c r="FX47">
        <v>100</v>
      </c>
      <c r="FY47">
        <v>18.483000000000001</v>
      </c>
      <c r="FZ47">
        <v>410</v>
      </c>
      <c r="GA47">
        <v>15.8156</v>
      </c>
      <c r="GB47">
        <v>99.897900000000007</v>
      </c>
      <c r="GC47">
        <v>99.628</v>
      </c>
    </row>
    <row r="48" spans="1:185" x14ac:dyDescent="0.2">
      <c r="A48">
        <v>33</v>
      </c>
      <c r="B48">
        <v>1768579046.0999999</v>
      </c>
      <c r="C48">
        <v>653.09999990463302</v>
      </c>
      <c r="D48" t="s">
        <v>360</v>
      </c>
      <c r="E48" t="s">
        <v>361</v>
      </c>
      <c r="F48">
        <v>15</v>
      </c>
      <c r="G48">
        <v>1768579045.0999999</v>
      </c>
      <c r="H48">
        <f t="shared" ref="H48:H79" si="13">AF48*Q48*(AB48-AC48)/(1000*X48*(1000-Q48*AB48))</f>
        <v>7.1124563295365481E-7</v>
      </c>
      <c r="I48">
        <v>0</v>
      </c>
      <c r="J48">
        <f t="shared" si="12"/>
        <v>8.1746496965763376E-4</v>
      </c>
      <c r="K48">
        <f t="shared" ref="K48:K79" si="14">AF48*Q48*(AA48-Z48*(1000-Q48*AC48)/(1000-Q48*AB48))/(1000*X48)</f>
        <v>2.1409139149557607E-2</v>
      </c>
      <c r="L48">
        <f t="shared" ref="L48:L79" si="15">(M48/N48*100)</f>
        <v>71.262169813770853</v>
      </c>
      <c r="M48">
        <f t="shared" ref="M48:M79" si="16">AB48*(AG48+AH48)/1000</f>
        <v>1.5696364034333798</v>
      </c>
      <c r="N48">
        <f t="shared" ref="N48:N79" si="17">0.61365*EXP(17.502*AI48/(240.97+AI48))</f>
        <v>2.2026222433800493</v>
      </c>
      <c r="O48">
        <v>323</v>
      </c>
      <c r="P48">
        <v>46</v>
      </c>
      <c r="Q48">
        <f t="shared" ref="Q48:Q79" si="18">IF(O48*$H$13&gt;=S48,1,(S48/(S48-O48*$H$13)))</f>
        <v>1</v>
      </c>
      <c r="R48">
        <f t="shared" ref="R48:R79" si="19">(Q48-1)*100</f>
        <v>0</v>
      </c>
      <c r="S48">
        <f t="shared" ref="S48:S79" si="20">MAX(0,($B$13+$C$13*AN48)/(1+$D$13*AN48)*AG48/(AI48+273)*$E$13)</f>
        <v>26011.767244156028</v>
      </c>
      <c r="T48">
        <f t="shared" ref="T48:T79" si="21">$B$11*AO48+$C$11*AP48+$D$11*BA48</f>
        <v>100.005</v>
      </c>
      <c r="U48">
        <f t="shared" ref="U48:U79" si="22">T48*V48</f>
        <v>84.303770677784996</v>
      </c>
      <c r="V48">
        <f t="shared" ref="V48:V79" si="23">($B$11*$D$9+$C$11*$D$9+$D$11*(BB48*$E$9+BC48*$F$9+BD48*$G$9+BE48*$H$9))/($B$11+$C$11+$D$11)</f>
        <v>0.84299555699999995</v>
      </c>
      <c r="W48">
        <f t="shared" ref="W48:W79" si="24">($B$11*$L$9+$C$11*$L$9+$D$11*(BB48*$M$9+BC48*$N$9+BD48*$O$9+BE48*$P$9))/($B$11+$C$11+$D$11)</f>
        <v>0.15868869761999999</v>
      </c>
      <c r="X48">
        <v>1</v>
      </c>
      <c r="Y48">
        <v>1768579045.0999999</v>
      </c>
      <c r="Z48">
        <v>408.07400000000001</v>
      </c>
      <c r="AA48">
        <v>408.10500000000002</v>
      </c>
      <c r="AB48">
        <v>15.8393</v>
      </c>
      <c r="AC48">
        <v>15.8383</v>
      </c>
      <c r="AD48">
        <v>409.005</v>
      </c>
      <c r="AE48">
        <v>15.6976</v>
      </c>
      <c r="AF48">
        <v>699.98</v>
      </c>
      <c r="AG48">
        <v>99.030900000000003</v>
      </c>
      <c r="AH48">
        <v>6.6686599999999999E-2</v>
      </c>
      <c r="AI48">
        <v>18.981400000000001</v>
      </c>
      <c r="AJ48">
        <v>999.9</v>
      </c>
      <c r="AK48">
        <v>999.9</v>
      </c>
      <c r="AL48">
        <v>0</v>
      </c>
      <c r="AM48">
        <v>0</v>
      </c>
      <c r="AN48">
        <v>5007</v>
      </c>
      <c r="AO48">
        <v>0</v>
      </c>
      <c r="AP48">
        <v>2.8229899999999999</v>
      </c>
      <c r="AQ48">
        <v>-3.1005899999999999E-2</v>
      </c>
      <c r="AR48">
        <v>414.642</v>
      </c>
      <c r="AS48">
        <v>414.673</v>
      </c>
      <c r="AT48">
        <v>1.0204299999999999E-3</v>
      </c>
      <c r="AU48">
        <v>408.10500000000002</v>
      </c>
      <c r="AV48">
        <v>15.8383</v>
      </c>
      <c r="AW48">
        <v>1.5685800000000001</v>
      </c>
      <c r="AX48">
        <v>1.5684800000000001</v>
      </c>
      <c r="AY48">
        <v>13.653499999999999</v>
      </c>
      <c r="AZ48">
        <v>13.6525</v>
      </c>
      <c r="BA48">
        <v>100.005</v>
      </c>
      <c r="BB48">
        <v>0.90015100000000003</v>
      </c>
      <c r="BC48">
        <v>0</v>
      </c>
      <c r="BD48">
        <v>9.9849099999999996E-2</v>
      </c>
      <c r="BE48">
        <v>0</v>
      </c>
      <c r="BF48">
        <v>25</v>
      </c>
      <c r="BG48">
        <v>1649.03</v>
      </c>
      <c r="BH48">
        <v>1768579044.0999999</v>
      </c>
      <c r="BI48" t="s">
        <v>359</v>
      </c>
      <c r="BJ48">
        <v>1768579043.0999999</v>
      </c>
      <c r="BK48">
        <v>1768579044.0999999</v>
      </c>
      <c r="BL48">
        <v>2</v>
      </c>
      <c r="BM48">
        <v>6.4000000000000001E-2</v>
      </c>
      <c r="BN48">
        <v>-2.7E-2</v>
      </c>
      <c r="BO48">
        <v>-0.93100000000000005</v>
      </c>
      <c r="BP48">
        <v>0.14199999999999999</v>
      </c>
      <c r="BQ48">
        <v>408</v>
      </c>
      <c r="BR48">
        <v>16</v>
      </c>
      <c r="BS48">
        <v>0.15</v>
      </c>
      <c r="BT48">
        <v>0.06</v>
      </c>
      <c r="BU48">
        <v>4.3717152380952397E-2</v>
      </c>
      <c r="BV48">
        <v>-1.0393185038960999</v>
      </c>
      <c r="BW48">
        <v>0.19186967356227499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-3.9460679523809501E-2</v>
      </c>
      <c r="CD48">
        <v>0.81738771428571499</v>
      </c>
      <c r="CE48">
        <v>0.10366145807959</v>
      </c>
      <c r="CF48">
        <v>0</v>
      </c>
      <c r="CG48">
        <v>0</v>
      </c>
      <c r="CH48">
        <v>2</v>
      </c>
      <c r="CI48" t="s">
        <v>290</v>
      </c>
      <c r="CJ48">
        <v>3.3522500000000002</v>
      </c>
      <c r="CK48">
        <v>2.7031000000000001</v>
      </c>
      <c r="CL48">
        <v>9.6739699999999998E-2</v>
      </c>
      <c r="CM48">
        <v>9.5385399999999995E-2</v>
      </c>
      <c r="CN48">
        <v>8.7920399999999996E-2</v>
      </c>
      <c r="CO48">
        <v>8.7157399999999996E-2</v>
      </c>
      <c r="CP48">
        <v>31687.1</v>
      </c>
      <c r="CQ48">
        <v>27833.3</v>
      </c>
      <c r="CR48">
        <v>32466.400000000001</v>
      </c>
      <c r="CS48">
        <v>30692.7</v>
      </c>
      <c r="CT48">
        <v>40087.1</v>
      </c>
      <c r="CU48">
        <v>39383.699999999997</v>
      </c>
      <c r="CV48">
        <v>47406.400000000001</v>
      </c>
      <c r="CW48">
        <v>46796.800000000003</v>
      </c>
      <c r="CX48">
        <v>1.8506800000000001</v>
      </c>
      <c r="CY48">
        <v>1.76892</v>
      </c>
      <c r="CZ48">
        <v>0</v>
      </c>
      <c r="DA48">
        <v>0</v>
      </c>
      <c r="DB48">
        <v>999.9</v>
      </c>
      <c r="DC48">
        <v>999.9</v>
      </c>
      <c r="DD48">
        <v>64.382000000000005</v>
      </c>
      <c r="DE48">
        <v>23.867000000000001</v>
      </c>
      <c r="DF48">
        <v>19.3154</v>
      </c>
      <c r="DG48">
        <v>29.68</v>
      </c>
      <c r="DH48">
        <v>13.557700000000001</v>
      </c>
      <c r="DI48">
        <v>2</v>
      </c>
      <c r="DJ48">
        <v>-0.16320699999999999</v>
      </c>
      <c r="DK48">
        <v>1.6144099999999999</v>
      </c>
      <c r="DL48">
        <v>20.2361</v>
      </c>
      <c r="DM48">
        <v>5.2420900000000001</v>
      </c>
      <c r="DN48">
        <v>12.033899999999999</v>
      </c>
      <c r="DO48">
        <v>4.9656000000000002</v>
      </c>
      <c r="DP48">
        <v>3.2897400000000001</v>
      </c>
      <c r="DQ48">
        <v>9999</v>
      </c>
      <c r="DR48">
        <v>9999</v>
      </c>
      <c r="DS48">
        <v>522.70000000000005</v>
      </c>
      <c r="DT48">
        <v>9999</v>
      </c>
      <c r="DU48">
        <v>1.8708899999999999</v>
      </c>
      <c r="DV48">
        <v>1.87598</v>
      </c>
      <c r="DW48">
        <v>1.8762099999999999</v>
      </c>
      <c r="DX48">
        <v>1.8827499999999999</v>
      </c>
      <c r="DY48">
        <v>1.8754599999999999</v>
      </c>
      <c r="DZ48">
        <v>1.8745400000000001</v>
      </c>
      <c r="EA48">
        <v>1.87069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-0.93100000000000005</v>
      </c>
      <c r="EQ48">
        <v>0.1416</v>
      </c>
      <c r="ER48">
        <v>-0.93090000000000805</v>
      </c>
      <c r="ES48">
        <v>0</v>
      </c>
      <c r="ET48">
        <v>0</v>
      </c>
      <c r="EU48">
        <v>0</v>
      </c>
      <c r="EV48">
        <v>0.14164545454545399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0.1</v>
      </c>
      <c r="FE48">
        <v>0</v>
      </c>
      <c r="FF48">
        <v>0.93872100000000003</v>
      </c>
      <c r="FG48">
        <v>2.5610400000000002</v>
      </c>
      <c r="FH48">
        <v>2.19604</v>
      </c>
      <c r="FI48">
        <v>2.677</v>
      </c>
      <c r="FJ48">
        <v>2.4462899999999999</v>
      </c>
      <c r="FK48">
        <v>2.2192400000000001</v>
      </c>
      <c r="FL48">
        <v>29.687000000000001</v>
      </c>
      <c r="FM48">
        <v>24.157499999999999</v>
      </c>
      <c r="FN48">
        <v>19</v>
      </c>
      <c r="FO48">
        <v>356.83499999999998</v>
      </c>
      <c r="FP48">
        <v>354.93900000000002</v>
      </c>
      <c r="FQ48">
        <v>18.546800000000001</v>
      </c>
      <c r="FR48">
        <v>24.9498</v>
      </c>
      <c r="FS48">
        <v>30.0002</v>
      </c>
      <c r="FT48">
        <v>24.965800000000002</v>
      </c>
      <c r="FU48">
        <v>24.964400000000001</v>
      </c>
      <c r="FV48">
        <v>18.837900000000001</v>
      </c>
      <c r="FW48">
        <v>52.067100000000003</v>
      </c>
      <c r="FX48">
        <v>100</v>
      </c>
      <c r="FY48">
        <v>18.556100000000001</v>
      </c>
      <c r="FZ48">
        <v>410</v>
      </c>
      <c r="GA48">
        <v>15.6351</v>
      </c>
      <c r="GB48">
        <v>99.898899999999998</v>
      </c>
      <c r="GC48">
        <v>99.629300000000001</v>
      </c>
    </row>
    <row r="49" spans="1:185" x14ac:dyDescent="0.2">
      <c r="A49">
        <v>34</v>
      </c>
      <c r="B49">
        <v>1768579061.0999999</v>
      </c>
      <c r="C49">
        <v>668.09999990463302</v>
      </c>
      <c r="D49" t="s">
        <v>362</v>
      </c>
      <c r="E49" t="s">
        <v>363</v>
      </c>
      <c r="F49">
        <v>15</v>
      </c>
      <c r="G49">
        <v>1768579053.03333</v>
      </c>
      <c r="H49">
        <f t="shared" si="13"/>
        <v>-1.4619399096299583E-4</v>
      </c>
      <c r="I49">
        <v>0</v>
      </c>
      <c r="J49">
        <f t="shared" si="12"/>
        <v>7.5209805904737307E-3</v>
      </c>
      <c r="K49">
        <f t="shared" si="14"/>
        <v>0.19697201223192548</v>
      </c>
      <c r="L49">
        <f t="shared" si="15"/>
        <v>70.204246009941798</v>
      </c>
      <c r="M49">
        <f t="shared" si="16"/>
        <v>1.5468105158503942</v>
      </c>
      <c r="N49">
        <f t="shared" si="17"/>
        <v>2.2033005177939615</v>
      </c>
      <c r="O49">
        <v>0</v>
      </c>
      <c r="P49">
        <v>0</v>
      </c>
      <c r="Q49">
        <f t="shared" si="18"/>
        <v>1</v>
      </c>
      <c r="R49">
        <f t="shared" si="19"/>
        <v>0</v>
      </c>
      <c r="S49">
        <f t="shared" si="20"/>
        <v>25996.892150296047</v>
      </c>
      <c r="T49">
        <f t="shared" si="21"/>
        <v>99.999560000000002</v>
      </c>
      <c r="U49">
        <f t="shared" si="22"/>
        <v>84.299205821862301</v>
      </c>
      <c r="V49">
        <f t="shared" si="23"/>
        <v>0.8429957673999996</v>
      </c>
      <c r="W49">
        <f t="shared" si="24"/>
        <v>0.15868950944399993</v>
      </c>
      <c r="X49">
        <v>1</v>
      </c>
      <c r="Y49">
        <v>1768579053.03333</v>
      </c>
      <c r="Z49">
        <v>408.95206666666701</v>
      </c>
      <c r="AA49">
        <v>409.14786666666703</v>
      </c>
      <c r="AB49">
        <v>15.610433333333299</v>
      </c>
      <c r="AC49">
        <v>15.8158333333333</v>
      </c>
      <c r="AD49">
        <v>409.88286666666698</v>
      </c>
      <c r="AE49">
        <v>15.468780000000001</v>
      </c>
      <c r="AF49">
        <v>700.64186666666706</v>
      </c>
      <c r="AG49">
        <v>99.031559999999999</v>
      </c>
      <c r="AH49">
        <v>5.6689686666666697E-2</v>
      </c>
      <c r="AI49">
        <v>18.986333333333299</v>
      </c>
      <c r="AJ49">
        <v>999.9</v>
      </c>
      <c r="AK49">
        <v>999.9</v>
      </c>
      <c r="AL49">
        <v>0</v>
      </c>
      <c r="AM49">
        <v>0</v>
      </c>
      <c r="AN49">
        <v>5004.5666666666702</v>
      </c>
      <c r="AO49">
        <v>0</v>
      </c>
      <c r="AP49">
        <v>2.7857259999999999</v>
      </c>
      <c r="AQ49">
        <v>-0.19585362000000001</v>
      </c>
      <c r="AR49">
        <v>415.43713333333301</v>
      </c>
      <c r="AS49">
        <v>415.72286666666702</v>
      </c>
      <c r="AT49">
        <v>-0.20540649799999999</v>
      </c>
      <c r="AU49">
        <v>409.14786666666703</v>
      </c>
      <c r="AV49">
        <v>15.8158333333333</v>
      </c>
      <c r="AW49">
        <v>1.5459240000000001</v>
      </c>
      <c r="AX49">
        <v>1.56626666666667</v>
      </c>
      <c r="AY49">
        <v>13.4298866666667</v>
      </c>
      <c r="AZ49">
        <v>13.630853333333301</v>
      </c>
      <c r="BA49">
        <v>99.999560000000002</v>
      </c>
      <c r="BB49">
        <v>0.90013973333333297</v>
      </c>
      <c r="BC49">
        <v>0</v>
      </c>
      <c r="BD49">
        <v>9.986022E-2</v>
      </c>
      <c r="BE49">
        <v>0</v>
      </c>
      <c r="BF49">
        <v>25</v>
      </c>
      <c r="BG49">
        <v>1648.9353333333299</v>
      </c>
      <c r="BH49">
        <v>1768579044.0999999</v>
      </c>
      <c r="BI49" t="s">
        <v>359</v>
      </c>
      <c r="BJ49">
        <v>1768579043.0999999</v>
      </c>
      <c r="BK49">
        <v>1768579044.0999999</v>
      </c>
      <c r="BL49">
        <v>2</v>
      </c>
      <c r="BM49">
        <v>6.4000000000000001E-2</v>
      </c>
      <c r="BN49">
        <v>-2.7E-2</v>
      </c>
      <c r="BO49">
        <v>-0.93100000000000005</v>
      </c>
      <c r="BP49">
        <v>0.14199999999999999</v>
      </c>
      <c r="BQ49">
        <v>408</v>
      </c>
      <c r="BR49">
        <v>16</v>
      </c>
      <c r="BS49">
        <v>0.15</v>
      </c>
      <c r="BT49">
        <v>0.06</v>
      </c>
      <c r="BU49">
        <v>-0.15666957500000001</v>
      </c>
      <c r="BV49">
        <v>-3.1513316255639099</v>
      </c>
      <c r="BW49">
        <v>0.46128484835535799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-0.14921407349999999</v>
      </c>
      <c r="CD49">
        <v>-1.1325926720300701</v>
      </c>
      <c r="CE49">
        <v>0.118978340720617</v>
      </c>
      <c r="CF49">
        <v>0</v>
      </c>
      <c r="CG49">
        <v>0</v>
      </c>
      <c r="CH49">
        <v>2</v>
      </c>
      <c r="CI49" t="s">
        <v>290</v>
      </c>
      <c r="CJ49">
        <v>3.3499699999999999</v>
      </c>
      <c r="CK49">
        <v>2.69258</v>
      </c>
      <c r="CL49">
        <v>9.6991900000000006E-2</v>
      </c>
      <c r="CM49">
        <v>9.5758300000000005E-2</v>
      </c>
      <c r="CN49">
        <v>8.6768799999999993E-2</v>
      </c>
      <c r="CO49">
        <v>8.7034700000000007E-2</v>
      </c>
      <c r="CP49">
        <v>31677.7</v>
      </c>
      <c r="CQ49">
        <v>27821.599999999999</v>
      </c>
      <c r="CR49">
        <v>32465.9</v>
      </c>
      <c r="CS49">
        <v>30692.5</v>
      </c>
      <c r="CT49">
        <v>40139</v>
      </c>
      <c r="CU49">
        <v>39389.5</v>
      </c>
      <c r="CV49">
        <v>47405.9</v>
      </c>
      <c r="CW49">
        <v>46797.1</v>
      </c>
      <c r="CX49">
        <v>2.5105</v>
      </c>
      <c r="CY49">
        <v>2.3356400000000002</v>
      </c>
      <c r="CZ49">
        <v>0</v>
      </c>
      <c r="DA49">
        <v>0</v>
      </c>
      <c r="DB49">
        <v>999.9</v>
      </c>
      <c r="DC49">
        <v>999.9</v>
      </c>
      <c r="DD49">
        <v>64.338999999999999</v>
      </c>
      <c r="DE49">
        <v>23.876999999999999</v>
      </c>
      <c r="DF49">
        <v>19.314399999999999</v>
      </c>
      <c r="DG49">
        <v>30.25</v>
      </c>
      <c r="DH49">
        <v>12.8325</v>
      </c>
      <c r="DI49">
        <v>2</v>
      </c>
      <c r="DJ49">
        <v>-0.16278000000000001</v>
      </c>
      <c r="DK49">
        <v>1.6201000000000001</v>
      </c>
      <c r="DL49">
        <v>20.238</v>
      </c>
      <c r="DM49">
        <v>5.2503500000000001</v>
      </c>
      <c r="DN49">
        <v>12.033899999999999</v>
      </c>
      <c r="DO49">
        <v>4.96732</v>
      </c>
      <c r="DP49">
        <v>3.2909999999999999</v>
      </c>
      <c r="DQ49">
        <v>9999</v>
      </c>
      <c r="DR49">
        <v>9999</v>
      </c>
      <c r="DS49">
        <v>522.70000000000005</v>
      </c>
      <c r="DT49">
        <v>9999</v>
      </c>
      <c r="DU49">
        <v>1.87097</v>
      </c>
      <c r="DV49">
        <v>1.8760300000000001</v>
      </c>
      <c r="DW49">
        <v>1.87622</v>
      </c>
      <c r="DX49">
        <v>1.8827700000000001</v>
      </c>
      <c r="DY49">
        <v>1.87548</v>
      </c>
      <c r="DZ49">
        <v>1.8745400000000001</v>
      </c>
      <c r="EA49">
        <v>1.87073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-0.93100000000000005</v>
      </c>
      <c r="EQ49">
        <v>0.1416</v>
      </c>
      <c r="ER49">
        <v>-0.93090000000000805</v>
      </c>
      <c r="ES49">
        <v>0</v>
      </c>
      <c r="ET49">
        <v>0</v>
      </c>
      <c r="EU49">
        <v>0</v>
      </c>
      <c r="EV49">
        <v>0.14164545454545399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0.3</v>
      </c>
      <c r="FE49">
        <v>0.3</v>
      </c>
      <c r="FF49">
        <v>0.93994100000000003</v>
      </c>
      <c r="FG49">
        <v>2.5647000000000002</v>
      </c>
      <c r="FH49">
        <v>2.19604</v>
      </c>
      <c r="FI49">
        <v>2.677</v>
      </c>
      <c r="FJ49">
        <v>2.4462899999999999</v>
      </c>
      <c r="FK49">
        <v>2.2351100000000002</v>
      </c>
      <c r="FL49">
        <v>29.708300000000001</v>
      </c>
      <c r="FM49">
        <v>24.157499999999999</v>
      </c>
      <c r="FN49">
        <v>19</v>
      </c>
      <c r="FO49">
        <v>757.82399999999996</v>
      </c>
      <c r="FP49">
        <v>743.95899999999995</v>
      </c>
      <c r="FQ49">
        <v>18.583300000000001</v>
      </c>
      <c r="FR49">
        <v>24.956099999999999</v>
      </c>
      <c r="FS49">
        <v>30.000299999999999</v>
      </c>
      <c r="FT49">
        <v>24.958400000000001</v>
      </c>
      <c r="FU49">
        <v>24.957699999999999</v>
      </c>
      <c r="FV49">
        <v>18.883299999999998</v>
      </c>
      <c r="FW49">
        <v>51.764400000000002</v>
      </c>
      <c r="FX49">
        <v>100</v>
      </c>
      <c r="FY49">
        <v>18.586400000000001</v>
      </c>
      <c r="FZ49">
        <v>410</v>
      </c>
      <c r="GA49">
        <v>15.8063</v>
      </c>
      <c r="GB49">
        <v>99.897599999999997</v>
      </c>
      <c r="GC49">
        <v>99.629499999999993</v>
      </c>
    </row>
    <row r="50" spans="1:185" x14ac:dyDescent="0.2">
      <c r="A50">
        <v>35</v>
      </c>
      <c r="B50">
        <v>1768579076.0999999</v>
      </c>
      <c r="C50">
        <v>683.09999990463302</v>
      </c>
      <c r="D50" t="s">
        <v>364</v>
      </c>
      <c r="E50" t="s">
        <v>365</v>
      </c>
      <c r="F50">
        <v>15</v>
      </c>
      <c r="G50">
        <v>1768579068.03333</v>
      </c>
      <c r="H50">
        <f t="shared" si="13"/>
        <v>-1.8216236412231648E-4</v>
      </c>
      <c r="I50">
        <v>0</v>
      </c>
      <c r="J50">
        <f t="shared" si="12"/>
        <v>3.6242145768829812E-3</v>
      </c>
      <c r="K50">
        <f t="shared" si="14"/>
        <v>9.4916989796931805E-2</v>
      </c>
      <c r="L50">
        <f t="shared" si="15"/>
        <v>69.886336195332632</v>
      </c>
      <c r="M50">
        <f t="shared" si="16"/>
        <v>1.5409544373246846</v>
      </c>
      <c r="N50">
        <f t="shared" si="17"/>
        <v>2.204943800484418</v>
      </c>
      <c r="O50">
        <v>0</v>
      </c>
      <c r="P50">
        <v>0</v>
      </c>
      <c r="Q50">
        <f t="shared" si="18"/>
        <v>1</v>
      </c>
      <c r="R50">
        <f t="shared" si="19"/>
        <v>0</v>
      </c>
      <c r="S50">
        <f t="shared" si="20"/>
        <v>25985.792414944615</v>
      </c>
      <c r="T50">
        <f t="shared" si="21"/>
        <v>99.999286666666706</v>
      </c>
      <c r="U50">
        <f t="shared" si="22"/>
        <v>84.299090842195838</v>
      </c>
      <c r="V50">
        <f t="shared" si="23"/>
        <v>0.84299692180000019</v>
      </c>
      <c r="W50">
        <f t="shared" si="24"/>
        <v>0.15869242142800005</v>
      </c>
      <c r="X50">
        <v>1</v>
      </c>
      <c r="Y50">
        <v>1768579068.03333</v>
      </c>
      <c r="Z50">
        <v>409.61880000000002</v>
      </c>
      <c r="AA50">
        <v>409.64780000000002</v>
      </c>
      <c r="AB50">
        <v>15.55166</v>
      </c>
      <c r="AC50">
        <v>15.8078466666667</v>
      </c>
      <c r="AD50">
        <v>410.5498</v>
      </c>
      <c r="AE50">
        <v>15.4100133333333</v>
      </c>
      <c r="AF50">
        <v>699.99519999999995</v>
      </c>
      <c r="AG50">
        <v>99.031446666666696</v>
      </c>
      <c r="AH50">
        <v>5.4724026666666703E-2</v>
      </c>
      <c r="AI50">
        <v>18.998280000000001</v>
      </c>
      <c r="AJ50">
        <v>999.9</v>
      </c>
      <c r="AK50">
        <v>999.9</v>
      </c>
      <c r="AL50">
        <v>0</v>
      </c>
      <c r="AM50">
        <v>0</v>
      </c>
      <c r="AN50">
        <v>5002.8999999999996</v>
      </c>
      <c r="AO50">
        <v>0</v>
      </c>
      <c r="AP50">
        <v>2.7665299999999999</v>
      </c>
      <c r="AQ50">
        <v>-2.8932713333333301E-2</v>
      </c>
      <c r="AR50">
        <v>416.08960000000002</v>
      </c>
      <c r="AS50">
        <v>416.227466666667</v>
      </c>
      <c r="AT50">
        <v>-0.25618106666666701</v>
      </c>
      <c r="AU50">
        <v>409.64780000000002</v>
      </c>
      <c r="AV50">
        <v>15.8078466666667</v>
      </c>
      <c r="AW50">
        <v>1.54010266666667</v>
      </c>
      <c r="AX50">
        <v>1.5654726666666701</v>
      </c>
      <c r="AY50">
        <v>13.372213333333301</v>
      </c>
      <c r="AZ50">
        <v>13.623060000000001</v>
      </c>
      <c r="BA50">
        <v>99.999286666666706</v>
      </c>
      <c r="BB50">
        <v>0.900100866666667</v>
      </c>
      <c r="BC50">
        <v>0</v>
      </c>
      <c r="BD50">
        <v>9.9899073333333296E-2</v>
      </c>
      <c r="BE50">
        <v>0</v>
      </c>
      <c r="BF50">
        <v>25</v>
      </c>
      <c r="BG50">
        <v>1648.9186666666701</v>
      </c>
      <c r="BH50">
        <v>1768579044.0999999</v>
      </c>
      <c r="BI50" t="s">
        <v>359</v>
      </c>
      <c r="BJ50">
        <v>1768579043.0999999</v>
      </c>
      <c r="BK50">
        <v>1768579044.0999999</v>
      </c>
      <c r="BL50">
        <v>2</v>
      </c>
      <c r="BM50">
        <v>6.4000000000000001E-2</v>
      </c>
      <c r="BN50">
        <v>-2.7E-2</v>
      </c>
      <c r="BO50">
        <v>-0.93100000000000005</v>
      </c>
      <c r="BP50">
        <v>0.14199999999999999</v>
      </c>
      <c r="BQ50">
        <v>408</v>
      </c>
      <c r="BR50">
        <v>16</v>
      </c>
      <c r="BS50">
        <v>0.15</v>
      </c>
      <c r="BT50">
        <v>0.06</v>
      </c>
      <c r="BU50">
        <v>-0.224750319047619</v>
      </c>
      <c r="BV50">
        <v>2.9148294077922099</v>
      </c>
      <c r="BW50">
        <v>0.37990205861877402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-0.255175571428571</v>
      </c>
      <c r="CD50">
        <v>-1.70843376623377E-2</v>
      </c>
      <c r="CE50">
        <v>1.86825300548855E-3</v>
      </c>
      <c r="CF50">
        <v>1</v>
      </c>
      <c r="CG50">
        <v>1</v>
      </c>
      <c r="CH50">
        <v>2</v>
      </c>
      <c r="CI50" t="s">
        <v>303</v>
      </c>
      <c r="CJ50">
        <v>3.34998</v>
      </c>
      <c r="CK50">
        <v>2.6925599999999998</v>
      </c>
      <c r="CL50">
        <v>9.7031199999999998E-2</v>
      </c>
      <c r="CM50">
        <v>9.5730599999999999E-2</v>
      </c>
      <c r="CN50">
        <v>8.6762300000000001E-2</v>
      </c>
      <c r="CO50">
        <v>8.7037500000000004E-2</v>
      </c>
      <c r="CP50">
        <v>31675.8</v>
      </c>
      <c r="CQ50">
        <v>27822.400000000001</v>
      </c>
      <c r="CR50">
        <v>32465.4</v>
      </c>
      <c r="CS50">
        <v>30692.400000000001</v>
      </c>
      <c r="CT50">
        <v>40138.800000000003</v>
      </c>
      <c r="CU50">
        <v>39389</v>
      </c>
      <c r="CV50">
        <v>47405.3</v>
      </c>
      <c r="CW50">
        <v>46796.7</v>
      </c>
      <c r="CX50">
        <v>2.5114999999999998</v>
      </c>
      <c r="CY50">
        <v>2.3361800000000001</v>
      </c>
      <c r="CZ50">
        <v>0</v>
      </c>
      <c r="DA50">
        <v>0</v>
      </c>
      <c r="DB50">
        <v>999.9</v>
      </c>
      <c r="DC50">
        <v>999.9</v>
      </c>
      <c r="DD50">
        <v>64.278000000000006</v>
      </c>
      <c r="DE50">
        <v>23.907</v>
      </c>
      <c r="DF50">
        <v>19.331399999999999</v>
      </c>
      <c r="DG50">
        <v>30.31</v>
      </c>
      <c r="DH50">
        <v>12.8886</v>
      </c>
      <c r="DI50">
        <v>2</v>
      </c>
      <c r="DJ50">
        <v>-0.16208700000000001</v>
      </c>
      <c r="DK50">
        <v>1.90574</v>
      </c>
      <c r="DL50">
        <v>20.233699999999999</v>
      </c>
      <c r="DM50">
        <v>5.2483199999999997</v>
      </c>
      <c r="DN50">
        <v>12.033899999999999</v>
      </c>
      <c r="DO50">
        <v>4.9669600000000003</v>
      </c>
      <c r="DP50">
        <v>3.2907199999999999</v>
      </c>
      <c r="DQ50">
        <v>9999</v>
      </c>
      <c r="DR50">
        <v>9999</v>
      </c>
      <c r="DS50">
        <v>522.70000000000005</v>
      </c>
      <c r="DT50">
        <v>9999</v>
      </c>
      <c r="DU50">
        <v>1.87094</v>
      </c>
      <c r="DV50">
        <v>1.87605</v>
      </c>
      <c r="DW50">
        <v>1.87622</v>
      </c>
      <c r="DX50">
        <v>1.88276</v>
      </c>
      <c r="DY50">
        <v>1.87547</v>
      </c>
      <c r="DZ50">
        <v>1.8745400000000001</v>
      </c>
      <c r="EA50">
        <v>1.8707199999999999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-0.93100000000000005</v>
      </c>
      <c r="EQ50">
        <v>0.1416</v>
      </c>
      <c r="ER50">
        <v>-0.93090000000000805</v>
      </c>
      <c r="ES50">
        <v>0</v>
      </c>
      <c r="ET50">
        <v>0</v>
      </c>
      <c r="EU50">
        <v>0</v>
      </c>
      <c r="EV50">
        <v>0.14164545454545399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0.6</v>
      </c>
      <c r="FE50">
        <v>0.5</v>
      </c>
      <c r="FF50">
        <v>0.94238299999999997</v>
      </c>
      <c r="FG50">
        <v>2.5585900000000001</v>
      </c>
      <c r="FH50">
        <v>2.19604</v>
      </c>
      <c r="FI50">
        <v>2.677</v>
      </c>
      <c r="FJ50">
        <v>2.4462899999999999</v>
      </c>
      <c r="FK50">
        <v>2.2814899999999998</v>
      </c>
      <c r="FL50">
        <v>29.708300000000001</v>
      </c>
      <c r="FM50">
        <v>24.157499999999999</v>
      </c>
      <c r="FN50">
        <v>19</v>
      </c>
      <c r="FO50">
        <v>758.74699999999996</v>
      </c>
      <c r="FP50">
        <v>744.56399999999996</v>
      </c>
      <c r="FQ50">
        <v>18.587299999999999</v>
      </c>
      <c r="FR50">
        <v>24.962</v>
      </c>
      <c r="FS50">
        <v>30.000499999999999</v>
      </c>
      <c r="FT50">
        <v>24.964600000000001</v>
      </c>
      <c r="FU50">
        <v>24.964400000000001</v>
      </c>
      <c r="FV50">
        <v>18.926100000000002</v>
      </c>
      <c r="FW50">
        <v>51.764400000000002</v>
      </c>
      <c r="FX50">
        <v>100</v>
      </c>
      <c r="FY50">
        <v>18.463899999999999</v>
      </c>
      <c r="FZ50">
        <v>410</v>
      </c>
      <c r="GA50">
        <v>15.8063</v>
      </c>
      <c r="GB50">
        <v>99.896199999999993</v>
      </c>
      <c r="GC50">
        <v>99.628900000000002</v>
      </c>
    </row>
    <row r="51" spans="1:185" x14ac:dyDescent="0.2">
      <c r="A51">
        <v>36</v>
      </c>
      <c r="B51">
        <v>1768579091.0999999</v>
      </c>
      <c r="C51">
        <v>698.09999990463302</v>
      </c>
      <c r="D51" t="s">
        <v>366</v>
      </c>
      <c r="E51" t="s">
        <v>367</v>
      </c>
      <c r="F51">
        <v>15</v>
      </c>
      <c r="G51">
        <v>1768579083.03333</v>
      </c>
      <c r="H51">
        <f t="shared" si="13"/>
        <v>-1.8476670021500712E-4</v>
      </c>
      <c r="I51">
        <v>0</v>
      </c>
      <c r="J51">
        <f t="shared" si="12"/>
        <v>-7.1732522115931551E-3</v>
      </c>
      <c r="K51">
        <f t="shared" si="14"/>
        <v>-0.18786512016189313</v>
      </c>
      <c r="L51">
        <f t="shared" si="15"/>
        <v>69.848317596442143</v>
      </c>
      <c r="M51">
        <f t="shared" si="16"/>
        <v>1.5407480177461681</v>
      </c>
      <c r="N51">
        <f t="shared" si="17"/>
        <v>2.2058484309501094</v>
      </c>
      <c r="O51">
        <v>0</v>
      </c>
      <c r="P51">
        <v>0</v>
      </c>
      <c r="Q51">
        <f t="shared" si="18"/>
        <v>1</v>
      </c>
      <c r="R51">
        <f t="shared" si="19"/>
        <v>0</v>
      </c>
      <c r="S51">
        <f t="shared" si="20"/>
        <v>25985.19830914792</v>
      </c>
      <c r="T51">
        <f t="shared" si="21"/>
        <v>100.000826666667</v>
      </c>
      <c r="U51">
        <f t="shared" si="22"/>
        <v>84.300309376796875</v>
      </c>
      <c r="V51">
        <f t="shared" si="23"/>
        <v>0.84299612499999932</v>
      </c>
      <c r="W51">
        <f t="shared" si="24"/>
        <v>0.15869050737999987</v>
      </c>
      <c r="X51">
        <v>1</v>
      </c>
      <c r="Y51">
        <v>1768579083.03333</v>
      </c>
      <c r="Z51">
        <v>409.7586</v>
      </c>
      <c r="AA51">
        <v>409.38206666666701</v>
      </c>
      <c r="AB51">
        <v>15.5492133333333</v>
      </c>
      <c r="AC51">
        <v>15.809060000000001</v>
      </c>
      <c r="AD51">
        <v>410.68939999999998</v>
      </c>
      <c r="AE51">
        <v>15.407553333333301</v>
      </c>
      <c r="AF51">
        <v>700.00406666666697</v>
      </c>
      <c r="AG51">
        <v>99.033699999999996</v>
      </c>
      <c r="AH51">
        <v>5.4786646666666702E-2</v>
      </c>
      <c r="AI51">
        <v>19.004853333333301</v>
      </c>
      <c r="AJ51">
        <v>999.9</v>
      </c>
      <c r="AK51">
        <v>999.9</v>
      </c>
      <c r="AL51">
        <v>0</v>
      </c>
      <c r="AM51">
        <v>0</v>
      </c>
      <c r="AN51">
        <v>5002.8</v>
      </c>
      <c r="AO51">
        <v>0</v>
      </c>
      <c r="AP51">
        <v>2.7702933333333299</v>
      </c>
      <c r="AQ51">
        <v>0.37658094666666703</v>
      </c>
      <c r="AR51">
        <v>416.23046666666698</v>
      </c>
      <c r="AS51">
        <v>415.95780000000002</v>
      </c>
      <c r="AT51">
        <v>-0.25985166666666698</v>
      </c>
      <c r="AU51">
        <v>409.38206666666701</v>
      </c>
      <c r="AV51">
        <v>15.809060000000001</v>
      </c>
      <c r="AW51">
        <v>1.5398959999999999</v>
      </c>
      <c r="AX51">
        <v>1.56562933333333</v>
      </c>
      <c r="AY51">
        <v>13.3701666666667</v>
      </c>
      <c r="AZ51">
        <v>13.6246266666667</v>
      </c>
      <c r="BA51">
        <v>100.000826666667</v>
      </c>
      <c r="BB51">
        <v>0.90012626666666595</v>
      </c>
      <c r="BC51">
        <v>0</v>
      </c>
      <c r="BD51">
        <v>9.9873633333333295E-2</v>
      </c>
      <c r="BE51">
        <v>0</v>
      </c>
      <c r="BF51">
        <v>25</v>
      </c>
      <c r="BG51">
        <v>1648.95066666667</v>
      </c>
      <c r="BH51">
        <v>1768579044.0999999</v>
      </c>
      <c r="BI51" t="s">
        <v>359</v>
      </c>
      <c r="BJ51">
        <v>1768579043.0999999</v>
      </c>
      <c r="BK51">
        <v>1768579044.0999999</v>
      </c>
      <c r="BL51">
        <v>2</v>
      </c>
      <c r="BM51">
        <v>6.4000000000000001E-2</v>
      </c>
      <c r="BN51">
        <v>-2.7E-2</v>
      </c>
      <c r="BO51">
        <v>-0.93100000000000005</v>
      </c>
      <c r="BP51">
        <v>0.14199999999999999</v>
      </c>
      <c r="BQ51">
        <v>408</v>
      </c>
      <c r="BR51">
        <v>16</v>
      </c>
      <c r="BS51">
        <v>0.15</v>
      </c>
      <c r="BT51">
        <v>0.06</v>
      </c>
      <c r="BU51">
        <v>0.27776958000000002</v>
      </c>
      <c r="BV51">
        <v>4.1219653172932302</v>
      </c>
      <c r="BW51">
        <v>0.47763149569903601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-0.25911954999999998</v>
      </c>
      <c r="CD51">
        <v>-2.16618496240603E-2</v>
      </c>
      <c r="CE51">
        <v>2.2254734209825899E-3</v>
      </c>
      <c r="CF51">
        <v>1</v>
      </c>
      <c r="CG51">
        <v>1</v>
      </c>
      <c r="CH51">
        <v>2</v>
      </c>
      <c r="CI51" t="s">
        <v>303</v>
      </c>
      <c r="CJ51">
        <v>3.3498600000000001</v>
      </c>
      <c r="CK51">
        <v>2.69278</v>
      </c>
      <c r="CL51">
        <v>9.69975E-2</v>
      </c>
      <c r="CM51">
        <v>9.5452099999999998E-2</v>
      </c>
      <c r="CN51">
        <v>8.6748099999999995E-2</v>
      </c>
      <c r="CO51">
        <v>8.7045499999999998E-2</v>
      </c>
      <c r="CP51">
        <v>31676.9</v>
      </c>
      <c r="CQ51">
        <v>27831.3</v>
      </c>
      <c r="CR51">
        <v>32465.3</v>
      </c>
      <c r="CS51">
        <v>30692.799999999999</v>
      </c>
      <c r="CT51">
        <v>40139.599999999999</v>
      </c>
      <c r="CU51">
        <v>39389.199999999997</v>
      </c>
      <c r="CV51">
        <v>47405.4</v>
      </c>
      <c r="CW51">
        <v>46797.5</v>
      </c>
      <c r="CX51">
        <v>2.51166</v>
      </c>
      <c r="CY51">
        <v>2.3364799999999999</v>
      </c>
      <c r="CZ51">
        <v>0</v>
      </c>
      <c r="DA51">
        <v>0</v>
      </c>
      <c r="DB51">
        <v>999.9</v>
      </c>
      <c r="DC51">
        <v>999.9</v>
      </c>
      <c r="DD51">
        <v>64.228999999999999</v>
      </c>
      <c r="DE51">
        <v>23.927</v>
      </c>
      <c r="DF51">
        <v>19.339600000000001</v>
      </c>
      <c r="DG51">
        <v>30.25</v>
      </c>
      <c r="DH51">
        <v>12.9087</v>
      </c>
      <c r="DI51">
        <v>2</v>
      </c>
      <c r="DJ51">
        <v>-0.16120300000000001</v>
      </c>
      <c r="DK51">
        <v>1.84972</v>
      </c>
      <c r="DL51">
        <v>20.2348</v>
      </c>
      <c r="DM51">
        <v>5.2505899999999999</v>
      </c>
      <c r="DN51">
        <v>12.033899999999999</v>
      </c>
      <c r="DO51">
        <v>4.9669600000000003</v>
      </c>
      <c r="DP51">
        <v>3.2909999999999999</v>
      </c>
      <c r="DQ51">
        <v>9999</v>
      </c>
      <c r="DR51">
        <v>9999</v>
      </c>
      <c r="DS51">
        <v>522.70000000000005</v>
      </c>
      <c r="DT51">
        <v>9999</v>
      </c>
      <c r="DU51">
        <v>1.87097</v>
      </c>
      <c r="DV51">
        <v>1.8760600000000001</v>
      </c>
      <c r="DW51">
        <v>1.8762300000000001</v>
      </c>
      <c r="DX51">
        <v>1.8827700000000001</v>
      </c>
      <c r="DY51">
        <v>1.8754900000000001</v>
      </c>
      <c r="DZ51">
        <v>1.8745499999999999</v>
      </c>
      <c r="EA51">
        <v>1.87073</v>
      </c>
      <c r="EB51">
        <v>1.8745499999999999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-0.93100000000000005</v>
      </c>
      <c r="EQ51">
        <v>0.14169999999999999</v>
      </c>
      <c r="ER51">
        <v>-0.93090000000000805</v>
      </c>
      <c r="ES51">
        <v>0</v>
      </c>
      <c r="ET51">
        <v>0</v>
      </c>
      <c r="EU51">
        <v>0</v>
      </c>
      <c r="EV51">
        <v>0.14164545454545399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0.8</v>
      </c>
      <c r="FE51">
        <v>0.8</v>
      </c>
      <c r="FF51">
        <v>0.94848600000000005</v>
      </c>
      <c r="FG51">
        <v>2.5634800000000002</v>
      </c>
      <c r="FH51">
        <v>2.19604</v>
      </c>
      <c r="FI51">
        <v>2.677</v>
      </c>
      <c r="FJ51">
        <v>2.4462899999999999</v>
      </c>
      <c r="FK51">
        <v>2.2497600000000002</v>
      </c>
      <c r="FL51">
        <v>29.729700000000001</v>
      </c>
      <c r="FM51">
        <v>24.1663</v>
      </c>
      <c r="FN51">
        <v>19</v>
      </c>
      <c r="FO51">
        <v>758.976</v>
      </c>
      <c r="FP51">
        <v>744.94299999999998</v>
      </c>
      <c r="FQ51">
        <v>18.4405</v>
      </c>
      <c r="FR51">
        <v>24.9679</v>
      </c>
      <c r="FS51">
        <v>30.0002</v>
      </c>
      <c r="FT51">
        <v>24.971299999999999</v>
      </c>
      <c r="FU51">
        <v>24.9711</v>
      </c>
      <c r="FV51">
        <v>19.051100000000002</v>
      </c>
      <c r="FW51">
        <v>51.764400000000002</v>
      </c>
      <c r="FX51">
        <v>100</v>
      </c>
      <c r="FY51">
        <v>18.449000000000002</v>
      </c>
      <c r="FZ51">
        <v>410</v>
      </c>
      <c r="GA51">
        <v>15.8063</v>
      </c>
      <c r="GB51">
        <v>99.896299999999997</v>
      </c>
      <c r="GC51">
        <v>99.630300000000005</v>
      </c>
    </row>
    <row r="52" spans="1:185" x14ac:dyDescent="0.2">
      <c r="A52">
        <v>37</v>
      </c>
      <c r="B52">
        <v>1768579106.0999999</v>
      </c>
      <c r="C52">
        <v>713.09999990463302</v>
      </c>
      <c r="D52" t="s">
        <v>368</v>
      </c>
      <c r="E52" t="s">
        <v>369</v>
      </c>
      <c r="F52">
        <v>15</v>
      </c>
      <c r="G52">
        <v>1768579098.03333</v>
      </c>
      <c r="H52">
        <f t="shared" si="13"/>
        <v>-1.8586433410468223E-4</v>
      </c>
      <c r="I52">
        <v>0</v>
      </c>
      <c r="J52">
        <f t="shared" si="12"/>
        <v>5.1119176512184087E-3</v>
      </c>
      <c r="K52">
        <f t="shared" si="14"/>
        <v>0.13387944484257278</v>
      </c>
      <c r="L52">
        <f t="shared" si="15"/>
        <v>69.87304469042499</v>
      </c>
      <c r="M52">
        <f t="shared" si="16"/>
        <v>1.540795972298352</v>
      </c>
      <c r="N52">
        <f t="shared" si="17"/>
        <v>2.2051364429944385</v>
      </c>
      <c r="O52">
        <v>0</v>
      </c>
      <c r="P52">
        <v>0</v>
      </c>
      <c r="Q52">
        <f t="shared" si="18"/>
        <v>1</v>
      </c>
      <c r="R52">
        <f t="shared" si="19"/>
        <v>0</v>
      </c>
      <c r="S52">
        <f t="shared" si="20"/>
        <v>25946.321995334565</v>
      </c>
      <c r="T52">
        <f t="shared" si="21"/>
        <v>100.000486666667</v>
      </c>
      <c r="U52">
        <f t="shared" si="22"/>
        <v>84.299989877954459</v>
      </c>
      <c r="V52">
        <f t="shared" si="23"/>
        <v>0.8429957962000002</v>
      </c>
      <c r="W52">
        <f t="shared" si="24"/>
        <v>0.15868976333200005</v>
      </c>
      <c r="X52">
        <v>1</v>
      </c>
      <c r="Y52">
        <v>1768579098.03333</v>
      </c>
      <c r="Z52">
        <v>409.47320000000002</v>
      </c>
      <c r="AA52">
        <v>409.55573333333302</v>
      </c>
      <c r="AB52">
        <v>15.5496</v>
      </c>
      <c r="AC52">
        <v>15.8109933333333</v>
      </c>
      <c r="AD52">
        <v>410.40413333333299</v>
      </c>
      <c r="AE52">
        <v>15.40794</v>
      </c>
      <c r="AF52">
        <v>699.99573333333296</v>
      </c>
      <c r="AG52">
        <v>99.034059999999997</v>
      </c>
      <c r="AH52">
        <v>5.5046619999999997E-2</v>
      </c>
      <c r="AI52">
        <v>18.999680000000001</v>
      </c>
      <c r="AJ52">
        <v>999.9</v>
      </c>
      <c r="AK52">
        <v>999.9</v>
      </c>
      <c r="AL52">
        <v>0</v>
      </c>
      <c r="AM52">
        <v>0</v>
      </c>
      <c r="AN52">
        <v>4996.2333333333299</v>
      </c>
      <c r="AO52">
        <v>0</v>
      </c>
      <c r="AP52">
        <v>2.7702933333333299</v>
      </c>
      <c r="AQ52">
        <v>-8.2515320000000003E-2</v>
      </c>
      <c r="AR52">
        <v>415.94106666666698</v>
      </c>
      <c r="AS52">
        <v>416.1352</v>
      </c>
      <c r="AT52">
        <v>-0.261401933333333</v>
      </c>
      <c r="AU52">
        <v>409.55573333333302</v>
      </c>
      <c r="AV52">
        <v>15.8109933333333</v>
      </c>
      <c r="AW52">
        <v>1.53994066666667</v>
      </c>
      <c r="AX52">
        <v>1.5658273333333299</v>
      </c>
      <c r="AY52">
        <v>13.3705933333333</v>
      </c>
      <c r="AZ52">
        <v>13.626566666666699</v>
      </c>
      <c r="BA52">
        <v>100.000486666667</v>
      </c>
      <c r="BB52">
        <v>0.90013606666666701</v>
      </c>
      <c r="BC52">
        <v>0</v>
      </c>
      <c r="BD52">
        <v>9.9863793333333298E-2</v>
      </c>
      <c r="BE52">
        <v>0</v>
      </c>
      <c r="BF52">
        <v>25</v>
      </c>
      <c r="BG52">
        <v>1648.95</v>
      </c>
      <c r="BH52">
        <v>1768579044.0999999</v>
      </c>
      <c r="BI52" t="s">
        <v>359</v>
      </c>
      <c r="BJ52">
        <v>1768579043.0999999</v>
      </c>
      <c r="BK52">
        <v>1768579044.0999999</v>
      </c>
      <c r="BL52">
        <v>2</v>
      </c>
      <c r="BM52">
        <v>6.4000000000000001E-2</v>
      </c>
      <c r="BN52">
        <v>-2.7E-2</v>
      </c>
      <c r="BO52">
        <v>-0.93100000000000005</v>
      </c>
      <c r="BP52">
        <v>0.14199999999999999</v>
      </c>
      <c r="BQ52">
        <v>408</v>
      </c>
      <c r="BR52">
        <v>16</v>
      </c>
      <c r="BS52">
        <v>0.15</v>
      </c>
      <c r="BT52">
        <v>0.06</v>
      </c>
      <c r="BU52">
        <v>0.20027267619047601</v>
      </c>
      <c r="BV52">
        <v>-6.4427560363636402</v>
      </c>
      <c r="BW52">
        <v>0.69625248799991901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-0.26154638095238097</v>
      </c>
      <c r="CD52">
        <v>2.1386493506491901E-3</v>
      </c>
      <c r="CE52">
        <v>4.6346083989197602E-4</v>
      </c>
      <c r="CF52">
        <v>1</v>
      </c>
      <c r="CG52">
        <v>1</v>
      </c>
      <c r="CH52">
        <v>2</v>
      </c>
      <c r="CI52" t="s">
        <v>303</v>
      </c>
      <c r="CJ52">
        <v>3.34998</v>
      </c>
      <c r="CK52">
        <v>2.6927599999999998</v>
      </c>
      <c r="CL52">
        <v>9.7047700000000001E-2</v>
      </c>
      <c r="CM52">
        <v>9.5816299999999993E-2</v>
      </c>
      <c r="CN52">
        <v>8.6761699999999997E-2</v>
      </c>
      <c r="CO52">
        <v>8.7055300000000002E-2</v>
      </c>
      <c r="CP52">
        <v>31675.200000000001</v>
      </c>
      <c r="CQ52">
        <v>27819.9</v>
      </c>
      <c r="CR52">
        <v>32465.4</v>
      </c>
      <c r="CS52">
        <v>30692.7</v>
      </c>
      <c r="CT52">
        <v>40139.1</v>
      </c>
      <c r="CU52">
        <v>39389.199999999997</v>
      </c>
      <c r="CV52">
        <v>47405.5</v>
      </c>
      <c r="CW52">
        <v>46798</v>
      </c>
      <c r="CX52">
        <v>2.5118399999999999</v>
      </c>
      <c r="CY52">
        <v>2.3361000000000001</v>
      </c>
      <c r="CZ52">
        <v>0</v>
      </c>
      <c r="DA52">
        <v>0</v>
      </c>
      <c r="DB52">
        <v>999.9</v>
      </c>
      <c r="DC52">
        <v>999.9</v>
      </c>
      <c r="DD52">
        <v>64.156000000000006</v>
      </c>
      <c r="DE52">
        <v>23.937000000000001</v>
      </c>
      <c r="DF52">
        <v>19.3293</v>
      </c>
      <c r="DG52">
        <v>30.37</v>
      </c>
      <c r="DH52">
        <v>12.896599999999999</v>
      </c>
      <c r="DI52">
        <v>2</v>
      </c>
      <c r="DJ52">
        <v>-0.161055</v>
      </c>
      <c r="DK52">
        <v>1.78068</v>
      </c>
      <c r="DL52">
        <v>20.235600000000002</v>
      </c>
      <c r="DM52">
        <v>5.2502399999999998</v>
      </c>
      <c r="DN52">
        <v>12.033899999999999</v>
      </c>
      <c r="DO52">
        <v>4.9668799999999997</v>
      </c>
      <c r="DP52">
        <v>3.2909999999999999</v>
      </c>
      <c r="DQ52">
        <v>9999</v>
      </c>
      <c r="DR52">
        <v>9999</v>
      </c>
      <c r="DS52">
        <v>522.70000000000005</v>
      </c>
      <c r="DT52">
        <v>9999</v>
      </c>
      <c r="DU52">
        <v>1.8709199999999999</v>
      </c>
      <c r="DV52">
        <v>1.87602</v>
      </c>
      <c r="DW52">
        <v>1.87622</v>
      </c>
      <c r="DX52">
        <v>1.8827700000000001</v>
      </c>
      <c r="DY52">
        <v>1.87547</v>
      </c>
      <c r="DZ52">
        <v>1.8745400000000001</v>
      </c>
      <c r="EA52">
        <v>1.8707199999999999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-0.93100000000000005</v>
      </c>
      <c r="EQ52">
        <v>0.1416</v>
      </c>
      <c r="ER52">
        <v>-0.93090000000000805</v>
      </c>
      <c r="ES52">
        <v>0</v>
      </c>
      <c r="ET52">
        <v>0</v>
      </c>
      <c r="EU52">
        <v>0</v>
      </c>
      <c r="EV52">
        <v>0.14164545454545399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1.1000000000000001</v>
      </c>
      <c r="FE52">
        <v>1</v>
      </c>
      <c r="FF52">
        <v>0.94848600000000005</v>
      </c>
      <c r="FG52">
        <v>2.5683600000000002</v>
      </c>
      <c r="FH52">
        <v>2.19604</v>
      </c>
      <c r="FI52">
        <v>2.677</v>
      </c>
      <c r="FJ52">
        <v>2.4462899999999999</v>
      </c>
      <c r="FK52">
        <v>2.2863799999999999</v>
      </c>
      <c r="FL52">
        <v>29.751000000000001</v>
      </c>
      <c r="FM52">
        <v>24.157499999999999</v>
      </c>
      <c r="FN52">
        <v>19</v>
      </c>
      <c r="FO52">
        <v>759.21500000000003</v>
      </c>
      <c r="FP52">
        <v>744.67700000000002</v>
      </c>
      <c r="FQ52">
        <v>18.449400000000001</v>
      </c>
      <c r="FR52">
        <v>24.973700000000001</v>
      </c>
      <c r="FS52">
        <v>30.0002</v>
      </c>
      <c r="FT52">
        <v>24.977599999999999</v>
      </c>
      <c r="FU52">
        <v>24.977399999999999</v>
      </c>
      <c r="FV52">
        <v>19.0456</v>
      </c>
      <c r="FW52">
        <v>51.764400000000002</v>
      </c>
      <c r="FX52">
        <v>100</v>
      </c>
      <c r="FY52">
        <v>18.453199999999999</v>
      </c>
      <c r="FZ52">
        <v>410</v>
      </c>
      <c r="GA52">
        <v>15.8063</v>
      </c>
      <c r="GB52">
        <v>99.896600000000007</v>
      </c>
      <c r="GC52">
        <v>99.630799999999994</v>
      </c>
    </row>
    <row r="53" spans="1:185" x14ac:dyDescent="0.2">
      <c r="A53">
        <v>38</v>
      </c>
      <c r="B53">
        <v>1768579121.0999999</v>
      </c>
      <c r="C53">
        <v>728.09999990463302</v>
      </c>
      <c r="D53" t="s">
        <v>370</v>
      </c>
      <c r="E53" t="s">
        <v>371</v>
      </c>
      <c r="F53">
        <v>15</v>
      </c>
      <c r="G53">
        <v>1768579113.03333</v>
      </c>
      <c r="H53">
        <f t="shared" si="13"/>
        <v>-1.8386224572890442E-4</v>
      </c>
      <c r="I53">
        <v>0</v>
      </c>
      <c r="J53">
        <f t="shared" si="12"/>
        <v>1.3202585060589656E-4</v>
      </c>
      <c r="K53">
        <f t="shared" si="14"/>
        <v>3.4577136781092262E-3</v>
      </c>
      <c r="L53">
        <f t="shared" si="15"/>
        <v>69.900462731747226</v>
      </c>
      <c r="M53">
        <f t="shared" si="16"/>
        <v>1.5412543778786987</v>
      </c>
      <c r="N53">
        <f t="shared" si="17"/>
        <v>2.2049272889558362</v>
      </c>
      <c r="O53">
        <v>0</v>
      </c>
      <c r="P53">
        <v>0</v>
      </c>
      <c r="Q53">
        <f t="shared" si="18"/>
        <v>1</v>
      </c>
      <c r="R53">
        <f t="shared" si="19"/>
        <v>0</v>
      </c>
      <c r="S53">
        <f t="shared" si="20"/>
        <v>25940.233920054245</v>
      </c>
      <c r="T53">
        <f t="shared" si="21"/>
        <v>99.999026666666694</v>
      </c>
      <c r="U53">
        <f t="shared" si="22"/>
        <v>84.298736064316003</v>
      </c>
      <c r="V53">
        <f t="shared" si="23"/>
        <v>0.84299556580000023</v>
      </c>
      <c r="W53">
        <f t="shared" si="24"/>
        <v>0.15868903142800003</v>
      </c>
      <c r="X53">
        <v>1</v>
      </c>
      <c r="Y53">
        <v>1768579113.03333</v>
      </c>
      <c r="Z53">
        <v>409.93446666666699</v>
      </c>
      <c r="AA53">
        <v>409.83173333333298</v>
      </c>
      <c r="AB53">
        <v>15.554273333333301</v>
      </c>
      <c r="AC53">
        <v>15.812846666666699</v>
      </c>
      <c r="AD53">
        <v>410.86520000000002</v>
      </c>
      <c r="AE53">
        <v>15.412613333333301</v>
      </c>
      <c r="AF53">
        <v>700.00413333333302</v>
      </c>
      <c r="AG53">
        <v>99.033993333333299</v>
      </c>
      <c r="AH53">
        <v>5.4812993333333303E-2</v>
      </c>
      <c r="AI53">
        <v>18.998159999999999</v>
      </c>
      <c r="AJ53">
        <v>999.9</v>
      </c>
      <c r="AK53">
        <v>999.9</v>
      </c>
      <c r="AL53">
        <v>0</v>
      </c>
      <c r="AM53">
        <v>0</v>
      </c>
      <c r="AN53">
        <v>4995.2</v>
      </c>
      <c r="AO53">
        <v>0</v>
      </c>
      <c r="AP53">
        <v>2.7665299999999999</v>
      </c>
      <c r="AQ53">
        <v>0.102685453333333</v>
      </c>
      <c r="AR53">
        <v>416.41146666666702</v>
      </c>
      <c r="AS53">
        <v>416.41646666666702</v>
      </c>
      <c r="AT53">
        <v>-0.25858773333333301</v>
      </c>
      <c r="AU53">
        <v>409.83173333333298</v>
      </c>
      <c r="AV53">
        <v>15.812846666666699</v>
      </c>
      <c r="AW53">
        <v>1.5404026666666699</v>
      </c>
      <c r="AX53">
        <v>1.56601066666667</v>
      </c>
      <c r="AY53">
        <v>13.37518</v>
      </c>
      <c r="AZ53">
        <v>13.6283666666667</v>
      </c>
      <c r="BA53">
        <v>99.999026666666694</v>
      </c>
      <c r="BB53">
        <v>0.90014606666666697</v>
      </c>
      <c r="BC53">
        <v>0</v>
      </c>
      <c r="BD53">
        <v>9.9853873333333301E-2</v>
      </c>
      <c r="BE53">
        <v>0</v>
      </c>
      <c r="BF53">
        <v>25</v>
      </c>
      <c r="BG53">
        <v>1648.93333333333</v>
      </c>
      <c r="BH53">
        <v>1768579044.0999999</v>
      </c>
      <c r="BI53" t="s">
        <v>359</v>
      </c>
      <c r="BJ53">
        <v>1768579043.0999999</v>
      </c>
      <c r="BK53">
        <v>1768579044.0999999</v>
      </c>
      <c r="BL53">
        <v>2</v>
      </c>
      <c r="BM53">
        <v>6.4000000000000001E-2</v>
      </c>
      <c r="BN53">
        <v>-2.7E-2</v>
      </c>
      <c r="BO53">
        <v>-0.93100000000000005</v>
      </c>
      <c r="BP53">
        <v>0.14199999999999999</v>
      </c>
      <c r="BQ53">
        <v>408</v>
      </c>
      <c r="BR53">
        <v>16</v>
      </c>
      <c r="BS53">
        <v>0.15</v>
      </c>
      <c r="BT53">
        <v>0.06</v>
      </c>
      <c r="BU53">
        <v>-9.5466659999999995E-2</v>
      </c>
      <c r="BV53">
        <v>4.6884927338345896</v>
      </c>
      <c r="BW53">
        <v>0.47345685933020798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-0.25921695</v>
      </c>
      <c r="CD53">
        <v>1.59530977443611E-2</v>
      </c>
      <c r="CE53">
        <v>1.6418288423279701E-3</v>
      </c>
      <c r="CF53">
        <v>1</v>
      </c>
      <c r="CG53">
        <v>1</v>
      </c>
      <c r="CH53">
        <v>2</v>
      </c>
      <c r="CI53" t="s">
        <v>303</v>
      </c>
      <c r="CJ53">
        <v>3.3499099999999999</v>
      </c>
      <c r="CK53">
        <v>2.6922199999999998</v>
      </c>
      <c r="CL53">
        <v>9.7063899999999995E-2</v>
      </c>
      <c r="CM53">
        <v>9.5612000000000003E-2</v>
      </c>
      <c r="CN53">
        <v>8.6788299999999999E-2</v>
      </c>
      <c r="CO53">
        <v>8.7057300000000004E-2</v>
      </c>
      <c r="CP53">
        <v>31674.3</v>
      </c>
      <c r="CQ53">
        <v>27827</v>
      </c>
      <c r="CR53">
        <v>32465</v>
      </c>
      <c r="CS53">
        <v>30693.599999999999</v>
      </c>
      <c r="CT53">
        <v>40137.4</v>
      </c>
      <c r="CU53">
        <v>39389.800000000003</v>
      </c>
      <c r="CV53">
        <v>47404.9</v>
      </c>
      <c r="CW53">
        <v>46798.8</v>
      </c>
      <c r="CX53">
        <v>2.5116800000000001</v>
      </c>
      <c r="CY53">
        <v>2.33602</v>
      </c>
      <c r="CZ53">
        <v>0</v>
      </c>
      <c r="DA53">
        <v>0</v>
      </c>
      <c r="DB53">
        <v>999.9</v>
      </c>
      <c r="DC53">
        <v>999.9</v>
      </c>
      <c r="DD53">
        <v>64.113</v>
      </c>
      <c r="DE53">
        <v>23.946999999999999</v>
      </c>
      <c r="DF53">
        <v>19.327300000000001</v>
      </c>
      <c r="DG53">
        <v>29.95</v>
      </c>
      <c r="DH53">
        <v>12.848599999999999</v>
      </c>
      <c r="DI53">
        <v>2</v>
      </c>
      <c r="DJ53">
        <v>-0.16072600000000001</v>
      </c>
      <c r="DK53">
        <v>1.7869900000000001</v>
      </c>
      <c r="DL53">
        <v>20.235499999999998</v>
      </c>
      <c r="DM53">
        <v>5.24892</v>
      </c>
      <c r="DN53">
        <v>12.033899999999999</v>
      </c>
      <c r="DO53">
        <v>4.9663199999999996</v>
      </c>
      <c r="DP53">
        <v>3.2910200000000001</v>
      </c>
      <c r="DQ53">
        <v>9999</v>
      </c>
      <c r="DR53">
        <v>9999</v>
      </c>
      <c r="DS53">
        <v>522.70000000000005</v>
      </c>
      <c r="DT53">
        <v>9999</v>
      </c>
      <c r="DU53">
        <v>1.87094</v>
      </c>
      <c r="DV53">
        <v>1.8760399999999999</v>
      </c>
      <c r="DW53">
        <v>1.87622</v>
      </c>
      <c r="DX53">
        <v>1.8827700000000001</v>
      </c>
      <c r="DY53">
        <v>1.87547</v>
      </c>
      <c r="DZ53">
        <v>1.8745400000000001</v>
      </c>
      <c r="EA53">
        <v>1.87073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-0.93100000000000005</v>
      </c>
      <c r="EQ53">
        <v>0.1416</v>
      </c>
      <c r="ER53">
        <v>-0.93090000000000805</v>
      </c>
      <c r="ES53">
        <v>0</v>
      </c>
      <c r="ET53">
        <v>0</v>
      </c>
      <c r="EU53">
        <v>0</v>
      </c>
      <c r="EV53">
        <v>0.14164545454545399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1.3</v>
      </c>
      <c r="FE53">
        <v>1.3</v>
      </c>
      <c r="FF53">
        <v>0.950928</v>
      </c>
      <c r="FG53">
        <v>2.5622600000000002</v>
      </c>
      <c r="FH53">
        <v>2.19604</v>
      </c>
      <c r="FI53">
        <v>2.677</v>
      </c>
      <c r="FJ53">
        <v>2.4462899999999999</v>
      </c>
      <c r="FK53">
        <v>2.2375500000000001</v>
      </c>
      <c r="FL53">
        <v>29.772400000000001</v>
      </c>
      <c r="FM53">
        <v>24.157499999999999</v>
      </c>
      <c r="FN53">
        <v>19</v>
      </c>
      <c r="FO53">
        <v>759.16499999999996</v>
      </c>
      <c r="FP53">
        <v>744.68100000000004</v>
      </c>
      <c r="FQ53">
        <v>18.456199999999999</v>
      </c>
      <c r="FR53">
        <v>24.9787</v>
      </c>
      <c r="FS53">
        <v>30.0002</v>
      </c>
      <c r="FT53">
        <v>24.983499999999999</v>
      </c>
      <c r="FU53">
        <v>24.982800000000001</v>
      </c>
      <c r="FV53">
        <v>19.096800000000002</v>
      </c>
      <c r="FW53">
        <v>51.764400000000002</v>
      </c>
      <c r="FX53">
        <v>100</v>
      </c>
      <c r="FY53">
        <v>18.456900000000001</v>
      </c>
      <c r="FZ53">
        <v>410</v>
      </c>
      <c r="GA53">
        <v>15.8063</v>
      </c>
      <c r="GB53">
        <v>99.895399999999995</v>
      </c>
      <c r="GC53">
        <v>99.632999999999996</v>
      </c>
    </row>
    <row r="54" spans="1:185" x14ac:dyDescent="0.2">
      <c r="A54">
        <v>39</v>
      </c>
      <c r="B54">
        <v>1768579136.0999999</v>
      </c>
      <c r="C54">
        <v>743.09999990463302</v>
      </c>
      <c r="D54" t="s">
        <v>372</v>
      </c>
      <c r="E54" t="s">
        <v>373</v>
      </c>
      <c r="F54">
        <v>15</v>
      </c>
      <c r="G54">
        <v>1768579128.03333</v>
      </c>
      <c r="H54">
        <f t="shared" si="13"/>
        <v>-1.8014571742684535E-4</v>
      </c>
      <c r="I54">
        <v>0</v>
      </c>
      <c r="J54">
        <f t="shared" si="12"/>
        <v>-3.9541160914121779E-3</v>
      </c>
      <c r="K54">
        <f t="shared" si="14"/>
        <v>-0.10355700214285951</v>
      </c>
      <c r="L54">
        <f t="shared" si="15"/>
        <v>69.937456299239571</v>
      </c>
      <c r="M54">
        <f t="shared" si="16"/>
        <v>1.5419533028886721</v>
      </c>
      <c r="N54">
        <f t="shared" si="17"/>
        <v>2.2047603451448916</v>
      </c>
      <c r="O54">
        <v>0</v>
      </c>
      <c r="P54">
        <v>0</v>
      </c>
      <c r="Q54">
        <f t="shared" si="18"/>
        <v>1</v>
      </c>
      <c r="R54">
        <f t="shared" si="19"/>
        <v>0</v>
      </c>
      <c r="S54">
        <f t="shared" si="20"/>
        <v>25984.504737762705</v>
      </c>
      <c r="T54">
        <f t="shared" si="21"/>
        <v>100.001653333333</v>
      </c>
      <c r="U54">
        <f t="shared" si="22"/>
        <v>84.300974513068226</v>
      </c>
      <c r="V54">
        <f t="shared" si="23"/>
        <v>0.84299580759999948</v>
      </c>
      <c r="W54">
        <f t="shared" si="24"/>
        <v>0.1586893630959999</v>
      </c>
      <c r="X54">
        <v>1</v>
      </c>
      <c r="Y54">
        <v>1768579128.03333</v>
      </c>
      <c r="Z54">
        <v>409.79480000000001</v>
      </c>
      <c r="AA54">
        <v>409.54140000000001</v>
      </c>
      <c r="AB54">
        <v>15.5611266666667</v>
      </c>
      <c r="AC54">
        <v>15.8144733333333</v>
      </c>
      <c r="AD54">
        <v>410.72559999999999</v>
      </c>
      <c r="AE54">
        <v>15.4194666666667</v>
      </c>
      <c r="AF54">
        <v>699.99913333333302</v>
      </c>
      <c r="AG54">
        <v>99.035240000000002</v>
      </c>
      <c r="AH54">
        <v>5.4841066666666702E-2</v>
      </c>
      <c r="AI54">
        <v>18.996946666666702</v>
      </c>
      <c r="AJ54">
        <v>999.9</v>
      </c>
      <c r="AK54">
        <v>999.9</v>
      </c>
      <c r="AL54">
        <v>0</v>
      </c>
      <c r="AM54">
        <v>0</v>
      </c>
      <c r="AN54">
        <v>5002.5</v>
      </c>
      <c r="AO54">
        <v>0</v>
      </c>
      <c r="AP54">
        <v>2.7665299999999999</v>
      </c>
      <c r="AQ54">
        <v>0.25332036000000002</v>
      </c>
      <c r="AR54">
        <v>416.27246666666701</v>
      </c>
      <c r="AS54">
        <v>416.12240000000003</v>
      </c>
      <c r="AT54">
        <v>-0.25336753333333301</v>
      </c>
      <c r="AU54">
        <v>409.54140000000001</v>
      </c>
      <c r="AV54">
        <v>15.8144733333333</v>
      </c>
      <c r="AW54">
        <v>1.5410999999999999</v>
      </c>
      <c r="AX54">
        <v>1.566192</v>
      </c>
      <c r="AY54">
        <v>13.38214</v>
      </c>
      <c r="AZ54">
        <v>13.630126666666699</v>
      </c>
      <c r="BA54">
        <v>100.001653333333</v>
      </c>
      <c r="BB54">
        <v>0.90014206666666596</v>
      </c>
      <c r="BC54">
        <v>0</v>
      </c>
      <c r="BD54">
        <v>9.9858013333333398E-2</v>
      </c>
      <c r="BE54">
        <v>0</v>
      </c>
      <c r="BF54">
        <v>25</v>
      </c>
      <c r="BG54">
        <v>1648.9746666666699</v>
      </c>
      <c r="BH54">
        <v>1768579044.0999999</v>
      </c>
      <c r="BI54" t="s">
        <v>359</v>
      </c>
      <c r="BJ54">
        <v>1768579043.0999999</v>
      </c>
      <c r="BK54">
        <v>1768579044.0999999</v>
      </c>
      <c r="BL54">
        <v>2</v>
      </c>
      <c r="BM54">
        <v>6.4000000000000001E-2</v>
      </c>
      <c r="BN54">
        <v>-2.7E-2</v>
      </c>
      <c r="BO54">
        <v>-0.93100000000000005</v>
      </c>
      <c r="BP54">
        <v>0.14199999999999999</v>
      </c>
      <c r="BQ54">
        <v>408</v>
      </c>
      <c r="BR54">
        <v>16</v>
      </c>
      <c r="BS54">
        <v>0.15</v>
      </c>
      <c r="BT54">
        <v>0.06</v>
      </c>
      <c r="BU54">
        <v>0.307049019047619</v>
      </c>
      <c r="BV54">
        <v>-1.66516584935065</v>
      </c>
      <c r="BW54">
        <v>0.210087898733129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-0.25440904761904798</v>
      </c>
      <c r="CD54">
        <v>1.8291740259739901E-2</v>
      </c>
      <c r="CE54">
        <v>1.94112199945806E-3</v>
      </c>
      <c r="CF54">
        <v>1</v>
      </c>
      <c r="CG54">
        <v>1</v>
      </c>
      <c r="CH54">
        <v>2</v>
      </c>
      <c r="CI54" t="s">
        <v>303</v>
      </c>
      <c r="CJ54">
        <v>3.35</v>
      </c>
      <c r="CK54">
        <v>2.6926000000000001</v>
      </c>
      <c r="CL54">
        <v>9.7048099999999998E-2</v>
      </c>
      <c r="CM54">
        <v>9.5704700000000004E-2</v>
      </c>
      <c r="CN54">
        <v>8.6812799999999996E-2</v>
      </c>
      <c r="CO54">
        <v>8.7063699999999994E-2</v>
      </c>
      <c r="CP54">
        <v>31674.799999999999</v>
      </c>
      <c r="CQ54">
        <v>27824.5</v>
      </c>
      <c r="CR54">
        <v>32465.1</v>
      </c>
      <c r="CS54">
        <v>30694</v>
      </c>
      <c r="CT54">
        <v>40136.6</v>
      </c>
      <c r="CU54">
        <v>39390</v>
      </c>
      <c r="CV54">
        <v>47405.3</v>
      </c>
      <c r="CW54">
        <v>46799.4</v>
      </c>
      <c r="CX54">
        <v>2.5117799999999999</v>
      </c>
      <c r="CY54">
        <v>2.3357999999999999</v>
      </c>
      <c r="CZ54">
        <v>0</v>
      </c>
      <c r="DA54">
        <v>0</v>
      </c>
      <c r="DB54">
        <v>999.9</v>
      </c>
      <c r="DC54">
        <v>999.9</v>
      </c>
      <c r="DD54">
        <v>64.052000000000007</v>
      </c>
      <c r="DE54">
        <v>23.988</v>
      </c>
      <c r="DF54">
        <v>19.357800000000001</v>
      </c>
      <c r="DG54">
        <v>30.1</v>
      </c>
      <c r="DH54">
        <v>12.8566</v>
      </c>
      <c r="DI54">
        <v>2</v>
      </c>
      <c r="DJ54">
        <v>-0.160467</v>
      </c>
      <c r="DK54">
        <v>1.7791699999999999</v>
      </c>
      <c r="DL54">
        <v>20.235900000000001</v>
      </c>
      <c r="DM54">
        <v>5.2501199999999999</v>
      </c>
      <c r="DN54">
        <v>12.033899999999999</v>
      </c>
      <c r="DO54">
        <v>4.9669600000000003</v>
      </c>
      <c r="DP54">
        <v>3.2909999999999999</v>
      </c>
      <c r="DQ54">
        <v>9999</v>
      </c>
      <c r="DR54">
        <v>9999</v>
      </c>
      <c r="DS54">
        <v>522.70000000000005</v>
      </c>
      <c r="DT54">
        <v>9999</v>
      </c>
      <c r="DU54">
        <v>1.8709199999999999</v>
      </c>
      <c r="DV54">
        <v>1.87602</v>
      </c>
      <c r="DW54">
        <v>1.87622</v>
      </c>
      <c r="DX54">
        <v>1.8827700000000001</v>
      </c>
      <c r="DY54">
        <v>1.87547</v>
      </c>
      <c r="DZ54">
        <v>1.8745400000000001</v>
      </c>
      <c r="EA54">
        <v>1.8707199999999999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-0.93100000000000005</v>
      </c>
      <c r="EQ54">
        <v>0.14169999999999999</v>
      </c>
      <c r="ER54">
        <v>-0.93090000000000805</v>
      </c>
      <c r="ES54">
        <v>0</v>
      </c>
      <c r="ET54">
        <v>0</v>
      </c>
      <c r="EU54">
        <v>0</v>
      </c>
      <c r="EV54">
        <v>0.14164545454545399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1.6</v>
      </c>
      <c r="FE54">
        <v>1.5</v>
      </c>
      <c r="FF54">
        <v>0.95336900000000002</v>
      </c>
      <c r="FG54">
        <v>2.5598100000000001</v>
      </c>
      <c r="FH54">
        <v>2.19604</v>
      </c>
      <c r="FI54">
        <v>2.677</v>
      </c>
      <c r="FJ54">
        <v>2.4462899999999999</v>
      </c>
      <c r="FK54">
        <v>2.2607400000000002</v>
      </c>
      <c r="FL54">
        <v>29.793700000000001</v>
      </c>
      <c r="FM54">
        <v>24.148800000000001</v>
      </c>
      <c r="FN54">
        <v>19</v>
      </c>
      <c r="FO54">
        <v>759.32600000000002</v>
      </c>
      <c r="FP54">
        <v>744.56</v>
      </c>
      <c r="FQ54">
        <v>18.462299999999999</v>
      </c>
      <c r="FR54">
        <v>24.983799999999999</v>
      </c>
      <c r="FS54">
        <v>30.0001</v>
      </c>
      <c r="FT54">
        <v>24.989000000000001</v>
      </c>
      <c r="FU54">
        <v>24.988700000000001</v>
      </c>
      <c r="FV54">
        <v>19.1343</v>
      </c>
      <c r="FW54">
        <v>51.764400000000002</v>
      </c>
      <c r="FX54">
        <v>100</v>
      </c>
      <c r="FY54">
        <v>18.463699999999999</v>
      </c>
      <c r="FZ54">
        <v>410</v>
      </c>
      <c r="GA54">
        <v>15.8063</v>
      </c>
      <c r="GB54">
        <v>99.895899999999997</v>
      </c>
      <c r="GC54">
        <v>99.634299999999996</v>
      </c>
    </row>
    <row r="55" spans="1:185" x14ac:dyDescent="0.2">
      <c r="A55">
        <v>40</v>
      </c>
      <c r="B55">
        <v>1768579151.0999999</v>
      </c>
      <c r="C55">
        <v>758.09999990463302</v>
      </c>
      <c r="D55" t="s">
        <v>374</v>
      </c>
      <c r="E55" t="s">
        <v>375</v>
      </c>
      <c r="F55">
        <v>15</v>
      </c>
      <c r="G55">
        <v>1768579143.03333</v>
      </c>
      <c r="H55">
        <f t="shared" si="13"/>
        <v>-1.7684869997907447E-4</v>
      </c>
      <c r="I55">
        <v>0</v>
      </c>
      <c r="J55">
        <f t="shared" si="12"/>
        <v>-3.7981939184258354E-3</v>
      </c>
      <c r="K55">
        <f t="shared" si="14"/>
        <v>-9.9473451627705239E-2</v>
      </c>
      <c r="L55">
        <f t="shared" si="15"/>
        <v>69.960672610736367</v>
      </c>
      <c r="M55">
        <f t="shared" si="16"/>
        <v>1.5426057069206118</v>
      </c>
      <c r="N55">
        <f t="shared" si="17"/>
        <v>2.2049612294377501</v>
      </c>
      <c r="O55">
        <v>0</v>
      </c>
      <c r="P55">
        <v>0</v>
      </c>
      <c r="Q55">
        <f t="shared" si="18"/>
        <v>1</v>
      </c>
      <c r="R55">
        <f t="shared" si="19"/>
        <v>0</v>
      </c>
      <c r="S55">
        <f t="shared" si="20"/>
        <v>25999.161498472782</v>
      </c>
      <c r="T55">
        <f t="shared" si="21"/>
        <v>99.998779999999996</v>
      </c>
      <c r="U55">
        <f t="shared" si="22"/>
        <v>84.298575504831703</v>
      </c>
      <c r="V55">
        <f t="shared" si="23"/>
        <v>0.84299603960000025</v>
      </c>
      <c r="W55">
        <f t="shared" si="24"/>
        <v>0.15869020293600006</v>
      </c>
      <c r="X55">
        <v>1</v>
      </c>
      <c r="Y55">
        <v>1768579143.03333</v>
      </c>
      <c r="Z55">
        <v>409.92140000000001</v>
      </c>
      <c r="AA55">
        <v>409.67573333333303</v>
      </c>
      <c r="AB55">
        <v>15.5679466666667</v>
      </c>
      <c r="AC55">
        <v>15.816653333333299</v>
      </c>
      <c r="AD55">
        <v>410.85233333333298</v>
      </c>
      <c r="AE55">
        <v>15.426299999999999</v>
      </c>
      <c r="AF55">
        <v>700.00346666666701</v>
      </c>
      <c r="AG55">
        <v>99.033626666666706</v>
      </c>
      <c r="AH55">
        <v>5.49519333333333E-2</v>
      </c>
      <c r="AI55">
        <v>18.9984066666667</v>
      </c>
      <c r="AJ55">
        <v>999.9</v>
      </c>
      <c r="AK55">
        <v>999.9</v>
      </c>
      <c r="AL55">
        <v>0</v>
      </c>
      <c r="AM55">
        <v>0</v>
      </c>
      <c r="AN55">
        <v>5005.0333333333301</v>
      </c>
      <c r="AO55">
        <v>0</v>
      </c>
      <c r="AP55">
        <v>2.7665299999999999</v>
      </c>
      <c r="AQ55">
        <v>0.24557899999999999</v>
      </c>
      <c r="AR55">
        <v>416.40393333333299</v>
      </c>
      <c r="AS55">
        <v>416.25966666666699</v>
      </c>
      <c r="AT55">
        <v>-0.2487144</v>
      </c>
      <c r="AU55">
        <v>409.67573333333303</v>
      </c>
      <c r="AV55">
        <v>15.816653333333299</v>
      </c>
      <c r="AW55">
        <v>1.541752</v>
      </c>
      <c r="AX55">
        <v>1.56638066666667</v>
      </c>
      <c r="AY55">
        <v>13.38862</v>
      </c>
      <c r="AZ55">
        <v>13.6319933333333</v>
      </c>
      <c r="BA55">
        <v>99.998779999999996</v>
      </c>
      <c r="BB55">
        <v>0.90013046666666696</v>
      </c>
      <c r="BC55">
        <v>0</v>
      </c>
      <c r="BD55">
        <v>9.9869479999999997E-2</v>
      </c>
      <c r="BE55">
        <v>0</v>
      </c>
      <c r="BF55">
        <v>25</v>
      </c>
      <c r="BG55">
        <v>1648.92466666667</v>
      </c>
      <c r="BH55">
        <v>1768579044.0999999</v>
      </c>
      <c r="BI55" t="s">
        <v>359</v>
      </c>
      <c r="BJ55">
        <v>1768579043.0999999</v>
      </c>
      <c r="BK55">
        <v>1768579044.0999999</v>
      </c>
      <c r="BL55">
        <v>2</v>
      </c>
      <c r="BM55">
        <v>6.4000000000000001E-2</v>
      </c>
      <c r="BN55">
        <v>-2.7E-2</v>
      </c>
      <c r="BO55">
        <v>-0.93100000000000005</v>
      </c>
      <c r="BP55">
        <v>0.14199999999999999</v>
      </c>
      <c r="BQ55">
        <v>408</v>
      </c>
      <c r="BR55">
        <v>16</v>
      </c>
      <c r="BS55">
        <v>0.15</v>
      </c>
      <c r="BT55">
        <v>0.06</v>
      </c>
      <c r="BU55">
        <v>0.17478027500000001</v>
      </c>
      <c r="BV55">
        <v>3.0491761578947401</v>
      </c>
      <c r="BW55">
        <v>0.36181646571002701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-0.24962980000000001</v>
      </c>
      <c r="CD55">
        <v>2.0835879699248001E-2</v>
      </c>
      <c r="CE55">
        <v>2.0336540167885E-3</v>
      </c>
      <c r="CF55">
        <v>1</v>
      </c>
      <c r="CG55">
        <v>1</v>
      </c>
      <c r="CH55">
        <v>2</v>
      </c>
      <c r="CI55" t="s">
        <v>303</v>
      </c>
      <c r="CJ55">
        <v>3.35</v>
      </c>
      <c r="CK55">
        <v>2.69252</v>
      </c>
      <c r="CL55">
        <v>9.7047599999999998E-2</v>
      </c>
      <c r="CM55">
        <v>9.5591499999999996E-2</v>
      </c>
      <c r="CN55">
        <v>8.6841199999999993E-2</v>
      </c>
      <c r="CO55">
        <v>8.7067599999999995E-2</v>
      </c>
      <c r="CP55">
        <v>31673.9</v>
      </c>
      <c r="CQ55">
        <v>27827.9</v>
      </c>
      <c r="CR55">
        <v>32464.1</v>
      </c>
      <c r="CS55">
        <v>30693.9</v>
      </c>
      <c r="CT55">
        <v>40134.199999999997</v>
      </c>
      <c r="CU55">
        <v>39389.800000000003</v>
      </c>
      <c r="CV55">
        <v>47404</v>
      </c>
      <c r="CW55">
        <v>46799.199999999997</v>
      </c>
      <c r="CX55">
        <v>2.5114399999999999</v>
      </c>
      <c r="CY55">
        <v>2.33562</v>
      </c>
      <c r="CZ55">
        <v>0</v>
      </c>
      <c r="DA55">
        <v>0</v>
      </c>
      <c r="DB55">
        <v>999.9</v>
      </c>
      <c r="DC55">
        <v>999.9</v>
      </c>
      <c r="DD55">
        <v>64.009</v>
      </c>
      <c r="DE55">
        <v>23.988</v>
      </c>
      <c r="DF55">
        <v>19.3431</v>
      </c>
      <c r="DG55">
        <v>30.04</v>
      </c>
      <c r="DH55">
        <v>12.8606</v>
      </c>
      <c r="DI55">
        <v>2</v>
      </c>
      <c r="DJ55">
        <v>-0.16014200000000001</v>
      </c>
      <c r="DK55">
        <v>1.7830900000000001</v>
      </c>
      <c r="DL55">
        <v>20.235600000000002</v>
      </c>
      <c r="DM55">
        <v>5.2496400000000003</v>
      </c>
      <c r="DN55">
        <v>12.033899999999999</v>
      </c>
      <c r="DO55">
        <v>4.9668400000000004</v>
      </c>
      <c r="DP55">
        <v>3.2910200000000001</v>
      </c>
      <c r="DQ55">
        <v>9999</v>
      </c>
      <c r="DR55">
        <v>9999</v>
      </c>
      <c r="DS55">
        <v>522.70000000000005</v>
      </c>
      <c r="DT55">
        <v>9999</v>
      </c>
      <c r="DU55">
        <v>1.8708899999999999</v>
      </c>
      <c r="DV55">
        <v>1.87602</v>
      </c>
      <c r="DW55">
        <v>1.87622</v>
      </c>
      <c r="DX55">
        <v>1.8827499999999999</v>
      </c>
      <c r="DY55">
        <v>1.87548</v>
      </c>
      <c r="DZ55">
        <v>1.8745400000000001</v>
      </c>
      <c r="EA55">
        <v>1.8707199999999999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-0.93</v>
      </c>
      <c r="EQ55">
        <v>0.1416</v>
      </c>
      <c r="ER55">
        <v>-0.93090000000000805</v>
      </c>
      <c r="ES55">
        <v>0</v>
      </c>
      <c r="ET55">
        <v>0</v>
      </c>
      <c r="EU55">
        <v>0</v>
      </c>
      <c r="EV55">
        <v>0.14164545454545399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1.8</v>
      </c>
      <c r="FE55">
        <v>1.8</v>
      </c>
      <c r="FF55">
        <v>0.95581099999999997</v>
      </c>
      <c r="FG55">
        <v>2.5634800000000002</v>
      </c>
      <c r="FH55">
        <v>2.19604</v>
      </c>
      <c r="FI55">
        <v>2.677</v>
      </c>
      <c r="FJ55">
        <v>2.4462899999999999</v>
      </c>
      <c r="FK55">
        <v>2.2717299999999998</v>
      </c>
      <c r="FL55">
        <v>29.793700000000001</v>
      </c>
      <c r="FM55">
        <v>24.157499999999999</v>
      </c>
      <c r="FN55">
        <v>19</v>
      </c>
      <c r="FO55">
        <v>759.11900000000003</v>
      </c>
      <c r="FP55">
        <v>744.476</v>
      </c>
      <c r="FQ55">
        <v>18.466699999999999</v>
      </c>
      <c r="FR55">
        <v>24.988800000000001</v>
      </c>
      <c r="FS55">
        <v>30.0002</v>
      </c>
      <c r="FT55">
        <v>24.994399999999999</v>
      </c>
      <c r="FU55">
        <v>24.994499999999999</v>
      </c>
      <c r="FV55">
        <v>19.190000000000001</v>
      </c>
      <c r="FW55">
        <v>51.764400000000002</v>
      </c>
      <c r="FX55">
        <v>100</v>
      </c>
      <c r="FY55">
        <v>18.466899999999999</v>
      </c>
      <c r="FZ55">
        <v>410</v>
      </c>
      <c r="GA55">
        <v>15.8063</v>
      </c>
      <c r="GB55">
        <v>99.893000000000001</v>
      </c>
      <c r="GC55">
        <v>99.634100000000004</v>
      </c>
    </row>
    <row r="56" spans="1:185" x14ac:dyDescent="0.2">
      <c r="A56">
        <v>41</v>
      </c>
      <c r="B56">
        <v>1768579166.0999999</v>
      </c>
      <c r="C56">
        <v>773.09999990463302</v>
      </c>
      <c r="D56" t="s">
        <v>376</v>
      </c>
      <c r="E56" t="s">
        <v>377</v>
      </c>
      <c r="F56">
        <v>15</v>
      </c>
      <c r="G56">
        <v>1768579158.03333</v>
      </c>
      <c r="H56">
        <f t="shared" si="13"/>
        <v>-1.7401971793509343E-4</v>
      </c>
      <c r="I56">
        <v>0</v>
      </c>
      <c r="J56">
        <f t="shared" si="12"/>
        <v>5.4010834410130075E-3</v>
      </c>
      <c r="K56">
        <f t="shared" si="14"/>
        <v>0.14145260193283571</v>
      </c>
      <c r="L56">
        <f t="shared" si="15"/>
        <v>69.983430075449235</v>
      </c>
      <c r="M56">
        <f t="shared" si="16"/>
        <v>1.5432288366231659</v>
      </c>
      <c r="N56">
        <f t="shared" si="17"/>
        <v>2.205134608234276</v>
      </c>
      <c r="O56">
        <v>0</v>
      </c>
      <c r="P56">
        <v>0</v>
      </c>
      <c r="Q56">
        <f t="shared" si="18"/>
        <v>1</v>
      </c>
      <c r="R56">
        <f t="shared" si="19"/>
        <v>0</v>
      </c>
      <c r="S56">
        <f t="shared" si="20"/>
        <v>25976.014736164372</v>
      </c>
      <c r="T56">
        <f t="shared" si="21"/>
        <v>100.000233333333</v>
      </c>
      <c r="U56">
        <f t="shared" si="22"/>
        <v>84.299812119102342</v>
      </c>
      <c r="V56">
        <f t="shared" si="23"/>
        <v>0.84299615419999974</v>
      </c>
      <c r="W56">
        <f t="shared" si="24"/>
        <v>0.15869026857199997</v>
      </c>
      <c r="X56">
        <v>1</v>
      </c>
      <c r="Y56">
        <v>1768579158.03333</v>
      </c>
      <c r="Z56">
        <v>409.79406666666699</v>
      </c>
      <c r="AA56">
        <v>409.89426666666702</v>
      </c>
      <c r="AB56">
        <v>15.574020000000001</v>
      </c>
      <c r="AC56">
        <v>15.8187466666667</v>
      </c>
      <c r="AD56">
        <v>410.72493333333301</v>
      </c>
      <c r="AE56">
        <v>15.43238</v>
      </c>
      <c r="AF56">
        <v>700.00353333333305</v>
      </c>
      <c r="AG56">
        <v>99.035079999999994</v>
      </c>
      <c r="AH56">
        <v>5.4868300000000002E-2</v>
      </c>
      <c r="AI56">
        <v>18.999666666666698</v>
      </c>
      <c r="AJ56">
        <v>999.9</v>
      </c>
      <c r="AK56">
        <v>999.9</v>
      </c>
      <c r="AL56">
        <v>0</v>
      </c>
      <c r="AM56">
        <v>0</v>
      </c>
      <c r="AN56">
        <v>5001.1333333333296</v>
      </c>
      <c r="AO56">
        <v>0</v>
      </c>
      <c r="AP56">
        <v>2.7665299999999999</v>
      </c>
      <c r="AQ56">
        <v>-0.100138346666667</v>
      </c>
      <c r="AR56">
        <v>416.27713333333298</v>
      </c>
      <c r="AS56">
        <v>416.48239999999998</v>
      </c>
      <c r="AT56">
        <v>-0.244733333333333</v>
      </c>
      <c r="AU56">
        <v>409.89426666666702</v>
      </c>
      <c r="AV56">
        <v>15.8187466666667</v>
      </c>
      <c r="AW56">
        <v>1.54237333333333</v>
      </c>
      <c r="AX56">
        <v>1.5666106666666699</v>
      </c>
      <c r="AY56">
        <v>13.394819999999999</v>
      </c>
      <c r="AZ56">
        <v>13.63424</v>
      </c>
      <c r="BA56">
        <v>100.000233333333</v>
      </c>
      <c r="BB56">
        <v>0.90012993333333302</v>
      </c>
      <c r="BC56">
        <v>0</v>
      </c>
      <c r="BD56">
        <v>9.9870126666666698E-2</v>
      </c>
      <c r="BE56">
        <v>0</v>
      </c>
      <c r="BF56">
        <v>25</v>
      </c>
      <c r="BG56">
        <v>1648.9480000000001</v>
      </c>
      <c r="BH56">
        <v>1768579044.0999999</v>
      </c>
      <c r="BI56" t="s">
        <v>359</v>
      </c>
      <c r="BJ56">
        <v>1768579043.0999999</v>
      </c>
      <c r="BK56">
        <v>1768579044.0999999</v>
      </c>
      <c r="BL56">
        <v>2</v>
      </c>
      <c r="BM56">
        <v>6.4000000000000001E-2</v>
      </c>
      <c r="BN56">
        <v>-2.7E-2</v>
      </c>
      <c r="BO56">
        <v>-0.93100000000000005</v>
      </c>
      <c r="BP56">
        <v>0.14199999999999999</v>
      </c>
      <c r="BQ56">
        <v>408</v>
      </c>
      <c r="BR56">
        <v>16</v>
      </c>
      <c r="BS56">
        <v>0.15</v>
      </c>
      <c r="BT56">
        <v>0.06</v>
      </c>
      <c r="BU56">
        <v>0.114452514285714</v>
      </c>
      <c r="BV56">
        <v>-4.8634448883116903</v>
      </c>
      <c r="BW56">
        <v>0.56851581421448305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-0.245434952380952</v>
      </c>
      <c r="CD56">
        <v>1.26091168831167E-2</v>
      </c>
      <c r="CE56">
        <v>1.4709535448360601E-3</v>
      </c>
      <c r="CF56">
        <v>1</v>
      </c>
      <c r="CG56">
        <v>1</v>
      </c>
      <c r="CH56">
        <v>2</v>
      </c>
      <c r="CI56" t="s">
        <v>303</v>
      </c>
      <c r="CJ56">
        <v>3.3498399999999999</v>
      </c>
      <c r="CK56">
        <v>2.6928100000000001</v>
      </c>
      <c r="CL56">
        <v>9.7087099999999996E-2</v>
      </c>
      <c r="CM56">
        <v>9.5806000000000002E-2</v>
      </c>
      <c r="CN56">
        <v>8.6866700000000005E-2</v>
      </c>
      <c r="CO56">
        <v>8.7084800000000004E-2</v>
      </c>
      <c r="CP56">
        <v>31672.799999999999</v>
      </c>
      <c r="CQ56">
        <v>27821.200000000001</v>
      </c>
      <c r="CR56">
        <v>32464.5</v>
      </c>
      <c r="CS56">
        <v>30693.8</v>
      </c>
      <c r="CT56">
        <v>40133.699999999997</v>
      </c>
      <c r="CU56">
        <v>39389.1</v>
      </c>
      <c r="CV56">
        <v>47404.7</v>
      </c>
      <c r="CW56">
        <v>46799.4</v>
      </c>
      <c r="CX56">
        <v>2.5114399999999999</v>
      </c>
      <c r="CY56">
        <v>2.3353999999999999</v>
      </c>
      <c r="CZ56">
        <v>0</v>
      </c>
      <c r="DA56">
        <v>0</v>
      </c>
      <c r="DB56">
        <v>999.9</v>
      </c>
      <c r="DC56">
        <v>999.9</v>
      </c>
      <c r="DD56">
        <v>63.96</v>
      </c>
      <c r="DE56">
        <v>24.018000000000001</v>
      </c>
      <c r="DF56">
        <v>19.3627</v>
      </c>
      <c r="DG56">
        <v>29.8</v>
      </c>
      <c r="DH56">
        <v>12.976800000000001</v>
      </c>
      <c r="DI56">
        <v>2</v>
      </c>
      <c r="DJ56">
        <v>-0.15956699999999999</v>
      </c>
      <c r="DK56">
        <v>1.8059400000000001</v>
      </c>
      <c r="DL56">
        <v>20.235299999999999</v>
      </c>
      <c r="DM56">
        <v>5.2505899999999999</v>
      </c>
      <c r="DN56">
        <v>12.033899999999999</v>
      </c>
      <c r="DO56">
        <v>4.9673999999999996</v>
      </c>
      <c r="DP56">
        <v>3.2909999999999999</v>
      </c>
      <c r="DQ56">
        <v>9999</v>
      </c>
      <c r="DR56">
        <v>9999</v>
      </c>
      <c r="DS56">
        <v>522.70000000000005</v>
      </c>
      <c r="DT56">
        <v>9999</v>
      </c>
      <c r="DU56">
        <v>1.8709</v>
      </c>
      <c r="DV56">
        <v>1.8760300000000001</v>
      </c>
      <c r="DW56">
        <v>1.87622</v>
      </c>
      <c r="DX56">
        <v>1.8827499999999999</v>
      </c>
      <c r="DY56">
        <v>1.87547</v>
      </c>
      <c r="DZ56">
        <v>1.8745400000000001</v>
      </c>
      <c r="EA56">
        <v>1.8707100000000001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-0.93100000000000005</v>
      </c>
      <c r="EQ56">
        <v>0.1416</v>
      </c>
      <c r="ER56">
        <v>-0.93090000000000805</v>
      </c>
      <c r="ES56">
        <v>0</v>
      </c>
      <c r="ET56">
        <v>0</v>
      </c>
      <c r="EU56">
        <v>0</v>
      </c>
      <c r="EV56">
        <v>0.14164545454545399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2</v>
      </c>
      <c r="FE56">
        <v>2</v>
      </c>
      <c r="FF56">
        <v>0.95459000000000005</v>
      </c>
      <c r="FG56">
        <v>2.5573700000000001</v>
      </c>
      <c r="FH56">
        <v>2.19604</v>
      </c>
      <c r="FI56">
        <v>2.67578</v>
      </c>
      <c r="FJ56">
        <v>2.4462899999999999</v>
      </c>
      <c r="FK56">
        <v>2.2790499999999998</v>
      </c>
      <c r="FL56">
        <v>29.815100000000001</v>
      </c>
      <c r="FM56">
        <v>24.157499999999999</v>
      </c>
      <c r="FN56">
        <v>19</v>
      </c>
      <c r="FO56">
        <v>759.19600000000003</v>
      </c>
      <c r="FP56">
        <v>744.35400000000004</v>
      </c>
      <c r="FQ56">
        <v>18.468499999999999</v>
      </c>
      <c r="FR56">
        <v>24.993400000000001</v>
      </c>
      <c r="FS56">
        <v>30.0002</v>
      </c>
      <c r="FT56">
        <v>24.9999</v>
      </c>
      <c r="FU56">
        <v>25.000399999999999</v>
      </c>
      <c r="FV56">
        <v>19.1676</v>
      </c>
      <c r="FW56">
        <v>51.764400000000002</v>
      </c>
      <c r="FX56">
        <v>100</v>
      </c>
      <c r="FY56">
        <v>18.460699999999999</v>
      </c>
      <c r="FZ56">
        <v>410</v>
      </c>
      <c r="GA56">
        <v>15.8063</v>
      </c>
      <c r="GB56">
        <v>99.894400000000005</v>
      </c>
      <c r="GC56">
        <v>99.634</v>
      </c>
    </row>
    <row r="57" spans="1:185" x14ac:dyDescent="0.2">
      <c r="A57">
        <v>42</v>
      </c>
      <c r="B57">
        <v>1768579181.0999999</v>
      </c>
      <c r="C57">
        <v>788.09999990463302</v>
      </c>
      <c r="D57" t="s">
        <v>378</v>
      </c>
      <c r="E57" t="s">
        <v>379</v>
      </c>
      <c r="F57">
        <v>15</v>
      </c>
      <c r="G57">
        <v>1768579173.03333</v>
      </c>
      <c r="H57">
        <f t="shared" si="13"/>
        <v>-1.719633187061741E-4</v>
      </c>
      <c r="I57">
        <v>0</v>
      </c>
      <c r="J57">
        <f t="shared" si="12"/>
        <v>9.7691720219596021E-3</v>
      </c>
      <c r="K57">
        <f t="shared" si="14"/>
        <v>0.25585140765321485</v>
      </c>
      <c r="L57">
        <f t="shared" si="15"/>
        <v>70.009531938995423</v>
      </c>
      <c r="M57">
        <f t="shared" si="16"/>
        <v>1.5438384576018302</v>
      </c>
      <c r="N57">
        <f t="shared" si="17"/>
        <v>2.2051832298308933</v>
      </c>
      <c r="O57">
        <v>0</v>
      </c>
      <c r="P57">
        <v>0</v>
      </c>
      <c r="Q57">
        <f t="shared" si="18"/>
        <v>1</v>
      </c>
      <c r="R57">
        <f t="shared" si="19"/>
        <v>0</v>
      </c>
      <c r="S57">
        <f t="shared" si="20"/>
        <v>25945.741499895961</v>
      </c>
      <c r="T57">
        <f t="shared" si="21"/>
        <v>100.001526666667</v>
      </c>
      <c r="U57">
        <f t="shared" si="22"/>
        <v>84.300881853815412</v>
      </c>
      <c r="V57">
        <f t="shared" si="23"/>
        <v>0.84299594879999962</v>
      </c>
      <c r="W57">
        <f t="shared" si="24"/>
        <v>0.15869005388799995</v>
      </c>
      <c r="X57">
        <v>1</v>
      </c>
      <c r="Y57">
        <v>1768579173.03333</v>
      </c>
      <c r="Z57">
        <v>410.18753333333302</v>
      </c>
      <c r="AA57">
        <v>410.45226666666701</v>
      </c>
      <c r="AB57">
        <v>15.58004</v>
      </c>
      <c r="AC57">
        <v>15.821873333333301</v>
      </c>
      <c r="AD57">
        <v>411.11840000000001</v>
      </c>
      <c r="AE57">
        <v>15.4383866666667</v>
      </c>
      <c r="AF57">
        <v>700.00326666666695</v>
      </c>
      <c r="AG57">
        <v>99.035780000000003</v>
      </c>
      <c r="AH57">
        <v>5.50090866666667E-2</v>
      </c>
      <c r="AI57">
        <v>19.000019999999999</v>
      </c>
      <c r="AJ57">
        <v>999.9</v>
      </c>
      <c r="AK57">
        <v>999.9</v>
      </c>
      <c r="AL57">
        <v>0</v>
      </c>
      <c r="AM57">
        <v>0</v>
      </c>
      <c r="AN57">
        <v>4996.0666666666702</v>
      </c>
      <c r="AO57">
        <v>0</v>
      </c>
      <c r="AP57">
        <v>2.7665299999999999</v>
      </c>
      <c r="AQ57">
        <v>-0.26477248599999997</v>
      </c>
      <c r="AR57">
        <v>416.67939999999999</v>
      </c>
      <c r="AS57">
        <v>417.05079999999998</v>
      </c>
      <c r="AT57">
        <v>-0.241839</v>
      </c>
      <c r="AU57">
        <v>410.45226666666701</v>
      </c>
      <c r="AV57">
        <v>15.821873333333301</v>
      </c>
      <c r="AW57">
        <v>1.54298</v>
      </c>
      <c r="AX57">
        <v>1.56693066666667</v>
      </c>
      <c r="AY57">
        <v>13.400866666666699</v>
      </c>
      <c r="AZ57">
        <v>13.6374</v>
      </c>
      <c r="BA57">
        <v>100.001526666667</v>
      </c>
      <c r="BB57">
        <v>0.90013233333333298</v>
      </c>
      <c r="BC57">
        <v>0</v>
      </c>
      <c r="BD57">
        <v>9.9867573333333307E-2</v>
      </c>
      <c r="BE57">
        <v>0</v>
      </c>
      <c r="BF57">
        <v>25</v>
      </c>
      <c r="BG57">
        <v>1648.9666666666701</v>
      </c>
      <c r="BH57">
        <v>1768579044.0999999</v>
      </c>
      <c r="BI57" t="s">
        <v>359</v>
      </c>
      <c r="BJ57">
        <v>1768579043.0999999</v>
      </c>
      <c r="BK57">
        <v>1768579044.0999999</v>
      </c>
      <c r="BL57">
        <v>2</v>
      </c>
      <c r="BM57">
        <v>6.4000000000000001E-2</v>
      </c>
      <c r="BN57">
        <v>-2.7E-2</v>
      </c>
      <c r="BO57">
        <v>-0.93100000000000005</v>
      </c>
      <c r="BP57">
        <v>0.14199999999999999</v>
      </c>
      <c r="BQ57">
        <v>408</v>
      </c>
      <c r="BR57">
        <v>16</v>
      </c>
      <c r="BS57">
        <v>0.15</v>
      </c>
      <c r="BT57">
        <v>0.06</v>
      </c>
      <c r="BU57">
        <v>-0.3290679145</v>
      </c>
      <c r="BV57">
        <v>-0.26691190060150399</v>
      </c>
      <c r="BW57">
        <v>0.33183982983052401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-0.24245375</v>
      </c>
      <c r="CD57">
        <v>1.4806601503759601E-2</v>
      </c>
      <c r="CE57">
        <v>1.4730174769838999E-3</v>
      </c>
      <c r="CF57">
        <v>1</v>
      </c>
      <c r="CG57">
        <v>2</v>
      </c>
      <c r="CH57">
        <v>2</v>
      </c>
      <c r="CI57" t="s">
        <v>320</v>
      </c>
      <c r="CJ57">
        <v>3.3498899999999998</v>
      </c>
      <c r="CK57">
        <v>2.6929599999999998</v>
      </c>
      <c r="CL57">
        <v>9.7170099999999995E-2</v>
      </c>
      <c r="CM57">
        <v>9.5951700000000001E-2</v>
      </c>
      <c r="CN57">
        <v>8.6890200000000001E-2</v>
      </c>
      <c r="CO57">
        <v>8.7095699999999998E-2</v>
      </c>
      <c r="CP57">
        <v>31669.8</v>
      </c>
      <c r="CQ57">
        <v>27816.400000000001</v>
      </c>
      <c r="CR57">
        <v>32464.400000000001</v>
      </c>
      <c r="CS57">
        <v>30693.5</v>
      </c>
      <c r="CT57">
        <v>40132.6</v>
      </c>
      <c r="CU57">
        <v>39388.5</v>
      </c>
      <c r="CV57">
        <v>47404.6</v>
      </c>
      <c r="CW57">
        <v>46799.199999999997</v>
      </c>
      <c r="CX57">
        <v>2.5115599999999998</v>
      </c>
      <c r="CY57">
        <v>2.3352599999999999</v>
      </c>
      <c r="CZ57">
        <v>0</v>
      </c>
      <c r="DA57">
        <v>0</v>
      </c>
      <c r="DB57">
        <v>999.9</v>
      </c>
      <c r="DC57">
        <v>999.9</v>
      </c>
      <c r="DD57">
        <v>63.887</v>
      </c>
      <c r="DE57">
        <v>24.038</v>
      </c>
      <c r="DF57">
        <v>19.363800000000001</v>
      </c>
      <c r="DG57">
        <v>30.01</v>
      </c>
      <c r="DH57">
        <v>12.944699999999999</v>
      </c>
      <c r="DI57">
        <v>2</v>
      </c>
      <c r="DJ57">
        <v>-0.15932099999999999</v>
      </c>
      <c r="DK57">
        <v>1.80491</v>
      </c>
      <c r="DL57">
        <v>20.235299999999999</v>
      </c>
      <c r="DM57">
        <v>5.25143</v>
      </c>
      <c r="DN57">
        <v>12.033899999999999</v>
      </c>
      <c r="DO57">
        <v>4.9674399999999999</v>
      </c>
      <c r="DP57">
        <v>3.2909999999999999</v>
      </c>
      <c r="DQ57">
        <v>9999</v>
      </c>
      <c r="DR57">
        <v>9999</v>
      </c>
      <c r="DS57">
        <v>522.70000000000005</v>
      </c>
      <c r="DT57">
        <v>9999</v>
      </c>
      <c r="DU57">
        <v>1.8708899999999999</v>
      </c>
      <c r="DV57">
        <v>1.8759999999999999</v>
      </c>
      <c r="DW57">
        <v>1.87622</v>
      </c>
      <c r="DX57">
        <v>1.88273</v>
      </c>
      <c r="DY57">
        <v>1.8754599999999999</v>
      </c>
      <c r="DZ57">
        <v>1.8745400000000001</v>
      </c>
      <c r="EA57">
        <v>1.8707100000000001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-0.93100000000000005</v>
      </c>
      <c r="EQ57">
        <v>0.1416</v>
      </c>
      <c r="ER57">
        <v>-0.93090000000000805</v>
      </c>
      <c r="ES57">
        <v>0</v>
      </c>
      <c r="ET57">
        <v>0</v>
      </c>
      <c r="EU57">
        <v>0</v>
      </c>
      <c r="EV57">
        <v>0.14164545454545399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2.2999999999999998</v>
      </c>
      <c r="FE57">
        <v>2.2999999999999998</v>
      </c>
      <c r="FF57">
        <v>0.950928</v>
      </c>
      <c r="FG57">
        <v>2.5573700000000001</v>
      </c>
      <c r="FH57">
        <v>2.19604</v>
      </c>
      <c r="FI57">
        <v>2.67578</v>
      </c>
      <c r="FJ57">
        <v>2.4462899999999999</v>
      </c>
      <c r="FK57">
        <v>2.2790499999999998</v>
      </c>
      <c r="FL57">
        <v>29.836400000000001</v>
      </c>
      <c r="FM57">
        <v>24.1663</v>
      </c>
      <c r="FN57">
        <v>19</v>
      </c>
      <c r="FO57">
        <v>759.36800000000005</v>
      </c>
      <c r="FP57">
        <v>744.29100000000005</v>
      </c>
      <c r="FQ57">
        <v>18.4589</v>
      </c>
      <c r="FR57">
        <v>24.997699999999998</v>
      </c>
      <c r="FS57">
        <v>30.000299999999999</v>
      </c>
      <c r="FT57">
        <v>25.004899999999999</v>
      </c>
      <c r="FU57">
        <v>25.004999999999999</v>
      </c>
      <c r="FV57">
        <v>19.082999999999998</v>
      </c>
      <c r="FW57">
        <v>51.764400000000002</v>
      </c>
      <c r="FX57">
        <v>100</v>
      </c>
      <c r="FY57">
        <v>18.459900000000001</v>
      </c>
      <c r="FZ57">
        <v>410</v>
      </c>
      <c r="GA57">
        <v>15.8063</v>
      </c>
      <c r="GB57">
        <v>99.894099999999995</v>
      </c>
      <c r="GC57">
        <v>99.633399999999995</v>
      </c>
    </row>
    <row r="58" spans="1:185" x14ac:dyDescent="0.2">
      <c r="A58">
        <v>43</v>
      </c>
      <c r="B58">
        <v>1768579196.0999999</v>
      </c>
      <c r="C58">
        <v>803.09999990463302</v>
      </c>
      <c r="D58" t="s">
        <v>380</v>
      </c>
      <c r="E58" t="s">
        <v>381</v>
      </c>
      <c r="F58">
        <v>15</v>
      </c>
      <c r="G58">
        <v>1768579188.03333</v>
      </c>
      <c r="H58">
        <f t="shared" si="13"/>
        <v>-1.6956524128398554E-4</v>
      </c>
      <c r="I58">
        <v>0</v>
      </c>
      <c r="J58">
        <f t="shared" si="12"/>
        <v>-2.3646661729872899E-3</v>
      </c>
      <c r="K58">
        <f t="shared" si="14"/>
        <v>-6.1929830657990674E-2</v>
      </c>
      <c r="L58">
        <f t="shared" si="15"/>
        <v>70.033056146753921</v>
      </c>
      <c r="M58">
        <f t="shared" si="16"/>
        <v>1.5444580819689073</v>
      </c>
      <c r="N58">
        <f t="shared" si="17"/>
        <v>2.2053272653595224</v>
      </c>
      <c r="O58">
        <v>0</v>
      </c>
      <c r="P58">
        <v>0</v>
      </c>
      <c r="Q58">
        <f t="shared" si="18"/>
        <v>1</v>
      </c>
      <c r="R58">
        <f t="shared" si="19"/>
        <v>0</v>
      </c>
      <c r="S58">
        <f t="shared" si="20"/>
        <v>25907.523844962954</v>
      </c>
      <c r="T58">
        <f t="shared" si="21"/>
        <v>99.998393333333397</v>
      </c>
      <c r="U58">
        <f t="shared" si="22"/>
        <v>84.298233186625922</v>
      </c>
      <c r="V58">
        <f t="shared" si="23"/>
        <v>0.8429958759999997</v>
      </c>
      <c r="W58">
        <f t="shared" si="24"/>
        <v>0.15868981991999992</v>
      </c>
      <c r="X58">
        <v>1</v>
      </c>
      <c r="Y58">
        <v>1768579188.03333</v>
      </c>
      <c r="Z58">
        <v>410.60193333333302</v>
      </c>
      <c r="AA58">
        <v>410.41399999999999</v>
      </c>
      <c r="AB58">
        <v>15.586</v>
      </c>
      <c r="AC58">
        <v>15.82446</v>
      </c>
      <c r="AD58">
        <v>411.53286666666702</v>
      </c>
      <c r="AE58">
        <v>15.4443466666667</v>
      </c>
      <c r="AF58">
        <v>700.00166666666701</v>
      </c>
      <c r="AG58">
        <v>99.037746666666706</v>
      </c>
      <c r="AH58">
        <v>5.4905839999999997E-2</v>
      </c>
      <c r="AI58">
        <v>19.001066666666699</v>
      </c>
      <c r="AJ58">
        <v>999.9</v>
      </c>
      <c r="AK58">
        <v>999.9</v>
      </c>
      <c r="AL58">
        <v>0</v>
      </c>
      <c r="AM58">
        <v>0</v>
      </c>
      <c r="AN58">
        <v>4989.6333333333296</v>
      </c>
      <c r="AO58">
        <v>0</v>
      </c>
      <c r="AP58">
        <v>2.7665299999999999</v>
      </c>
      <c r="AQ58">
        <v>0.18801649266666701</v>
      </c>
      <c r="AR58">
        <v>417.102933333333</v>
      </c>
      <c r="AS58">
        <v>417.01293333333302</v>
      </c>
      <c r="AT58">
        <v>-0.23848106666666699</v>
      </c>
      <c r="AU58">
        <v>410.41399999999999</v>
      </c>
      <c r="AV58">
        <v>15.82446</v>
      </c>
      <c r="AW58">
        <v>1.5436019999999999</v>
      </c>
      <c r="AX58">
        <v>1.5672206666666699</v>
      </c>
      <c r="AY58">
        <v>13.407019999999999</v>
      </c>
      <c r="AZ58">
        <v>13.6402133333333</v>
      </c>
      <c r="BA58">
        <v>99.998393333333397</v>
      </c>
      <c r="BB58">
        <v>0.90013553333333296</v>
      </c>
      <c r="BC58">
        <v>0</v>
      </c>
      <c r="BD58">
        <v>9.9864400000000006E-2</v>
      </c>
      <c r="BE58">
        <v>0</v>
      </c>
      <c r="BF58">
        <v>25</v>
      </c>
      <c r="BG58">
        <v>1648.9173333333299</v>
      </c>
      <c r="BH58">
        <v>1768579044.0999999</v>
      </c>
      <c r="BI58" t="s">
        <v>359</v>
      </c>
      <c r="BJ58">
        <v>1768579043.0999999</v>
      </c>
      <c r="BK58">
        <v>1768579044.0999999</v>
      </c>
      <c r="BL58">
        <v>2</v>
      </c>
      <c r="BM58">
        <v>6.4000000000000001E-2</v>
      </c>
      <c r="BN58">
        <v>-2.7E-2</v>
      </c>
      <c r="BO58">
        <v>-0.93100000000000005</v>
      </c>
      <c r="BP58">
        <v>0.14199999999999999</v>
      </c>
      <c r="BQ58">
        <v>408</v>
      </c>
      <c r="BR58">
        <v>16</v>
      </c>
      <c r="BS58">
        <v>0.15</v>
      </c>
      <c r="BT58">
        <v>0.06</v>
      </c>
      <c r="BU58">
        <v>-4.7495695714285698E-2</v>
      </c>
      <c r="BV58">
        <v>6.2258461387013</v>
      </c>
      <c r="BW58">
        <v>0.69692506682253597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-0.23914904761904801</v>
      </c>
      <c r="CD58">
        <v>1.7311636363636199E-2</v>
      </c>
      <c r="CE58">
        <v>2.0114742869985301E-3</v>
      </c>
      <c r="CF58">
        <v>1</v>
      </c>
      <c r="CG58">
        <v>1</v>
      </c>
      <c r="CH58">
        <v>2</v>
      </c>
      <c r="CI58" t="s">
        <v>303</v>
      </c>
      <c r="CJ58">
        <v>3.34992</v>
      </c>
      <c r="CK58">
        <v>2.6927400000000001</v>
      </c>
      <c r="CL58">
        <v>9.7118800000000005E-2</v>
      </c>
      <c r="CM58">
        <v>9.5563200000000001E-2</v>
      </c>
      <c r="CN58">
        <v>8.6923899999999998E-2</v>
      </c>
      <c r="CO58">
        <v>8.71001E-2</v>
      </c>
      <c r="CP58">
        <v>31671.200000000001</v>
      </c>
      <c r="CQ58">
        <v>27828.5</v>
      </c>
      <c r="CR58">
        <v>32464</v>
      </c>
      <c r="CS58">
        <v>30693.7</v>
      </c>
      <c r="CT58">
        <v>40131.1</v>
      </c>
      <c r="CU58">
        <v>39388.5</v>
      </c>
      <c r="CV58">
        <v>47404.7</v>
      </c>
      <c r="CW58">
        <v>46799.5</v>
      </c>
      <c r="CX58">
        <v>2.5112000000000001</v>
      </c>
      <c r="CY58">
        <v>2.335</v>
      </c>
      <c r="CZ58">
        <v>0</v>
      </c>
      <c r="DA58">
        <v>0</v>
      </c>
      <c r="DB58">
        <v>999.9</v>
      </c>
      <c r="DC58">
        <v>999.9</v>
      </c>
      <c r="DD58">
        <v>63.838000000000001</v>
      </c>
      <c r="DE58">
        <v>24.047999999999998</v>
      </c>
      <c r="DF58">
        <v>19.360199999999999</v>
      </c>
      <c r="DG58">
        <v>30.07</v>
      </c>
      <c r="DH58">
        <v>12.9247</v>
      </c>
      <c r="DI58">
        <v>2</v>
      </c>
      <c r="DJ58">
        <v>-0.15906699999999999</v>
      </c>
      <c r="DK58">
        <v>1.8148200000000001</v>
      </c>
      <c r="DL58">
        <v>20.234999999999999</v>
      </c>
      <c r="DM58">
        <v>5.2520300000000004</v>
      </c>
      <c r="DN58">
        <v>12.033899999999999</v>
      </c>
      <c r="DO58">
        <v>4.9674399999999999</v>
      </c>
      <c r="DP58">
        <v>3.2909999999999999</v>
      </c>
      <c r="DQ58">
        <v>9999</v>
      </c>
      <c r="DR58">
        <v>9999</v>
      </c>
      <c r="DS58">
        <v>522.70000000000005</v>
      </c>
      <c r="DT58">
        <v>9999</v>
      </c>
      <c r="DU58">
        <v>1.8709</v>
      </c>
      <c r="DV58">
        <v>1.8759999999999999</v>
      </c>
      <c r="DW58">
        <v>1.87622</v>
      </c>
      <c r="DX58">
        <v>1.8826799999999999</v>
      </c>
      <c r="DY58">
        <v>1.8754599999999999</v>
      </c>
      <c r="DZ58">
        <v>1.8745400000000001</v>
      </c>
      <c r="EA58">
        <v>1.8707100000000001</v>
      </c>
      <c r="EB58">
        <v>1.87453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-0.93100000000000005</v>
      </c>
      <c r="EQ58">
        <v>0.1416</v>
      </c>
      <c r="ER58">
        <v>-0.93090000000000805</v>
      </c>
      <c r="ES58">
        <v>0</v>
      </c>
      <c r="ET58">
        <v>0</v>
      </c>
      <c r="EU58">
        <v>0</v>
      </c>
      <c r="EV58">
        <v>0.14164545454545399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2.5</v>
      </c>
      <c r="FE58">
        <v>2.5</v>
      </c>
      <c r="FF58">
        <v>0.95214799999999999</v>
      </c>
      <c r="FG58">
        <v>2.5647000000000002</v>
      </c>
      <c r="FH58">
        <v>2.19604</v>
      </c>
      <c r="FI58">
        <v>2.67578</v>
      </c>
      <c r="FJ58">
        <v>2.4462899999999999</v>
      </c>
      <c r="FK58">
        <v>2.2631800000000002</v>
      </c>
      <c r="FL58">
        <v>29.836400000000001</v>
      </c>
      <c r="FM58">
        <v>24.1663</v>
      </c>
      <c r="FN58">
        <v>19</v>
      </c>
      <c r="FO58">
        <v>759.14499999999998</v>
      </c>
      <c r="FP58">
        <v>744.13099999999997</v>
      </c>
      <c r="FQ58">
        <v>18.459</v>
      </c>
      <c r="FR58">
        <v>25.002300000000002</v>
      </c>
      <c r="FS58">
        <v>30</v>
      </c>
      <c r="FT58">
        <v>25.010400000000001</v>
      </c>
      <c r="FU58">
        <v>25.010899999999999</v>
      </c>
      <c r="FV58">
        <v>19.110700000000001</v>
      </c>
      <c r="FW58">
        <v>51.764400000000002</v>
      </c>
      <c r="FX58">
        <v>100</v>
      </c>
      <c r="FY58">
        <v>18.456800000000001</v>
      </c>
      <c r="FZ58">
        <v>410</v>
      </c>
      <c r="GA58">
        <v>15.804500000000001</v>
      </c>
      <c r="GB58">
        <v>99.893799999999999</v>
      </c>
      <c r="GC58">
        <v>99.634</v>
      </c>
    </row>
    <row r="59" spans="1:185" x14ac:dyDescent="0.2">
      <c r="A59">
        <v>44</v>
      </c>
      <c r="B59">
        <v>1768579318.0999999</v>
      </c>
      <c r="C59">
        <v>925.09999990463302</v>
      </c>
      <c r="D59" t="s">
        <v>382</v>
      </c>
      <c r="E59" t="s">
        <v>383</v>
      </c>
      <c r="F59">
        <v>15</v>
      </c>
      <c r="G59">
        <v>1768579310.0999999</v>
      </c>
      <c r="H59">
        <f t="shared" si="13"/>
        <v>-1.0163843271257299E-3</v>
      </c>
      <c r="I59">
        <v>0</v>
      </c>
      <c r="J59">
        <f t="shared" si="12"/>
        <v>-3.9277351192503626E-2</v>
      </c>
      <c r="K59">
        <f t="shared" si="14"/>
        <v>-1.0286609314384827</v>
      </c>
      <c r="L59">
        <f t="shared" si="15"/>
        <v>73.632260339216288</v>
      </c>
      <c r="M59">
        <f t="shared" si="16"/>
        <v>1.6130397250925823</v>
      </c>
      <c r="N59">
        <f t="shared" si="17"/>
        <v>2.1906698472401542</v>
      </c>
      <c r="O59">
        <v>0</v>
      </c>
      <c r="P59">
        <v>0</v>
      </c>
      <c r="Q59">
        <f t="shared" si="18"/>
        <v>1</v>
      </c>
      <c r="R59">
        <f t="shared" si="19"/>
        <v>0</v>
      </c>
      <c r="S59">
        <f t="shared" si="20"/>
        <v>26033.545404436678</v>
      </c>
      <c r="T59">
        <f t="shared" si="21"/>
        <v>299.9982</v>
      </c>
      <c r="U59">
        <f t="shared" si="22"/>
        <v>252.89798298299772</v>
      </c>
      <c r="V59">
        <f t="shared" si="23"/>
        <v>0.84299833459999995</v>
      </c>
      <c r="W59">
        <f t="shared" si="24"/>
        <v>0.15869600539599998</v>
      </c>
      <c r="X59">
        <v>1</v>
      </c>
      <c r="Y59">
        <v>1768579310.0999999</v>
      </c>
      <c r="Z59">
        <v>411.847466666667</v>
      </c>
      <c r="AA59">
        <v>409.77993333333302</v>
      </c>
      <c r="AB59">
        <v>16.277439999999999</v>
      </c>
      <c r="AC59">
        <v>17.7058</v>
      </c>
      <c r="AD59">
        <v>412.77826666666698</v>
      </c>
      <c r="AE59">
        <v>16.135806666666699</v>
      </c>
      <c r="AF59">
        <v>699.99173333333295</v>
      </c>
      <c r="AG59">
        <v>99.041560000000004</v>
      </c>
      <c r="AH59">
        <v>5.5086959999999997E-2</v>
      </c>
      <c r="AI59">
        <v>18.894246666666699</v>
      </c>
      <c r="AJ59">
        <v>999.9</v>
      </c>
      <c r="AK59">
        <v>999.9</v>
      </c>
      <c r="AL59">
        <v>0</v>
      </c>
      <c r="AM59">
        <v>0</v>
      </c>
      <c r="AN59">
        <v>5008.8666666666704</v>
      </c>
      <c r="AO59">
        <v>0</v>
      </c>
      <c r="AP59">
        <v>2.6833466666666701</v>
      </c>
      <c r="AQ59">
        <v>2.06746813333333</v>
      </c>
      <c r="AR59">
        <v>418.66206666666699</v>
      </c>
      <c r="AS59">
        <v>417.16613333333299</v>
      </c>
      <c r="AT59">
        <v>-1.428347</v>
      </c>
      <c r="AU59">
        <v>409.77993333333302</v>
      </c>
      <c r="AV59">
        <v>17.7058</v>
      </c>
      <c r="AW59">
        <v>1.612142</v>
      </c>
      <c r="AX59">
        <v>1.7536080000000001</v>
      </c>
      <c r="AY59">
        <v>14.0749866666667</v>
      </c>
      <c r="AZ59">
        <v>15.378693333333301</v>
      </c>
      <c r="BA59">
        <v>299.9982</v>
      </c>
      <c r="BB59">
        <v>0.90005299999999999</v>
      </c>
      <c r="BC59">
        <v>0</v>
      </c>
      <c r="BD59">
        <v>9.9946913333333304E-2</v>
      </c>
      <c r="BE59">
        <v>0</v>
      </c>
      <c r="BF59">
        <v>25</v>
      </c>
      <c r="BG59">
        <v>4946.6813333333303</v>
      </c>
      <c r="BH59">
        <v>1768579044.0999999</v>
      </c>
      <c r="BI59" t="s">
        <v>359</v>
      </c>
      <c r="BJ59">
        <v>1768579043.0999999</v>
      </c>
      <c r="BK59">
        <v>1768579044.0999999</v>
      </c>
      <c r="BL59">
        <v>2</v>
      </c>
      <c r="BM59">
        <v>6.4000000000000001E-2</v>
      </c>
      <c r="BN59">
        <v>-2.7E-2</v>
      </c>
      <c r="BO59">
        <v>-0.93100000000000005</v>
      </c>
      <c r="BP59">
        <v>0.14199999999999999</v>
      </c>
      <c r="BQ59">
        <v>408</v>
      </c>
      <c r="BR59">
        <v>16</v>
      </c>
      <c r="BS59">
        <v>0.15</v>
      </c>
      <c r="BT59">
        <v>0.06</v>
      </c>
      <c r="BU59">
        <v>2.8309235500000001</v>
      </c>
      <c r="BV59">
        <v>-14.196425458646599</v>
      </c>
      <c r="BW59">
        <v>1.4330290690751699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-1.6715089999999999</v>
      </c>
      <c r="CD59">
        <v>4.1782664661654101</v>
      </c>
      <c r="CE59">
        <v>0.40174256696173</v>
      </c>
      <c r="CF59">
        <v>0</v>
      </c>
      <c r="CG59">
        <v>0</v>
      </c>
      <c r="CH59">
        <v>2</v>
      </c>
      <c r="CI59" t="s">
        <v>290</v>
      </c>
      <c r="CJ59">
        <v>3.34992</v>
      </c>
      <c r="CK59">
        <v>2.6926199999999998</v>
      </c>
      <c r="CL59">
        <v>9.7295099999999995E-2</v>
      </c>
      <c r="CM59">
        <v>9.6063700000000002E-2</v>
      </c>
      <c r="CN59">
        <v>9.0493900000000002E-2</v>
      </c>
      <c r="CO59">
        <v>9.3246300000000004E-2</v>
      </c>
      <c r="CP59">
        <v>31664</v>
      </c>
      <c r="CQ59">
        <v>27813.5</v>
      </c>
      <c r="CR59">
        <v>32463</v>
      </c>
      <c r="CS59">
        <v>30694.3</v>
      </c>
      <c r="CT59">
        <v>39968.199999999997</v>
      </c>
      <c r="CU59">
        <v>39115.599999999999</v>
      </c>
      <c r="CV59">
        <v>47403.6</v>
      </c>
      <c r="CW59">
        <v>46801.2</v>
      </c>
      <c r="CX59">
        <v>2.5098400000000001</v>
      </c>
      <c r="CY59">
        <v>2.3347000000000002</v>
      </c>
      <c r="CZ59">
        <v>0</v>
      </c>
      <c r="DA59">
        <v>0</v>
      </c>
      <c r="DB59">
        <v>999.9</v>
      </c>
      <c r="DC59">
        <v>999.9</v>
      </c>
      <c r="DD59">
        <v>63.387</v>
      </c>
      <c r="DE59">
        <v>24.189</v>
      </c>
      <c r="DF59">
        <v>19.386600000000001</v>
      </c>
      <c r="DG59">
        <v>29.76</v>
      </c>
      <c r="DH59">
        <v>13.0489</v>
      </c>
      <c r="DI59">
        <v>2</v>
      </c>
      <c r="DJ59">
        <v>-0.15578</v>
      </c>
      <c r="DK59">
        <v>1.7121200000000001</v>
      </c>
      <c r="DL59">
        <v>20.229399999999998</v>
      </c>
      <c r="DM59">
        <v>5.2491599999999998</v>
      </c>
      <c r="DN59">
        <v>12.033899999999999</v>
      </c>
      <c r="DO59">
        <v>4.9671200000000004</v>
      </c>
      <c r="DP59">
        <v>3.2907600000000001</v>
      </c>
      <c r="DQ59">
        <v>9999</v>
      </c>
      <c r="DR59">
        <v>9999</v>
      </c>
      <c r="DS59">
        <v>522.70000000000005</v>
      </c>
      <c r="DT59">
        <v>9999</v>
      </c>
      <c r="DU59">
        <v>1.87097</v>
      </c>
      <c r="DV59">
        <v>1.8760300000000001</v>
      </c>
      <c r="DW59">
        <v>1.8762300000000001</v>
      </c>
      <c r="DX59">
        <v>1.8827499999999999</v>
      </c>
      <c r="DY59">
        <v>1.8754999999999999</v>
      </c>
      <c r="DZ59">
        <v>1.8745400000000001</v>
      </c>
      <c r="EA59">
        <v>1.87073</v>
      </c>
      <c r="EB59">
        <v>1.8745499999999999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-0.93100000000000005</v>
      </c>
      <c r="EQ59">
        <v>0.1416</v>
      </c>
      <c r="ER59">
        <v>-0.93090000000000805</v>
      </c>
      <c r="ES59">
        <v>0</v>
      </c>
      <c r="ET59">
        <v>0</v>
      </c>
      <c r="EU59">
        <v>0</v>
      </c>
      <c r="EV59">
        <v>0.14164545454545399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4.5999999999999996</v>
      </c>
      <c r="FE59">
        <v>4.5999999999999996</v>
      </c>
      <c r="FF59">
        <v>0.93627899999999997</v>
      </c>
      <c r="FG59">
        <v>2.5622600000000002</v>
      </c>
      <c r="FH59">
        <v>2.19604</v>
      </c>
      <c r="FI59">
        <v>2.67334</v>
      </c>
      <c r="FJ59">
        <v>2.4462899999999999</v>
      </c>
      <c r="FK59">
        <v>2.3010299999999999</v>
      </c>
      <c r="FL59">
        <v>29.9861</v>
      </c>
      <c r="FM59">
        <v>24.157499999999999</v>
      </c>
      <c r="FN59">
        <v>19</v>
      </c>
      <c r="FO59">
        <v>758.80100000000004</v>
      </c>
      <c r="FP59">
        <v>744.61699999999996</v>
      </c>
      <c r="FQ59">
        <v>18.167100000000001</v>
      </c>
      <c r="FR59">
        <v>25.0562</v>
      </c>
      <c r="FS59">
        <v>30.0002</v>
      </c>
      <c r="FT59">
        <v>25.066299999999998</v>
      </c>
      <c r="FU59">
        <v>25.063700000000001</v>
      </c>
      <c r="FV59">
        <v>18.7667</v>
      </c>
      <c r="FW59">
        <v>36.417700000000004</v>
      </c>
      <c r="FX59">
        <v>100</v>
      </c>
      <c r="FY59">
        <v>18.1938</v>
      </c>
      <c r="FZ59">
        <v>410</v>
      </c>
      <c r="GA59">
        <v>16.6586</v>
      </c>
      <c r="GB59">
        <v>99.891300000000001</v>
      </c>
      <c r="GC59">
        <v>99.636899999999997</v>
      </c>
    </row>
    <row r="60" spans="1:185" x14ac:dyDescent="0.2">
      <c r="A60">
        <v>45</v>
      </c>
      <c r="B60">
        <v>1768579333.0999999</v>
      </c>
      <c r="C60">
        <v>940.09999990463302</v>
      </c>
      <c r="D60" t="s">
        <v>384</v>
      </c>
      <c r="E60" t="s">
        <v>385</v>
      </c>
      <c r="F60">
        <v>15</v>
      </c>
      <c r="G60">
        <v>1768579325.03333</v>
      </c>
      <c r="H60">
        <f t="shared" si="13"/>
        <v>-4.4119171166737261E-4</v>
      </c>
      <c r="I60">
        <v>0</v>
      </c>
      <c r="J60">
        <f t="shared" si="12"/>
        <v>-6.0439957681504616E-3</v>
      </c>
      <c r="K60">
        <f t="shared" si="14"/>
        <v>-0.1582902646872609</v>
      </c>
      <c r="L60">
        <f t="shared" si="15"/>
        <v>74.393942046381071</v>
      </c>
      <c r="M60">
        <f t="shared" si="16"/>
        <v>1.6305407718912392</v>
      </c>
      <c r="N60">
        <f t="shared" si="17"/>
        <v>2.1917655215456588</v>
      </c>
      <c r="O60">
        <v>0</v>
      </c>
      <c r="P60">
        <v>0</v>
      </c>
      <c r="Q60">
        <f t="shared" si="18"/>
        <v>1</v>
      </c>
      <c r="R60">
        <f t="shared" si="19"/>
        <v>0</v>
      </c>
      <c r="S60">
        <f t="shared" si="20"/>
        <v>25922.796234545083</v>
      </c>
      <c r="T60">
        <f t="shared" si="21"/>
        <v>299.99993333333299</v>
      </c>
      <c r="U60">
        <f t="shared" si="22"/>
        <v>252.89945204010908</v>
      </c>
      <c r="V60">
        <f t="shared" si="23"/>
        <v>0.84299836080000035</v>
      </c>
      <c r="W60">
        <f t="shared" si="24"/>
        <v>0.15869595396800007</v>
      </c>
      <c r="X60">
        <v>1</v>
      </c>
      <c r="Y60">
        <v>1768579325.03333</v>
      </c>
      <c r="Z60">
        <v>411.35019999999997</v>
      </c>
      <c r="AA60">
        <v>410.8648</v>
      </c>
      <c r="AB60">
        <v>16.453893333333301</v>
      </c>
      <c r="AC60">
        <v>17.073806666666702</v>
      </c>
      <c r="AD60">
        <v>412.281133333333</v>
      </c>
      <c r="AE60">
        <v>16.312239999999999</v>
      </c>
      <c r="AF60">
        <v>699.98879999999997</v>
      </c>
      <c r="AG60">
        <v>99.042693333333304</v>
      </c>
      <c r="AH60">
        <v>5.487214E-2</v>
      </c>
      <c r="AI60">
        <v>18.902253333333299</v>
      </c>
      <c r="AJ60">
        <v>999.9</v>
      </c>
      <c r="AK60">
        <v>999.9</v>
      </c>
      <c r="AL60">
        <v>0</v>
      </c>
      <c r="AM60">
        <v>0</v>
      </c>
      <c r="AN60">
        <v>4990.5</v>
      </c>
      <c r="AO60">
        <v>0</v>
      </c>
      <c r="AP60">
        <v>2.7052520000000002</v>
      </c>
      <c r="AQ60">
        <v>0.48545959333333299</v>
      </c>
      <c r="AR60">
        <v>418.23180000000002</v>
      </c>
      <c r="AS60">
        <v>418.00186666666701</v>
      </c>
      <c r="AT60">
        <v>-0.61992219999999998</v>
      </c>
      <c r="AU60">
        <v>410.8648</v>
      </c>
      <c r="AV60">
        <v>17.073806666666702</v>
      </c>
      <c r="AW60">
        <v>1.62963666666667</v>
      </c>
      <c r="AX60">
        <v>1.6910353333333299</v>
      </c>
      <c r="AY60">
        <v>14.2419266666667</v>
      </c>
      <c r="AZ60">
        <v>14.813499999999999</v>
      </c>
      <c r="BA60">
        <v>299.99993333333299</v>
      </c>
      <c r="BB60">
        <v>0.90005386666666698</v>
      </c>
      <c r="BC60">
        <v>0</v>
      </c>
      <c r="BD60">
        <v>9.9946106666666701E-2</v>
      </c>
      <c r="BE60">
        <v>0</v>
      </c>
      <c r="BF60">
        <v>25</v>
      </c>
      <c r="BG60">
        <v>4946.71266666667</v>
      </c>
      <c r="BH60">
        <v>1768579044.0999999</v>
      </c>
      <c r="BI60" t="s">
        <v>359</v>
      </c>
      <c r="BJ60">
        <v>1768579043.0999999</v>
      </c>
      <c r="BK60">
        <v>1768579044.0999999</v>
      </c>
      <c r="BL60">
        <v>2</v>
      </c>
      <c r="BM60">
        <v>6.4000000000000001E-2</v>
      </c>
      <c r="BN60">
        <v>-2.7E-2</v>
      </c>
      <c r="BO60">
        <v>-0.93100000000000005</v>
      </c>
      <c r="BP60">
        <v>0.14199999999999999</v>
      </c>
      <c r="BQ60">
        <v>408</v>
      </c>
      <c r="BR60">
        <v>16</v>
      </c>
      <c r="BS60">
        <v>0.15</v>
      </c>
      <c r="BT60">
        <v>0.06</v>
      </c>
      <c r="BU60">
        <v>0.53090844500000001</v>
      </c>
      <c r="BV60">
        <v>7.8134765413533896E-2</v>
      </c>
      <c r="BW60">
        <v>1.0351513181111001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-0.73747644999999995</v>
      </c>
      <c r="CD60">
        <v>2.7672905413533799</v>
      </c>
      <c r="CE60">
        <v>0.26691551615454601</v>
      </c>
      <c r="CF60">
        <v>0</v>
      </c>
      <c r="CG60">
        <v>1</v>
      </c>
      <c r="CH60">
        <v>2</v>
      </c>
      <c r="CI60" t="s">
        <v>303</v>
      </c>
      <c r="CJ60">
        <v>3.3499099999999999</v>
      </c>
      <c r="CK60">
        <v>2.69299</v>
      </c>
      <c r="CL60">
        <v>9.7288700000000006E-2</v>
      </c>
      <c r="CM60">
        <v>9.6362100000000006E-2</v>
      </c>
      <c r="CN60">
        <v>9.0394100000000005E-2</v>
      </c>
      <c r="CO60">
        <v>9.0721899999999994E-2</v>
      </c>
      <c r="CP60">
        <v>31664.2</v>
      </c>
      <c r="CQ60">
        <v>27804.3</v>
      </c>
      <c r="CR60">
        <v>32463.1</v>
      </c>
      <c r="CS60">
        <v>30694.3</v>
      </c>
      <c r="CT60">
        <v>39973.1</v>
      </c>
      <c r="CU60">
        <v>39228.5</v>
      </c>
      <c r="CV60">
        <v>47404</v>
      </c>
      <c r="CW60">
        <v>46801.2</v>
      </c>
      <c r="CX60">
        <v>2.5103800000000001</v>
      </c>
      <c r="CY60">
        <v>2.33392</v>
      </c>
      <c r="CZ60">
        <v>0</v>
      </c>
      <c r="DA60">
        <v>0</v>
      </c>
      <c r="DB60">
        <v>999.9</v>
      </c>
      <c r="DC60">
        <v>999.9</v>
      </c>
      <c r="DD60">
        <v>63.338000000000001</v>
      </c>
      <c r="DE60">
        <v>24.199000000000002</v>
      </c>
      <c r="DF60">
        <v>19.3826</v>
      </c>
      <c r="DG60">
        <v>30.18</v>
      </c>
      <c r="DH60">
        <v>12.976800000000001</v>
      </c>
      <c r="DI60">
        <v>2</v>
      </c>
      <c r="DJ60">
        <v>-0.155366</v>
      </c>
      <c r="DK60">
        <v>1.52092</v>
      </c>
      <c r="DL60">
        <v>20.232099999999999</v>
      </c>
      <c r="DM60">
        <v>5.2507099999999998</v>
      </c>
      <c r="DN60">
        <v>12.033899999999999</v>
      </c>
      <c r="DO60">
        <v>4.9675200000000004</v>
      </c>
      <c r="DP60">
        <v>3.2909999999999999</v>
      </c>
      <c r="DQ60">
        <v>9999</v>
      </c>
      <c r="DR60">
        <v>9999</v>
      </c>
      <c r="DS60">
        <v>522.70000000000005</v>
      </c>
      <c r="DT60">
        <v>9999</v>
      </c>
      <c r="DU60">
        <v>1.87096</v>
      </c>
      <c r="DV60">
        <v>1.87605</v>
      </c>
      <c r="DW60">
        <v>1.87622</v>
      </c>
      <c r="DX60">
        <v>1.8827700000000001</v>
      </c>
      <c r="DY60">
        <v>1.87554</v>
      </c>
      <c r="DZ60">
        <v>1.8745400000000001</v>
      </c>
      <c r="EA60">
        <v>1.87073</v>
      </c>
      <c r="EB60">
        <v>1.8745400000000001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-0.93100000000000005</v>
      </c>
      <c r="EQ60">
        <v>0.14169999999999999</v>
      </c>
      <c r="ER60">
        <v>-0.93090000000000805</v>
      </c>
      <c r="ES60">
        <v>0</v>
      </c>
      <c r="ET60">
        <v>0</v>
      </c>
      <c r="EU60">
        <v>0</v>
      </c>
      <c r="EV60">
        <v>0.14164545454545399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4.8</v>
      </c>
      <c r="FE60">
        <v>4.8</v>
      </c>
      <c r="FF60">
        <v>0.92773399999999995</v>
      </c>
      <c r="FG60">
        <v>2.5695800000000002</v>
      </c>
      <c r="FH60">
        <v>2.19604</v>
      </c>
      <c r="FI60">
        <v>2.67456</v>
      </c>
      <c r="FJ60">
        <v>2.4462899999999999</v>
      </c>
      <c r="FK60">
        <v>2.2522000000000002</v>
      </c>
      <c r="FL60">
        <v>29.9861</v>
      </c>
      <c r="FM60">
        <v>24.157499999999999</v>
      </c>
      <c r="FN60">
        <v>19</v>
      </c>
      <c r="FO60">
        <v>759.32799999999997</v>
      </c>
      <c r="FP60">
        <v>743.95699999999999</v>
      </c>
      <c r="FQ60">
        <v>18.379899999999999</v>
      </c>
      <c r="FR60">
        <v>25.063800000000001</v>
      </c>
      <c r="FS60">
        <v>30.0001</v>
      </c>
      <c r="FT60">
        <v>25.0718</v>
      </c>
      <c r="FU60">
        <v>25.0687</v>
      </c>
      <c r="FV60">
        <v>18.581299999999999</v>
      </c>
      <c r="FW60">
        <v>44.386200000000002</v>
      </c>
      <c r="FX60">
        <v>100</v>
      </c>
      <c r="FY60">
        <v>18.4055</v>
      </c>
      <c r="FZ60">
        <v>410</v>
      </c>
      <c r="GA60">
        <v>16.132000000000001</v>
      </c>
      <c r="GB60">
        <v>99.891800000000003</v>
      </c>
      <c r="GC60">
        <v>99.637100000000004</v>
      </c>
    </row>
    <row r="61" spans="1:185" x14ac:dyDescent="0.2">
      <c r="A61">
        <v>46</v>
      </c>
      <c r="B61">
        <v>1768579348.0999999</v>
      </c>
      <c r="C61">
        <v>955.09999990463302</v>
      </c>
      <c r="D61" t="s">
        <v>386</v>
      </c>
      <c r="E61" t="s">
        <v>387</v>
      </c>
      <c r="F61">
        <v>15</v>
      </c>
      <c r="G61">
        <v>1768579340.03333</v>
      </c>
      <c r="H61">
        <f t="shared" si="13"/>
        <v>-1.120998745149362E-4</v>
      </c>
      <c r="I61">
        <v>0</v>
      </c>
      <c r="J61">
        <f t="shared" si="12"/>
        <v>4.0214324609167851E-2</v>
      </c>
      <c r="K61">
        <f t="shared" si="14"/>
        <v>1.0531999575758377</v>
      </c>
      <c r="L61">
        <f t="shared" si="15"/>
        <v>73.723058283740713</v>
      </c>
      <c r="M61">
        <f t="shared" si="16"/>
        <v>1.6185590780674117</v>
      </c>
      <c r="N61">
        <f t="shared" si="17"/>
        <v>2.1954584030385749</v>
      </c>
      <c r="O61">
        <v>0</v>
      </c>
      <c r="P61">
        <v>0</v>
      </c>
      <c r="Q61">
        <f t="shared" si="18"/>
        <v>1</v>
      </c>
      <c r="R61">
        <f t="shared" si="19"/>
        <v>0</v>
      </c>
      <c r="S61">
        <f t="shared" si="20"/>
        <v>25968.397924837809</v>
      </c>
      <c r="T61">
        <f t="shared" si="21"/>
        <v>300.00046666666702</v>
      </c>
      <c r="U61">
        <f t="shared" si="22"/>
        <v>252.89997861935507</v>
      </c>
      <c r="V61">
        <f t="shared" si="23"/>
        <v>0.84299861739999993</v>
      </c>
      <c r="W61">
        <f t="shared" si="24"/>
        <v>0.15869637460399999</v>
      </c>
      <c r="X61">
        <v>1</v>
      </c>
      <c r="Y61">
        <v>1768579340.03333</v>
      </c>
      <c r="Z61">
        <v>412.762333333333</v>
      </c>
      <c r="AA61">
        <v>414.20080000000002</v>
      </c>
      <c r="AB61">
        <v>16.332879999999999</v>
      </c>
      <c r="AC61">
        <v>16.490406666666701</v>
      </c>
      <c r="AD61">
        <v>413.69333333333299</v>
      </c>
      <c r="AE61">
        <v>16.191226666666701</v>
      </c>
      <c r="AF61">
        <v>700.00186666666696</v>
      </c>
      <c r="AG61">
        <v>99.043206666666705</v>
      </c>
      <c r="AH61">
        <v>5.4997573333333299E-2</v>
      </c>
      <c r="AI61">
        <v>18.929213333333301</v>
      </c>
      <c r="AJ61">
        <v>999.9</v>
      </c>
      <c r="AK61">
        <v>999.9</v>
      </c>
      <c r="AL61">
        <v>0</v>
      </c>
      <c r="AM61">
        <v>0</v>
      </c>
      <c r="AN61">
        <v>4998.4666666666699</v>
      </c>
      <c r="AO61">
        <v>0</v>
      </c>
      <c r="AP61">
        <v>2.6765713333333299</v>
      </c>
      <c r="AQ61">
        <v>-1.4384583333333301</v>
      </c>
      <c r="AR61">
        <v>419.61573333333303</v>
      </c>
      <c r="AS61">
        <v>421.14593333333301</v>
      </c>
      <c r="AT61">
        <v>-0.15753721333333301</v>
      </c>
      <c r="AU61">
        <v>414.20080000000002</v>
      </c>
      <c r="AV61">
        <v>16.490406666666701</v>
      </c>
      <c r="AW61">
        <v>1.6176600000000001</v>
      </c>
      <c r="AX61">
        <v>1.6332646666666699</v>
      </c>
      <c r="AY61">
        <v>14.1279866666667</v>
      </c>
      <c r="AZ61">
        <v>14.2757066666667</v>
      </c>
      <c r="BA61">
        <v>300.00046666666702</v>
      </c>
      <c r="BB61">
        <v>0.90004859999999998</v>
      </c>
      <c r="BC61">
        <v>0</v>
      </c>
      <c r="BD61">
        <v>9.99514866666667E-2</v>
      </c>
      <c r="BE61">
        <v>0</v>
      </c>
      <c r="BF61">
        <v>25</v>
      </c>
      <c r="BG61">
        <v>4946.7146666666704</v>
      </c>
      <c r="BH61">
        <v>1768579044.0999999</v>
      </c>
      <c r="BI61" t="s">
        <v>359</v>
      </c>
      <c r="BJ61">
        <v>1768579043.0999999</v>
      </c>
      <c r="BK61">
        <v>1768579044.0999999</v>
      </c>
      <c r="BL61">
        <v>2</v>
      </c>
      <c r="BM61">
        <v>6.4000000000000001E-2</v>
      </c>
      <c r="BN61">
        <v>-2.7E-2</v>
      </c>
      <c r="BO61">
        <v>-0.93100000000000005</v>
      </c>
      <c r="BP61">
        <v>0.14199999999999999</v>
      </c>
      <c r="BQ61">
        <v>408</v>
      </c>
      <c r="BR61">
        <v>16</v>
      </c>
      <c r="BS61">
        <v>0.15</v>
      </c>
      <c r="BT61">
        <v>0.06</v>
      </c>
      <c r="BU61">
        <v>-1.0009722428571399</v>
      </c>
      <c r="BV61">
        <v>5.1459857610389603</v>
      </c>
      <c r="BW61">
        <v>2.6007640682389699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-0.23349420000000001</v>
      </c>
      <c r="CD61">
        <v>1.44825233766234</v>
      </c>
      <c r="CE61">
        <v>0.14744171413822801</v>
      </c>
      <c r="CF61">
        <v>0</v>
      </c>
      <c r="CG61">
        <v>0</v>
      </c>
      <c r="CH61">
        <v>2</v>
      </c>
      <c r="CI61" t="s">
        <v>290</v>
      </c>
      <c r="CJ61">
        <v>3.3499599999999998</v>
      </c>
      <c r="CK61">
        <v>2.69286</v>
      </c>
      <c r="CL61">
        <v>9.7626099999999993E-2</v>
      </c>
      <c r="CM61">
        <v>9.5535300000000004E-2</v>
      </c>
      <c r="CN61">
        <v>8.9557499999999998E-2</v>
      </c>
      <c r="CO61">
        <v>8.8678199999999999E-2</v>
      </c>
      <c r="CP61">
        <v>31651.7</v>
      </c>
      <c r="CQ61">
        <v>27829.599999999999</v>
      </c>
      <c r="CR61">
        <v>32462.5</v>
      </c>
      <c r="CS61">
        <v>30694.2</v>
      </c>
      <c r="CT61">
        <v>40010.1</v>
      </c>
      <c r="CU61">
        <v>39319.800000000003</v>
      </c>
      <c r="CV61">
        <v>47402.8</v>
      </c>
      <c r="CW61">
        <v>46801.4</v>
      </c>
      <c r="CX61">
        <v>2.5106999999999999</v>
      </c>
      <c r="CY61">
        <v>2.3330799999999998</v>
      </c>
      <c r="CZ61">
        <v>0</v>
      </c>
      <c r="DA61">
        <v>0</v>
      </c>
      <c r="DB61">
        <v>999.9</v>
      </c>
      <c r="DC61">
        <v>999.9</v>
      </c>
      <c r="DD61">
        <v>63.295000000000002</v>
      </c>
      <c r="DE61">
        <v>24.219000000000001</v>
      </c>
      <c r="DF61">
        <v>19.394100000000002</v>
      </c>
      <c r="DG61">
        <v>30.51</v>
      </c>
      <c r="DH61">
        <v>12.960699999999999</v>
      </c>
      <c r="DI61">
        <v>2</v>
      </c>
      <c r="DJ61">
        <v>-0.15498000000000001</v>
      </c>
      <c r="DK61">
        <v>1.4555899999999999</v>
      </c>
      <c r="DL61">
        <v>20.232700000000001</v>
      </c>
      <c r="DM61">
        <v>5.25047</v>
      </c>
      <c r="DN61">
        <v>12.033899999999999</v>
      </c>
      <c r="DO61">
        <v>4.9673999999999996</v>
      </c>
      <c r="DP61">
        <v>3.2909999999999999</v>
      </c>
      <c r="DQ61">
        <v>9999</v>
      </c>
      <c r="DR61">
        <v>9999</v>
      </c>
      <c r="DS61">
        <v>522.70000000000005</v>
      </c>
      <c r="DT61">
        <v>9999</v>
      </c>
      <c r="DU61">
        <v>1.87094</v>
      </c>
      <c r="DV61">
        <v>1.8760399999999999</v>
      </c>
      <c r="DW61">
        <v>1.8762300000000001</v>
      </c>
      <c r="DX61">
        <v>1.88276</v>
      </c>
      <c r="DY61">
        <v>1.8754900000000001</v>
      </c>
      <c r="DZ61">
        <v>1.8745400000000001</v>
      </c>
      <c r="EA61">
        <v>1.8707199999999999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-0.93100000000000005</v>
      </c>
      <c r="EQ61">
        <v>0.14169999999999999</v>
      </c>
      <c r="ER61">
        <v>-0.93090000000000805</v>
      </c>
      <c r="ES61">
        <v>0</v>
      </c>
      <c r="ET61">
        <v>0</v>
      </c>
      <c r="EU61">
        <v>0</v>
      </c>
      <c r="EV61">
        <v>0.14164545454545399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5.0999999999999996</v>
      </c>
      <c r="FE61">
        <v>5.0999999999999996</v>
      </c>
      <c r="FF61">
        <v>0.91064500000000004</v>
      </c>
      <c r="FG61">
        <v>2.5610400000000002</v>
      </c>
      <c r="FH61">
        <v>2.19604</v>
      </c>
      <c r="FI61">
        <v>2.67456</v>
      </c>
      <c r="FJ61">
        <v>2.4462899999999999</v>
      </c>
      <c r="FK61">
        <v>2.2790499999999998</v>
      </c>
      <c r="FL61">
        <v>30.0076</v>
      </c>
      <c r="FM61">
        <v>24.157499999999999</v>
      </c>
      <c r="FN61">
        <v>19</v>
      </c>
      <c r="FO61">
        <v>759.66800000000001</v>
      </c>
      <c r="FP61">
        <v>743.25400000000002</v>
      </c>
      <c r="FQ61">
        <v>18.554400000000001</v>
      </c>
      <c r="FR61">
        <v>25.070900000000002</v>
      </c>
      <c r="FS61">
        <v>30.000299999999999</v>
      </c>
      <c r="FT61">
        <v>25.076799999999999</v>
      </c>
      <c r="FU61">
        <v>25.0746</v>
      </c>
      <c r="FV61">
        <v>18.292899999999999</v>
      </c>
      <c r="FW61">
        <v>50.053100000000001</v>
      </c>
      <c r="FX61">
        <v>100</v>
      </c>
      <c r="FY61">
        <v>18.5672</v>
      </c>
      <c r="FZ61">
        <v>410</v>
      </c>
      <c r="GA61">
        <v>15.8088</v>
      </c>
      <c r="GB61">
        <v>99.889499999999998</v>
      </c>
      <c r="GC61">
        <v>99.637200000000007</v>
      </c>
    </row>
    <row r="62" spans="1:185" x14ac:dyDescent="0.2">
      <c r="A62">
        <v>47</v>
      </c>
      <c r="B62">
        <v>1768579363.0999999</v>
      </c>
      <c r="C62">
        <v>970.09999990463302</v>
      </c>
      <c r="D62" t="s">
        <v>388</v>
      </c>
      <c r="E62" t="s">
        <v>389</v>
      </c>
      <c r="F62">
        <v>15</v>
      </c>
      <c r="G62">
        <v>1768579355.03333</v>
      </c>
      <c r="H62">
        <f t="shared" si="13"/>
        <v>4.1715423216776243E-5</v>
      </c>
      <c r="I62">
        <v>0</v>
      </c>
      <c r="J62">
        <f t="shared" si="12"/>
        <v>-0.10892542358733683</v>
      </c>
      <c r="K62">
        <f t="shared" si="14"/>
        <v>-2.8527210792683553</v>
      </c>
      <c r="L62">
        <f t="shared" si="15"/>
        <v>72.520751936782645</v>
      </c>
      <c r="M62">
        <f t="shared" si="16"/>
        <v>1.5956515885936577</v>
      </c>
      <c r="N62">
        <f t="shared" si="17"/>
        <v>2.2002689519609637</v>
      </c>
      <c r="O62">
        <v>0</v>
      </c>
      <c r="P62">
        <v>0</v>
      </c>
      <c r="Q62">
        <f t="shared" si="18"/>
        <v>1</v>
      </c>
      <c r="R62">
        <f t="shared" si="19"/>
        <v>0</v>
      </c>
      <c r="S62">
        <f t="shared" si="20"/>
        <v>25971.62840011068</v>
      </c>
      <c r="T62">
        <f t="shared" si="21"/>
        <v>299.99926666666698</v>
      </c>
      <c r="U62">
        <f t="shared" si="22"/>
        <v>252.89895898103373</v>
      </c>
      <c r="V62">
        <f t="shared" si="23"/>
        <v>0.84299859059999971</v>
      </c>
      <c r="W62">
        <f t="shared" si="24"/>
        <v>0.15869638555599996</v>
      </c>
      <c r="X62">
        <v>1</v>
      </c>
      <c r="Y62">
        <v>1768579355.03333</v>
      </c>
      <c r="Z62">
        <v>410.7242</v>
      </c>
      <c r="AA62">
        <v>406.67340000000002</v>
      </c>
      <c r="AB62">
        <v>16.101746666666699</v>
      </c>
      <c r="AC62">
        <v>16.043113333333299</v>
      </c>
      <c r="AD62">
        <v>411.65513333333303</v>
      </c>
      <c r="AE62">
        <v>15.9600666666667</v>
      </c>
      <c r="AF62">
        <v>700.0068</v>
      </c>
      <c r="AG62">
        <v>99.042986666666707</v>
      </c>
      <c r="AH62">
        <v>5.5056646666666702E-2</v>
      </c>
      <c r="AI62">
        <v>18.964273333333299</v>
      </c>
      <c r="AJ62">
        <v>999.9</v>
      </c>
      <c r="AK62">
        <v>999.9</v>
      </c>
      <c r="AL62">
        <v>0</v>
      </c>
      <c r="AM62">
        <v>0</v>
      </c>
      <c r="AN62">
        <v>4999.5333333333301</v>
      </c>
      <c r="AO62">
        <v>0</v>
      </c>
      <c r="AP62">
        <v>2.65361</v>
      </c>
      <c r="AQ62">
        <v>4.0508100666666698</v>
      </c>
      <c r="AR62">
        <v>417.44606666666698</v>
      </c>
      <c r="AS62">
        <v>413.30426666666699</v>
      </c>
      <c r="AT62">
        <v>5.8619299999999999E-2</v>
      </c>
      <c r="AU62">
        <v>406.67340000000002</v>
      </c>
      <c r="AV62">
        <v>16.043113333333299</v>
      </c>
      <c r="AW62">
        <v>1.59476333333333</v>
      </c>
      <c r="AX62">
        <v>1.58895866666667</v>
      </c>
      <c r="AY62">
        <v>13.908146666666701</v>
      </c>
      <c r="AZ62">
        <v>13.8518333333333</v>
      </c>
      <c r="BA62">
        <v>299.99926666666698</v>
      </c>
      <c r="BB62">
        <v>0.90004833333333301</v>
      </c>
      <c r="BC62">
        <v>0</v>
      </c>
      <c r="BD62">
        <v>9.9951713333333303E-2</v>
      </c>
      <c r="BE62">
        <v>0</v>
      </c>
      <c r="BF62">
        <v>25</v>
      </c>
      <c r="BG62">
        <v>4946.6946666666699</v>
      </c>
      <c r="BH62">
        <v>1768579044.0999999</v>
      </c>
      <c r="BI62" t="s">
        <v>359</v>
      </c>
      <c r="BJ62">
        <v>1768579043.0999999</v>
      </c>
      <c r="BK62">
        <v>1768579044.0999999</v>
      </c>
      <c r="BL62">
        <v>2</v>
      </c>
      <c r="BM62">
        <v>6.4000000000000001E-2</v>
      </c>
      <c r="BN62">
        <v>-2.7E-2</v>
      </c>
      <c r="BO62">
        <v>-0.93100000000000005</v>
      </c>
      <c r="BP62">
        <v>0.14199999999999999</v>
      </c>
      <c r="BQ62">
        <v>408</v>
      </c>
      <c r="BR62">
        <v>16</v>
      </c>
      <c r="BS62">
        <v>0.15</v>
      </c>
      <c r="BT62">
        <v>0.06</v>
      </c>
      <c r="BU62">
        <v>3.3816240999999998</v>
      </c>
      <c r="BV62">
        <v>1.0681517593984999</v>
      </c>
      <c r="BW62">
        <v>2.2652881877586499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3.0289352499999998E-2</v>
      </c>
      <c r="CD62">
        <v>0.56693120977443601</v>
      </c>
      <c r="CE62">
        <v>5.7902287129718497E-2</v>
      </c>
      <c r="CF62">
        <v>0</v>
      </c>
      <c r="CG62">
        <v>0</v>
      </c>
      <c r="CH62">
        <v>2</v>
      </c>
      <c r="CI62" t="s">
        <v>290</v>
      </c>
      <c r="CJ62">
        <v>3.3499300000000001</v>
      </c>
      <c r="CK62">
        <v>2.69265</v>
      </c>
      <c r="CL62">
        <v>9.68831E-2</v>
      </c>
      <c r="CM62">
        <v>9.5504400000000003E-2</v>
      </c>
      <c r="CN62">
        <v>8.8508600000000007E-2</v>
      </c>
      <c r="CO62">
        <v>8.7324700000000005E-2</v>
      </c>
      <c r="CP62">
        <v>31676.9</v>
      </c>
      <c r="CQ62">
        <v>27831.200000000001</v>
      </c>
      <c r="CR62">
        <v>32461.599999999999</v>
      </c>
      <c r="CS62">
        <v>30695</v>
      </c>
      <c r="CT62">
        <v>40056.9</v>
      </c>
      <c r="CU62">
        <v>39381.300000000003</v>
      </c>
      <c r="CV62">
        <v>47401.7</v>
      </c>
      <c r="CW62">
        <v>46802.9</v>
      </c>
      <c r="CX62">
        <v>2.51078</v>
      </c>
      <c r="CY62">
        <v>2.3327</v>
      </c>
      <c r="CZ62">
        <v>0</v>
      </c>
      <c r="DA62">
        <v>0</v>
      </c>
      <c r="DB62">
        <v>999.9</v>
      </c>
      <c r="DC62">
        <v>999.9</v>
      </c>
      <c r="DD62">
        <v>63.246000000000002</v>
      </c>
      <c r="DE62">
        <v>24.248999999999999</v>
      </c>
      <c r="DF62">
        <v>19.412800000000001</v>
      </c>
      <c r="DG62">
        <v>30.3</v>
      </c>
      <c r="DH62">
        <v>12.992800000000001</v>
      </c>
      <c r="DI62">
        <v>2</v>
      </c>
      <c r="DJ62">
        <v>-0.15424199999999999</v>
      </c>
      <c r="DK62">
        <v>1.4982599999999999</v>
      </c>
      <c r="DL62">
        <v>20.232099999999999</v>
      </c>
      <c r="DM62">
        <v>5.25047</v>
      </c>
      <c r="DN62">
        <v>12.033899999999999</v>
      </c>
      <c r="DO62">
        <v>4.9672799999999997</v>
      </c>
      <c r="DP62">
        <v>3.2909999999999999</v>
      </c>
      <c r="DQ62">
        <v>9999</v>
      </c>
      <c r="DR62">
        <v>9999</v>
      </c>
      <c r="DS62">
        <v>522.79999999999995</v>
      </c>
      <c r="DT62">
        <v>9999</v>
      </c>
      <c r="DU62">
        <v>1.8709800000000001</v>
      </c>
      <c r="DV62">
        <v>1.87605</v>
      </c>
      <c r="DW62">
        <v>1.8762399999999999</v>
      </c>
      <c r="DX62">
        <v>1.8827799999999999</v>
      </c>
      <c r="DY62">
        <v>1.8755299999999999</v>
      </c>
      <c r="DZ62">
        <v>1.8745499999999999</v>
      </c>
      <c r="EA62">
        <v>1.87073</v>
      </c>
      <c r="EB62">
        <v>1.8745499999999999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-0.93100000000000005</v>
      </c>
      <c r="EQ62">
        <v>0.1416</v>
      </c>
      <c r="ER62">
        <v>-0.93090000000000805</v>
      </c>
      <c r="ES62">
        <v>0</v>
      </c>
      <c r="ET62">
        <v>0</v>
      </c>
      <c r="EU62">
        <v>0</v>
      </c>
      <c r="EV62">
        <v>0.14164545454545399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5.3</v>
      </c>
      <c r="FE62">
        <v>5.3</v>
      </c>
      <c r="FF62">
        <v>0.930176</v>
      </c>
      <c r="FG62">
        <v>2.5708000000000002</v>
      </c>
      <c r="FH62">
        <v>2.19604</v>
      </c>
      <c r="FI62">
        <v>2.67578</v>
      </c>
      <c r="FJ62">
        <v>2.4462899999999999</v>
      </c>
      <c r="FK62">
        <v>2.2583000000000002</v>
      </c>
      <c r="FL62">
        <v>30.029</v>
      </c>
      <c r="FM62">
        <v>24.148800000000001</v>
      </c>
      <c r="FN62">
        <v>19</v>
      </c>
      <c r="FO62">
        <v>759.81100000000004</v>
      </c>
      <c r="FP62">
        <v>742.98199999999997</v>
      </c>
      <c r="FQ62">
        <v>18.6556</v>
      </c>
      <c r="FR62">
        <v>25.076799999999999</v>
      </c>
      <c r="FS62">
        <v>30.000399999999999</v>
      </c>
      <c r="FT62">
        <v>25.0823</v>
      </c>
      <c r="FU62">
        <v>25.080500000000001</v>
      </c>
      <c r="FV62">
        <v>18.681999999999999</v>
      </c>
      <c r="FW62">
        <v>52.733800000000002</v>
      </c>
      <c r="FX62">
        <v>100</v>
      </c>
      <c r="FY62">
        <v>18.656500000000001</v>
      </c>
      <c r="FZ62">
        <v>410</v>
      </c>
      <c r="GA62">
        <v>15.661</v>
      </c>
      <c r="GB62">
        <v>99.887</v>
      </c>
      <c r="GC62">
        <v>99.640100000000004</v>
      </c>
    </row>
    <row r="63" spans="1:185" x14ac:dyDescent="0.2">
      <c r="A63">
        <v>48</v>
      </c>
      <c r="B63">
        <v>1768579378.0999999</v>
      </c>
      <c r="C63">
        <v>985.09999990463302</v>
      </c>
      <c r="D63" t="s">
        <v>390</v>
      </c>
      <c r="E63" t="s">
        <v>391</v>
      </c>
      <c r="F63">
        <v>15</v>
      </c>
      <c r="G63">
        <v>1768579370.03333</v>
      </c>
      <c r="H63">
        <f t="shared" si="13"/>
        <v>4.7414503649439615E-5</v>
      </c>
      <c r="I63">
        <v>0</v>
      </c>
      <c r="J63">
        <f t="shared" si="12"/>
        <v>8.654871331907692E-3</v>
      </c>
      <c r="K63">
        <f t="shared" si="14"/>
        <v>0.22666823844932746</v>
      </c>
      <c r="L63">
        <f t="shared" si="15"/>
        <v>71.331449446701626</v>
      </c>
      <c r="M63">
        <f t="shared" si="16"/>
        <v>1.5728955850465265</v>
      </c>
      <c r="N63">
        <f t="shared" si="17"/>
        <v>2.2050520454120077</v>
      </c>
      <c r="O63">
        <v>0</v>
      </c>
      <c r="P63">
        <v>0</v>
      </c>
      <c r="Q63">
        <f t="shared" si="18"/>
        <v>1</v>
      </c>
      <c r="R63">
        <f t="shared" si="19"/>
        <v>0</v>
      </c>
      <c r="S63">
        <f t="shared" si="20"/>
        <v>25969.394715475668</v>
      </c>
      <c r="T63">
        <f t="shared" si="21"/>
        <v>299.99973333333298</v>
      </c>
      <c r="U63">
        <f t="shared" si="22"/>
        <v>252.89924516047094</v>
      </c>
      <c r="V63">
        <f t="shared" si="23"/>
        <v>0.84299823320000034</v>
      </c>
      <c r="W63">
        <f t="shared" si="24"/>
        <v>0.15869592079200004</v>
      </c>
      <c r="X63">
        <v>1</v>
      </c>
      <c r="Y63">
        <v>1768579370.03333</v>
      </c>
      <c r="Z63">
        <v>409.25853333333299</v>
      </c>
      <c r="AA63">
        <v>409.61006666666702</v>
      </c>
      <c r="AB63">
        <v>15.871966666666699</v>
      </c>
      <c r="AC63">
        <v>15.8053066666667</v>
      </c>
      <c r="AD63">
        <v>410.18946666666699</v>
      </c>
      <c r="AE63">
        <v>15.7302933333333</v>
      </c>
      <c r="AF63">
        <v>699.99913333333302</v>
      </c>
      <c r="AG63">
        <v>99.043980000000005</v>
      </c>
      <c r="AH63">
        <v>5.4992300000000001E-2</v>
      </c>
      <c r="AI63">
        <v>18.9990666666667</v>
      </c>
      <c r="AJ63">
        <v>999.9</v>
      </c>
      <c r="AK63">
        <v>999.9</v>
      </c>
      <c r="AL63">
        <v>0</v>
      </c>
      <c r="AM63">
        <v>0</v>
      </c>
      <c r="AN63">
        <v>4999.6333333333296</v>
      </c>
      <c r="AO63">
        <v>0</v>
      </c>
      <c r="AP63">
        <v>2.65361</v>
      </c>
      <c r="AQ63">
        <v>-0.35154200000000002</v>
      </c>
      <c r="AR63">
        <v>415.85886666666698</v>
      </c>
      <c r="AS63">
        <v>416.18786666666699</v>
      </c>
      <c r="AT63">
        <v>6.6642246666666696E-2</v>
      </c>
      <c r="AU63">
        <v>409.61006666666702</v>
      </c>
      <c r="AV63">
        <v>15.8053066666667</v>
      </c>
      <c r="AW63">
        <v>1.5720213333333299</v>
      </c>
      <c r="AX63">
        <v>1.5654220000000001</v>
      </c>
      <c r="AY63">
        <v>13.687153333333301</v>
      </c>
      <c r="AZ63">
        <v>13.6225</v>
      </c>
      <c r="BA63">
        <v>299.99973333333298</v>
      </c>
      <c r="BB63">
        <v>0.90005386666666698</v>
      </c>
      <c r="BC63">
        <v>0</v>
      </c>
      <c r="BD63">
        <v>9.994596E-2</v>
      </c>
      <c r="BE63">
        <v>0</v>
      </c>
      <c r="BF63">
        <v>25</v>
      </c>
      <c r="BG63">
        <v>4946.71133333333</v>
      </c>
      <c r="BH63">
        <v>1768579044.0999999</v>
      </c>
      <c r="BI63" t="s">
        <v>359</v>
      </c>
      <c r="BJ63">
        <v>1768579043.0999999</v>
      </c>
      <c r="BK63">
        <v>1768579044.0999999</v>
      </c>
      <c r="BL63">
        <v>2</v>
      </c>
      <c r="BM63">
        <v>6.4000000000000001E-2</v>
      </c>
      <c r="BN63">
        <v>-2.7E-2</v>
      </c>
      <c r="BO63">
        <v>-0.93100000000000005</v>
      </c>
      <c r="BP63">
        <v>0.14199999999999999</v>
      </c>
      <c r="BQ63">
        <v>408</v>
      </c>
      <c r="BR63">
        <v>16</v>
      </c>
      <c r="BS63">
        <v>0.15</v>
      </c>
      <c r="BT63">
        <v>0.06</v>
      </c>
      <c r="BU63">
        <v>0.31112719999999999</v>
      </c>
      <c r="BV63">
        <v>-9.2679082105263202</v>
      </c>
      <c r="BW63">
        <v>1.50010670197892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7.2922989999999993E-2</v>
      </c>
      <c r="CD63">
        <v>-0.116342490225564</v>
      </c>
      <c r="CE63">
        <v>1.2050935920827901E-2</v>
      </c>
      <c r="CF63">
        <v>0</v>
      </c>
      <c r="CG63">
        <v>0</v>
      </c>
      <c r="CH63">
        <v>2</v>
      </c>
      <c r="CI63" t="s">
        <v>290</v>
      </c>
      <c r="CJ63">
        <v>3.3499400000000001</v>
      </c>
      <c r="CK63">
        <v>2.69259</v>
      </c>
      <c r="CL63">
        <v>9.6965499999999996E-2</v>
      </c>
      <c r="CM63">
        <v>9.5548800000000003E-2</v>
      </c>
      <c r="CN63">
        <v>8.7682499999999997E-2</v>
      </c>
      <c r="CO63">
        <v>8.6712899999999996E-2</v>
      </c>
      <c r="CP63">
        <v>31674.1</v>
      </c>
      <c r="CQ63">
        <v>27829.7</v>
      </c>
      <c r="CR63">
        <v>32461.8</v>
      </c>
      <c r="CS63">
        <v>30694.9</v>
      </c>
      <c r="CT63">
        <v>40094.6</v>
      </c>
      <c r="CU63">
        <v>39408.199999999997</v>
      </c>
      <c r="CV63">
        <v>47402</v>
      </c>
      <c r="CW63">
        <v>46802.400000000001</v>
      </c>
      <c r="CX63">
        <v>2.5104000000000002</v>
      </c>
      <c r="CY63">
        <v>2.3323200000000002</v>
      </c>
      <c r="CZ63">
        <v>0</v>
      </c>
      <c r="DA63">
        <v>0</v>
      </c>
      <c r="DB63">
        <v>999.9</v>
      </c>
      <c r="DC63">
        <v>999.9</v>
      </c>
      <c r="DD63">
        <v>63.185000000000002</v>
      </c>
      <c r="DE63">
        <v>24.26</v>
      </c>
      <c r="DF63">
        <v>19.4071</v>
      </c>
      <c r="DG63">
        <v>30.45</v>
      </c>
      <c r="DH63">
        <v>13.0609</v>
      </c>
      <c r="DI63">
        <v>2</v>
      </c>
      <c r="DJ63">
        <v>-0.150756</v>
      </c>
      <c r="DK63">
        <v>3.12676</v>
      </c>
      <c r="DL63">
        <v>20.2011</v>
      </c>
      <c r="DM63">
        <v>5.2484400000000004</v>
      </c>
      <c r="DN63">
        <v>12.033899999999999</v>
      </c>
      <c r="DO63">
        <v>4.9670800000000002</v>
      </c>
      <c r="DP63">
        <v>3.2907199999999999</v>
      </c>
      <c r="DQ63">
        <v>9999</v>
      </c>
      <c r="DR63">
        <v>9999</v>
      </c>
      <c r="DS63">
        <v>522.79999999999995</v>
      </c>
      <c r="DT63">
        <v>9999</v>
      </c>
      <c r="DU63">
        <v>1.8709100000000001</v>
      </c>
      <c r="DV63">
        <v>1.87599</v>
      </c>
      <c r="DW63">
        <v>1.87622</v>
      </c>
      <c r="DX63">
        <v>1.8827400000000001</v>
      </c>
      <c r="DY63">
        <v>1.87548</v>
      </c>
      <c r="DZ63">
        <v>1.8745400000000001</v>
      </c>
      <c r="EA63">
        <v>1.87073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-0.93100000000000005</v>
      </c>
      <c r="EQ63">
        <v>0.14169999999999999</v>
      </c>
      <c r="ER63">
        <v>-0.93090000000000805</v>
      </c>
      <c r="ES63">
        <v>0</v>
      </c>
      <c r="ET63">
        <v>0</v>
      </c>
      <c r="EU63">
        <v>0</v>
      </c>
      <c r="EV63">
        <v>0.14164545454545399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5.6</v>
      </c>
      <c r="FE63">
        <v>5.6</v>
      </c>
      <c r="FF63">
        <v>0.931396</v>
      </c>
      <c r="FG63">
        <v>2.5671400000000002</v>
      </c>
      <c r="FH63">
        <v>2.19604</v>
      </c>
      <c r="FI63">
        <v>2.677</v>
      </c>
      <c r="FJ63">
        <v>2.4462899999999999</v>
      </c>
      <c r="FK63">
        <v>2.2375500000000001</v>
      </c>
      <c r="FL63">
        <v>30.0504</v>
      </c>
      <c r="FM63">
        <v>24.148800000000001</v>
      </c>
      <c r="FN63">
        <v>19</v>
      </c>
      <c r="FO63">
        <v>759.56</v>
      </c>
      <c r="FP63">
        <v>742.71</v>
      </c>
      <c r="FQ63">
        <v>18.5411</v>
      </c>
      <c r="FR63">
        <v>25.081800000000001</v>
      </c>
      <c r="FS63">
        <v>30.002400000000002</v>
      </c>
      <c r="FT63">
        <v>25.0869</v>
      </c>
      <c r="FU63">
        <v>25.086400000000001</v>
      </c>
      <c r="FV63">
        <v>18.713100000000001</v>
      </c>
      <c r="FW63">
        <v>54.206400000000002</v>
      </c>
      <c r="FX63">
        <v>100</v>
      </c>
      <c r="FY63">
        <v>18.231000000000002</v>
      </c>
      <c r="FZ63">
        <v>410</v>
      </c>
      <c r="GA63">
        <v>15.669</v>
      </c>
      <c r="GB63">
        <v>99.887600000000006</v>
      </c>
      <c r="GC63">
        <v>99.639300000000006</v>
      </c>
    </row>
    <row r="64" spans="1:185" x14ac:dyDescent="0.2">
      <c r="A64">
        <v>49</v>
      </c>
      <c r="B64">
        <v>1768579393.0999999</v>
      </c>
      <c r="C64">
        <v>1000.09999990463</v>
      </c>
      <c r="D64" t="s">
        <v>392</v>
      </c>
      <c r="E64" t="s">
        <v>393</v>
      </c>
      <c r="F64">
        <v>15</v>
      </c>
      <c r="G64">
        <v>1768579385.03333</v>
      </c>
      <c r="H64">
        <f t="shared" si="13"/>
        <v>-1.2416964042358113E-5</v>
      </c>
      <c r="I64">
        <v>0</v>
      </c>
      <c r="J64">
        <f t="shared" si="12"/>
        <v>1.0151293879968028E-2</v>
      </c>
      <c r="K64">
        <f t="shared" si="14"/>
        <v>0.26585905364887891</v>
      </c>
      <c r="L64">
        <f t="shared" si="15"/>
        <v>70.500376308416378</v>
      </c>
      <c r="M64">
        <f t="shared" si="16"/>
        <v>1.5556930771843147</v>
      </c>
      <c r="N64">
        <f t="shared" si="17"/>
        <v>2.2066450686428394</v>
      </c>
      <c r="O64">
        <v>0</v>
      </c>
      <c r="P64">
        <v>0</v>
      </c>
      <c r="Q64">
        <f t="shared" si="18"/>
        <v>1</v>
      </c>
      <c r="R64">
        <f t="shared" si="19"/>
        <v>0</v>
      </c>
      <c r="S64">
        <f t="shared" si="20"/>
        <v>25990.560999315709</v>
      </c>
      <c r="T64">
        <f t="shared" si="21"/>
        <v>299.99993333333299</v>
      </c>
      <c r="U64">
        <f t="shared" si="22"/>
        <v>252.89954324008872</v>
      </c>
      <c r="V64">
        <f t="shared" si="23"/>
        <v>0.84299866479999996</v>
      </c>
      <c r="W64">
        <f t="shared" si="24"/>
        <v>0.15869684388800001</v>
      </c>
      <c r="X64">
        <v>1</v>
      </c>
      <c r="Y64">
        <v>1768579385.03333</v>
      </c>
      <c r="Z64">
        <v>409.51639999999998</v>
      </c>
      <c r="AA64">
        <v>409.888933333333</v>
      </c>
      <c r="AB64">
        <v>15.69852</v>
      </c>
      <c r="AC64">
        <v>15.71598</v>
      </c>
      <c r="AD64">
        <v>410.44733333333301</v>
      </c>
      <c r="AE64">
        <v>15.55688</v>
      </c>
      <c r="AF64">
        <v>700.00206666666702</v>
      </c>
      <c r="AG64">
        <v>99.043133333333301</v>
      </c>
      <c r="AH64">
        <v>5.4939426666666701E-2</v>
      </c>
      <c r="AI64">
        <v>19.010639999999999</v>
      </c>
      <c r="AJ64">
        <v>999.9</v>
      </c>
      <c r="AK64">
        <v>999.9</v>
      </c>
      <c r="AL64">
        <v>0</v>
      </c>
      <c r="AM64">
        <v>0</v>
      </c>
      <c r="AN64">
        <v>5003.3666666666704</v>
      </c>
      <c r="AO64">
        <v>0</v>
      </c>
      <c r="AP64">
        <v>2.6238746666666701</v>
      </c>
      <c r="AQ64">
        <v>-0.37269485333333302</v>
      </c>
      <c r="AR64">
        <v>416.047666666667</v>
      </c>
      <c r="AS64">
        <v>416.43366666666702</v>
      </c>
      <c r="AT64">
        <v>-1.7463879599999999E-2</v>
      </c>
      <c r="AU64">
        <v>409.888933333333</v>
      </c>
      <c r="AV64">
        <v>15.71598</v>
      </c>
      <c r="AW64">
        <v>1.5548313333333299</v>
      </c>
      <c r="AX64">
        <v>1.5565599999999999</v>
      </c>
      <c r="AY64">
        <v>13.51824</v>
      </c>
      <c r="AZ64">
        <v>13.535360000000001</v>
      </c>
      <c r="BA64">
        <v>299.99993333333299</v>
      </c>
      <c r="BB64">
        <v>0.9000418</v>
      </c>
      <c r="BC64">
        <v>0</v>
      </c>
      <c r="BD64">
        <v>9.9958106666666699E-2</v>
      </c>
      <c r="BE64">
        <v>0</v>
      </c>
      <c r="BF64">
        <v>25</v>
      </c>
      <c r="BG64">
        <v>4946.69333333333</v>
      </c>
      <c r="BH64">
        <v>1768579044.0999999</v>
      </c>
      <c r="BI64" t="s">
        <v>359</v>
      </c>
      <c r="BJ64">
        <v>1768579043.0999999</v>
      </c>
      <c r="BK64">
        <v>1768579044.0999999</v>
      </c>
      <c r="BL64">
        <v>2</v>
      </c>
      <c r="BM64">
        <v>6.4000000000000001E-2</v>
      </c>
      <c r="BN64">
        <v>-2.7E-2</v>
      </c>
      <c r="BO64">
        <v>-0.93100000000000005</v>
      </c>
      <c r="BP64">
        <v>0.14199999999999999</v>
      </c>
      <c r="BQ64">
        <v>408</v>
      </c>
      <c r="BR64">
        <v>16</v>
      </c>
      <c r="BS64">
        <v>0.15</v>
      </c>
      <c r="BT64">
        <v>0.06</v>
      </c>
      <c r="BU64">
        <v>-0.19280849</v>
      </c>
      <c r="BV64">
        <v>-5.7563777052631604</v>
      </c>
      <c r="BW64">
        <v>0.59473676116979801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-2.9969969999999699E-4</v>
      </c>
      <c r="CD64">
        <v>-0.45811803040601501</v>
      </c>
      <c r="CE64">
        <v>4.4444305477003197E-2</v>
      </c>
      <c r="CF64">
        <v>0</v>
      </c>
      <c r="CG64">
        <v>0</v>
      </c>
      <c r="CH64">
        <v>2</v>
      </c>
      <c r="CI64" t="s">
        <v>290</v>
      </c>
      <c r="CJ64">
        <v>3.3499099999999999</v>
      </c>
      <c r="CK64">
        <v>2.69278</v>
      </c>
      <c r="CL64">
        <v>9.7048899999999994E-2</v>
      </c>
      <c r="CM64">
        <v>9.5919099999999993E-2</v>
      </c>
      <c r="CN64">
        <v>8.7079299999999998E-2</v>
      </c>
      <c r="CO64">
        <v>8.6621100000000006E-2</v>
      </c>
      <c r="CP64">
        <v>31670.6</v>
      </c>
      <c r="CQ64">
        <v>27817.5</v>
      </c>
      <c r="CR64">
        <v>32461.200000000001</v>
      </c>
      <c r="CS64">
        <v>30694</v>
      </c>
      <c r="CT64">
        <v>40121.800000000003</v>
      </c>
      <c r="CU64">
        <v>39411.4</v>
      </c>
      <c r="CV64">
        <v>47401.8</v>
      </c>
      <c r="CW64">
        <v>46801.3</v>
      </c>
      <c r="CX64">
        <v>2.5102199999999999</v>
      </c>
      <c r="CY64">
        <v>2.3319000000000001</v>
      </c>
      <c r="CZ64">
        <v>0</v>
      </c>
      <c r="DA64">
        <v>0</v>
      </c>
      <c r="DB64">
        <v>999.9</v>
      </c>
      <c r="DC64">
        <v>999.9</v>
      </c>
      <c r="DD64">
        <v>63.149000000000001</v>
      </c>
      <c r="DE64">
        <v>24.27</v>
      </c>
      <c r="DF64">
        <v>19.409199999999998</v>
      </c>
      <c r="DG64">
        <v>30.15</v>
      </c>
      <c r="DH64">
        <v>13.0809</v>
      </c>
      <c r="DI64">
        <v>2</v>
      </c>
      <c r="DJ64">
        <v>-0.15098200000000001</v>
      </c>
      <c r="DK64">
        <v>2.1776</v>
      </c>
      <c r="DL64">
        <v>20.222799999999999</v>
      </c>
      <c r="DM64">
        <v>5.25047</v>
      </c>
      <c r="DN64">
        <v>12.033899999999999</v>
      </c>
      <c r="DO64">
        <v>4.9673999999999996</v>
      </c>
      <c r="DP64">
        <v>3.2909999999999999</v>
      </c>
      <c r="DQ64">
        <v>9999</v>
      </c>
      <c r="DR64">
        <v>9999</v>
      </c>
      <c r="DS64">
        <v>522.79999999999995</v>
      </c>
      <c r="DT64">
        <v>9999</v>
      </c>
      <c r="DU64">
        <v>1.8709100000000001</v>
      </c>
      <c r="DV64">
        <v>1.8759699999999999</v>
      </c>
      <c r="DW64">
        <v>1.87622</v>
      </c>
      <c r="DX64">
        <v>1.8827400000000001</v>
      </c>
      <c r="DY64">
        <v>1.87548</v>
      </c>
      <c r="DZ64">
        <v>1.8745400000000001</v>
      </c>
      <c r="EA64">
        <v>1.87073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-0.93100000000000005</v>
      </c>
      <c r="EQ64">
        <v>0.14169999999999999</v>
      </c>
      <c r="ER64">
        <v>-0.93090000000000805</v>
      </c>
      <c r="ES64">
        <v>0</v>
      </c>
      <c r="ET64">
        <v>0</v>
      </c>
      <c r="EU64">
        <v>0</v>
      </c>
      <c r="EV64">
        <v>0.14164545454545399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5.8</v>
      </c>
      <c r="FE64">
        <v>5.8</v>
      </c>
      <c r="FF64">
        <v>0.930176</v>
      </c>
      <c r="FG64">
        <v>2.5610400000000002</v>
      </c>
      <c r="FH64">
        <v>2.19604</v>
      </c>
      <c r="FI64">
        <v>2.677</v>
      </c>
      <c r="FJ64">
        <v>2.4462899999999999</v>
      </c>
      <c r="FK64">
        <v>2.2717299999999998</v>
      </c>
      <c r="FL64">
        <v>30.0504</v>
      </c>
      <c r="FM64">
        <v>24.157499999999999</v>
      </c>
      <c r="FN64">
        <v>19</v>
      </c>
      <c r="FO64">
        <v>759.48699999999997</v>
      </c>
      <c r="FP64">
        <v>742.40200000000004</v>
      </c>
      <c r="FQ64">
        <v>18.151800000000001</v>
      </c>
      <c r="FR64">
        <v>25.086099999999998</v>
      </c>
      <c r="FS64">
        <v>29.999400000000001</v>
      </c>
      <c r="FT64">
        <v>25.092400000000001</v>
      </c>
      <c r="FU64">
        <v>25.092300000000002</v>
      </c>
      <c r="FV64">
        <v>18.659300000000002</v>
      </c>
      <c r="FW64">
        <v>54.206400000000002</v>
      </c>
      <c r="FX64">
        <v>100</v>
      </c>
      <c r="FY64">
        <v>18.1907</v>
      </c>
      <c r="FZ64">
        <v>410</v>
      </c>
      <c r="GA64">
        <v>15.725099999999999</v>
      </c>
      <c r="GB64">
        <v>99.886600000000001</v>
      </c>
      <c r="GC64">
        <v>99.636799999999994</v>
      </c>
    </row>
    <row r="65" spans="1:185" x14ac:dyDescent="0.2">
      <c r="A65">
        <v>50</v>
      </c>
      <c r="B65">
        <v>1768579408.0999999</v>
      </c>
      <c r="C65">
        <v>1015.09999990463</v>
      </c>
      <c r="D65" t="s">
        <v>394</v>
      </c>
      <c r="E65" t="s">
        <v>395</v>
      </c>
      <c r="F65">
        <v>15</v>
      </c>
      <c r="G65">
        <v>1768579400.03333</v>
      </c>
      <c r="H65">
        <f t="shared" si="13"/>
        <v>-7.5595109349742339E-5</v>
      </c>
      <c r="I65">
        <v>0</v>
      </c>
      <c r="J65">
        <f t="shared" si="12"/>
        <v>6.6776730293489267E-2</v>
      </c>
      <c r="K65">
        <f t="shared" si="14"/>
        <v>1.7488606409697791</v>
      </c>
      <c r="L65">
        <f t="shared" si="15"/>
        <v>70.176419187398594</v>
      </c>
      <c r="M65">
        <f t="shared" si="16"/>
        <v>1.5461845410764254</v>
      </c>
      <c r="N65">
        <f t="shared" si="17"/>
        <v>2.2032821836456282</v>
      </c>
      <c r="O65">
        <v>0</v>
      </c>
      <c r="P65">
        <v>0</v>
      </c>
      <c r="Q65">
        <f t="shared" si="18"/>
        <v>1</v>
      </c>
      <c r="R65">
        <f t="shared" si="19"/>
        <v>0</v>
      </c>
      <c r="S65">
        <f t="shared" si="20"/>
        <v>25996.968218393024</v>
      </c>
      <c r="T65">
        <f t="shared" si="21"/>
        <v>299.99919999999997</v>
      </c>
      <c r="U65">
        <f t="shared" si="22"/>
        <v>252.89882904132423</v>
      </c>
      <c r="V65">
        <f t="shared" si="23"/>
        <v>0.84299834480000035</v>
      </c>
      <c r="W65">
        <f t="shared" si="24"/>
        <v>0.15869604388800004</v>
      </c>
      <c r="X65">
        <v>1</v>
      </c>
      <c r="Y65">
        <v>1768579400.03333</v>
      </c>
      <c r="Z65">
        <v>411.19813333333298</v>
      </c>
      <c r="AA65">
        <v>413.652066666667</v>
      </c>
      <c r="AB65">
        <v>15.6023</v>
      </c>
      <c r="AC65">
        <v>15.7086066666667</v>
      </c>
      <c r="AD65">
        <v>412.12893333333301</v>
      </c>
      <c r="AE65">
        <v>15.460653333333299</v>
      </c>
      <c r="AF65">
        <v>700.00926666666703</v>
      </c>
      <c r="AG65">
        <v>99.044766666666703</v>
      </c>
      <c r="AH65">
        <v>5.50161266666667E-2</v>
      </c>
      <c r="AI65">
        <v>18.9862</v>
      </c>
      <c r="AJ65">
        <v>999.9</v>
      </c>
      <c r="AK65">
        <v>999.9</v>
      </c>
      <c r="AL65">
        <v>0</v>
      </c>
      <c r="AM65">
        <v>0</v>
      </c>
      <c r="AN65">
        <v>5004</v>
      </c>
      <c r="AO65">
        <v>0</v>
      </c>
      <c r="AP65">
        <v>2.5971500000000001</v>
      </c>
      <c r="AQ65">
        <v>-2.4537444000000002</v>
      </c>
      <c r="AR65">
        <v>417.715466666667</v>
      </c>
      <c r="AS65">
        <v>420.253533333333</v>
      </c>
      <c r="AT65">
        <v>-0.106319253333333</v>
      </c>
      <c r="AU65">
        <v>413.652066666667</v>
      </c>
      <c r="AV65">
        <v>15.7086066666667</v>
      </c>
      <c r="AW65">
        <v>1.545326</v>
      </c>
      <c r="AX65">
        <v>1.5558559999999999</v>
      </c>
      <c r="AY65">
        <v>13.424153333333299</v>
      </c>
      <c r="AZ65">
        <v>13.528420000000001</v>
      </c>
      <c r="BA65">
        <v>299.99919999999997</v>
      </c>
      <c r="BB65">
        <v>0.90005246666666705</v>
      </c>
      <c r="BC65">
        <v>0</v>
      </c>
      <c r="BD65">
        <v>9.9947439999999999E-2</v>
      </c>
      <c r="BE65">
        <v>0</v>
      </c>
      <c r="BF65">
        <v>25</v>
      </c>
      <c r="BG65">
        <v>4946.6973333333299</v>
      </c>
      <c r="BH65">
        <v>1768579044.0999999</v>
      </c>
      <c r="BI65" t="s">
        <v>359</v>
      </c>
      <c r="BJ65">
        <v>1768579043.0999999</v>
      </c>
      <c r="BK65">
        <v>1768579044.0999999</v>
      </c>
      <c r="BL65">
        <v>2</v>
      </c>
      <c r="BM65">
        <v>6.4000000000000001E-2</v>
      </c>
      <c r="BN65">
        <v>-2.7E-2</v>
      </c>
      <c r="BO65">
        <v>-0.93100000000000005</v>
      </c>
      <c r="BP65">
        <v>0.14199999999999999</v>
      </c>
      <c r="BQ65">
        <v>408</v>
      </c>
      <c r="BR65">
        <v>16</v>
      </c>
      <c r="BS65">
        <v>0.15</v>
      </c>
      <c r="BT65">
        <v>0.06</v>
      </c>
      <c r="BU65">
        <v>-2.0433500000000002</v>
      </c>
      <c r="BV65">
        <v>-3.8960985194805202</v>
      </c>
      <c r="BW65">
        <v>1.5342263268477301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-9.2425228571428597E-2</v>
      </c>
      <c r="CD65">
        <v>-0.258624451948052</v>
      </c>
      <c r="CE65">
        <v>2.6577447239308601E-2</v>
      </c>
      <c r="CF65">
        <v>0</v>
      </c>
      <c r="CG65">
        <v>0</v>
      </c>
      <c r="CH65">
        <v>2</v>
      </c>
      <c r="CI65" t="s">
        <v>290</v>
      </c>
      <c r="CJ65">
        <v>3.3498899999999998</v>
      </c>
      <c r="CK65">
        <v>2.6926100000000002</v>
      </c>
      <c r="CL65">
        <v>9.7523700000000005E-2</v>
      </c>
      <c r="CM65">
        <v>9.6036800000000005E-2</v>
      </c>
      <c r="CN65">
        <v>8.6864499999999997E-2</v>
      </c>
      <c r="CO65">
        <v>8.6619500000000002E-2</v>
      </c>
      <c r="CP65">
        <v>31654.5</v>
      </c>
      <c r="CQ65">
        <v>27814.400000000001</v>
      </c>
      <c r="CR65">
        <v>32461.7</v>
      </c>
      <c r="CS65">
        <v>30694.6</v>
      </c>
      <c r="CT65">
        <v>40132.300000000003</v>
      </c>
      <c r="CU65">
        <v>39412.5</v>
      </c>
      <c r="CV65">
        <v>47402.5</v>
      </c>
      <c r="CW65">
        <v>46802.5</v>
      </c>
      <c r="CX65">
        <v>2.51024</v>
      </c>
      <c r="CY65">
        <v>2.33168</v>
      </c>
      <c r="CZ65">
        <v>0</v>
      </c>
      <c r="DA65">
        <v>0</v>
      </c>
      <c r="DB65">
        <v>999.9</v>
      </c>
      <c r="DC65">
        <v>999.9</v>
      </c>
      <c r="DD65">
        <v>63.1</v>
      </c>
      <c r="DE65">
        <v>24.29</v>
      </c>
      <c r="DF65">
        <v>19.4161</v>
      </c>
      <c r="DG65">
        <v>29.94</v>
      </c>
      <c r="DH65">
        <v>13.004799999999999</v>
      </c>
      <c r="DI65">
        <v>2</v>
      </c>
      <c r="DJ65">
        <v>-0.15185999999999999</v>
      </c>
      <c r="DK65">
        <v>1.9838199999999999</v>
      </c>
      <c r="DL65">
        <v>20.2256</v>
      </c>
      <c r="DM65">
        <v>5.2486800000000002</v>
      </c>
      <c r="DN65">
        <v>12.033899999999999</v>
      </c>
      <c r="DO65">
        <v>4.9671200000000004</v>
      </c>
      <c r="DP65">
        <v>3.2907199999999999</v>
      </c>
      <c r="DQ65">
        <v>9999</v>
      </c>
      <c r="DR65">
        <v>9999</v>
      </c>
      <c r="DS65">
        <v>522.79999999999995</v>
      </c>
      <c r="DT65">
        <v>9999</v>
      </c>
      <c r="DU65">
        <v>1.8709199999999999</v>
      </c>
      <c r="DV65">
        <v>1.8759699999999999</v>
      </c>
      <c r="DW65">
        <v>1.87622</v>
      </c>
      <c r="DX65">
        <v>1.8827499999999999</v>
      </c>
      <c r="DY65">
        <v>1.87548</v>
      </c>
      <c r="DZ65">
        <v>1.8745400000000001</v>
      </c>
      <c r="EA65">
        <v>1.87073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-0.93100000000000005</v>
      </c>
      <c r="EQ65">
        <v>0.1416</v>
      </c>
      <c r="ER65">
        <v>-0.93090000000000805</v>
      </c>
      <c r="ES65">
        <v>0</v>
      </c>
      <c r="ET65">
        <v>0</v>
      </c>
      <c r="EU65">
        <v>0</v>
      </c>
      <c r="EV65">
        <v>0.14164545454545399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6.1</v>
      </c>
      <c r="FE65">
        <v>6.1</v>
      </c>
      <c r="FF65">
        <v>0.90820299999999998</v>
      </c>
      <c r="FG65">
        <v>2.5598100000000001</v>
      </c>
      <c r="FH65">
        <v>2.19604</v>
      </c>
      <c r="FI65">
        <v>2.67578</v>
      </c>
      <c r="FJ65">
        <v>2.4462899999999999</v>
      </c>
      <c r="FK65">
        <v>2.2766099999999998</v>
      </c>
      <c r="FL65">
        <v>30.0718</v>
      </c>
      <c r="FM65">
        <v>24.157499999999999</v>
      </c>
      <c r="FN65">
        <v>19</v>
      </c>
      <c r="FO65">
        <v>759.57500000000005</v>
      </c>
      <c r="FP65">
        <v>742.26900000000001</v>
      </c>
      <c r="FQ65">
        <v>18.1981</v>
      </c>
      <c r="FR65">
        <v>25.090699999999998</v>
      </c>
      <c r="FS65">
        <v>29.9999</v>
      </c>
      <c r="FT65">
        <v>25.0975</v>
      </c>
      <c r="FU65">
        <v>25.097300000000001</v>
      </c>
      <c r="FV65">
        <v>18.241399999999999</v>
      </c>
      <c r="FW65">
        <v>54.206400000000002</v>
      </c>
      <c r="FX65">
        <v>100</v>
      </c>
      <c r="FY65">
        <v>18.210699999999999</v>
      </c>
      <c r="FZ65">
        <v>410</v>
      </c>
      <c r="GA65">
        <v>15.7256</v>
      </c>
      <c r="GB65">
        <v>99.888199999999998</v>
      </c>
      <c r="GC65">
        <v>99.639200000000002</v>
      </c>
    </row>
    <row r="66" spans="1:185" x14ac:dyDescent="0.2">
      <c r="A66">
        <v>51</v>
      </c>
      <c r="B66">
        <v>1768579423.0999999</v>
      </c>
      <c r="C66">
        <v>1030.0999999046301</v>
      </c>
      <c r="D66" t="s">
        <v>396</v>
      </c>
      <c r="E66" t="s">
        <v>397</v>
      </c>
      <c r="F66">
        <v>15</v>
      </c>
      <c r="G66">
        <v>1768579415.03333</v>
      </c>
      <c r="H66">
        <f t="shared" si="13"/>
        <v>-9.8687095044178703E-5</v>
      </c>
      <c r="I66">
        <v>0</v>
      </c>
      <c r="J66">
        <f t="shared" si="12"/>
        <v>-9.4374071854405217E-2</v>
      </c>
      <c r="K66">
        <f t="shared" si="14"/>
        <v>-2.4716259551617368</v>
      </c>
      <c r="L66">
        <f t="shared" si="15"/>
        <v>70.07584426243956</v>
      </c>
      <c r="M66">
        <f t="shared" si="16"/>
        <v>1.5428678825775286</v>
      </c>
      <c r="N66">
        <f t="shared" si="17"/>
        <v>2.2017114439597285</v>
      </c>
      <c r="O66">
        <v>0</v>
      </c>
      <c r="P66">
        <v>0</v>
      </c>
      <c r="Q66">
        <f t="shared" si="18"/>
        <v>1</v>
      </c>
      <c r="R66">
        <f t="shared" si="19"/>
        <v>0</v>
      </c>
      <c r="S66">
        <f t="shared" si="20"/>
        <v>25947.306562162361</v>
      </c>
      <c r="T66">
        <f t="shared" si="21"/>
        <v>299.99973333333298</v>
      </c>
      <c r="U66">
        <f t="shared" si="22"/>
        <v>252.89946782027303</v>
      </c>
      <c r="V66">
        <f t="shared" si="23"/>
        <v>0.84299897540000035</v>
      </c>
      <c r="W66">
        <f t="shared" si="24"/>
        <v>0.15869726960400005</v>
      </c>
      <c r="X66">
        <v>1</v>
      </c>
      <c r="Y66">
        <v>1768579415.03333</v>
      </c>
      <c r="Z66">
        <v>410.72813333333301</v>
      </c>
      <c r="AA66">
        <v>407.13933333333301</v>
      </c>
      <c r="AB66">
        <v>15.5688733333333</v>
      </c>
      <c r="AC66">
        <v>15.707660000000001</v>
      </c>
      <c r="AD66">
        <v>411.65913333333299</v>
      </c>
      <c r="AE66">
        <v>15.427246666666701</v>
      </c>
      <c r="AF66">
        <v>699.999866666667</v>
      </c>
      <c r="AG66">
        <v>99.044653333333301</v>
      </c>
      <c r="AH66">
        <v>5.4867199999999998E-2</v>
      </c>
      <c r="AI66">
        <v>18.9747733333333</v>
      </c>
      <c r="AJ66">
        <v>999.9</v>
      </c>
      <c r="AK66">
        <v>999.9</v>
      </c>
      <c r="AL66">
        <v>0</v>
      </c>
      <c r="AM66">
        <v>0</v>
      </c>
      <c r="AN66">
        <v>4995.5666666666702</v>
      </c>
      <c r="AO66">
        <v>0</v>
      </c>
      <c r="AP66">
        <v>2.5674146666666702</v>
      </c>
      <c r="AQ66">
        <v>3.58889146666667</v>
      </c>
      <c r="AR66">
        <v>417.22393333333298</v>
      </c>
      <c r="AS66">
        <v>413.63673333333298</v>
      </c>
      <c r="AT66">
        <v>-0.13877566666666699</v>
      </c>
      <c r="AU66">
        <v>407.13933333333301</v>
      </c>
      <c r="AV66">
        <v>15.707660000000001</v>
      </c>
      <c r="AW66">
        <v>1.542014</v>
      </c>
      <c r="AX66">
        <v>1.5557593333333299</v>
      </c>
      <c r="AY66">
        <v>13.39124</v>
      </c>
      <c r="AZ66">
        <v>13.5274533333333</v>
      </c>
      <c r="BA66">
        <v>299.99973333333298</v>
      </c>
      <c r="BB66">
        <v>0.90003666666666704</v>
      </c>
      <c r="BC66">
        <v>0</v>
      </c>
      <c r="BD66">
        <v>9.9963419999999997E-2</v>
      </c>
      <c r="BE66">
        <v>0</v>
      </c>
      <c r="BF66">
        <v>25</v>
      </c>
      <c r="BG66">
        <v>4946.6819999999998</v>
      </c>
      <c r="BH66">
        <v>1768579044.0999999</v>
      </c>
      <c r="BI66" t="s">
        <v>359</v>
      </c>
      <c r="BJ66">
        <v>1768579043.0999999</v>
      </c>
      <c r="BK66">
        <v>1768579044.0999999</v>
      </c>
      <c r="BL66">
        <v>2</v>
      </c>
      <c r="BM66">
        <v>6.4000000000000001E-2</v>
      </c>
      <c r="BN66">
        <v>-2.7E-2</v>
      </c>
      <c r="BO66">
        <v>-0.93100000000000005</v>
      </c>
      <c r="BP66">
        <v>0.14199999999999999</v>
      </c>
      <c r="BQ66">
        <v>408</v>
      </c>
      <c r="BR66">
        <v>16</v>
      </c>
      <c r="BS66">
        <v>0.15</v>
      </c>
      <c r="BT66">
        <v>0.06</v>
      </c>
      <c r="BU66">
        <v>2.4618302000000001</v>
      </c>
      <c r="BV66">
        <v>12.814309714285701</v>
      </c>
      <c r="BW66">
        <v>2.6875752141591001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-0.13483904999999999</v>
      </c>
      <c r="CD66">
        <v>-9.5000075187970004E-2</v>
      </c>
      <c r="CE66">
        <v>9.1598136633612801E-3</v>
      </c>
      <c r="CF66">
        <v>1</v>
      </c>
      <c r="CG66">
        <v>1</v>
      </c>
      <c r="CH66">
        <v>2</v>
      </c>
      <c r="CI66" t="s">
        <v>303</v>
      </c>
      <c r="CJ66">
        <v>3.3498600000000001</v>
      </c>
      <c r="CK66">
        <v>2.69265</v>
      </c>
      <c r="CL66">
        <v>9.6876299999999999E-2</v>
      </c>
      <c r="CM66">
        <v>9.5352099999999995E-2</v>
      </c>
      <c r="CN66">
        <v>8.6772299999999997E-2</v>
      </c>
      <c r="CO66">
        <v>8.6613999999999997E-2</v>
      </c>
      <c r="CP66">
        <v>31677</v>
      </c>
      <c r="CQ66">
        <v>27835.7</v>
      </c>
      <c r="CR66">
        <v>32461.599999999999</v>
      </c>
      <c r="CS66">
        <v>30694.9</v>
      </c>
      <c r="CT66">
        <v>40136.300000000003</v>
      </c>
      <c r="CU66">
        <v>39413.1</v>
      </c>
      <c r="CV66">
        <v>47402.400000000001</v>
      </c>
      <c r="CW66">
        <v>46803</v>
      </c>
      <c r="CX66">
        <v>2.5101599999999999</v>
      </c>
      <c r="CY66">
        <v>2.3312599999999999</v>
      </c>
      <c r="CZ66">
        <v>0</v>
      </c>
      <c r="DA66">
        <v>0</v>
      </c>
      <c r="DB66">
        <v>999.9</v>
      </c>
      <c r="DC66">
        <v>999.9</v>
      </c>
      <c r="DD66">
        <v>63.039000000000001</v>
      </c>
      <c r="DE66">
        <v>24.31</v>
      </c>
      <c r="DF66">
        <v>19.420100000000001</v>
      </c>
      <c r="DG66">
        <v>30.06</v>
      </c>
      <c r="DH66">
        <v>12.9808</v>
      </c>
      <c r="DI66">
        <v>2</v>
      </c>
      <c r="DJ66">
        <v>-0.151667</v>
      </c>
      <c r="DK66">
        <v>1.91486</v>
      </c>
      <c r="DL66">
        <v>20.2272</v>
      </c>
      <c r="DM66">
        <v>5.2508299999999997</v>
      </c>
      <c r="DN66">
        <v>12.033899999999999</v>
      </c>
      <c r="DO66">
        <v>4.9670399999999999</v>
      </c>
      <c r="DP66">
        <v>3.2909999999999999</v>
      </c>
      <c r="DQ66">
        <v>9999</v>
      </c>
      <c r="DR66">
        <v>9999</v>
      </c>
      <c r="DS66">
        <v>522.79999999999995</v>
      </c>
      <c r="DT66">
        <v>9999</v>
      </c>
      <c r="DU66">
        <v>1.8709899999999999</v>
      </c>
      <c r="DV66">
        <v>1.87602</v>
      </c>
      <c r="DW66">
        <v>1.87622</v>
      </c>
      <c r="DX66">
        <v>1.8827700000000001</v>
      </c>
      <c r="DY66">
        <v>1.87548</v>
      </c>
      <c r="DZ66">
        <v>1.8745400000000001</v>
      </c>
      <c r="EA66">
        <v>1.87073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-0.93100000000000005</v>
      </c>
      <c r="EQ66">
        <v>0.14169999999999999</v>
      </c>
      <c r="ER66">
        <v>-0.93090000000000805</v>
      </c>
      <c r="ES66">
        <v>0</v>
      </c>
      <c r="ET66">
        <v>0</v>
      </c>
      <c r="EU66">
        <v>0</v>
      </c>
      <c r="EV66">
        <v>0.14164545454545399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6.3</v>
      </c>
      <c r="FE66">
        <v>6.3</v>
      </c>
      <c r="FF66">
        <v>0.930176</v>
      </c>
      <c r="FG66">
        <v>2.5647000000000002</v>
      </c>
      <c r="FH66">
        <v>2.19604</v>
      </c>
      <c r="FI66">
        <v>2.67578</v>
      </c>
      <c r="FJ66">
        <v>2.4462899999999999</v>
      </c>
      <c r="FK66">
        <v>2.2497600000000002</v>
      </c>
      <c r="FL66">
        <v>30.0932</v>
      </c>
      <c r="FM66">
        <v>24.148800000000001</v>
      </c>
      <c r="FN66">
        <v>19</v>
      </c>
      <c r="FO66">
        <v>759.58600000000001</v>
      </c>
      <c r="FP66">
        <v>741.95299999999997</v>
      </c>
      <c r="FQ66">
        <v>18.254000000000001</v>
      </c>
      <c r="FR66">
        <v>25.0962</v>
      </c>
      <c r="FS66">
        <v>30.0001</v>
      </c>
      <c r="FT66">
        <v>25.102900000000002</v>
      </c>
      <c r="FU66">
        <v>25.102799999999998</v>
      </c>
      <c r="FV66">
        <v>18.662800000000001</v>
      </c>
      <c r="FW66">
        <v>54.206400000000002</v>
      </c>
      <c r="FX66">
        <v>100</v>
      </c>
      <c r="FY66">
        <v>18.2622</v>
      </c>
      <c r="FZ66">
        <v>410</v>
      </c>
      <c r="GA66">
        <v>15.728899999999999</v>
      </c>
      <c r="GB66">
        <v>99.887900000000002</v>
      </c>
      <c r="GC66">
        <v>99.64</v>
      </c>
    </row>
    <row r="67" spans="1:185" x14ac:dyDescent="0.2">
      <c r="A67">
        <v>52</v>
      </c>
      <c r="B67">
        <v>1768579438.0999999</v>
      </c>
      <c r="C67">
        <v>1045.0999999046301</v>
      </c>
      <c r="D67" t="s">
        <v>398</v>
      </c>
      <c r="E67" t="s">
        <v>399</v>
      </c>
      <c r="F67">
        <v>15</v>
      </c>
      <c r="G67">
        <v>1768579430.03333</v>
      </c>
      <c r="H67">
        <f t="shared" si="13"/>
        <v>-1.1045619112376151E-4</v>
      </c>
      <c r="I67">
        <v>0</v>
      </c>
      <c r="J67">
        <f t="shared" si="12"/>
        <v>3.2259409335565356E-2</v>
      </c>
      <c r="K67">
        <f t="shared" si="14"/>
        <v>0.84486333847052686</v>
      </c>
      <c r="L67">
        <f t="shared" si="15"/>
        <v>70.006461074890353</v>
      </c>
      <c r="M67">
        <f t="shared" si="16"/>
        <v>1.5413742569260718</v>
      </c>
      <c r="N67">
        <f t="shared" si="17"/>
        <v>2.2017599993765802</v>
      </c>
      <c r="O67">
        <v>0</v>
      </c>
      <c r="P67">
        <v>0</v>
      </c>
      <c r="Q67">
        <f t="shared" si="18"/>
        <v>1</v>
      </c>
      <c r="R67">
        <f t="shared" si="19"/>
        <v>0</v>
      </c>
      <c r="S67">
        <f t="shared" si="20"/>
        <v>26008.21790948042</v>
      </c>
      <c r="T67">
        <f t="shared" si="21"/>
        <v>299.99860000000001</v>
      </c>
      <c r="U67">
        <f t="shared" si="22"/>
        <v>252.89897657926835</v>
      </c>
      <c r="V67">
        <f t="shared" si="23"/>
        <v>0.84300052259999991</v>
      </c>
      <c r="W67">
        <f t="shared" si="24"/>
        <v>0.15870134547600001</v>
      </c>
      <c r="X67">
        <v>1</v>
      </c>
      <c r="Y67">
        <v>1768579430.03333</v>
      </c>
      <c r="Z67">
        <v>409.04806666666701</v>
      </c>
      <c r="AA67">
        <v>410.19046666666702</v>
      </c>
      <c r="AB67">
        <v>15.5536266666667</v>
      </c>
      <c r="AC67">
        <v>15.708966666666701</v>
      </c>
      <c r="AD67">
        <v>409.97893333333298</v>
      </c>
      <c r="AE67">
        <v>15.411986666666699</v>
      </c>
      <c r="AF67">
        <v>700.00126666666699</v>
      </c>
      <c r="AG67">
        <v>99.045739999999995</v>
      </c>
      <c r="AH67">
        <v>5.4893566666666699E-2</v>
      </c>
      <c r="AI67">
        <v>18.9751266666667</v>
      </c>
      <c r="AJ67">
        <v>999.9</v>
      </c>
      <c r="AK67">
        <v>999.9</v>
      </c>
      <c r="AL67">
        <v>0</v>
      </c>
      <c r="AM67">
        <v>0</v>
      </c>
      <c r="AN67">
        <v>5005.6666666666697</v>
      </c>
      <c r="AO67">
        <v>0</v>
      </c>
      <c r="AP67">
        <v>2.5406900000000001</v>
      </c>
      <c r="AQ67">
        <v>-1.1423988</v>
      </c>
      <c r="AR67">
        <v>415.51073333333301</v>
      </c>
      <c r="AS67">
        <v>416.73700000000002</v>
      </c>
      <c r="AT67">
        <v>-0.15534173333333301</v>
      </c>
      <c r="AU67">
        <v>410.19046666666702</v>
      </c>
      <c r="AV67">
        <v>15.708966666666701</v>
      </c>
      <c r="AW67">
        <v>1.5405219999999999</v>
      </c>
      <c r="AX67">
        <v>1.5559080000000001</v>
      </c>
      <c r="AY67">
        <v>13.376386666666701</v>
      </c>
      <c r="AZ67">
        <v>13.5289133333333</v>
      </c>
      <c r="BA67">
        <v>299.99860000000001</v>
      </c>
      <c r="BB67">
        <v>0.89998199999999995</v>
      </c>
      <c r="BC67">
        <v>0</v>
      </c>
      <c r="BD67">
        <v>0.10001798000000001</v>
      </c>
      <c r="BE67">
        <v>0</v>
      </c>
      <c r="BF67">
        <v>25</v>
      </c>
      <c r="BG67">
        <v>4946.5839999999998</v>
      </c>
      <c r="BH67">
        <v>1768579044.0999999</v>
      </c>
      <c r="BI67" t="s">
        <v>359</v>
      </c>
      <c r="BJ67">
        <v>1768579043.0999999</v>
      </c>
      <c r="BK67">
        <v>1768579044.0999999</v>
      </c>
      <c r="BL67">
        <v>2</v>
      </c>
      <c r="BM67">
        <v>6.4000000000000001E-2</v>
      </c>
      <c r="BN67">
        <v>-2.7E-2</v>
      </c>
      <c r="BO67">
        <v>-0.93100000000000005</v>
      </c>
      <c r="BP67">
        <v>0.14199999999999999</v>
      </c>
      <c r="BQ67">
        <v>408</v>
      </c>
      <c r="BR67">
        <v>16</v>
      </c>
      <c r="BS67">
        <v>0.15</v>
      </c>
      <c r="BT67">
        <v>0.06</v>
      </c>
      <c r="BU67">
        <v>-0.18457880952380901</v>
      </c>
      <c r="BV67">
        <v>-21.491202623376601</v>
      </c>
      <c r="BW67">
        <v>2.22227443013848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-0.152605285714286</v>
      </c>
      <c r="CD67">
        <v>-5.4796753246753302E-2</v>
      </c>
      <c r="CE67">
        <v>5.5591036374311904E-3</v>
      </c>
      <c r="CF67">
        <v>1</v>
      </c>
      <c r="CG67">
        <v>1</v>
      </c>
      <c r="CH67">
        <v>2</v>
      </c>
      <c r="CI67" t="s">
        <v>303</v>
      </c>
      <c r="CJ67">
        <v>3.3499300000000001</v>
      </c>
      <c r="CK67">
        <v>2.6925400000000002</v>
      </c>
      <c r="CL67">
        <v>9.7103900000000007E-2</v>
      </c>
      <c r="CM67">
        <v>9.6683500000000006E-2</v>
      </c>
      <c r="CN67">
        <v>8.6733400000000002E-2</v>
      </c>
      <c r="CO67">
        <v>8.6627899999999994E-2</v>
      </c>
      <c r="CP67">
        <v>31669</v>
      </c>
      <c r="CQ67">
        <v>27794.6</v>
      </c>
      <c r="CR67">
        <v>32461.599999999999</v>
      </c>
      <c r="CS67">
        <v>30694.7</v>
      </c>
      <c r="CT67">
        <v>40137.9</v>
      </c>
      <c r="CU67">
        <v>39412.5</v>
      </c>
      <c r="CV67">
        <v>47402.1</v>
      </c>
      <c r="CW67">
        <v>46802.9</v>
      </c>
      <c r="CX67">
        <v>2.5100199999999999</v>
      </c>
      <c r="CY67">
        <v>2.3311600000000001</v>
      </c>
      <c r="CZ67">
        <v>0</v>
      </c>
      <c r="DA67">
        <v>0</v>
      </c>
      <c r="DB67">
        <v>999.9</v>
      </c>
      <c r="DC67">
        <v>999.9</v>
      </c>
      <c r="DD67">
        <v>62.996000000000002</v>
      </c>
      <c r="DE67">
        <v>24.33</v>
      </c>
      <c r="DF67">
        <v>19.428100000000001</v>
      </c>
      <c r="DG67">
        <v>29.97</v>
      </c>
      <c r="DH67">
        <v>13.008800000000001</v>
      </c>
      <c r="DI67">
        <v>2</v>
      </c>
      <c r="DJ67">
        <v>-0.15156900000000001</v>
      </c>
      <c r="DK67">
        <v>1.8703399999999999</v>
      </c>
      <c r="DL67">
        <v>20.227599999999999</v>
      </c>
      <c r="DM67">
        <v>5.2503500000000001</v>
      </c>
      <c r="DN67">
        <v>12.033899999999999</v>
      </c>
      <c r="DO67">
        <v>4.9670399999999999</v>
      </c>
      <c r="DP67">
        <v>3.2909999999999999</v>
      </c>
      <c r="DQ67">
        <v>9999</v>
      </c>
      <c r="DR67">
        <v>9999</v>
      </c>
      <c r="DS67">
        <v>522.79999999999995</v>
      </c>
      <c r="DT67">
        <v>9999</v>
      </c>
      <c r="DU67">
        <v>1.87094</v>
      </c>
      <c r="DV67">
        <v>1.87598</v>
      </c>
      <c r="DW67">
        <v>1.8762099999999999</v>
      </c>
      <c r="DX67">
        <v>1.8827499999999999</v>
      </c>
      <c r="DY67">
        <v>1.8754900000000001</v>
      </c>
      <c r="DZ67">
        <v>1.8745400000000001</v>
      </c>
      <c r="EA67">
        <v>1.8707100000000001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-0.93</v>
      </c>
      <c r="EQ67">
        <v>0.14169999999999999</v>
      </c>
      <c r="ER67">
        <v>-0.93090000000000805</v>
      </c>
      <c r="ES67">
        <v>0</v>
      </c>
      <c r="ET67">
        <v>0</v>
      </c>
      <c r="EU67">
        <v>0</v>
      </c>
      <c r="EV67">
        <v>0.14164545454545399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6.6</v>
      </c>
      <c r="FE67">
        <v>6.6</v>
      </c>
      <c r="FF67">
        <v>0.91796900000000003</v>
      </c>
      <c r="FG67">
        <v>2.5695800000000002</v>
      </c>
      <c r="FH67">
        <v>2.19604</v>
      </c>
      <c r="FI67">
        <v>2.677</v>
      </c>
      <c r="FJ67">
        <v>2.4462899999999999</v>
      </c>
      <c r="FK67">
        <v>2.2265600000000001</v>
      </c>
      <c r="FL67">
        <v>30.0932</v>
      </c>
      <c r="FM67">
        <v>24.148800000000001</v>
      </c>
      <c r="FN67">
        <v>19</v>
      </c>
      <c r="FO67">
        <v>759.54100000000005</v>
      </c>
      <c r="FP67">
        <v>741.93399999999997</v>
      </c>
      <c r="FQ67">
        <v>18.310600000000001</v>
      </c>
      <c r="FR67">
        <v>25.1008</v>
      </c>
      <c r="FS67">
        <v>30.0002</v>
      </c>
      <c r="FT67">
        <v>25.108000000000001</v>
      </c>
      <c r="FU67">
        <v>25.107900000000001</v>
      </c>
      <c r="FV67">
        <v>18.4099</v>
      </c>
      <c r="FW67">
        <v>54.206400000000002</v>
      </c>
      <c r="FX67">
        <v>100</v>
      </c>
      <c r="FY67">
        <v>18.315999999999999</v>
      </c>
      <c r="FZ67">
        <v>410</v>
      </c>
      <c r="GA67">
        <v>15.7399</v>
      </c>
      <c r="GB67">
        <v>99.887600000000006</v>
      </c>
      <c r="GC67">
        <v>99.639700000000005</v>
      </c>
    </row>
    <row r="68" spans="1:185" x14ac:dyDescent="0.2">
      <c r="A68">
        <v>53</v>
      </c>
      <c r="B68">
        <v>1768579453.0999999</v>
      </c>
      <c r="C68">
        <v>1060.0999999046301</v>
      </c>
      <c r="D68" t="s">
        <v>400</v>
      </c>
      <c r="E68" t="s">
        <v>401</v>
      </c>
      <c r="F68">
        <v>15</v>
      </c>
      <c r="G68">
        <v>1768579445.03333</v>
      </c>
      <c r="H68">
        <f t="shared" si="13"/>
        <v>-1.1548082788360129E-4</v>
      </c>
      <c r="I68">
        <v>0</v>
      </c>
      <c r="J68">
        <f t="shared" si="12"/>
        <v>6.0415364517733557E-2</v>
      </c>
      <c r="K68">
        <f t="shared" si="14"/>
        <v>1.5822585599883441</v>
      </c>
      <c r="L68">
        <f t="shared" si="15"/>
        <v>69.9614911020563</v>
      </c>
      <c r="M68">
        <f t="shared" si="16"/>
        <v>1.5409104259280415</v>
      </c>
      <c r="N68">
        <f t="shared" si="17"/>
        <v>2.2025122701862356</v>
      </c>
      <c r="O68">
        <v>0</v>
      </c>
      <c r="P68">
        <v>0</v>
      </c>
      <c r="Q68">
        <f t="shared" si="18"/>
        <v>1</v>
      </c>
      <c r="R68">
        <f t="shared" si="19"/>
        <v>0</v>
      </c>
      <c r="S68">
        <f t="shared" si="20"/>
        <v>25959.879345058998</v>
      </c>
      <c r="T68">
        <f t="shared" si="21"/>
        <v>300.00073333333302</v>
      </c>
      <c r="U68">
        <f t="shared" si="22"/>
        <v>252.90078920041771</v>
      </c>
      <c r="V68">
        <f t="shared" si="23"/>
        <v>0.84300056999999995</v>
      </c>
      <c r="W68">
        <f t="shared" si="24"/>
        <v>0.15870142500000001</v>
      </c>
      <c r="X68">
        <v>1</v>
      </c>
      <c r="Y68">
        <v>1768579445.03333</v>
      </c>
      <c r="Z68">
        <v>412.34480000000002</v>
      </c>
      <c r="AA68">
        <v>414.53713333333297</v>
      </c>
      <c r="AB68">
        <v>15.5490733333333</v>
      </c>
      <c r="AC68">
        <v>15.71148</v>
      </c>
      <c r="AD68">
        <v>413.2758</v>
      </c>
      <c r="AE68">
        <v>15.40742</v>
      </c>
      <c r="AF68">
        <v>700.00333333333299</v>
      </c>
      <c r="AG68">
        <v>99.044946666666704</v>
      </c>
      <c r="AH68">
        <v>5.4877026666666703E-2</v>
      </c>
      <c r="AI68">
        <v>18.980599999999999</v>
      </c>
      <c r="AJ68">
        <v>999.9</v>
      </c>
      <c r="AK68">
        <v>999.9</v>
      </c>
      <c r="AL68">
        <v>0</v>
      </c>
      <c r="AM68">
        <v>0</v>
      </c>
      <c r="AN68">
        <v>4997.7333333333299</v>
      </c>
      <c r="AO68">
        <v>0</v>
      </c>
      <c r="AP68">
        <v>2.5406900000000001</v>
      </c>
      <c r="AQ68">
        <v>-2.1923909333333298</v>
      </c>
      <c r="AR68">
        <v>418.857666666667</v>
      </c>
      <c r="AS68">
        <v>421.15413333333299</v>
      </c>
      <c r="AT68">
        <v>-0.162414066666667</v>
      </c>
      <c r="AU68">
        <v>414.53713333333297</v>
      </c>
      <c r="AV68">
        <v>15.71148</v>
      </c>
      <c r="AW68">
        <v>1.5400560000000001</v>
      </c>
      <c r="AX68">
        <v>1.5561419999999999</v>
      </c>
      <c r="AY68">
        <v>13.3717466666667</v>
      </c>
      <c r="AZ68">
        <v>13.531219999999999</v>
      </c>
      <c r="BA68">
        <v>300.00073333333302</v>
      </c>
      <c r="BB68">
        <v>0.89998100000000003</v>
      </c>
      <c r="BC68">
        <v>0</v>
      </c>
      <c r="BD68">
        <v>0.100019</v>
      </c>
      <c r="BE68">
        <v>0</v>
      </c>
      <c r="BF68">
        <v>25</v>
      </c>
      <c r="BG68">
        <v>4946.6206666666703</v>
      </c>
      <c r="BH68">
        <v>1768579044.0999999</v>
      </c>
      <c r="BI68" t="s">
        <v>359</v>
      </c>
      <c r="BJ68">
        <v>1768579043.0999999</v>
      </c>
      <c r="BK68">
        <v>1768579044.0999999</v>
      </c>
      <c r="BL68">
        <v>2</v>
      </c>
      <c r="BM68">
        <v>6.4000000000000001E-2</v>
      </c>
      <c r="BN68">
        <v>-2.7E-2</v>
      </c>
      <c r="BO68">
        <v>-0.93100000000000005</v>
      </c>
      <c r="BP68">
        <v>0.14199999999999999</v>
      </c>
      <c r="BQ68">
        <v>408</v>
      </c>
      <c r="BR68">
        <v>16</v>
      </c>
      <c r="BS68">
        <v>0.15</v>
      </c>
      <c r="BT68">
        <v>0.06</v>
      </c>
      <c r="BU68">
        <v>-2.5258381999999999</v>
      </c>
      <c r="BV68">
        <v>22.3546608721804</v>
      </c>
      <c r="BW68">
        <v>3.03417984948512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-0.16175115000000001</v>
      </c>
      <c r="CD68">
        <v>-1.41028421052632E-2</v>
      </c>
      <c r="CE68">
        <v>1.51109964181718E-3</v>
      </c>
      <c r="CF68">
        <v>1</v>
      </c>
      <c r="CG68">
        <v>1</v>
      </c>
      <c r="CH68">
        <v>2</v>
      </c>
      <c r="CI68" t="s">
        <v>303</v>
      </c>
      <c r="CJ68">
        <v>3.34992</v>
      </c>
      <c r="CK68">
        <v>2.6926100000000002</v>
      </c>
      <c r="CL68">
        <v>9.7575099999999998E-2</v>
      </c>
      <c r="CM68">
        <v>9.5395300000000002E-2</v>
      </c>
      <c r="CN68">
        <v>8.6732100000000006E-2</v>
      </c>
      <c r="CO68">
        <v>8.6630799999999994E-2</v>
      </c>
      <c r="CP68">
        <v>31651.9</v>
      </c>
      <c r="CQ68">
        <v>27834.6</v>
      </c>
      <c r="CR68">
        <v>32461</v>
      </c>
      <c r="CS68">
        <v>30695.1</v>
      </c>
      <c r="CT68">
        <v>40137.4</v>
      </c>
      <c r="CU68">
        <v>39412.9</v>
      </c>
      <c r="CV68">
        <v>47401.3</v>
      </c>
      <c r="CW68">
        <v>46803.6</v>
      </c>
      <c r="CX68">
        <v>2.5099200000000002</v>
      </c>
      <c r="CY68">
        <v>2.33074</v>
      </c>
      <c r="CZ68">
        <v>0</v>
      </c>
      <c r="DA68">
        <v>0</v>
      </c>
      <c r="DB68">
        <v>999.9</v>
      </c>
      <c r="DC68">
        <v>999.9</v>
      </c>
      <c r="DD68">
        <v>62.953000000000003</v>
      </c>
      <c r="DE68">
        <v>24.34</v>
      </c>
      <c r="DF68">
        <v>19.4297</v>
      </c>
      <c r="DG68">
        <v>29.91</v>
      </c>
      <c r="DH68">
        <v>13.0489</v>
      </c>
      <c r="DI68">
        <v>2</v>
      </c>
      <c r="DJ68">
        <v>-0.15126800000000001</v>
      </c>
      <c r="DK68">
        <v>1.84568</v>
      </c>
      <c r="DL68">
        <v>20.228000000000002</v>
      </c>
      <c r="DM68">
        <v>5.2502399999999998</v>
      </c>
      <c r="DN68">
        <v>12.033899999999999</v>
      </c>
      <c r="DO68">
        <v>4.9670399999999999</v>
      </c>
      <c r="DP68">
        <v>3.2909999999999999</v>
      </c>
      <c r="DQ68">
        <v>9999</v>
      </c>
      <c r="DR68">
        <v>9999</v>
      </c>
      <c r="DS68">
        <v>522.79999999999995</v>
      </c>
      <c r="DT68">
        <v>9999</v>
      </c>
      <c r="DU68">
        <v>1.8709199999999999</v>
      </c>
      <c r="DV68">
        <v>1.8759399999999999</v>
      </c>
      <c r="DW68">
        <v>1.87622</v>
      </c>
      <c r="DX68">
        <v>1.8827400000000001</v>
      </c>
      <c r="DY68">
        <v>1.8754599999999999</v>
      </c>
      <c r="DZ68">
        <v>1.8745400000000001</v>
      </c>
      <c r="EA68">
        <v>1.8707199999999999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-0.93100000000000005</v>
      </c>
      <c r="EQ68">
        <v>0.14169999999999999</v>
      </c>
      <c r="ER68">
        <v>-0.93090000000000805</v>
      </c>
      <c r="ES68">
        <v>0</v>
      </c>
      <c r="ET68">
        <v>0</v>
      </c>
      <c r="EU68">
        <v>0</v>
      </c>
      <c r="EV68">
        <v>0.14164545454545399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6.8</v>
      </c>
      <c r="FE68">
        <v>6.8</v>
      </c>
      <c r="FF68">
        <v>0.90087899999999999</v>
      </c>
      <c r="FG68">
        <v>2.5598100000000001</v>
      </c>
      <c r="FH68">
        <v>2.19604</v>
      </c>
      <c r="FI68">
        <v>2.67578</v>
      </c>
      <c r="FJ68">
        <v>2.4462899999999999</v>
      </c>
      <c r="FK68">
        <v>2.2863799999999999</v>
      </c>
      <c r="FL68">
        <v>30.114699999999999</v>
      </c>
      <c r="FM68">
        <v>24.157499999999999</v>
      </c>
      <c r="FN68">
        <v>19</v>
      </c>
      <c r="FO68">
        <v>759.529</v>
      </c>
      <c r="FP68">
        <v>741.62400000000002</v>
      </c>
      <c r="FQ68">
        <v>18.354800000000001</v>
      </c>
      <c r="FR68">
        <v>25.1051</v>
      </c>
      <c r="FS68">
        <v>30</v>
      </c>
      <c r="FT68">
        <v>25.113099999999999</v>
      </c>
      <c r="FU68">
        <v>25.113700000000001</v>
      </c>
      <c r="FV68">
        <v>18.1007</v>
      </c>
      <c r="FW68">
        <v>54.206400000000002</v>
      </c>
      <c r="FX68">
        <v>99.629400000000004</v>
      </c>
      <c r="FY68">
        <v>18.359200000000001</v>
      </c>
      <c r="FZ68">
        <v>410</v>
      </c>
      <c r="GA68">
        <v>15.746700000000001</v>
      </c>
      <c r="GB68">
        <v>99.885900000000007</v>
      </c>
      <c r="GC68">
        <v>99.641300000000001</v>
      </c>
    </row>
    <row r="69" spans="1:185" x14ac:dyDescent="0.2">
      <c r="A69">
        <v>54</v>
      </c>
      <c r="B69">
        <v>1768579468.0999999</v>
      </c>
      <c r="C69">
        <v>1075.0999999046301</v>
      </c>
      <c r="D69" t="s">
        <v>402</v>
      </c>
      <c r="E69" t="s">
        <v>403</v>
      </c>
      <c r="F69">
        <v>15</v>
      </c>
      <c r="G69">
        <v>1768579460.03333</v>
      </c>
      <c r="H69">
        <f t="shared" si="13"/>
        <v>-1.1660491232605252E-4</v>
      </c>
      <c r="I69">
        <v>0</v>
      </c>
      <c r="J69">
        <f t="shared" si="12"/>
        <v>-0.11708553958694908</v>
      </c>
      <c r="K69">
        <f t="shared" si="14"/>
        <v>-3.066431838012424</v>
      </c>
      <c r="L69">
        <f t="shared" si="15"/>
        <v>69.926617908290496</v>
      </c>
      <c r="M69">
        <f t="shared" si="16"/>
        <v>1.5408903400916634</v>
      </c>
      <c r="N69">
        <f t="shared" si="17"/>
        <v>2.203581963756001</v>
      </c>
      <c r="O69">
        <v>0</v>
      </c>
      <c r="P69">
        <v>0</v>
      </c>
      <c r="Q69">
        <f t="shared" si="18"/>
        <v>1</v>
      </c>
      <c r="R69">
        <f t="shared" si="19"/>
        <v>0</v>
      </c>
      <c r="S69">
        <f t="shared" si="20"/>
        <v>25983.891956380528</v>
      </c>
      <c r="T69">
        <f t="shared" si="21"/>
        <v>299.999666666667</v>
      </c>
      <c r="U69">
        <f t="shared" si="22"/>
        <v>252.89965726006889</v>
      </c>
      <c r="V69">
        <f t="shared" si="23"/>
        <v>0.84299979420000004</v>
      </c>
      <c r="W69">
        <f t="shared" si="24"/>
        <v>0.15869936857200001</v>
      </c>
      <c r="X69">
        <v>1</v>
      </c>
      <c r="Y69">
        <v>1768579460.03333</v>
      </c>
      <c r="Z69">
        <v>410.39286666666698</v>
      </c>
      <c r="AA69">
        <v>405.94393333333301</v>
      </c>
      <c r="AB69">
        <v>15.548693333333301</v>
      </c>
      <c r="AC69">
        <v>15.712680000000001</v>
      </c>
      <c r="AD69">
        <v>411.32380000000001</v>
      </c>
      <c r="AE69">
        <v>15.4070466666667</v>
      </c>
      <c r="AF69">
        <v>700.00726666666696</v>
      </c>
      <c r="AG69">
        <v>99.046019999999999</v>
      </c>
      <c r="AH69">
        <v>5.4933826666666699E-2</v>
      </c>
      <c r="AI69">
        <v>18.988379999999999</v>
      </c>
      <c r="AJ69">
        <v>999.9</v>
      </c>
      <c r="AK69">
        <v>999.9</v>
      </c>
      <c r="AL69">
        <v>0</v>
      </c>
      <c r="AM69">
        <v>0</v>
      </c>
      <c r="AN69">
        <v>5001.8</v>
      </c>
      <c r="AO69">
        <v>0</v>
      </c>
      <c r="AP69">
        <v>2.5406900000000001</v>
      </c>
      <c r="AQ69">
        <v>4.4488873333333299</v>
      </c>
      <c r="AR69">
        <v>416.87479999999999</v>
      </c>
      <c r="AS69">
        <v>412.42413333333297</v>
      </c>
      <c r="AT69">
        <v>-0.16397819999999999</v>
      </c>
      <c r="AU69">
        <v>405.94393333333301</v>
      </c>
      <c r="AV69">
        <v>15.712680000000001</v>
      </c>
      <c r="AW69">
        <v>1.540036</v>
      </c>
      <c r="AX69">
        <v>1.5562766666666701</v>
      </c>
      <c r="AY69">
        <v>13.37154</v>
      </c>
      <c r="AZ69">
        <v>13.53256</v>
      </c>
      <c r="BA69">
        <v>299.999666666667</v>
      </c>
      <c r="BB69">
        <v>0.90000860000000005</v>
      </c>
      <c r="BC69">
        <v>0</v>
      </c>
      <c r="BD69">
        <v>9.9991460000000004E-2</v>
      </c>
      <c r="BE69">
        <v>0</v>
      </c>
      <c r="BF69">
        <v>25</v>
      </c>
      <c r="BG69">
        <v>4946.6419999999998</v>
      </c>
      <c r="BH69">
        <v>1768579044.0999999</v>
      </c>
      <c r="BI69" t="s">
        <v>359</v>
      </c>
      <c r="BJ69">
        <v>1768579043.0999999</v>
      </c>
      <c r="BK69">
        <v>1768579044.0999999</v>
      </c>
      <c r="BL69">
        <v>2</v>
      </c>
      <c r="BM69">
        <v>6.4000000000000001E-2</v>
      </c>
      <c r="BN69">
        <v>-2.7E-2</v>
      </c>
      <c r="BO69">
        <v>-0.93100000000000005</v>
      </c>
      <c r="BP69">
        <v>0.14199999999999999</v>
      </c>
      <c r="BQ69">
        <v>408</v>
      </c>
      <c r="BR69">
        <v>16</v>
      </c>
      <c r="BS69">
        <v>0.15</v>
      </c>
      <c r="BT69">
        <v>0.06</v>
      </c>
      <c r="BU69">
        <v>3.6294117142857099</v>
      </c>
      <c r="BV69">
        <v>6.2316924155844102</v>
      </c>
      <c r="BW69">
        <v>2.1442861227239201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-0.16372590476190499</v>
      </c>
      <c r="CD69">
        <v>-5.1524415584418204E-3</v>
      </c>
      <c r="CE69">
        <v>6.3372638716314099E-4</v>
      </c>
      <c r="CF69">
        <v>1</v>
      </c>
      <c r="CG69">
        <v>1</v>
      </c>
      <c r="CH69">
        <v>2</v>
      </c>
      <c r="CI69" t="s">
        <v>303</v>
      </c>
      <c r="CJ69">
        <v>3.3499300000000001</v>
      </c>
      <c r="CK69">
        <v>2.6926999999999999</v>
      </c>
      <c r="CL69">
        <v>9.6750500000000003E-2</v>
      </c>
      <c r="CM69">
        <v>9.5251500000000003E-2</v>
      </c>
      <c r="CN69">
        <v>8.6730199999999993E-2</v>
      </c>
      <c r="CO69">
        <v>8.66373E-2</v>
      </c>
      <c r="CP69">
        <v>31680.6</v>
      </c>
      <c r="CQ69">
        <v>27839</v>
      </c>
      <c r="CR69">
        <v>32460.799999999999</v>
      </c>
      <c r="CS69">
        <v>30695.200000000001</v>
      </c>
      <c r="CT69">
        <v>40137.4</v>
      </c>
      <c r="CU69">
        <v>39412.5</v>
      </c>
      <c r="CV69">
        <v>47401.4</v>
      </c>
      <c r="CW69">
        <v>46803.6</v>
      </c>
      <c r="CX69">
        <v>2.5097999999999998</v>
      </c>
      <c r="CY69">
        <v>2.3305400000000001</v>
      </c>
      <c r="CZ69">
        <v>0</v>
      </c>
      <c r="DA69">
        <v>0</v>
      </c>
      <c r="DB69">
        <v>999.9</v>
      </c>
      <c r="DC69">
        <v>999.9</v>
      </c>
      <c r="DD69">
        <v>62.904000000000003</v>
      </c>
      <c r="DE69">
        <v>24.37</v>
      </c>
      <c r="DF69">
        <v>19.4466</v>
      </c>
      <c r="DG69">
        <v>30.27</v>
      </c>
      <c r="DH69">
        <v>13.008800000000001</v>
      </c>
      <c r="DI69">
        <v>2</v>
      </c>
      <c r="DJ69">
        <v>-0.15076600000000001</v>
      </c>
      <c r="DK69">
        <v>1.847</v>
      </c>
      <c r="DL69">
        <v>20.228000000000002</v>
      </c>
      <c r="DM69">
        <v>5.2498800000000001</v>
      </c>
      <c r="DN69">
        <v>12.033899999999999</v>
      </c>
      <c r="DO69">
        <v>4.9674399999999999</v>
      </c>
      <c r="DP69">
        <v>3.2909999999999999</v>
      </c>
      <c r="DQ69">
        <v>9999</v>
      </c>
      <c r="DR69">
        <v>9999</v>
      </c>
      <c r="DS69">
        <v>522.79999999999995</v>
      </c>
      <c r="DT69">
        <v>9999</v>
      </c>
      <c r="DU69">
        <v>1.8709</v>
      </c>
      <c r="DV69">
        <v>1.8759399999999999</v>
      </c>
      <c r="DW69">
        <v>1.87622</v>
      </c>
      <c r="DX69">
        <v>1.88273</v>
      </c>
      <c r="DY69">
        <v>1.8754599999999999</v>
      </c>
      <c r="DZ69">
        <v>1.8745400000000001</v>
      </c>
      <c r="EA69">
        <v>1.8707199999999999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-0.93</v>
      </c>
      <c r="EQ69">
        <v>0.14169999999999999</v>
      </c>
      <c r="ER69">
        <v>-0.93090000000000805</v>
      </c>
      <c r="ES69">
        <v>0</v>
      </c>
      <c r="ET69">
        <v>0</v>
      </c>
      <c r="EU69">
        <v>0</v>
      </c>
      <c r="EV69">
        <v>0.14164545454545399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7.1</v>
      </c>
      <c r="FE69">
        <v>7.1</v>
      </c>
      <c r="FF69">
        <v>0.92529300000000003</v>
      </c>
      <c r="FG69">
        <v>2.5659200000000002</v>
      </c>
      <c r="FH69">
        <v>2.19604</v>
      </c>
      <c r="FI69">
        <v>2.67578</v>
      </c>
      <c r="FJ69">
        <v>2.4462899999999999</v>
      </c>
      <c r="FK69">
        <v>2.2839399999999999</v>
      </c>
      <c r="FL69">
        <v>30.136099999999999</v>
      </c>
      <c r="FM69">
        <v>24.157499999999999</v>
      </c>
      <c r="FN69">
        <v>19</v>
      </c>
      <c r="FO69">
        <v>759.50599999999997</v>
      </c>
      <c r="FP69">
        <v>741.505</v>
      </c>
      <c r="FQ69">
        <v>18.3858</v>
      </c>
      <c r="FR69">
        <v>25.109300000000001</v>
      </c>
      <c r="FS69">
        <v>30.0002</v>
      </c>
      <c r="FT69">
        <v>25.118500000000001</v>
      </c>
      <c r="FU69">
        <v>25.118400000000001</v>
      </c>
      <c r="FV69">
        <v>18.5928</v>
      </c>
      <c r="FW69">
        <v>54.206400000000002</v>
      </c>
      <c r="FX69">
        <v>99.629400000000004</v>
      </c>
      <c r="FY69">
        <v>18.3873</v>
      </c>
      <c r="FZ69">
        <v>410</v>
      </c>
      <c r="GA69">
        <v>15.755800000000001</v>
      </c>
      <c r="GB69">
        <v>99.8857</v>
      </c>
      <c r="GC69">
        <v>99.641199999999998</v>
      </c>
    </row>
    <row r="70" spans="1:185" x14ac:dyDescent="0.2">
      <c r="A70">
        <v>55</v>
      </c>
      <c r="B70">
        <v>1768579483.0999999</v>
      </c>
      <c r="C70">
        <v>1090.0999999046301</v>
      </c>
      <c r="D70" t="s">
        <v>404</v>
      </c>
      <c r="E70" t="s">
        <v>405</v>
      </c>
      <c r="F70">
        <v>15</v>
      </c>
      <c r="G70">
        <v>1768579475.03333</v>
      </c>
      <c r="H70">
        <f t="shared" si="13"/>
        <v>-1.1824907502191747E-4</v>
      </c>
      <c r="I70">
        <v>0</v>
      </c>
      <c r="J70">
        <f t="shared" si="12"/>
        <v>7.7167579269688674E-2</v>
      </c>
      <c r="K70">
        <f t="shared" si="14"/>
        <v>2.0209935639336347</v>
      </c>
      <c r="L70">
        <f t="shared" si="15"/>
        <v>69.892007598306165</v>
      </c>
      <c r="M70">
        <f t="shared" si="16"/>
        <v>1.540998708492314</v>
      </c>
      <c r="N70">
        <f t="shared" si="17"/>
        <v>2.2048282220607724</v>
      </c>
      <c r="O70">
        <v>0</v>
      </c>
      <c r="P70">
        <v>0</v>
      </c>
      <c r="Q70">
        <f t="shared" si="18"/>
        <v>1</v>
      </c>
      <c r="R70">
        <f t="shared" si="19"/>
        <v>0</v>
      </c>
      <c r="S70">
        <f t="shared" si="20"/>
        <v>25947.862033388566</v>
      </c>
      <c r="T70">
        <f t="shared" si="21"/>
        <v>299.99913333333302</v>
      </c>
      <c r="U70">
        <f t="shared" si="22"/>
        <v>252.89928733994788</v>
      </c>
      <c r="V70">
        <f t="shared" si="23"/>
        <v>0.84300005979999992</v>
      </c>
      <c r="W70">
        <f t="shared" si="24"/>
        <v>0.15870026642799998</v>
      </c>
      <c r="X70">
        <v>1</v>
      </c>
      <c r="Y70">
        <v>1768579475.03333</v>
      </c>
      <c r="Z70">
        <v>408.80720000000002</v>
      </c>
      <c r="AA70">
        <v>411.62526666666702</v>
      </c>
      <c r="AB70">
        <v>15.5496466666667</v>
      </c>
      <c r="AC70">
        <v>15.715946666666699</v>
      </c>
      <c r="AD70">
        <v>409.738133333333</v>
      </c>
      <c r="AE70">
        <v>15.408006666666701</v>
      </c>
      <c r="AF70">
        <v>700.00206666666702</v>
      </c>
      <c r="AG70">
        <v>99.046819999999997</v>
      </c>
      <c r="AH70">
        <v>5.50272333333333E-2</v>
      </c>
      <c r="AI70">
        <v>18.997440000000001</v>
      </c>
      <c r="AJ70">
        <v>999.9</v>
      </c>
      <c r="AK70">
        <v>999.9</v>
      </c>
      <c r="AL70">
        <v>0</v>
      </c>
      <c r="AM70">
        <v>0</v>
      </c>
      <c r="AN70">
        <v>4995.8999999999996</v>
      </c>
      <c r="AO70">
        <v>0</v>
      </c>
      <c r="AP70">
        <v>2.5406900000000001</v>
      </c>
      <c r="AQ70">
        <v>-2.8180818666666698</v>
      </c>
      <c r="AR70">
        <v>415.26426666666703</v>
      </c>
      <c r="AS70">
        <v>418.19740000000002</v>
      </c>
      <c r="AT70">
        <v>-0.16630773333333301</v>
      </c>
      <c r="AU70">
        <v>411.62526666666702</v>
      </c>
      <c r="AV70">
        <v>15.715946666666699</v>
      </c>
      <c r="AW70">
        <v>1.5401406666666699</v>
      </c>
      <c r="AX70">
        <v>1.55661466666667</v>
      </c>
      <c r="AY70">
        <v>13.3726066666667</v>
      </c>
      <c r="AZ70">
        <v>13.5359</v>
      </c>
      <c r="BA70">
        <v>299.99913333333302</v>
      </c>
      <c r="BB70">
        <v>0.89999626666666699</v>
      </c>
      <c r="BC70">
        <v>0</v>
      </c>
      <c r="BD70">
        <v>0.100003673333333</v>
      </c>
      <c r="BE70">
        <v>0</v>
      </c>
      <c r="BF70">
        <v>25</v>
      </c>
      <c r="BG70">
        <v>4946.6166666666704</v>
      </c>
      <c r="BH70">
        <v>1768579044.0999999</v>
      </c>
      <c r="BI70" t="s">
        <v>359</v>
      </c>
      <c r="BJ70">
        <v>1768579043.0999999</v>
      </c>
      <c r="BK70">
        <v>1768579044.0999999</v>
      </c>
      <c r="BL70">
        <v>2</v>
      </c>
      <c r="BM70">
        <v>6.4000000000000001E-2</v>
      </c>
      <c r="BN70">
        <v>-2.7E-2</v>
      </c>
      <c r="BO70">
        <v>-0.93100000000000005</v>
      </c>
      <c r="BP70">
        <v>0.14199999999999999</v>
      </c>
      <c r="BQ70">
        <v>408</v>
      </c>
      <c r="BR70">
        <v>16</v>
      </c>
      <c r="BS70">
        <v>0.15</v>
      </c>
      <c r="BT70">
        <v>0.06</v>
      </c>
      <c r="BU70">
        <v>-1.4799292500000001</v>
      </c>
      <c r="BV70">
        <v>-35.405652766917299</v>
      </c>
      <c r="BW70">
        <v>3.4918294529974498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-0.16587450000000001</v>
      </c>
      <c r="CD70">
        <v>-1.1206375939849401E-2</v>
      </c>
      <c r="CE70">
        <v>1.17611468403383E-3</v>
      </c>
      <c r="CF70">
        <v>1</v>
      </c>
      <c r="CG70">
        <v>1</v>
      </c>
      <c r="CH70">
        <v>2</v>
      </c>
      <c r="CI70" t="s">
        <v>303</v>
      </c>
      <c r="CJ70">
        <v>3.3498800000000002</v>
      </c>
      <c r="CK70">
        <v>2.6930499999999999</v>
      </c>
      <c r="CL70">
        <v>9.72639E-2</v>
      </c>
      <c r="CM70">
        <v>9.7747200000000006E-2</v>
      </c>
      <c r="CN70">
        <v>8.6741399999999996E-2</v>
      </c>
      <c r="CO70">
        <v>8.6652000000000007E-2</v>
      </c>
      <c r="CP70">
        <v>31662.799999999999</v>
      </c>
      <c r="CQ70">
        <v>27762.1</v>
      </c>
      <c r="CR70">
        <v>32461</v>
      </c>
      <c r="CS70">
        <v>30695.1</v>
      </c>
      <c r="CT70">
        <v>40137.300000000003</v>
      </c>
      <c r="CU70">
        <v>39412.1</v>
      </c>
      <c r="CV70">
        <v>47401.8</v>
      </c>
      <c r="CW70">
        <v>46803.6</v>
      </c>
      <c r="CX70">
        <v>2.5097399999999999</v>
      </c>
      <c r="CY70">
        <v>2.3305400000000001</v>
      </c>
      <c r="CZ70">
        <v>0</v>
      </c>
      <c r="DA70">
        <v>0</v>
      </c>
      <c r="DB70">
        <v>999.9</v>
      </c>
      <c r="DC70">
        <v>999.9</v>
      </c>
      <c r="DD70">
        <v>62.856000000000002</v>
      </c>
      <c r="DE70">
        <v>24.37</v>
      </c>
      <c r="DF70">
        <v>19.434000000000001</v>
      </c>
      <c r="DG70">
        <v>30.3</v>
      </c>
      <c r="DH70">
        <v>13.024800000000001</v>
      </c>
      <c r="DI70">
        <v>2</v>
      </c>
      <c r="DJ70">
        <v>-0.15038000000000001</v>
      </c>
      <c r="DK70">
        <v>1.85903</v>
      </c>
      <c r="DL70">
        <v>20.227900000000002</v>
      </c>
      <c r="DM70">
        <v>5.2502399999999998</v>
      </c>
      <c r="DN70">
        <v>12.033899999999999</v>
      </c>
      <c r="DO70">
        <v>4.9676799999999997</v>
      </c>
      <c r="DP70">
        <v>3.2909999999999999</v>
      </c>
      <c r="DQ70">
        <v>9999</v>
      </c>
      <c r="DR70">
        <v>9999</v>
      </c>
      <c r="DS70">
        <v>522.79999999999995</v>
      </c>
      <c r="DT70">
        <v>9999</v>
      </c>
      <c r="DU70">
        <v>1.8709</v>
      </c>
      <c r="DV70">
        <v>1.87599</v>
      </c>
      <c r="DW70">
        <v>1.87622</v>
      </c>
      <c r="DX70">
        <v>1.88276</v>
      </c>
      <c r="DY70">
        <v>1.87547</v>
      </c>
      <c r="DZ70">
        <v>1.8745400000000001</v>
      </c>
      <c r="EA70">
        <v>1.87073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-0.93100000000000005</v>
      </c>
      <c r="EQ70">
        <v>0.14169999999999999</v>
      </c>
      <c r="ER70">
        <v>-0.93090000000000805</v>
      </c>
      <c r="ES70">
        <v>0</v>
      </c>
      <c r="ET70">
        <v>0</v>
      </c>
      <c r="EU70">
        <v>0</v>
      </c>
      <c r="EV70">
        <v>0.14164545454545399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7.3</v>
      </c>
      <c r="FE70">
        <v>7.3</v>
      </c>
      <c r="FF70">
        <v>0.89599600000000001</v>
      </c>
      <c r="FG70">
        <v>2.5695800000000002</v>
      </c>
      <c r="FH70">
        <v>2.19604</v>
      </c>
      <c r="FI70">
        <v>2.67578</v>
      </c>
      <c r="FJ70">
        <v>2.4462899999999999</v>
      </c>
      <c r="FK70">
        <v>2.2436500000000001</v>
      </c>
      <c r="FL70">
        <v>30.157599999999999</v>
      </c>
      <c r="FM70">
        <v>24.157499999999999</v>
      </c>
      <c r="FN70">
        <v>19</v>
      </c>
      <c r="FO70">
        <v>759.51499999999999</v>
      </c>
      <c r="FP70">
        <v>741.58299999999997</v>
      </c>
      <c r="FQ70">
        <v>18.395600000000002</v>
      </c>
      <c r="FR70">
        <v>25.113600000000002</v>
      </c>
      <c r="FS70">
        <v>30.0002</v>
      </c>
      <c r="FT70">
        <v>25.122699999999998</v>
      </c>
      <c r="FU70">
        <v>25.123799999999999</v>
      </c>
      <c r="FV70">
        <v>17.968599999999999</v>
      </c>
      <c r="FW70">
        <v>54.206400000000002</v>
      </c>
      <c r="FX70">
        <v>99.629400000000004</v>
      </c>
      <c r="FY70">
        <v>18.395399999999999</v>
      </c>
      <c r="FZ70">
        <v>410</v>
      </c>
      <c r="GA70">
        <v>15.760300000000001</v>
      </c>
      <c r="GB70">
        <v>99.886399999999995</v>
      </c>
      <c r="GC70">
        <v>99.641099999999994</v>
      </c>
    </row>
    <row r="71" spans="1:185" x14ac:dyDescent="0.2">
      <c r="A71">
        <v>56</v>
      </c>
      <c r="B71">
        <v>1768579498.0999999</v>
      </c>
      <c r="C71">
        <v>1105.0999999046301</v>
      </c>
      <c r="D71" t="s">
        <v>406</v>
      </c>
      <c r="E71" t="s">
        <v>407</v>
      </c>
      <c r="F71">
        <v>15</v>
      </c>
      <c r="G71">
        <v>1768579490.03333</v>
      </c>
      <c r="H71">
        <f t="shared" si="13"/>
        <v>-1.1789869395890401E-4</v>
      </c>
      <c r="I71">
        <v>0</v>
      </c>
      <c r="J71">
        <f t="shared" si="12"/>
        <v>3.9920272876611138E-2</v>
      </c>
      <c r="K71">
        <f t="shared" si="14"/>
        <v>1.0454988392488813</v>
      </c>
      <c r="L71">
        <f t="shared" si="15"/>
        <v>69.872332862495767</v>
      </c>
      <c r="M71">
        <f t="shared" si="16"/>
        <v>1.5413354649515605</v>
      </c>
      <c r="N71">
        <f t="shared" si="17"/>
        <v>2.2059310199142899</v>
      </c>
      <c r="O71">
        <v>0</v>
      </c>
      <c r="P71">
        <v>0</v>
      </c>
      <c r="Q71">
        <f t="shared" si="18"/>
        <v>1</v>
      </c>
      <c r="R71">
        <f t="shared" si="19"/>
        <v>0</v>
      </c>
      <c r="S71">
        <f t="shared" si="20"/>
        <v>25969.765448081449</v>
      </c>
      <c r="T71">
        <f t="shared" si="21"/>
        <v>300.00053333333301</v>
      </c>
      <c r="U71">
        <f t="shared" si="22"/>
        <v>252.90043009996504</v>
      </c>
      <c r="V71">
        <f t="shared" si="23"/>
        <v>0.84299993499999992</v>
      </c>
      <c r="W71">
        <f t="shared" si="24"/>
        <v>0.15870003237999997</v>
      </c>
      <c r="X71">
        <v>1</v>
      </c>
      <c r="Y71">
        <v>1768579490.03333</v>
      </c>
      <c r="Z71">
        <v>413.82413333333301</v>
      </c>
      <c r="AA71">
        <v>415.24799999999999</v>
      </c>
      <c r="AB71">
        <v>15.5531466666667</v>
      </c>
      <c r="AC71">
        <v>15.7189533333333</v>
      </c>
      <c r="AD71">
        <v>414.75506666666701</v>
      </c>
      <c r="AE71">
        <v>15.4115133333333</v>
      </c>
      <c r="AF71">
        <v>700.00199999999995</v>
      </c>
      <c r="AG71">
        <v>99.046033333333298</v>
      </c>
      <c r="AH71">
        <v>5.5164513333333297E-2</v>
      </c>
      <c r="AI71">
        <v>19.0054533333333</v>
      </c>
      <c r="AJ71">
        <v>999.9</v>
      </c>
      <c r="AK71">
        <v>999.9</v>
      </c>
      <c r="AL71">
        <v>0</v>
      </c>
      <c r="AM71">
        <v>0</v>
      </c>
      <c r="AN71">
        <v>4999.7</v>
      </c>
      <c r="AO71">
        <v>0</v>
      </c>
      <c r="AP71">
        <v>2.4996633333333298</v>
      </c>
      <c r="AQ71">
        <v>-1.42393186666667</v>
      </c>
      <c r="AR71">
        <v>420.36213333333302</v>
      </c>
      <c r="AS71">
        <v>421.87953333333297</v>
      </c>
      <c r="AT71">
        <v>-0.1658106</v>
      </c>
      <c r="AU71">
        <v>415.24799999999999</v>
      </c>
      <c r="AV71">
        <v>15.7189533333333</v>
      </c>
      <c r="AW71">
        <v>1.540476</v>
      </c>
      <c r="AX71">
        <v>1.5569013333333299</v>
      </c>
      <c r="AY71">
        <v>13.3759533333333</v>
      </c>
      <c r="AZ71">
        <v>13.5387133333333</v>
      </c>
      <c r="BA71">
        <v>300.00053333333301</v>
      </c>
      <c r="BB71">
        <v>0.89999926666666696</v>
      </c>
      <c r="BC71">
        <v>0</v>
      </c>
      <c r="BD71">
        <v>0.10000063333333301</v>
      </c>
      <c r="BE71">
        <v>0</v>
      </c>
      <c r="BF71">
        <v>25</v>
      </c>
      <c r="BG71">
        <v>4946.6426666666703</v>
      </c>
      <c r="BH71">
        <v>1768579044.0999999</v>
      </c>
      <c r="BI71" t="s">
        <v>359</v>
      </c>
      <c r="BJ71">
        <v>1768579043.0999999</v>
      </c>
      <c r="BK71">
        <v>1768579044.0999999</v>
      </c>
      <c r="BL71">
        <v>2</v>
      </c>
      <c r="BM71">
        <v>6.4000000000000001E-2</v>
      </c>
      <c r="BN71">
        <v>-2.7E-2</v>
      </c>
      <c r="BO71">
        <v>-0.93100000000000005</v>
      </c>
      <c r="BP71">
        <v>0.14199999999999999</v>
      </c>
      <c r="BQ71">
        <v>408</v>
      </c>
      <c r="BR71">
        <v>16</v>
      </c>
      <c r="BS71">
        <v>0.15</v>
      </c>
      <c r="BT71">
        <v>0.06</v>
      </c>
      <c r="BU71">
        <v>-3.2548294000000002</v>
      </c>
      <c r="BV71">
        <v>40.040876932330796</v>
      </c>
      <c r="BW71">
        <v>5.1735354158320801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-0.16625329999999999</v>
      </c>
      <c r="CD71">
        <v>7.2432180451122898E-3</v>
      </c>
      <c r="CE71">
        <v>8.4065927104862495E-4</v>
      </c>
      <c r="CF71">
        <v>1</v>
      </c>
      <c r="CG71">
        <v>1</v>
      </c>
      <c r="CH71">
        <v>2</v>
      </c>
      <c r="CI71" t="s">
        <v>303</v>
      </c>
      <c r="CJ71">
        <v>3.34992</v>
      </c>
      <c r="CK71">
        <v>2.6928100000000001</v>
      </c>
      <c r="CL71">
        <v>9.7613599999999995E-2</v>
      </c>
      <c r="CM71">
        <v>9.4571500000000003E-2</v>
      </c>
      <c r="CN71">
        <v>8.6742399999999997E-2</v>
      </c>
      <c r="CO71">
        <v>8.6654800000000004E-2</v>
      </c>
      <c r="CP71">
        <v>31650.6</v>
      </c>
      <c r="CQ71">
        <v>27860.1</v>
      </c>
      <c r="CR71">
        <v>32461.1</v>
      </c>
      <c r="CS71">
        <v>30695.4</v>
      </c>
      <c r="CT71">
        <v>40137.300000000003</v>
      </c>
      <c r="CU71">
        <v>39412.400000000001</v>
      </c>
      <c r="CV71">
        <v>47401.8</v>
      </c>
      <c r="CW71">
        <v>46804.5</v>
      </c>
      <c r="CX71">
        <v>2.5096599999999998</v>
      </c>
      <c r="CY71">
        <v>2.3300999999999998</v>
      </c>
      <c r="CZ71">
        <v>0</v>
      </c>
      <c r="DA71">
        <v>0</v>
      </c>
      <c r="DB71">
        <v>999.9</v>
      </c>
      <c r="DC71">
        <v>999.9</v>
      </c>
      <c r="DD71">
        <v>62.781999999999996</v>
      </c>
      <c r="DE71">
        <v>24.401</v>
      </c>
      <c r="DF71">
        <v>19.446000000000002</v>
      </c>
      <c r="DG71">
        <v>30.42</v>
      </c>
      <c r="DH71">
        <v>13.052899999999999</v>
      </c>
      <c r="DI71">
        <v>2</v>
      </c>
      <c r="DJ71">
        <v>-0.149037</v>
      </c>
      <c r="DK71">
        <v>2.13733</v>
      </c>
      <c r="DL71">
        <v>20.223700000000001</v>
      </c>
      <c r="DM71">
        <v>5.2509499999999996</v>
      </c>
      <c r="DN71">
        <v>12.033899999999999</v>
      </c>
      <c r="DO71">
        <v>4.9674800000000001</v>
      </c>
      <c r="DP71">
        <v>3.2910200000000001</v>
      </c>
      <c r="DQ71">
        <v>9999</v>
      </c>
      <c r="DR71">
        <v>9999</v>
      </c>
      <c r="DS71">
        <v>522.79999999999995</v>
      </c>
      <c r="DT71">
        <v>9999</v>
      </c>
      <c r="DU71">
        <v>1.87094</v>
      </c>
      <c r="DV71">
        <v>1.87602</v>
      </c>
      <c r="DW71">
        <v>1.87622</v>
      </c>
      <c r="DX71">
        <v>1.88276</v>
      </c>
      <c r="DY71">
        <v>1.8754900000000001</v>
      </c>
      <c r="DZ71">
        <v>1.8745400000000001</v>
      </c>
      <c r="EA71">
        <v>1.8707199999999999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-0.93</v>
      </c>
      <c r="EQ71">
        <v>0.14169999999999999</v>
      </c>
      <c r="ER71">
        <v>-0.93090000000000805</v>
      </c>
      <c r="ES71">
        <v>0</v>
      </c>
      <c r="ET71">
        <v>0</v>
      </c>
      <c r="EU71">
        <v>0</v>
      </c>
      <c r="EV71">
        <v>0.14164545454545399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7.6</v>
      </c>
      <c r="FE71">
        <v>7.6</v>
      </c>
      <c r="FF71">
        <v>0.88989300000000005</v>
      </c>
      <c r="FG71">
        <v>2.5695800000000002</v>
      </c>
      <c r="FH71">
        <v>2.19604</v>
      </c>
      <c r="FI71">
        <v>2.67578</v>
      </c>
      <c r="FJ71">
        <v>2.4462899999999999</v>
      </c>
      <c r="FK71">
        <v>2.2265600000000001</v>
      </c>
      <c r="FL71">
        <v>30.157599999999999</v>
      </c>
      <c r="FM71">
        <v>24.148800000000001</v>
      </c>
      <c r="FN71">
        <v>19</v>
      </c>
      <c r="FO71">
        <v>759.52</v>
      </c>
      <c r="FP71">
        <v>741.23800000000006</v>
      </c>
      <c r="FQ71">
        <v>18.292100000000001</v>
      </c>
      <c r="FR71">
        <v>25.117699999999999</v>
      </c>
      <c r="FS71">
        <v>30.000399999999999</v>
      </c>
      <c r="FT71">
        <v>25.127800000000001</v>
      </c>
      <c r="FU71">
        <v>25.128499999999999</v>
      </c>
      <c r="FV71">
        <v>17.889500000000002</v>
      </c>
      <c r="FW71">
        <v>54.206400000000002</v>
      </c>
      <c r="FX71">
        <v>99.629400000000004</v>
      </c>
      <c r="FY71">
        <v>18.2866</v>
      </c>
      <c r="FZ71">
        <v>410</v>
      </c>
      <c r="GA71">
        <v>15.7652</v>
      </c>
      <c r="GB71">
        <v>99.886499999999998</v>
      </c>
      <c r="GC71">
        <v>99.642700000000005</v>
      </c>
    </row>
    <row r="72" spans="1:185" x14ac:dyDescent="0.2">
      <c r="A72">
        <v>57</v>
      </c>
      <c r="B72">
        <v>1768579639.0999999</v>
      </c>
      <c r="C72">
        <v>1246.0999999046301</v>
      </c>
      <c r="D72" t="s">
        <v>408</v>
      </c>
      <c r="E72" t="s">
        <v>409</v>
      </c>
      <c r="F72">
        <v>15</v>
      </c>
      <c r="G72">
        <v>1768579630.5999999</v>
      </c>
      <c r="H72">
        <f t="shared" si="13"/>
        <v>-9.6401437202543877E-5</v>
      </c>
      <c r="I72">
        <v>0</v>
      </c>
      <c r="J72">
        <f t="shared" si="12"/>
        <v>-2.87653457795745E-2</v>
      </c>
      <c r="K72">
        <f t="shared" si="14"/>
        <v>-0.75335496117708067</v>
      </c>
      <c r="L72">
        <f t="shared" si="15"/>
        <v>73.776787050480166</v>
      </c>
      <c r="M72">
        <f t="shared" si="16"/>
        <v>1.6171804729318873</v>
      </c>
      <c r="N72">
        <f t="shared" si="17"/>
        <v>2.1919909196172593</v>
      </c>
      <c r="O72">
        <v>0</v>
      </c>
      <c r="P72">
        <v>0</v>
      </c>
      <c r="Q72">
        <f t="shared" si="18"/>
        <v>1</v>
      </c>
      <c r="R72">
        <f t="shared" si="19"/>
        <v>0</v>
      </c>
      <c r="S72">
        <f t="shared" si="20"/>
        <v>25966.801090419336</v>
      </c>
      <c r="T72">
        <f t="shared" si="21"/>
        <v>500.00006250000001</v>
      </c>
      <c r="U72">
        <f t="shared" si="22"/>
        <v>421.5002598750259</v>
      </c>
      <c r="V72">
        <f t="shared" si="23"/>
        <v>0.84300041437499995</v>
      </c>
      <c r="W72">
        <f t="shared" si="24"/>
        <v>0.15870127953749999</v>
      </c>
      <c r="X72">
        <v>1</v>
      </c>
      <c r="Y72">
        <v>1768579630.5999999</v>
      </c>
      <c r="Z72">
        <v>409.58656250000001</v>
      </c>
      <c r="AA72">
        <v>408.45393749999999</v>
      </c>
      <c r="AB72">
        <v>16.317699999999999</v>
      </c>
      <c r="AC72">
        <v>16.45316875</v>
      </c>
      <c r="AD72">
        <v>410.51743750000003</v>
      </c>
      <c r="AE72">
        <v>16.176068749999999</v>
      </c>
      <c r="AF72">
        <v>700.00193750000005</v>
      </c>
      <c r="AG72">
        <v>99.051393750000003</v>
      </c>
      <c r="AH72">
        <v>5.4514124999999997E-2</v>
      </c>
      <c r="AI72">
        <v>18.9039</v>
      </c>
      <c r="AJ72">
        <v>999.9</v>
      </c>
      <c r="AK72">
        <v>999.9</v>
      </c>
      <c r="AL72">
        <v>0</v>
      </c>
      <c r="AM72">
        <v>0</v>
      </c>
      <c r="AN72">
        <v>4997.46875</v>
      </c>
      <c r="AO72">
        <v>0</v>
      </c>
      <c r="AP72">
        <v>2.4136562499999998</v>
      </c>
      <c r="AQ72">
        <v>1.1324719375000001</v>
      </c>
      <c r="AR72">
        <v>416.38074999999998</v>
      </c>
      <c r="AS72">
        <v>415.2868125</v>
      </c>
      <c r="AT72">
        <v>-0.13547018250000001</v>
      </c>
      <c r="AU72">
        <v>408.45393749999999</v>
      </c>
      <c r="AV72">
        <v>16.45316875</v>
      </c>
      <c r="AW72">
        <v>1.616289375</v>
      </c>
      <c r="AX72">
        <v>1.629709375</v>
      </c>
      <c r="AY72">
        <v>14.114912500000001</v>
      </c>
      <c r="AZ72">
        <v>14.24193125</v>
      </c>
      <c r="BA72">
        <v>500.00006250000001</v>
      </c>
      <c r="BB72">
        <v>0.89998256249999997</v>
      </c>
      <c r="BC72">
        <v>0</v>
      </c>
      <c r="BD72">
        <v>0.1000173125</v>
      </c>
      <c r="BE72">
        <v>0</v>
      </c>
      <c r="BF72">
        <v>25</v>
      </c>
      <c r="BG72">
        <v>8244.3493749999998</v>
      </c>
      <c r="BH72">
        <v>1768579044.0999999</v>
      </c>
      <c r="BI72" t="s">
        <v>359</v>
      </c>
      <c r="BJ72">
        <v>1768579043.0999999</v>
      </c>
      <c r="BK72">
        <v>1768579044.0999999</v>
      </c>
      <c r="BL72">
        <v>2</v>
      </c>
      <c r="BM72">
        <v>6.4000000000000001E-2</v>
      </c>
      <c r="BN72">
        <v>-2.7E-2</v>
      </c>
      <c r="BO72">
        <v>-0.93100000000000005</v>
      </c>
      <c r="BP72">
        <v>0.14199999999999999</v>
      </c>
      <c r="BQ72">
        <v>408</v>
      </c>
      <c r="BR72">
        <v>16</v>
      </c>
      <c r="BS72">
        <v>0.15</v>
      </c>
      <c r="BT72">
        <v>0.06</v>
      </c>
      <c r="BU72">
        <v>1.57590071428571</v>
      </c>
      <c r="BV72">
        <v>-7.2450503376623301</v>
      </c>
      <c r="BW72">
        <v>0.76998454676553596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-0.23095520571428599</v>
      </c>
      <c r="CD72">
        <v>1.5960742145454501</v>
      </c>
      <c r="CE72">
        <v>0.161855858419373</v>
      </c>
      <c r="CF72">
        <v>0</v>
      </c>
      <c r="CG72">
        <v>0</v>
      </c>
      <c r="CH72">
        <v>2</v>
      </c>
      <c r="CI72" t="s">
        <v>290</v>
      </c>
      <c r="CJ72">
        <v>3.3499500000000002</v>
      </c>
      <c r="CK72">
        <v>2.69259</v>
      </c>
      <c r="CL72">
        <v>9.68971E-2</v>
      </c>
      <c r="CM72">
        <v>9.5435400000000004E-2</v>
      </c>
      <c r="CN72">
        <v>8.9446899999999996E-2</v>
      </c>
      <c r="CO72">
        <v>8.8372400000000004E-2</v>
      </c>
      <c r="CP72">
        <v>31673.5</v>
      </c>
      <c r="CQ72">
        <v>27833</v>
      </c>
      <c r="CR72">
        <v>32459.1</v>
      </c>
      <c r="CS72">
        <v>30695.1</v>
      </c>
      <c r="CT72">
        <v>40013</v>
      </c>
      <c r="CU72">
        <v>39336</v>
      </c>
      <c r="CV72">
        <v>47399.8</v>
      </c>
      <c r="CW72">
        <v>46804.4</v>
      </c>
      <c r="CX72">
        <v>2.5089999999999999</v>
      </c>
      <c r="CY72">
        <v>2.3287399999999998</v>
      </c>
      <c r="CZ72">
        <v>0</v>
      </c>
      <c r="DA72">
        <v>0</v>
      </c>
      <c r="DB72">
        <v>999.9</v>
      </c>
      <c r="DC72">
        <v>999.9</v>
      </c>
      <c r="DD72">
        <v>62.354999999999997</v>
      </c>
      <c r="DE72">
        <v>24.542000000000002</v>
      </c>
      <c r="DF72">
        <v>19.476800000000001</v>
      </c>
      <c r="DG72">
        <v>30.09</v>
      </c>
      <c r="DH72">
        <v>13.008800000000001</v>
      </c>
      <c r="DI72">
        <v>2</v>
      </c>
      <c r="DJ72">
        <v>-0.146035</v>
      </c>
      <c r="DK72">
        <v>1.7769900000000001</v>
      </c>
      <c r="DL72">
        <v>20.214400000000001</v>
      </c>
      <c r="DM72">
        <v>5.2513100000000001</v>
      </c>
      <c r="DN72">
        <v>12.033899999999999</v>
      </c>
      <c r="DO72">
        <v>4.9673999999999996</v>
      </c>
      <c r="DP72">
        <v>3.2909999999999999</v>
      </c>
      <c r="DQ72">
        <v>9999</v>
      </c>
      <c r="DR72">
        <v>9999</v>
      </c>
      <c r="DS72">
        <v>522.79999999999995</v>
      </c>
      <c r="DT72">
        <v>9999</v>
      </c>
      <c r="DU72">
        <v>1.87094</v>
      </c>
      <c r="DV72">
        <v>1.8760399999999999</v>
      </c>
      <c r="DW72">
        <v>1.87622</v>
      </c>
      <c r="DX72">
        <v>1.88276</v>
      </c>
      <c r="DY72">
        <v>1.87548</v>
      </c>
      <c r="DZ72">
        <v>1.8745400000000001</v>
      </c>
      <c r="EA72">
        <v>1.87073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-0.93100000000000005</v>
      </c>
      <c r="EQ72">
        <v>0.1416</v>
      </c>
      <c r="ER72">
        <v>-0.93090000000000805</v>
      </c>
      <c r="ES72">
        <v>0</v>
      </c>
      <c r="ET72">
        <v>0</v>
      </c>
      <c r="EU72">
        <v>0</v>
      </c>
      <c r="EV72">
        <v>0.14164545454545399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9.9</v>
      </c>
      <c r="FE72">
        <v>9.9</v>
      </c>
      <c r="FF72">
        <v>0.92773399999999995</v>
      </c>
      <c r="FG72">
        <v>2.5695800000000002</v>
      </c>
      <c r="FH72">
        <v>2.19604</v>
      </c>
      <c r="FI72">
        <v>2.67456</v>
      </c>
      <c r="FJ72">
        <v>2.4462899999999999</v>
      </c>
      <c r="FK72">
        <v>2.2875999999999999</v>
      </c>
      <c r="FL72">
        <v>30.3294</v>
      </c>
      <c r="FM72">
        <v>24.148800000000001</v>
      </c>
      <c r="FN72">
        <v>19</v>
      </c>
      <c r="FO72">
        <v>759.73199999999997</v>
      </c>
      <c r="FP72">
        <v>740.70100000000002</v>
      </c>
      <c r="FQ72">
        <v>18.133900000000001</v>
      </c>
      <c r="FR72">
        <v>25.177800000000001</v>
      </c>
      <c r="FS72">
        <v>30.0002</v>
      </c>
      <c r="FT72">
        <v>25.181899999999999</v>
      </c>
      <c r="FU72">
        <v>25.179500000000001</v>
      </c>
      <c r="FV72">
        <v>18.634699999999999</v>
      </c>
      <c r="FW72">
        <v>51.583799999999997</v>
      </c>
      <c r="FX72">
        <v>100</v>
      </c>
      <c r="FY72">
        <v>18.2089</v>
      </c>
      <c r="FZ72">
        <v>410</v>
      </c>
      <c r="GA72">
        <v>15.7475</v>
      </c>
      <c r="GB72">
        <v>99.881500000000003</v>
      </c>
      <c r="GC72">
        <v>99.642300000000006</v>
      </c>
    </row>
    <row r="73" spans="1:185" x14ac:dyDescent="0.2">
      <c r="A73">
        <v>58</v>
      </c>
      <c r="B73">
        <v>1768579654.0999999</v>
      </c>
      <c r="C73">
        <v>1261.0999999046301</v>
      </c>
      <c r="D73" t="s">
        <v>410</v>
      </c>
      <c r="E73" t="s">
        <v>411</v>
      </c>
      <c r="F73">
        <v>15</v>
      </c>
      <c r="G73">
        <v>1768579646.03333</v>
      </c>
      <c r="H73">
        <f t="shared" si="13"/>
        <v>6.2183858149245943E-5</v>
      </c>
      <c r="I73">
        <v>0</v>
      </c>
      <c r="J73">
        <f t="shared" si="12"/>
        <v>-2.35951133330851E-3</v>
      </c>
      <c r="K73">
        <f t="shared" si="14"/>
        <v>-6.1794827099339256E-2</v>
      </c>
      <c r="L73">
        <f t="shared" si="15"/>
        <v>72.572269564198706</v>
      </c>
      <c r="M73">
        <f t="shared" si="16"/>
        <v>1.5928662759094987</v>
      </c>
      <c r="N73">
        <f t="shared" si="17"/>
        <v>2.1948690394757753</v>
      </c>
      <c r="O73">
        <v>0</v>
      </c>
      <c r="P73">
        <v>0</v>
      </c>
      <c r="Q73">
        <f t="shared" si="18"/>
        <v>1</v>
      </c>
      <c r="R73">
        <f t="shared" si="19"/>
        <v>0</v>
      </c>
      <c r="S73">
        <f t="shared" si="20"/>
        <v>25991.707855168643</v>
      </c>
      <c r="T73">
        <f t="shared" si="21"/>
        <v>499.99906666666698</v>
      </c>
      <c r="U73">
        <f t="shared" si="22"/>
        <v>421.49946619952783</v>
      </c>
      <c r="V73">
        <f t="shared" si="23"/>
        <v>0.84300050599999965</v>
      </c>
      <c r="W73">
        <f t="shared" si="24"/>
        <v>0.15870139491999993</v>
      </c>
      <c r="X73">
        <v>1</v>
      </c>
      <c r="Y73">
        <v>1768579646.03333</v>
      </c>
      <c r="Z73">
        <v>409.13513333333299</v>
      </c>
      <c r="AA73">
        <v>409.08319999999998</v>
      </c>
      <c r="AB73">
        <v>16.071246666666699</v>
      </c>
      <c r="AC73">
        <v>15.983840000000001</v>
      </c>
      <c r="AD73">
        <v>410.00813333333298</v>
      </c>
      <c r="AE73">
        <v>15.937246666666701</v>
      </c>
      <c r="AF73">
        <v>699.99793333333298</v>
      </c>
      <c r="AG73">
        <v>99.058093333333304</v>
      </c>
      <c r="AH73">
        <v>5.4707866666666702E-2</v>
      </c>
      <c r="AI73">
        <v>18.924913333333301</v>
      </c>
      <c r="AJ73">
        <v>999.9</v>
      </c>
      <c r="AK73">
        <v>999.9</v>
      </c>
      <c r="AL73">
        <v>0</v>
      </c>
      <c r="AM73">
        <v>0</v>
      </c>
      <c r="AN73">
        <v>5001.6333333333296</v>
      </c>
      <c r="AO73">
        <v>0</v>
      </c>
      <c r="AP73">
        <v>2.3932180000000001</v>
      </c>
      <c r="AQ73">
        <v>-5.8676233333333399E-3</v>
      </c>
      <c r="AR73">
        <v>415.76240000000001</v>
      </c>
      <c r="AS73">
        <v>415.72800000000001</v>
      </c>
      <c r="AT73">
        <v>9.5060173333333303E-2</v>
      </c>
      <c r="AU73">
        <v>409.08319999999998</v>
      </c>
      <c r="AV73">
        <v>15.983840000000001</v>
      </c>
      <c r="AW73">
        <v>1.5927453333333299</v>
      </c>
      <c r="AX73">
        <v>1.5833286666666699</v>
      </c>
      <c r="AY73">
        <v>13.8886466666667</v>
      </c>
      <c r="AZ73">
        <v>13.7972533333333</v>
      </c>
      <c r="BA73">
        <v>499.99906666666698</v>
      </c>
      <c r="BB73">
        <v>0.89998120000000004</v>
      </c>
      <c r="BC73">
        <v>0</v>
      </c>
      <c r="BD73">
        <v>0.100018733333333</v>
      </c>
      <c r="BE73">
        <v>0</v>
      </c>
      <c r="BF73">
        <v>25</v>
      </c>
      <c r="BG73">
        <v>8244.3306666666704</v>
      </c>
      <c r="BH73">
        <v>1768579680.0999999</v>
      </c>
      <c r="BI73" t="s">
        <v>412</v>
      </c>
      <c r="BJ73">
        <v>1768579680.0999999</v>
      </c>
      <c r="BK73">
        <v>1768579672.0999999</v>
      </c>
      <c r="BL73">
        <v>3</v>
      </c>
      <c r="BM73">
        <v>5.8999999999999997E-2</v>
      </c>
      <c r="BN73">
        <v>-8.0000000000000002E-3</v>
      </c>
      <c r="BO73">
        <v>-0.873</v>
      </c>
      <c r="BP73">
        <v>0.13400000000000001</v>
      </c>
      <c r="BQ73">
        <v>423</v>
      </c>
      <c r="BR73">
        <v>16</v>
      </c>
      <c r="BS73">
        <v>0.28000000000000003</v>
      </c>
      <c r="BT73">
        <v>0.11</v>
      </c>
      <c r="BU73">
        <v>0.24437548249999999</v>
      </c>
      <c r="BV73">
        <v>-4.4231006187969903</v>
      </c>
      <c r="BW73">
        <v>0.43169168231802202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6.0097238999999997E-2</v>
      </c>
      <c r="CD73">
        <v>0.57938492300751898</v>
      </c>
      <c r="CE73">
        <v>5.9460695800213299E-2</v>
      </c>
      <c r="CF73">
        <v>0</v>
      </c>
      <c r="CG73">
        <v>0</v>
      </c>
      <c r="CH73">
        <v>2</v>
      </c>
      <c r="CI73" t="s">
        <v>290</v>
      </c>
      <c r="CJ73">
        <v>3.3498800000000002</v>
      </c>
      <c r="CK73">
        <v>2.6926100000000002</v>
      </c>
      <c r="CL73">
        <v>9.6927700000000006E-2</v>
      </c>
      <c r="CM73">
        <v>9.5674099999999998E-2</v>
      </c>
      <c r="CN73">
        <v>8.8412299999999999E-2</v>
      </c>
      <c r="CO73">
        <v>8.7100999999999998E-2</v>
      </c>
      <c r="CP73">
        <v>31672.3</v>
      </c>
      <c r="CQ73">
        <v>27825.599999999999</v>
      </c>
      <c r="CR73">
        <v>32458.9</v>
      </c>
      <c r="CS73">
        <v>30695.1</v>
      </c>
      <c r="CT73">
        <v>40059.9</v>
      </c>
      <c r="CU73">
        <v>39392.9</v>
      </c>
      <c r="CV73">
        <v>47399.7</v>
      </c>
      <c r="CW73">
        <v>46804.800000000003</v>
      </c>
      <c r="CX73">
        <v>2.5090599999999998</v>
      </c>
      <c r="CY73">
        <v>2.32822</v>
      </c>
      <c r="CZ73">
        <v>0</v>
      </c>
      <c r="DA73">
        <v>0</v>
      </c>
      <c r="DB73">
        <v>999.9</v>
      </c>
      <c r="DC73">
        <v>999.9</v>
      </c>
      <c r="DD73">
        <v>62.343000000000004</v>
      </c>
      <c r="DE73">
        <v>24.571999999999999</v>
      </c>
      <c r="DF73">
        <v>19.506699999999999</v>
      </c>
      <c r="DG73">
        <v>30.03</v>
      </c>
      <c r="DH73">
        <v>13.052899999999999</v>
      </c>
      <c r="DI73">
        <v>2</v>
      </c>
      <c r="DJ73">
        <v>-0.145459</v>
      </c>
      <c r="DK73">
        <v>1.6916100000000001</v>
      </c>
      <c r="DL73">
        <v>20.215399999999999</v>
      </c>
      <c r="DM73">
        <v>5.2513100000000001</v>
      </c>
      <c r="DN73">
        <v>12.033899999999999</v>
      </c>
      <c r="DO73">
        <v>4.9675599999999998</v>
      </c>
      <c r="DP73">
        <v>3.2909999999999999</v>
      </c>
      <c r="DQ73">
        <v>9999</v>
      </c>
      <c r="DR73">
        <v>9999</v>
      </c>
      <c r="DS73">
        <v>522.79999999999995</v>
      </c>
      <c r="DT73">
        <v>9999</v>
      </c>
      <c r="DU73">
        <v>1.8709</v>
      </c>
      <c r="DV73">
        <v>1.8760300000000001</v>
      </c>
      <c r="DW73">
        <v>1.87622</v>
      </c>
      <c r="DX73">
        <v>1.8827100000000001</v>
      </c>
      <c r="DY73">
        <v>1.87547</v>
      </c>
      <c r="DZ73">
        <v>1.8745400000000001</v>
      </c>
      <c r="EA73">
        <v>1.8707199999999999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-0.873</v>
      </c>
      <c r="EQ73">
        <v>0.13400000000000001</v>
      </c>
      <c r="ER73">
        <v>-0.93090000000000805</v>
      </c>
      <c r="ES73">
        <v>0</v>
      </c>
      <c r="ET73">
        <v>0</v>
      </c>
      <c r="EU73">
        <v>0</v>
      </c>
      <c r="EV73">
        <v>0.14164545454545399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10.199999999999999</v>
      </c>
      <c r="FE73">
        <v>10.199999999999999</v>
      </c>
      <c r="FF73">
        <v>0.931396</v>
      </c>
      <c r="FG73">
        <v>2.5695800000000002</v>
      </c>
      <c r="FH73">
        <v>2.19604</v>
      </c>
      <c r="FI73">
        <v>2.67456</v>
      </c>
      <c r="FJ73">
        <v>2.4462899999999999</v>
      </c>
      <c r="FK73">
        <v>2.3046899999999999</v>
      </c>
      <c r="FL73">
        <v>30.3294</v>
      </c>
      <c r="FM73">
        <v>24.148800000000001</v>
      </c>
      <c r="FN73">
        <v>19</v>
      </c>
      <c r="FO73">
        <v>759.86</v>
      </c>
      <c r="FP73">
        <v>740.30799999999999</v>
      </c>
      <c r="FQ73">
        <v>18.313300000000002</v>
      </c>
      <c r="FR73">
        <v>25.185099999999998</v>
      </c>
      <c r="FS73">
        <v>30.000299999999999</v>
      </c>
      <c r="FT73">
        <v>25.1874</v>
      </c>
      <c r="FU73">
        <v>25.1861</v>
      </c>
      <c r="FV73">
        <v>18.7087</v>
      </c>
      <c r="FW73">
        <v>54.653500000000001</v>
      </c>
      <c r="FX73">
        <v>100</v>
      </c>
      <c r="FY73">
        <v>18.361999999999998</v>
      </c>
      <c r="FZ73">
        <v>410</v>
      </c>
      <c r="GA73">
        <v>15.5938</v>
      </c>
      <c r="GB73">
        <v>99.881200000000007</v>
      </c>
      <c r="GC73">
        <v>99.642600000000002</v>
      </c>
    </row>
    <row r="74" spans="1:185" x14ac:dyDescent="0.2">
      <c r="A74">
        <v>59</v>
      </c>
      <c r="B74">
        <v>1768579682.0999999</v>
      </c>
      <c r="C74">
        <v>1289.0999999046301</v>
      </c>
      <c r="D74" t="s">
        <v>413</v>
      </c>
      <c r="E74" t="s">
        <v>414</v>
      </c>
      <c r="F74">
        <v>15</v>
      </c>
      <c r="G74">
        <v>1768579681.0999999</v>
      </c>
      <c r="H74">
        <f t="shared" si="13"/>
        <v>6.4008148710386127E-7</v>
      </c>
      <c r="I74">
        <v>0</v>
      </c>
      <c r="J74">
        <f t="shared" si="12"/>
        <v>-4.914474072281272E-4</v>
      </c>
      <c r="K74">
        <f t="shared" si="14"/>
        <v>-1.2870846233867148E-2</v>
      </c>
      <c r="L74">
        <f t="shared" si="15"/>
        <v>70.738622830219043</v>
      </c>
      <c r="M74">
        <f t="shared" si="16"/>
        <v>1.56078086485542</v>
      </c>
      <c r="N74">
        <f t="shared" si="17"/>
        <v>2.2064055001487324</v>
      </c>
      <c r="O74">
        <v>331</v>
      </c>
      <c r="P74">
        <v>47</v>
      </c>
      <c r="Q74">
        <f t="shared" si="18"/>
        <v>1</v>
      </c>
      <c r="R74">
        <f t="shared" si="19"/>
        <v>0</v>
      </c>
      <c r="S74">
        <f t="shared" si="20"/>
        <v>26132.354243448532</v>
      </c>
      <c r="T74">
        <f t="shared" si="21"/>
        <v>499.99099999999999</v>
      </c>
      <c r="U74">
        <f t="shared" si="22"/>
        <v>421.49269799486996</v>
      </c>
      <c r="V74">
        <f t="shared" si="23"/>
        <v>0.84300056999999995</v>
      </c>
      <c r="W74">
        <f t="shared" si="24"/>
        <v>0.15870142500000001</v>
      </c>
      <c r="X74">
        <v>1</v>
      </c>
      <c r="Y74">
        <v>1768579681.0999999</v>
      </c>
      <c r="Z74">
        <v>423.05900000000003</v>
      </c>
      <c r="AA74">
        <v>423.041</v>
      </c>
      <c r="AB74">
        <v>15.7461</v>
      </c>
      <c r="AC74">
        <v>15.745200000000001</v>
      </c>
      <c r="AD74">
        <v>423.93200000000002</v>
      </c>
      <c r="AE74">
        <v>15.612399999999999</v>
      </c>
      <c r="AF74">
        <v>700.00300000000004</v>
      </c>
      <c r="AG74">
        <v>99.053700000000006</v>
      </c>
      <c r="AH74">
        <v>6.8042199999999997E-2</v>
      </c>
      <c r="AI74">
        <v>19.008900000000001</v>
      </c>
      <c r="AJ74">
        <v>999.9</v>
      </c>
      <c r="AK74">
        <v>999.9</v>
      </c>
      <c r="AL74">
        <v>0</v>
      </c>
      <c r="AM74">
        <v>0</v>
      </c>
      <c r="AN74">
        <v>5026.5</v>
      </c>
      <c r="AO74">
        <v>0</v>
      </c>
      <c r="AP74">
        <v>2.3826000000000001</v>
      </c>
      <c r="AQ74">
        <v>1.7791700000000001E-2</v>
      </c>
      <c r="AR74">
        <v>429.827</v>
      </c>
      <c r="AS74">
        <v>429.80900000000003</v>
      </c>
      <c r="AT74">
        <v>9.4032299999999996E-4</v>
      </c>
      <c r="AU74">
        <v>423.041</v>
      </c>
      <c r="AV74">
        <v>15.745200000000001</v>
      </c>
      <c r="AW74">
        <v>1.5597099999999999</v>
      </c>
      <c r="AX74">
        <v>1.55962</v>
      </c>
      <c r="AY74">
        <v>13.5664</v>
      </c>
      <c r="AZ74">
        <v>13.5655</v>
      </c>
      <c r="BA74">
        <v>499.99099999999999</v>
      </c>
      <c r="BB74">
        <v>0.89998100000000003</v>
      </c>
      <c r="BC74">
        <v>0</v>
      </c>
      <c r="BD74">
        <v>0.100019</v>
      </c>
      <c r="BE74">
        <v>0</v>
      </c>
      <c r="BF74">
        <v>25</v>
      </c>
      <c r="BG74">
        <v>8244.2000000000007</v>
      </c>
      <c r="BH74">
        <v>1768579680.0999999</v>
      </c>
      <c r="BI74" t="s">
        <v>412</v>
      </c>
      <c r="BJ74">
        <v>1768579680.0999999</v>
      </c>
      <c r="BK74">
        <v>1768579672.0999999</v>
      </c>
      <c r="BL74">
        <v>3</v>
      </c>
      <c r="BM74">
        <v>5.8999999999999997E-2</v>
      </c>
      <c r="BN74">
        <v>-8.0000000000000002E-3</v>
      </c>
      <c r="BO74">
        <v>-0.873</v>
      </c>
      <c r="BP74">
        <v>0.13400000000000001</v>
      </c>
      <c r="BQ74">
        <v>423</v>
      </c>
      <c r="BR74">
        <v>16</v>
      </c>
      <c r="BS74">
        <v>0.28000000000000003</v>
      </c>
      <c r="BT74">
        <v>0.11</v>
      </c>
      <c r="BU74">
        <v>-5.1356720952380898E-2</v>
      </c>
      <c r="BV74">
        <v>6.1442410909090903E-2</v>
      </c>
      <c r="BW74">
        <v>2.55010353262656E-2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4.5051135619047604E-3</v>
      </c>
      <c r="CD74">
        <v>-3.7574915485714303E-2</v>
      </c>
      <c r="CE74">
        <v>4.35194276013302E-3</v>
      </c>
      <c r="CF74">
        <v>1</v>
      </c>
      <c r="CG74">
        <v>2</v>
      </c>
      <c r="CH74">
        <v>2</v>
      </c>
      <c r="CI74" t="s">
        <v>320</v>
      </c>
      <c r="CJ74">
        <v>3.3522699999999999</v>
      </c>
      <c r="CK74">
        <v>2.7043499999999998</v>
      </c>
      <c r="CL74">
        <v>9.9200399999999994E-2</v>
      </c>
      <c r="CM74">
        <v>9.7823900000000005E-2</v>
      </c>
      <c r="CN74">
        <v>8.7569900000000006E-2</v>
      </c>
      <c r="CO74">
        <v>8.6749499999999993E-2</v>
      </c>
      <c r="CP74">
        <v>31591.8</v>
      </c>
      <c r="CQ74">
        <v>27758.799999999999</v>
      </c>
      <c r="CR74">
        <v>32458.1</v>
      </c>
      <c r="CS74">
        <v>30694.400000000001</v>
      </c>
      <c r="CT74">
        <v>40097.4</v>
      </c>
      <c r="CU74">
        <v>39407.9</v>
      </c>
      <c r="CV74">
        <v>47398.6</v>
      </c>
      <c r="CW74">
        <v>46803.7</v>
      </c>
      <c r="CX74">
        <v>1.8323799999999999</v>
      </c>
      <c r="CY74">
        <v>1.7629999999999999</v>
      </c>
      <c r="CZ74">
        <v>0</v>
      </c>
      <c r="DA74">
        <v>0</v>
      </c>
      <c r="DB74">
        <v>999.9</v>
      </c>
      <c r="DC74">
        <v>999.9</v>
      </c>
      <c r="DD74">
        <v>62.244999999999997</v>
      </c>
      <c r="DE74">
        <v>24.591999999999999</v>
      </c>
      <c r="DF74">
        <v>19.500599999999999</v>
      </c>
      <c r="DG74">
        <v>29.68</v>
      </c>
      <c r="DH74">
        <v>13.786099999999999</v>
      </c>
      <c r="DI74">
        <v>2</v>
      </c>
      <c r="DJ74">
        <v>-0.14222399999999999</v>
      </c>
      <c r="DK74">
        <v>3.1322000000000001</v>
      </c>
      <c r="DL74">
        <v>20.183599999999998</v>
      </c>
      <c r="DM74">
        <v>5.2443600000000004</v>
      </c>
      <c r="DN74">
        <v>12.033899999999999</v>
      </c>
      <c r="DO74">
        <v>4.9658800000000003</v>
      </c>
      <c r="DP74">
        <v>3.2898800000000001</v>
      </c>
      <c r="DQ74">
        <v>9999</v>
      </c>
      <c r="DR74">
        <v>9999</v>
      </c>
      <c r="DS74">
        <v>522.79999999999995</v>
      </c>
      <c r="DT74">
        <v>9999</v>
      </c>
      <c r="DU74">
        <v>1.8709</v>
      </c>
      <c r="DV74">
        <v>1.87601</v>
      </c>
      <c r="DW74">
        <v>1.8762099999999999</v>
      </c>
      <c r="DX74">
        <v>1.8827199999999999</v>
      </c>
      <c r="DY74">
        <v>1.8754599999999999</v>
      </c>
      <c r="DZ74">
        <v>1.87453</v>
      </c>
      <c r="EA74">
        <v>1.8707199999999999</v>
      </c>
      <c r="EB74">
        <v>1.8745400000000001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-0.872</v>
      </c>
      <c r="EQ74">
        <v>0.1338</v>
      </c>
      <c r="ER74">
        <v>-0.87250000000000205</v>
      </c>
      <c r="ES74">
        <v>0</v>
      </c>
      <c r="ET74">
        <v>0</v>
      </c>
      <c r="EU74">
        <v>0</v>
      </c>
      <c r="EV74">
        <v>0.13378000000000201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0</v>
      </c>
      <c r="FE74">
        <v>0.2</v>
      </c>
      <c r="FF74">
        <v>0.92773399999999995</v>
      </c>
      <c r="FG74">
        <v>2.5610400000000002</v>
      </c>
      <c r="FH74">
        <v>2.19604</v>
      </c>
      <c r="FI74">
        <v>2.67578</v>
      </c>
      <c r="FJ74">
        <v>2.4462899999999999</v>
      </c>
      <c r="FK74">
        <v>2.2631800000000002</v>
      </c>
      <c r="FL74">
        <v>30.372399999999999</v>
      </c>
      <c r="FM74">
        <v>24.14</v>
      </c>
      <c r="FN74">
        <v>19</v>
      </c>
      <c r="FO74">
        <v>349.37099999999998</v>
      </c>
      <c r="FP74">
        <v>352.625</v>
      </c>
      <c r="FQ74">
        <v>18.373799999999999</v>
      </c>
      <c r="FR74">
        <v>25.198599999999999</v>
      </c>
      <c r="FS74">
        <v>30.001799999999999</v>
      </c>
      <c r="FT74">
        <v>25.214500000000001</v>
      </c>
      <c r="FU74">
        <v>25.212800000000001</v>
      </c>
      <c r="FV74">
        <v>18.571999999999999</v>
      </c>
      <c r="FW74">
        <v>54.653500000000001</v>
      </c>
      <c r="FX74">
        <v>100</v>
      </c>
      <c r="FY74">
        <v>17.973400000000002</v>
      </c>
      <c r="FZ74">
        <v>410</v>
      </c>
      <c r="GA74">
        <v>15.760400000000001</v>
      </c>
      <c r="GB74">
        <v>99.878799999999998</v>
      </c>
      <c r="GC74">
        <v>99.640500000000003</v>
      </c>
    </row>
    <row r="75" spans="1:185" x14ac:dyDescent="0.2">
      <c r="A75">
        <v>60</v>
      </c>
      <c r="B75">
        <v>1768579697.0999999</v>
      </c>
      <c r="C75">
        <v>1304.0999999046301</v>
      </c>
      <c r="D75" t="s">
        <v>415</v>
      </c>
      <c r="E75" t="s">
        <v>416</v>
      </c>
      <c r="F75">
        <v>15</v>
      </c>
      <c r="G75">
        <v>1768579689.03333</v>
      </c>
      <c r="H75">
        <f t="shared" si="13"/>
        <v>-6.6113715365993041E-5</v>
      </c>
      <c r="I75">
        <v>0</v>
      </c>
      <c r="J75">
        <f t="shared" si="12"/>
        <v>-9.6565352026244278E-2</v>
      </c>
      <c r="K75">
        <f t="shared" si="14"/>
        <v>-2.5290148633790723</v>
      </c>
      <c r="L75">
        <f t="shared" si="15"/>
        <v>70.350846604250435</v>
      </c>
      <c r="M75">
        <f t="shared" si="16"/>
        <v>1.5519150349610558</v>
      </c>
      <c r="N75">
        <f t="shared" si="17"/>
        <v>2.2059649739414686</v>
      </c>
      <c r="O75">
        <v>0</v>
      </c>
      <c r="P75">
        <v>0</v>
      </c>
      <c r="Q75">
        <f t="shared" si="18"/>
        <v>1</v>
      </c>
      <c r="R75">
        <f t="shared" si="19"/>
        <v>0</v>
      </c>
      <c r="S75">
        <f t="shared" si="20"/>
        <v>25935.656288921273</v>
      </c>
      <c r="T75">
        <f t="shared" si="21"/>
        <v>499.99579999999997</v>
      </c>
      <c r="U75">
        <f t="shared" si="22"/>
        <v>421.49660039881587</v>
      </c>
      <c r="V75">
        <f t="shared" si="23"/>
        <v>0.84300028200000054</v>
      </c>
      <c r="W75">
        <f t="shared" si="24"/>
        <v>0.15870083492000014</v>
      </c>
      <c r="X75">
        <v>1</v>
      </c>
      <c r="Y75">
        <v>1768579689.03333</v>
      </c>
      <c r="Z75">
        <v>417.45593333333301</v>
      </c>
      <c r="AA75">
        <v>413.80713333333301</v>
      </c>
      <c r="AB75">
        <v>15.6584466666667</v>
      </c>
      <c r="AC75">
        <v>15.751326666666699</v>
      </c>
      <c r="AD75">
        <v>418.32853333333298</v>
      </c>
      <c r="AE75">
        <v>15.524653333333299</v>
      </c>
      <c r="AF75">
        <v>700.67266666666706</v>
      </c>
      <c r="AG75">
        <v>99.053473333333301</v>
      </c>
      <c r="AH75">
        <v>5.69344866666667E-2</v>
      </c>
      <c r="AI75">
        <v>19.005700000000001</v>
      </c>
      <c r="AJ75">
        <v>999.9</v>
      </c>
      <c r="AK75">
        <v>999.9</v>
      </c>
      <c r="AL75">
        <v>0</v>
      </c>
      <c r="AM75">
        <v>0</v>
      </c>
      <c r="AN75">
        <v>4993.7</v>
      </c>
      <c r="AO75">
        <v>0</v>
      </c>
      <c r="AP75">
        <v>2.3856886666666699</v>
      </c>
      <c r="AQ75">
        <v>3.6489230666666699</v>
      </c>
      <c r="AR75">
        <v>424.09679999999997</v>
      </c>
      <c r="AS75">
        <v>420.42939999999999</v>
      </c>
      <c r="AT75">
        <v>-9.2888551799999997E-2</v>
      </c>
      <c r="AU75">
        <v>413.80713333333301</v>
      </c>
      <c r="AV75">
        <v>15.751326666666699</v>
      </c>
      <c r="AW75">
        <v>1.55102133333333</v>
      </c>
      <c r="AX75">
        <v>1.56022333333333</v>
      </c>
      <c r="AY75">
        <v>13.48058</v>
      </c>
      <c r="AZ75">
        <v>13.5714666666667</v>
      </c>
      <c r="BA75">
        <v>499.99579999999997</v>
      </c>
      <c r="BB75">
        <v>0.89998866666666699</v>
      </c>
      <c r="BC75">
        <v>0</v>
      </c>
      <c r="BD75">
        <v>0.100011266666667</v>
      </c>
      <c r="BE75">
        <v>0</v>
      </c>
      <c r="BF75">
        <v>25</v>
      </c>
      <c r="BG75">
        <v>8244.2953333333298</v>
      </c>
      <c r="BH75">
        <v>1768579680.0999999</v>
      </c>
      <c r="BI75" t="s">
        <v>412</v>
      </c>
      <c r="BJ75">
        <v>1768579680.0999999</v>
      </c>
      <c r="BK75">
        <v>1768579672.0999999</v>
      </c>
      <c r="BL75">
        <v>3</v>
      </c>
      <c r="BM75">
        <v>5.8999999999999997E-2</v>
      </c>
      <c r="BN75">
        <v>-8.0000000000000002E-3</v>
      </c>
      <c r="BO75">
        <v>-0.873</v>
      </c>
      <c r="BP75">
        <v>0.13400000000000001</v>
      </c>
      <c r="BQ75">
        <v>423</v>
      </c>
      <c r="BR75">
        <v>16</v>
      </c>
      <c r="BS75">
        <v>0.28000000000000003</v>
      </c>
      <c r="BT75">
        <v>0.11</v>
      </c>
      <c r="BU75">
        <v>2.7249384550000002</v>
      </c>
      <c r="BV75">
        <v>22.856228612030101</v>
      </c>
      <c r="BW75">
        <v>2.4471227838449501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-6.9908408399999997E-2</v>
      </c>
      <c r="CD75">
        <v>-0.56236510357894698</v>
      </c>
      <c r="CE75">
        <v>5.5663620880190598E-2</v>
      </c>
      <c r="CF75">
        <v>0</v>
      </c>
      <c r="CG75">
        <v>0</v>
      </c>
      <c r="CH75">
        <v>2</v>
      </c>
      <c r="CI75" t="s">
        <v>290</v>
      </c>
      <c r="CJ75">
        <v>3.3498299999999999</v>
      </c>
      <c r="CK75">
        <v>2.6926299999999999</v>
      </c>
      <c r="CL75">
        <v>9.7809900000000005E-2</v>
      </c>
      <c r="CM75">
        <v>9.5549499999999996E-2</v>
      </c>
      <c r="CN75">
        <v>8.7021600000000005E-2</v>
      </c>
      <c r="CO75">
        <v>8.6802699999999997E-2</v>
      </c>
      <c r="CP75">
        <v>31639.599999999999</v>
      </c>
      <c r="CQ75">
        <v>27828.400000000001</v>
      </c>
      <c r="CR75">
        <v>32457.200000000001</v>
      </c>
      <c r="CS75">
        <v>30694</v>
      </c>
      <c r="CT75">
        <v>40121</v>
      </c>
      <c r="CU75">
        <v>39405.300000000003</v>
      </c>
      <c r="CV75">
        <v>47397.2</v>
      </c>
      <c r="CW75">
        <v>46803.7</v>
      </c>
      <c r="CX75">
        <v>2.5063399999999998</v>
      </c>
      <c r="CY75">
        <v>2.3257599999999998</v>
      </c>
      <c r="CZ75">
        <v>0</v>
      </c>
      <c r="DA75">
        <v>0</v>
      </c>
      <c r="DB75">
        <v>999.9</v>
      </c>
      <c r="DC75">
        <v>999.9</v>
      </c>
      <c r="DD75">
        <v>62.195999999999998</v>
      </c>
      <c r="DE75">
        <v>24.622</v>
      </c>
      <c r="DF75">
        <v>19.519600000000001</v>
      </c>
      <c r="DG75">
        <v>30.28</v>
      </c>
      <c r="DH75">
        <v>13.004799999999999</v>
      </c>
      <c r="DI75">
        <v>2</v>
      </c>
      <c r="DJ75">
        <v>-0.14077999999999999</v>
      </c>
      <c r="DK75">
        <v>2.44665</v>
      </c>
      <c r="DL75">
        <v>20.2041</v>
      </c>
      <c r="DM75">
        <v>5.2509499999999996</v>
      </c>
      <c r="DN75">
        <v>12.033899999999999</v>
      </c>
      <c r="DO75">
        <v>4.9670800000000002</v>
      </c>
      <c r="DP75">
        <v>3.2910200000000001</v>
      </c>
      <c r="DQ75">
        <v>9999</v>
      </c>
      <c r="DR75">
        <v>9999</v>
      </c>
      <c r="DS75">
        <v>522.79999999999995</v>
      </c>
      <c r="DT75">
        <v>9999</v>
      </c>
      <c r="DU75">
        <v>1.87093</v>
      </c>
      <c r="DV75">
        <v>1.8760300000000001</v>
      </c>
      <c r="DW75">
        <v>1.87622</v>
      </c>
      <c r="DX75">
        <v>1.8827</v>
      </c>
      <c r="DY75">
        <v>1.87548</v>
      </c>
      <c r="DZ75">
        <v>1.8745400000000001</v>
      </c>
      <c r="EA75">
        <v>1.87073</v>
      </c>
      <c r="EB75">
        <v>1.8745499999999999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-0.872</v>
      </c>
      <c r="EQ75">
        <v>0.1338</v>
      </c>
      <c r="ER75">
        <v>-0.87250000000000205</v>
      </c>
      <c r="ES75">
        <v>0</v>
      </c>
      <c r="ET75">
        <v>0</v>
      </c>
      <c r="EU75">
        <v>0</v>
      </c>
      <c r="EV75">
        <v>0.13378000000000201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0.3</v>
      </c>
      <c r="FE75">
        <v>0.4</v>
      </c>
      <c r="FF75">
        <v>0.92040999999999995</v>
      </c>
      <c r="FG75">
        <v>2.5647000000000002</v>
      </c>
      <c r="FH75">
        <v>2.19604</v>
      </c>
      <c r="FI75">
        <v>2.67578</v>
      </c>
      <c r="FJ75">
        <v>2.4462899999999999</v>
      </c>
      <c r="FK75">
        <v>2.2522000000000002</v>
      </c>
      <c r="FL75">
        <v>30.372399999999999</v>
      </c>
      <c r="FM75">
        <v>24.157499999999999</v>
      </c>
      <c r="FN75">
        <v>19</v>
      </c>
      <c r="FO75">
        <v>757.86900000000003</v>
      </c>
      <c r="FP75">
        <v>738.29399999999998</v>
      </c>
      <c r="FQ75">
        <v>17.902799999999999</v>
      </c>
      <c r="FR75">
        <v>25.204499999999999</v>
      </c>
      <c r="FS75">
        <v>29.999300000000002</v>
      </c>
      <c r="FT75">
        <v>25.2073</v>
      </c>
      <c r="FU75">
        <v>25.206</v>
      </c>
      <c r="FV75">
        <v>18.477499999999999</v>
      </c>
      <c r="FW75">
        <v>54.1021</v>
      </c>
      <c r="FX75">
        <v>100</v>
      </c>
      <c r="FY75">
        <v>17.950099999999999</v>
      </c>
      <c r="FZ75">
        <v>410</v>
      </c>
      <c r="GA75">
        <v>15.8393</v>
      </c>
      <c r="GB75">
        <v>99.875900000000001</v>
      </c>
      <c r="GC75">
        <v>99.639899999999997</v>
      </c>
    </row>
    <row r="76" spans="1:185" x14ac:dyDescent="0.2">
      <c r="A76">
        <v>61</v>
      </c>
      <c r="B76">
        <v>1768579712.0999999</v>
      </c>
      <c r="C76">
        <v>1319.0999999046301</v>
      </c>
      <c r="D76" t="s">
        <v>417</v>
      </c>
      <c r="E76" t="s">
        <v>418</v>
      </c>
      <c r="F76">
        <v>15</v>
      </c>
      <c r="G76">
        <v>1768579704.03333</v>
      </c>
      <c r="H76">
        <f t="shared" si="13"/>
        <v>-1.2201462888499933E-4</v>
      </c>
      <c r="I76">
        <v>0</v>
      </c>
      <c r="J76">
        <f t="shared" si="12"/>
        <v>-8.5799673019649289E-2</v>
      </c>
      <c r="K76">
        <f t="shared" si="14"/>
        <v>-2.2470652649905407</v>
      </c>
      <c r="L76">
        <f t="shared" si="15"/>
        <v>70.220381276177065</v>
      </c>
      <c r="M76">
        <f t="shared" si="16"/>
        <v>1.5468802366992165</v>
      </c>
      <c r="N76">
        <f t="shared" si="17"/>
        <v>2.2028935311748445</v>
      </c>
      <c r="O76">
        <v>0</v>
      </c>
      <c r="P76">
        <v>0</v>
      </c>
      <c r="Q76">
        <f t="shared" si="18"/>
        <v>1</v>
      </c>
      <c r="R76">
        <f t="shared" si="19"/>
        <v>0</v>
      </c>
      <c r="S76">
        <f t="shared" si="20"/>
        <v>25997.484865442002</v>
      </c>
      <c r="T76">
        <f t="shared" si="21"/>
        <v>499.99973333333298</v>
      </c>
      <c r="U76">
        <f t="shared" si="22"/>
        <v>421.49985419995755</v>
      </c>
      <c r="V76">
        <f t="shared" si="23"/>
        <v>0.84300015799999994</v>
      </c>
      <c r="W76">
        <f t="shared" si="24"/>
        <v>0.15870039500000002</v>
      </c>
      <c r="X76">
        <v>1</v>
      </c>
      <c r="Y76">
        <v>1768579704.03333</v>
      </c>
      <c r="Z76">
        <v>412.45859999999999</v>
      </c>
      <c r="AA76">
        <v>409.17660000000001</v>
      </c>
      <c r="AB76">
        <v>15.608126666666699</v>
      </c>
      <c r="AC76">
        <v>15.7797133333333</v>
      </c>
      <c r="AD76">
        <v>413.33120000000002</v>
      </c>
      <c r="AE76">
        <v>15.4743333333333</v>
      </c>
      <c r="AF76">
        <v>699.99733333333302</v>
      </c>
      <c r="AG76">
        <v>99.052639999999997</v>
      </c>
      <c r="AH76">
        <v>5.47205266666667E-2</v>
      </c>
      <c r="AI76">
        <v>18.983373333333301</v>
      </c>
      <c r="AJ76">
        <v>999.9</v>
      </c>
      <c r="AK76">
        <v>999.9</v>
      </c>
      <c r="AL76">
        <v>0</v>
      </c>
      <c r="AM76">
        <v>0</v>
      </c>
      <c r="AN76">
        <v>5003.7</v>
      </c>
      <c r="AO76">
        <v>0</v>
      </c>
      <c r="AP76">
        <v>2.3728906666666698</v>
      </c>
      <c r="AQ76">
        <v>3.2821639999999999</v>
      </c>
      <c r="AR76">
        <v>418.9984</v>
      </c>
      <c r="AS76">
        <v>415.73660000000001</v>
      </c>
      <c r="AT76">
        <v>-0.17159740000000001</v>
      </c>
      <c r="AU76">
        <v>409.17660000000001</v>
      </c>
      <c r="AV76">
        <v>15.7797133333333</v>
      </c>
      <c r="AW76">
        <v>1.5460246666666699</v>
      </c>
      <c r="AX76">
        <v>1.56302266666667</v>
      </c>
      <c r="AY76">
        <v>13.4311066666667</v>
      </c>
      <c r="AZ76">
        <v>13.598993333333301</v>
      </c>
      <c r="BA76">
        <v>499.99973333333298</v>
      </c>
      <c r="BB76">
        <v>0.89999473333333302</v>
      </c>
      <c r="BC76">
        <v>0</v>
      </c>
      <c r="BD76">
        <v>0.10000526666666699</v>
      </c>
      <c r="BE76">
        <v>0</v>
      </c>
      <c r="BF76">
        <v>25</v>
      </c>
      <c r="BG76">
        <v>8244.3739999999998</v>
      </c>
      <c r="BH76">
        <v>1768579680.0999999</v>
      </c>
      <c r="BI76" t="s">
        <v>412</v>
      </c>
      <c r="BJ76">
        <v>1768579680.0999999</v>
      </c>
      <c r="BK76">
        <v>1768579672.0999999</v>
      </c>
      <c r="BL76">
        <v>3</v>
      </c>
      <c r="BM76">
        <v>5.8999999999999997E-2</v>
      </c>
      <c r="BN76">
        <v>-8.0000000000000002E-3</v>
      </c>
      <c r="BO76">
        <v>-0.873</v>
      </c>
      <c r="BP76">
        <v>0.13400000000000001</v>
      </c>
      <c r="BQ76">
        <v>423</v>
      </c>
      <c r="BR76">
        <v>16</v>
      </c>
      <c r="BS76">
        <v>0.28000000000000003</v>
      </c>
      <c r="BT76">
        <v>0.11</v>
      </c>
      <c r="BU76">
        <v>3.8217366666666699</v>
      </c>
      <c r="BV76">
        <v>-12.741054545454499</v>
      </c>
      <c r="BW76">
        <v>1.33749906384777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-0.16079457142857101</v>
      </c>
      <c r="CD76">
        <v>-0.190670103896104</v>
      </c>
      <c r="CE76">
        <v>2.0319407965155401E-2</v>
      </c>
      <c r="CF76">
        <v>0</v>
      </c>
      <c r="CG76">
        <v>0</v>
      </c>
      <c r="CH76">
        <v>2</v>
      </c>
      <c r="CI76" t="s">
        <v>290</v>
      </c>
      <c r="CJ76">
        <v>3.3499099999999999</v>
      </c>
      <c r="CK76">
        <v>2.6923499999999998</v>
      </c>
      <c r="CL76">
        <v>9.7220699999999993E-2</v>
      </c>
      <c r="CM76">
        <v>9.5612600000000006E-2</v>
      </c>
      <c r="CN76">
        <v>8.7001999999999996E-2</v>
      </c>
      <c r="CO76">
        <v>8.6924799999999997E-2</v>
      </c>
      <c r="CP76">
        <v>31660.1</v>
      </c>
      <c r="CQ76">
        <v>27827.200000000001</v>
      </c>
      <c r="CR76">
        <v>32457.1</v>
      </c>
      <c r="CS76">
        <v>30694.799999999999</v>
      </c>
      <c r="CT76">
        <v>40122.1</v>
      </c>
      <c r="CU76">
        <v>39401</v>
      </c>
      <c r="CV76">
        <v>47397.4</v>
      </c>
      <c r="CW76">
        <v>46805</v>
      </c>
      <c r="CX76">
        <v>2.5077799999999999</v>
      </c>
      <c r="CY76">
        <v>2.3264399999999998</v>
      </c>
      <c r="CZ76">
        <v>0</v>
      </c>
      <c r="DA76">
        <v>0</v>
      </c>
      <c r="DB76">
        <v>999.9</v>
      </c>
      <c r="DC76">
        <v>999.9</v>
      </c>
      <c r="DD76">
        <v>62.171999999999997</v>
      </c>
      <c r="DE76">
        <v>24.622</v>
      </c>
      <c r="DF76">
        <v>19.5123</v>
      </c>
      <c r="DG76">
        <v>30.16</v>
      </c>
      <c r="DH76">
        <v>12.960699999999999</v>
      </c>
      <c r="DI76">
        <v>2</v>
      </c>
      <c r="DJ76">
        <v>-0.14152200000000001</v>
      </c>
      <c r="DK76">
        <v>2.2440799999999999</v>
      </c>
      <c r="DL76">
        <v>20.207799999999999</v>
      </c>
      <c r="DM76">
        <v>5.2486800000000002</v>
      </c>
      <c r="DN76">
        <v>12.033899999999999</v>
      </c>
      <c r="DO76">
        <v>4.96692</v>
      </c>
      <c r="DP76">
        <v>3.2907600000000001</v>
      </c>
      <c r="DQ76">
        <v>9999</v>
      </c>
      <c r="DR76">
        <v>9999</v>
      </c>
      <c r="DS76">
        <v>522.79999999999995</v>
      </c>
      <c r="DT76">
        <v>9999</v>
      </c>
      <c r="DU76">
        <v>1.8709100000000001</v>
      </c>
      <c r="DV76">
        <v>1.8759999999999999</v>
      </c>
      <c r="DW76">
        <v>1.8762000000000001</v>
      </c>
      <c r="DX76">
        <v>1.88273</v>
      </c>
      <c r="DY76">
        <v>1.8754599999999999</v>
      </c>
      <c r="DZ76">
        <v>1.87453</v>
      </c>
      <c r="EA76">
        <v>1.87073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-0.872</v>
      </c>
      <c r="EQ76">
        <v>0.13370000000000001</v>
      </c>
      <c r="ER76">
        <v>-0.87250000000000205</v>
      </c>
      <c r="ES76">
        <v>0</v>
      </c>
      <c r="ET76">
        <v>0</v>
      </c>
      <c r="EU76">
        <v>0</v>
      </c>
      <c r="EV76">
        <v>0.13378000000000201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0.5</v>
      </c>
      <c r="FE76">
        <v>0.7</v>
      </c>
      <c r="FF76">
        <v>0.924072</v>
      </c>
      <c r="FG76">
        <v>2.5622600000000002</v>
      </c>
      <c r="FH76">
        <v>2.19604</v>
      </c>
      <c r="FI76">
        <v>2.67578</v>
      </c>
      <c r="FJ76">
        <v>2.4462899999999999</v>
      </c>
      <c r="FK76">
        <v>2.2936999999999999</v>
      </c>
      <c r="FL76">
        <v>30.393899999999999</v>
      </c>
      <c r="FM76">
        <v>24.148800000000001</v>
      </c>
      <c r="FN76">
        <v>19</v>
      </c>
      <c r="FO76">
        <v>759.14300000000003</v>
      </c>
      <c r="FP76">
        <v>739.01499999999999</v>
      </c>
      <c r="FQ76">
        <v>17.946300000000001</v>
      </c>
      <c r="FR76">
        <v>25.210899999999999</v>
      </c>
      <c r="FS76">
        <v>29.9999</v>
      </c>
      <c r="FT76">
        <v>25.212399999999999</v>
      </c>
      <c r="FU76">
        <v>25.2119</v>
      </c>
      <c r="FV76">
        <v>18.5625</v>
      </c>
      <c r="FW76">
        <v>54.1021</v>
      </c>
      <c r="FX76">
        <v>100</v>
      </c>
      <c r="FY76">
        <v>17.9649</v>
      </c>
      <c r="FZ76">
        <v>410</v>
      </c>
      <c r="GA76">
        <v>15.839399999999999</v>
      </c>
      <c r="GB76">
        <v>99.876099999999994</v>
      </c>
      <c r="GC76">
        <v>99.642700000000005</v>
      </c>
    </row>
    <row r="77" spans="1:185" x14ac:dyDescent="0.2">
      <c r="A77">
        <v>62</v>
      </c>
      <c r="B77">
        <v>1768579727.0999999</v>
      </c>
      <c r="C77">
        <v>1334.0999999046301</v>
      </c>
      <c r="D77" t="s">
        <v>419</v>
      </c>
      <c r="E77" t="s">
        <v>420</v>
      </c>
      <c r="F77">
        <v>15</v>
      </c>
      <c r="G77">
        <v>1768579719.03333</v>
      </c>
      <c r="H77">
        <f t="shared" si="13"/>
        <v>-1.271349670831801E-4</v>
      </c>
      <c r="I77">
        <v>0</v>
      </c>
      <c r="J77">
        <f t="shared" si="12"/>
        <v>-2.5900338974349513E-2</v>
      </c>
      <c r="K77">
        <f t="shared" si="14"/>
        <v>-0.67832137364221634</v>
      </c>
      <c r="L77">
        <f t="shared" si="15"/>
        <v>70.290985335240791</v>
      </c>
      <c r="M77">
        <f t="shared" si="16"/>
        <v>1.5471629685802228</v>
      </c>
      <c r="N77">
        <f t="shared" si="17"/>
        <v>2.2010830566697774</v>
      </c>
      <c r="O77">
        <v>0</v>
      </c>
      <c r="P77">
        <v>0</v>
      </c>
      <c r="Q77">
        <f t="shared" si="18"/>
        <v>1</v>
      </c>
      <c r="R77">
        <f t="shared" si="19"/>
        <v>0</v>
      </c>
      <c r="S77">
        <f t="shared" si="20"/>
        <v>25967.564768088643</v>
      </c>
      <c r="T77">
        <f t="shared" si="21"/>
        <v>499.99906666666698</v>
      </c>
      <c r="U77">
        <f t="shared" si="22"/>
        <v>421.49922759997366</v>
      </c>
      <c r="V77">
        <f t="shared" si="23"/>
        <v>0.84300002880000058</v>
      </c>
      <c r="W77">
        <f t="shared" si="24"/>
        <v>0.15870012396800012</v>
      </c>
      <c r="X77">
        <v>1</v>
      </c>
      <c r="Y77">
        <v>1768579719.03333</v>
      </c>
      <c r="Z77">
        <v>410.557866666667</v>
      </c>
      <c r="AA77">
        <v>409.51426666666703</v>
      </c>
      <c r="AB77">
        <v>15.6110133333333</v>
      </c>
      <c r="AC77">
        <v>15.7898</v>
      </c>
      <c r="AD77">
        <v>411.43026666666702</v>
      </c>
      <c r="AE77">
        <v>15.4772266666667</v>
      </c>
      <c r="AF77">
        <v>699.99773333333303</v>
      </c>
      <c r="AG77">
        <v>99.052406666666698</v>
      </c>
      <c r="AH77">
        <v>5.47387533333333E-2</v>
      </c>
      <c r="AI77">
        <v>18.970199999999998</v>
      </c>
      <c r="AJ77">
        <v>999.9</v>
      </c>
      <c r="AK77">
        <v>999.9</v>
      </c>
      <c r="AL77">
        <v>0</v>
      </c>
      <c r="AM77">
        <v>0</v>
      </c>
      <c r="AN77">
        <v>4998.5333333333301</v>
      </c>
      <c r="AO77">
        <v>0</v>
      </c>
      <c r="AP77">
        <v>2.3564046666666698</v>
      </c>
      <c r="AQ77">
        <v>1.0435342000000001</v>
      </c>
      <c r="AR77">
        <v>417.068733333333</v>
      </c>
      <c r="AS77">
        <v>416.084133333333</v>
      </c>
      <c r="AT77">
        <v>-0.178796066666667</v>
      </c>
      <c r="AU77">
        <v>409.51426666666703</v>
      </c>
      <c r="AV77">
        <v>15.7898</v>
      </c>
      <c r="AW77">
        <v>1.54630666666667</v>
      </c>
      <c r="AX77">
        <v>1.56401733333333</v>
      </c>
      <c r="AY77">
        <v>13.4339</v>
      </c>
      <c r="AZ77">
        <v>13.608786666666701</v>
      </c>
      <c r="BA77">
        <v>499.99906666666698</v>
      </c>
      <c r="BB77">
        <v>0.89999826666666705</v>
      </c>
      <c r="BC77">
        <v>0</v>
      </c>
      <c r="BD77">
        <v>0.100001706666667</v>
      </c>
      <c r="BE77">
        <v>0</v>
      </c>
      <c r="BF77">
        <v>25</v>
      </c>
      <c r="BG77">
        <v>8244.3693333333304</v>
      </c>
      <c r="BH77">
        <v>1768579680.0999999</v>
      </c>
      <c r="BI77" t="s">
        <v>412</v>
      </c>
      <c r="BJ77">
        <v>1768579680.0999999</v>
      </c>
      <c r="BK77">
        <v>1768579672.0999999</v>
      </c>
      <c r="BL77">
        <v>3</v>
      </c>
      <c r="BM77">
        <v>5.8999999999999997E-2</v>
      </c>
      <c r="BN77">
        <v>-8.0000000000000002E-3</v>
      </c>
      <c r="BO77">
        <v>-0.873</v>
      </c>
      <c r="BP77">
        <v>0.13400000000000001</v>
      </c>
      <c r="BQ77">
        <v>423</v>
      </c>
      <c r="BR77">
        <v>16</v>
      </c>
      <c r="BS77">
        <v>0.28000000000000003</v>
      </c>
      <c r="BT77">
        <v>0.11</v>
      </c>
      <c r="BU77">
        <v>1.2700121499999999</v>
      </c>
      <c r="BV77">
        <v>-4.5307236541353397</v>
      </c>
      <c r="BW77">
        <v>0.54426177287820598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-0.17906939999999999</v>
      </c>
      <c r="CD77">
        <v>4.48565413533811E-3</v>
      </c>
      <c r="CE77">
        <v>6.7372066912037201E-4</v>
      </c>
      <c r="CF77">
        <v>1</v>
      </c>
      <c r="CG77">
        <v>1</v>
      </c>
      <c r="CH77">
        <v>2</v>
      </c>
      <c r="CI77" t="s">
        <v>303</v>
      </c>
      <c r="CJ77">
        <v>3.34992</v>
      </c>
      <c r="CK77">
        <v>2.6925300000000001</v>
      </c>
      <c r="CL77">
        <v>9.7050499999999998E-2</v>
      </c>
      <c r="CM77">
        <v>9.5586299999999999E-2</v>
      </c>
      <c r="CN77">
        <v>8.7020100000000003E-2</v>
      </c>
      <c r="CO77">
        <v>8.6937E-2</v>
      </c>
      <c r="CP77">
        <v>31666.3</v>
      </c>
      <c r="CQ77">
        <v>27827.5</v>
      </c>
      <c r="CR77">
        <v>32457.3</v>
      </c>
      <c r="CS77">
        <v>30694.3</v>
      </c>
      <c r="CT77">
        <v>40121.4</v>
      </c>
      <c r="CU77">
        <v>39399.9</v>
      </c>
      <c r="CV77">
        <v>47397.599999999999</v>
      </c>
      <c r="CW77">
        <v>46804.4</v>
      </c>
      <c r="CX77">
        <v>2.5077799999999999</v>
      </c>
      <c r="CY77">
        <v>2.3264</v>
      </c>
      <c r="CZ77">
        <v>0</v>
      </c>
      <c r="DA77">
        <v>0</v>
      </c>
      <c r="DB77">
        <v>999.9</v>
      </c>
      <c r="DC77">
        <v>999.9</v>
      </c>
      <c r="DD77">
        <v>62.128999999999998</v>
      </c>
      <c r="DE77">
        <v>24.632000000000001</v>
      </c>
      <c r="DF77">
        <v>19.509699999999999</v>
      </c>
      <c r="DG77">
        <v>29.92</v>
      </c>
      <c r="DH77">
        <v>12.9808</v>
      </c>
      <c r="DI77">
        <v>2</v>
      </c>
      <c r="DJ77">
        <v>-0.141427</v>
      </c>
      <c r="DK77">
        <v>2.1466599999999998</v>
      </c>
      <c r="DL77">
        <v>20.209800000000001</v>
      </c>
      <c r="DM77">
        <v>5.2498800000000001</v>
      </c>
      <c r="DN77">
        <v>12.033899999999999</v>
      </c>
      <c r="DO77">
        <v>4.9669999999999996</v>
      </c>
      <c r="DP77">
        <v>3.2909999999999999</v>
      </c>
      <c r="DQ77">
        <v>9999</v>
      </c>
      <c r="DR77">
        <v>9999</v>
      </c>
      <c r="DS77">
        <v>522.9</v>
      </c>
      <c r="DT77">
        <v>9999</v>
      </c>
      <c r="DU77">
        <v>1.8708899999999999</v>
      </c>
      <c r="DV77">
        <v>1.8759999999999999</v>
      </c>
      <c r="DW77">
        <v>1.8762099999999999</v>
      </c>
      <c r="DX77">
        <v>1.88269</v>
      </c>
      <c r="DY77">
        <v>1.8754599999999999</v>
      </c>
      <c r="DZ77">
        <v>1.87452</v>
      </c>
      <c r="EA77">
        <v>1.8707199999999999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-0.873</v>
      </c>
      <c r="EQ77">
        <v>0.13370000000000001</v>
      </c>
      <c r="ER77">
        <v>-0.87250000000000205</v>
      </c>
      <c r="ES77">
        <v>0</v>
      </c>
      <c r="ET77">
        <v>0</v>
      </c>
      <c r="EU77">
        <v>0</v>
      </c>
      <c r="EV77">
        <v>0.13378000000000201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0.8</v>
      </c>
      <c r="FE77">
        <v>0.9</v>
      </c>
      <c r="FF77">
        <v>0.92773399999999995</v>
      </c>
      <c r="FG77">
        <v>2.5708000000000002</v>
      </c>
      <c r="FH77">
        <v>2.19604</v>
      </c>
      <c r="FI77">
        <v>2.67578</v>
      </c>
      <c r="FJ77">
        <v>2.4462899999999999</v>
      </c>
      <c r="FK77">
        <v>2.2778299999999998</v>
      </c>
      <c r="FL77">
        <v>30.393899999999999</v>
      </c>
      <c r="FM77">
        <v>24.14</v>
      </c>
      <c r="FN77">
        <v>19</v>
      </c>
      <c r="FO77">
        <v>759.226</v>
      </c>
      <c r="FP77">
        <v>739.06899999999996</v>
      </c>
      <c r="FQ77">
        <v>18.007999999999999</v>
      </c>
      <c r="FR77">
        <v>25.217300000000002</v>
      </c>
      <c r="FS77">
        <v>30.0002</v>
      </c>
      <c r="FT77">
        <v>25.218299999999999</v>
      </c>
      <c r="FU77">
        <v>25.218299999999999</v>
      </c>
      <c r="FV77">
        <v>18.621700000000001</v>
      </c>
      <c r="FW77">
        <v>54.1021</v>
      </c>
      <c r="FX77">
        <v>100</v>
      </c>
      <c r="FY77">
        <v>18.024999999999999</v>
      </c>
      <c r="FZ77">
        <v>410</v>
      </c>
      <c r="GA77">
        <v>15.837899999999999</v>
      </c>
      <c r="GB77">
        <v>99.876599999999996</v>
      </c>
      <c r="GC77">
        <v>99.641199999999998</v>
      </c>
    </row>
    <row r="78" spans="1:185" x14ac:dyDescent="0.2">
      <c r="A78">
        <v>63</v>
      </c>
      <c r="B78">
        <v>1768579742.0999999</v>
      </c>
      <c r="C78">
        <v>1349.0999999046301</v>
      </c>
      <c r="D78" t="s">
        <v>421</v>
      </c>
      <c r="E78" t="s">
        <v>422</v>
      </c>
      <c r="F78">
        <v>15</v>
      </c>
      <c r="G78">
        <v>1768579734.03333</v>
      </c>
      <c r="H78">
        <f t="shared" si="13"/>
        <v>-1.2594151781104203E-4</v>
      </c>
      <c r="I78">
        <v>0</v>
      </c>
      <c r="J78">
        <f t="shared" si="12"/>
        <v>-1.0845893497289044E-2</v>
      </c>
      <c r="K78">
        <f t="shared" si="14"/>
        <v>-0.28405038956224926</v>
      </c>
      <c r="L78">
        <f t="shared" si="15"/>
        <v>70.322412821344344</v>
      </c>
      <c r="M78">
        <f t="shared" si="16"/>
        <v>1.5476795314217606</v>
      </c>
      <c r="N78">
        <f t="shared" si="17"/>
        <v>2.2008339437295401</v>
      </c>
      <c r="O78">
        <v>0</v>
      </c>
      <c r="P78">
        <v>0</v>
      </c>
      <c r="Q78">
        <f t="shared" si="18"/>
        <v>1</v>
      </c>
      <c r="R78">
        <f t="shared" si="19"/>
        <v>0</v>
      </c>
      <c r="S78">
        <f t="shared" si="20"/>
        <v>25918.331202648256</v>
      </c>
      <c r="T78">
        <f t="shared" si="21"/>
        <v>499.99880000000002</v>
      </c>
      <c r="U78">
        <f t="shared" si="22"/>
        <v>421.49884340034816</v>
      </c>
      <c r="V78">
        <f t="shared" si="23"/>
        <v>0.84299971000000029</v>
      </c>
      <c r="W78">
        <f t="shared" si="24"/>
        <v>0.15869966476000005</v>
      </c>
      <c r="X78">
        <v>1</v>
      </c>
      <c r="Y78">
        <v>1768579734.03333</v>
      </c>
      <c r="Z78">
        <v>409.89920000000001</v>
      </c>
      <c r="AA78">
        <v>409.41966666666701</v>
      </c>
      <c r="AB78">
        <v>15.6160533333333</v>
      </c>
      <c r="AC78">
        <v>15.79316</v>
      </c>
      <c r="AD78">
        <v>410.77159999999998</v>
      </c>
      <c r="AE78">
        <v>15.4822666666667</v>
      </c>
      <c r="AF78">
        <v>700.00080000000003</v>
      </c>
      <c r="AG78">
        <v>99.053426666666695</v>
      </c>
      <c r="AH78">
        <v>5.4811400000000003E-2</v>
      </c>
      <c r="AI78">
        <v>18.968386666666699</v>
      </c>
      <c r="AJ78">
        <v>999.9</v>
      </c>
      <c r="AK78">
        <v>999.9</v>
      </c>
      <c r="AL78">
        <v>0</v>
      </c>
      <c r="AM78">
        <v>0</v>
      </c>
      <c r="AN78">
        <v>4990.2666666666701</v>
      </c>
      <c r="AO78">
        <v>0</v>
      </c>
      <c r="AP78">
        <v>2.395626</v>
      </c>
      <c r="AQ78">
        <v>0.47952881333333303</v>
      </c>
      <c r="AR78">
        <v>416.40173333333303</v>
      </c>
      <c r="AS78">
        <v>415.98933333333298</v>
      </c>
      <c r="AT78">
        <v>-0.177119466666667</v>
      </c>
      <c r="AU78">
        <v>409.41966666666701</v>
      </c>
      <c r="AV78">
        <v>15.79316</v>
      </c>
      <c r="AW78">
        <v>1.54682266666667</v>
      </c>
      <c r="AX78">
        <v>1.5643659999999999</v>
      </c>
      <c r="AY78">
        <v>13.439026666666701</v>
      </c>
      <c r="AZ78">
        <v>13.612213333333299</v>
      </c>
      <c r="BA78">
        <v>499.99880000000002</v>
      </c>
      <c r="BB78">
        <v>0.90000386666666699</v>
      </c>
      <c r="BC78">
        <v>0</v>
      </c>
      <c r="BD78">
        <v>9.9995933333333301E-2</v>
      </c>
      <c r="BE78">
        <v>0</v>
      </c>
      <c r="BF78">
        <v>25</v>
      </c>
      <c r="BG78">
        <v>8244.3799999999992</v>
      </c>
      <c r="BH78">
        <v>1768579680.0999999</v>
      </c>
      <c r="BI78" t="s">
        <v>412</v>
      </c>
      <c r="BJ78">
        <v>1768579680.0999999</v>
      </c>
      <c r="BK78">
        <v>1768579672.0999999</v>
      </c>
      <c r="BL78">
        <v>3</v>
      </c>
      <c r="BM78">
        <v>5.8999999999999997E-2</v>
      </c>
      <c r="BN78">
        <v>-8.0000000000000002E-3</v>
      </c>
      <c r="BO78">
        <v>-0.873</v>
      </c>
      <c r="BP78">
        <v>0.13400000000000001</v>
      </c>
      <c r="BQ78">
        <v>423</v>
      </c>
      <c r="BR78">
        <v>16</v>
      </c>
      <c r="BS78">
        <v>0.28000000000000003</v>
      </c>
      <c r="BT78">
        <v>0.11</v>
      </c>
      <c r="BU78">
        <v>0.61640258095238099</v>
      </c>
      <c r="BV78">
        <v>-2.6777869870129898</v>
      </c>
      <c r="BW78">
        <v>0.30400969491280799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-0.17758680952381001</v>
      </c>
      <c r="CD78">
        <v>9.6790129870127292E-3</v>
      </c>
      <c r="CE78">
        <v>1.1450997718663401E-3</v>
      </c>
      <c r="CF78">
        <v>1</v>
      </c>
      <c r="CG78">
        <v>1</v>
      </c>
      <c r="CH78">
        <v>2</v>
      </c>
      <c r="CI78" t="s">
        <v>303</v>
      </c>
      <c r="CJ78">
        <v>3.34992</v>
      </c>
      <c r="CK78">
        <v>2.6927500000000002</v>
      </c>
      <c r="CL78">
        <v>9.6987799999999999E-2</v>
      </c>
      <c r="CM78">
        <v>9.5662200000000003E-2</v>
      </c>
      <c r="CN78">
        <v>8.7046399999999996E-2</v>
      </c>
      <c r="CO78">
        <v>8.6947899999999995E-2</v>
      </c>
      <c r="CP78">
        <v>31668.2</v>
      </c>
      <c r="CQ78">
        <v>27825.7</v>
      </c>
      <c r="CR78">
        <v>32457.1</v>
      </c>
      <c r="CS78">
        <v>30694.9</v>
      </c>
      <c r="CT78">
        <v>40120.199999999997</v>
      </c>
      <c r="CU78">
        <v>39400.300000000003</v>
      </c>
      <c r="CV78">
        <v>47397.5</v>
      </c>
      <c r="CW78">
        <v>46805.5</v>
      </c>
      <c r="CX78">
        <v>2.5081199999999999</v>
      </c>
      <c r="CY78">
        <v>2.3263400000000001</v>
      </c>
      <c r="CZ78">
        <v>0</v>
      </c>
      <c r="DA78">
        <v>0</v>
      </c>
      <c r="DB78">
        <v>999.9</v>
      </c>
      <c r="DC78">
        <v>999.9</v>
      </c>
      <c r="DD78">
        <v>62.067999999999998</v>
      </c>
      <c r="DE78">
        <v>24.652000000000001</v>
      </c>
      <c r="DF78">
        <v>19.5153</v>
      </c>
      <c r="DG78">
        <v>30.58</v>
      </c>
      <c r="DH78">
        <v>12.928699999999999</v>
      </c>
      <c r="DI78">
        <v>2</v>
      </c>
      <c r="DJ78">
        <v>-0.14128299999999999</v>
      </c>
      <c r="DK78">
        <v>2.07864</v>
      </c>
      <c r="DL78">
        <v>20.2103</v>
      </c>
      <c r="DM78">
        <v>5.2502399999999998</v>
      </c>
      <c r="DN78">
        <v>12.033899999999999</v>
      </c>
      <c r="DO78">
        <v>4.9669999999999996</v>
      </c>
      <c r="DP78">
        <v>3.2909999999999999</v>
      </c>
      <c r="DQ78">
        <v>9999</v>
      </c>
      <c r="DR78">
        <v>9999</v>
      </c>
      <c r="DS78">
        <v>522.9</v>
      </c>
      <c r="DT78">
        <v>9999</v>
      </c>
      <c r="DU78">
        <v>1.8709100000000001</v>
      </c>
      <c r="DV78">
        <v>1.87602</v>
      </c>
      <c r="DW78">
        <v>1.87622</v>
      </c>
      <c r="DX78">
        <v>1.8827499999999999</v>
      </c>
      <c r="DY78">
        <v>1.87547</v>
      </c>
      <c r="DZ78">
        <v>1.8745400000000001</v>
      </c>
      <c r="EA78">
        <v>1.87073</v>
      </c>
      <c r="EB78">
        <v>1.8745499999999999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-0.872</v>
      </c>
      <c r="EQ78">
        <v>0.1338</v>
      </c>
      <c r="ER78">
        <v>-0.87250000000000205</v>
      </c>
      <c r="ES78">
        <v>0</v>
      </c>
      <c r="ET78">
        <v>0</v>
      </c>
      <c r="EU78">
        <v>0</v>
      </c>
      <c r="EV78">
        <v>0.13378000000000201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1</v>
      </c>
      <c r="FE78">
        <v>1.2</v>
      </c>
      <c r="FF78">
        <v>0.930176</v>
      </c>
      <c r="FG78">
        <v>2.5695800000000002</v>
      </c>
      <c r="FH78">
        <v>2.19604</v>
      </c>
      <c r="FI78">
        <v>2.67578</v>
      </c>
      <c r="FJ78">
        <v>2.4462899999999999</v>
      </c>
      <c r="FK78">
        <v>2.2570800000000002</v>
      </c>
      <c r="FL78">
        <v>30.415400000000002</v>
      </c>
      <c r="FM78">
        <v>24.14</v>
      </c>
      <c r="FN78">
        <v>19</v>
      </c>
      <c r="FO78">
        <v>759.6</v>
      </c>
      <c r="FP78">
        <v>739.11</v>
      </c>
      <c r="FQ78">
        <v>18.079599999999999</v>
      </c>
      <c r="FR78">
        <v>25.223600000000001</v>
      </c>
      <c r="FS78">
        <v>30.0001</v>
      </c>
      <c r="FT78">
        <v>25.224699999999999</v>
      </c>
      <c r="FU78">
        <v>25.225000000000001</v>
      </c>
      <c r="FV78">
        <v>18.672699999999999</v>
      </c>
      <c r="FW78">
        <v>54.1021</v>
      </c>
      <c r="FX78">
        <v>100</v>
      </c>
      <c r="FY78">
        <v>18.092500000000001</v>
      </c>
      <c r="FZ78">
        <v>410</v>
      </c>
      <c r="GA78">
        <v>15.827999999999999</v>
      </c>
      <c r="GB78">
        <v>99.876199999999997</v>
      </c>
      <c r="GC78">
        <v>99.643299999999996</v>
      </c>
    </row>
    <row r="79" spans="1:185" x14ac:dyDescent="0.2">
      <c r="A79">
        <v>64</v>
      </c>
      <c r="B79">
        <v>1768579757.0999999</v>
      </c>
      <c r="C79">
        <v>1364.0999999046301</v>
      </c>
      <c r="D79" t="s">
        <v>423</v>
      </c>
      <c r="E79" t="s">
        <v>424</v>
      </c>
      <c r="F79">
        <v>15</v>
      </c>
      <c r="G79">
        <v>1768579749.03333</v>
      </c>
      <c r="H79">
        <f t="shared" si="13"/>
        <v>-1.2383760813823263E-4</v>
      </c>
      <c r="I79">
        <v>0</v>
      </c>
      <c r="J79">
        <f t="shared" si="12"/>
        <v>2.218131108792671E-2</v>
      </c>
      <c r="K79">
        <f t="shared" si="14"/>
        <v>0.58092125439936071</v>
      </c>
      <c r="L79">
        <f t="shared" si="15"/>
        <v>70.339276103230404</v>
      </c>
      <c r="M79">
        <f t="shared" si="16"/>
        <v>1.548346365243223</v>
      </c>
      <c r="N79">
        <f t="shared" si="17"/>
        <v>2.2012543361561745</v>
      </c>
      <c r="O79">
        <v>0</v>
      </c>
      <c r="P79">
        <v>0</v>
      </c>
      <c r="Q79">
        <f t="shared" si="18"/>
        <v>1</v>
      </c>
      <c r="R79">
        <f t="shared" si="19"/>
        <v>0</v>
      </c>
      <c r="S79">
        <f t="shared" si="20"/>
        <v>26047.582959599851</v>
      </c>
      <c r="T79">
        <f t="shared" si="21"/>
        <v>500.00026666666702</v>
      </c>
      <c r="U79">
        <f t="shared" si="22"/>
        <v>421.49999469987773</v>
      </c>
      <c r="V79">
        <f t="shared" si="23"/>
        <v>0.84299953980000031</v>
      </c>
      <c r="W79">
        <f t="shared" si="24"/>
        <v>0.15869948610800008</v>
      </c>
      <c r="X79">
        <v>1</v>
      </c>
      <c r="Y79">
        <v>1768579749.03333</v>
      </c>
      <c r="Z79">
        <v>410.108133333333</v>
      </c>
      <c r="AA79">
        <v>410.86546666666698</v>
      </c>
      <c r="AB79">
        <v>15.622766666666701</v>
      </c>
      <c r="AC79">
        <v>15.7969133333333</v>
      </c>
      <c r="AD79">
        <v>410.98073333333298</v>
      </c>
      <c r="AE79">
        <v>15.48898</v>
      </c>
      <c r="AF79">
        <v>700.00146666666706</v>
      </c>
      <c r="AG79">
        <v>99.053386666666697</v>
      </c>
      <c r="AH79">
        <v>5.49465933333333E-2</v>
      </c>
      <c r="AI79">
        <v>18.971446666666701</v>
      </c>
      <c r="AJ79">
        <v>999.9</v>
      </c>
      <c r="AK79">
        <v>999.9</v>
      </c>
      <c r="AL79">
        <v>0</v>
      </c>
      <c r="AM79">
        <v>0</v>
      </c>
      <c r="AN79">
        <v>5011.8333333333303</v>
      </c>
      <c r="AO79">
        <v>0</v>
      </c>
      <c r="AP79">
        <v>2.4277700000000002</v>
      </c>
      <c r="AQ79">
        <v>-0.75734918666666695</v>
      </c>
      <c r="AR79">
        <v>416.61680000000001</v>
      </c>
      <c r="AS79">
        <v>417.46006666666699</v>
      </c>
      <c r="AT79">
        <v>-0.17414979999999999</v>
      </c>
      <c r="AU79">
        <v>410.86546666666698</v>
      </c>
      <c r="AV79">
        <v>15.7969133333333</v>
      </c>
      <c r="AW79">
        <v>1.5474873333333301</v>
      </c>
      <c r="AX79">
        <v>1.5647386666666701</v>
      </c>
      <c r="AY79">
        <v>13.4456066666667</v>
      </c>
      <c r="AZ79">
        <v>13.61586</v>
      </c>
      <c r="BA79">
        <v>500.00026666666702</v>
      </c>
      <c r="BB79">
        <v>0.90000586666666704</v>
      </c>
      <c r="BC79">
        <v>0</v>
      </c>
      <c r="BD79">
        <v>9.9993806666666699E-2</v>
      </c>
      <c r="BE79">
        <v>0</v>
      </c>
      <c r="BF79">
        <v>25</v>
      </c>
      <c r="BG79">
        <v>8244.41</v>
      </c>
      <c r="BH79">
        <v>1768579680.0999999</v>
      </c>
      <c r="BI79" t="s">
        <v>412</v>
      </c>
      <c r="BJ79">
        <v>1768579680.0999999</v>
      </c>
      <c r="BK79">
        <v>1768579672.0999999</v>
      </c>
      <c r="BL79">
        <v>3</v>
      </c>
      <c r="BM79">
        <v>5.8999999999999997E-2</v>
      </c>
      <c r="BN79">
        <v>-8.0000000000000002E-3</v>
      </c>
      <c r="BO79">
        <v>-0.873</v>
      </c>
      <c r="BP79">
        <v>0.13400000000000001</v>
      </c>
      <c r="BQ79">
        <v>423</v>
      </c>
      <c r="BR79">
        <v>16</v>
      </c>
      <c r="BS79">
        <v>0.28000000000000003</v>
      </c>
      <c r="BT79">
        <v>0.11</v>
      </c>
      <c r="BU79">
        <v>-0.49457442000000001</v>
      </c>
      <c r="BV79">
        <v>-5.22749805112782</v>
      </c>
      <c r="BW79">
        <v>0.569901588526461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-0.1747232</v>
      </c>
      <c r="CD79">
        <v>1.3211187969924799E-2</v>
      </c>
      <c r="CE79">
        <v>1.29299035572583E-3</v>
      </c>
      <c r="CF79">
        <v>1</v>
      </c>
      <c r="CG79">
        <v>1</v>
      </c>
      <c r="CH79">
        <v>2</v>
      </c>
      <c r="CI79" t="s">
        <v>303</v>
      </c>
      <c r="CJ79">
        <v>3.34992</v>
      </c>
      <c r="CK79">
        <v>2.6926299999999999</v>
      </c>
      <c r="CL79">
        <v>9.7156199999999998E-2</v>
      </c>
      <c r="CM79">
        <v>9.5966200000000002E-2</v>
      </c>
      <c r="CN79">
        <v>8.7074799999999994E-2</v>
      </c>
      <c r="CO79">
        <v>8.6963700000000005E-2</v>
      </c>
      <c r="CP79">
        <v>31661.8</v>
      </c>
      <c r="CQ79">
        <v>27815.8</v>
      </c>
      <c r="CR79">
        <v>32456.6</v>
      </c>
      <c r="CS79">
        <v>30694.3</v>
      </c>
      <c r="CT79">
        <v>40118.300000000003</v>
      </c>
      <c r="CU79">
        <v>39399.199999999997</v>
      </c>
      <c r="CV79">
        <v>47396.800000000003</v>
      </c>
      <c r="CW79">
        <v>46805</v>
      </c>
      <c r="CX79">
        <v>2.5078399999999998</v>
      </c>
      <c r="CY79">
        <v>2.32606</v>
      </c>
      <c r="CZ79">
        <v>0</v>
      </c>
      <c r="DA79">
        <v>0</v>
      </c>
      <c r="DB79">
        <v>999.9</v>
      </c>
      <c r="DC79">
        <v>999.9</v>
      </c>
      <c r="DD79">
        <v>62.018999999999998</v>
      </c>
      <c r="DE79">
        <v>24.683</v>
      </c>
      <c r="DF79">
        <v>19.535299999999999</v>
      </c>
      <c r="DG79">
        <v>30.19</v>
      </c>
      <c r="DH79">
        <v>12.9247</v>
      </c>
      <c r="DI79">
        <v>2</v>
      </c>
      <c r="DJ79">
        <v>-0.14063400000000001</v>
      </c>
      <c r="DK79">
        <v>2.0276700000000001</v>
      </c>
      <c r="DL79">
        <v>20.211200000000002</v>
      </c>
      <c r="DM79">
        <v>5.2507099999999998</v>
      </c>
      <c r="DN79">
        <v>12.033899999999999</v>
      </c>
      <c r="DO79">
        <v>4.9669999999999996</v>
      </c>
      <c r="DP79">
        <v>3.2909999999999999</v>
      </c>
      <c r="DQ79">
        <v>9999</v>
      </c>
      <c r="DR79">
        <v>9999</v>
      </c>
      <c r="DS79">
        <v>522.9</v>
      </c>
      <c r="DT79">
        <v>9999</v>
      </c>
      <c r="DU79">
        <v>1.8709</v>
      </c>
      <c r="DV79">
        <v>1.87599</v>
      </c>
      <c r="DW79">
        <v>1.87622</v>
      </c>
      <c r="DX79">
        <v>1.8827</v>
      </c>
      <c r="DY79">
        <v>1.8754599999999999</v>
      </c>
      <c r="DZ79">
        <v>1.8745400000000001</v>
      </c>
      <c r="EA79">
        <v>1.87073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-0.873</v>
      </c>
      <c r="EQ79">
        <v>0.1338</v>
      </c>
      <c r="ER79">
        <v>-0.87250000000000205</v>
      </c>
      <c r="ES79">
        <v>0</v>
      </c>
      <c r="ET79">
        <v>0</v>
      </c>
      <c r="EU79">
        <v>0</v>
      </c>
      <c r="EV79">
        <v>0.13378000000000201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1.3</v>
      </c>
      <c r="FE79">
        <v>1.4</v>
      </c>
      <c r="FF79">
        <v>0.92285200000000001</v>
      </c>
      <c r="FG79">
        <v>2.5732400000000002</v>
      </c>
      <c r="FH79">
        <v>2.19604</v>
      </c>
      <c r="FI79">
        <v>2.67578</v>
      </c>
      <c r="FJ79">
        <v>2.4462899999999999</v>
      </c>
      <c r="FK79">
        <v>2.2717299999999998</v>
      </c>
      <c r="FL79">
        <v>30.436900000000001</v>
      </c>
      <c r="FM79">
        <v>24.14</v>
      </c>
      <c r="FN79">
        <v>19</v>
      </c>
      <c r="FO79">
        <v>759.45</v>
      </c>
      <c r="FP79">
        <v>738.93299999999999</v>
      </c>
      <c r="FQ79">
        <v>18.141300000000001</v>
      </c>
      <c r="FR79">
        <v>25.229500000000002</v>
      </c>
      <c r="FS79">
        <v>30.0002</v>
      </c>
      <c r="FT79">
        <v>25.230599999999999</v>
      </c>
      <c r="FU79">
        <v>25.230899999999998</v>
      </c>
      <c r="FV79">
        <v>18.515799999999999</v>
      </c>
      <c r="FW79">
        <v>54.1021</v>
      </c>
      <c r="FX79">
        <v>100</v>
      </c>
      <c r="FY79">
        <v>18.153099999999998</v>
      </c>
      <c r="FZ79">
        <v>410</v>
      </c>
      <c r="GA79">
        <v>15.8156</v>
      </c>
      <c r="GB79">
        <v>99.874700000000004</v>
      </c>
      <c r="GC79">
        <v>99.641900000000007</v>
      </c>
    </row>
    <row r="80" spans="1:185" x14ac:dyDescent="0.2">
      <c r="A80">
        <v>65</v>
      </c>
      <c r="B80">
        <v>1768579772.0999999</v>
      </c>
      <c r="C80">
        <v>1379.0999999046301</v>
      </c>
      <c r="D80" t="s">
        <v>425</v>
      </c>
      <c r="E80" t="s">
        <v>426</v>
      </c>
      <c r="F80">
        <v>15</v>
      </c>
      <c r="G80">
        <v>1768579764.03333</v>
      </c>
      <c r="H80">
        <f t="shared" ref="H80:H111" si="25">AF80*Q80*(AB80-AC80)/(1000*X80*(1000-Q80*AB80))</f>
        <v>-1.2130583900886154E-4</v>
      </c>
      <c r="I80">
        <v>0</v>
      </c>
      <c r="J80">
        <f t="shared" si="12"/>
        <v>-5.2311153225113663E-3</v>
      </c>
      <c r="K80">
        <f t="shared" ref="K80:K111" si="26">AF80*Q80*(AA80-Z80*(1000-Q80*AC80)/(1000-Q80*AB80))/(1000*X80)</f>
        <v>-0.13700119271646996</v>
      </c>
      <c r="L80">
        <f t="shared" ref="L80:L111" si="27">(M80/N80*100)</f>
        <v>70.320140842854258</v>
      </c>
      <c r="M80">
        <f t="shared" ref="M80:M111" si="28">AB80*(AG80+AH80)/1000</f>
        <v>1.5490101596066586</v>
      </c>
      <c r="N80">
        <f t="shared" ref="N80:N111" si="29">0.61365*EXP(17.502*AI80/(240.97+AI80))</f>
        <v>2.2027972939762175</v>
      </c>
      <c r="O80">
        <v>0</v>
      </c>
      <c r="P80">
        <v>0</v>
      </c>
      <c r="Q80">
        <f t="shared" ref="Q80:Q111" si="30">IF(O80*$H$13&gt;=S80,1,(S80/(S80-O80*$H$13)))</f>
        <v>1</v>
      </c>
      <c r="R80">
        <f t="shared" ref="R80:R111" si="31">(Q80-1)*100</f>
        <v>0</v>
      </c>
      <c r="S80">
        <f t="shared" ref="S80:S111" si="32">MAX(0,($B$13+$C$13*AN80)/(1+$D$13*AN80)*AG80/(AI80+273)*$E$13)</f>
        <v>25977.439705831894</v>
      </c>
      <c r="T80">
        <f t="shared" ref="T80:T111" si="33">$B$11*AO80+$C$11*AP80+$D$11*BA80</f>
        <v>499.99946666666699</v>
      </c>
      <c r="U80">
        <f t="shared" ref="U80:U111" si="34">T80*V80</f>
        <v>421.4992664003031</v>
      </c>
      <c r="V80">
        <f t="shared" ref="V80:V111" si="35">($B$11*$D$9+$C$11*$D$9+$D$11*(BB80*$E$9+BC80*$F$9+BD80*$G$9+BE80*$H$9))/($B$11+$C$11+$D$11)</f>
        <v>0.84299943199999983</v>
      </c>
      <c r="W80">
        <f t="shared" ref="W80:W111" si="36">($B$11*$L$9+$C$11*$L$9+$D$11*(BB80*$M$9+BC80*$N$9+BD80*$O$9+BE80*$P$9))/($B$11+$C$11+$D$11)</f>
        <v>0.15869935951999997</v>
      </c>
      <c r="X80">
        <v>1</v>
      </c>
      <c r="Y80">
        <v>1768579764.03333</v>
      </c>
      <c r="Z80">
        <v>410.95273333333301</v>
      </c>
      <c r="AA80">
        <v>410.68579999999997</v>
      </c>
      <c r="AB80">
        <v>15.62928</v>
      </c>
      <c r="AC80">
        <v>15.7998666666667</v>
      </c>
      <c r="AD80">
        <v>411.825066666667</v>
      </c>
      <c r="AE80">
        <v>15.4954933333333</v>
      </c>
      <c r="AF80">
        <v>699.99559999999997</v>
      </c>
      <c r="AG80">
        <v>99.054593333333301</v>
      </c>
      <c r="AH80">
        <v>5.4908806666666699E-2</v>
      </c>
      <c r="AI80">
        <v>18.982673333333299</v>
      </c>
      <c r="AJ80">
        <v>999.9</v>
      </c>
      <c r="AK80">
        <v>999.9</v>
      </c>
      <c r="AL80">
        <v>0</v>
      </c>
      <c r="AM80">
        <v>0</v>
      </c>
      <c r="AN80">
        <v>5000.2666666666701</v>
      </c>
      <c r="AO80">
        <v>0</v>
      </c>
      <c r="AP80">
        <v>2.4277700000000002</v>
      </c>
      <c r="AQ80">
        <v>0.26675100000000002</v>
      </c>
      <c r="AR80">
        <v>417.47739999999999</v>
      </c>
      <c r="AS80">
        <v>417.27866666666699</v>
      </c>
      <c r="AT80">
        <v>-0.17054786666666699</v>
      </c>
      <c r="AU80">
        <v>410.68579999999997</v>
      </c>
      <c r="AV80">
        <v>15.7998666666667</v>
      </c>
      <c r="AW80">
        <v>1.548154</v>
      </c>
      <c r="AX80">
        <v>1.56504666666667</v>
      </c>
      <c r="AY80">
        <v>13.452199999999999</v>
      </c>
      <c r="AZ80">
        <v>13.6188866666667</v>
      </c>
      <c r="BA80">
        <v>499.99946666666699</v>
      </c>
      <c r="BB80">
        <v>0.90000733333333305</v>
      </c>
      <c r="BC80">
        <v>0</v>
      </c>
      <c r="BD80">
        <v>9.9992266666666704E-2</v>
      </c>
      <c r="BE80">
        <v>0</v>
      </c>
      <c r="BF80">
        <v>25</v>
      </c>
      <c r="BG80">
        <v>8244.4026666666705</v>
      </c>
      <c r="BH80">
        <v>1768579680.0999999</v>
      </c>
      <c r="BI80" t="s">
        <v>412</v>
      </c>
      <c r="BJ80">
        <v>1768579680.0999999</v>
      </c>
      <c r="BK80">
        <v>1768579672.0999999</v>
      </c>
      <c r="BL80">
        <v>3</v>
      </c>
      <c r="BM80">
        <v>5.8999999999999997E-2</v>
      </c>
      <c r="BN80">
        <v>-8.0000000000000002E-3</v>
      </c>
      <c r="BO80">
        <v>-0.873</v>
      </c>
      <c r="BP80">
        <v>0.13400000000000001</v>
      </c>
      <c r="BQ80">
        <v>423</v>
      </c>
      <c r="BR80">
        <v>16</v>
      </c>
      <c r="BS80">
        <v>0.28000000000000003</v>
      </c>
      <c r="BT80">
        <v>0.11</v>
      </c>
      <c r="BU80">
        <v>-0.21998110000000001</v>
      </c>
      <c r="BV80">
        <v>9.5524153082706693</v>
      </c>
      <c r="BW80">
        <v>1.0306854442987401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-0.17138909999999999</v>
      </c>
      <c r="CD80">
        <v>1.51360601503757E-2</v>
      </c>
      <c r="CE80">
        <v>1.48770786446802E-3</v>
      </c>
      <c r="CF80">
        <v>1</v>
      </c>
      <c r="CG80">
        <v>1</v>
      </c>
      <c r="CH80">
        <v>2</v>
      </c>
      <c r="CI80" t="s">
        <v>303</v>
      </c>
      <c r="CJ80">
        <v>3.3499599999999998</v>
      </c>
      <c r="CK80">
        <v>2.6921499999999998</v>
      </c>
      <c r="CL80">
        <v>9.7130400000000006E-2</v>
      </c>
      <c r="CM80">
        <v>9.5446299999999998E-2</v>
      </c>
      <c r="CN80">
        <v>8.7098700000000001E-2</v>
      </c>
      <c r="CO80">
        <v>8.6971999999999994E-2</v>
      </c>
      <c r="CP80">
        <v>31662.799999999999</v>
      </c>
      <c r="CQ80">
        <v>27831.599999999999</v>
      </c>
      <c r="CR80">
        <v>32456.7</v>
      </c>
      <c r="CS80">
        <v>30694.2</v>
      </c>
      <c r="CT80">
        <v>40117.599999999999</v>
      </c>
      <c r="CU80">
        <v>39398.400000000001</v>
      </c>
      <c r="CV80">
        <v>47397.3</v>
      </c>
      <c r="CW80">
        <v>46804.5</v>
      </c>
      <c r="CX80">
        <v>2.5079799999999999</v>
      </c>
      <c r="CY80">
        <v>2.3257400000000001</v>
      </c>
      <c r="CZ80">
        <v>0</v>
      </c>
      <c r="DA80">
        <v>0</v>
      </c>
      <c r="DB80">
        <v>999.9</v>
      </c>
      <c r="DC80">
        <v>999.9</v>
      </c>
      <c r="DD80">
        <v>61.982999999999997</v>
      </c>
      <c r="DE80">
        <v>24.693000000000001</v>
      </c>
      <c r="DF80">
        <v>19.535299999999999</v>
      </c>
      <c r="DG80">
        <v>29.89</v>
      </c>
      <c r="DH80">
        <v>12.9567</v>
      </c>
      <c r="DI80">
        <v>2</v>
      </c>
      <c r="DJ80">
        <v>-0.14041500000000001</v>
      </c>
      <c r="DK80">
        <v>2.0255399999999999</v>
      </c>
      <c r="DL80">
        <v>20.211099999999998</v>
      </c>
      <c r="DM80">
        <v>5.2503500000000001</v>
      </c>
      <c r="DN80">
        <v>12.033899999999999</v>
      </c>
      <c r="DO80">
        <v>4.9670800000000002</v>
      </c>
      <c r="DP80">
        <v>3.2909999999999999</v>
      </c>
      <c r="DQ80">
        <v>9999</v>
      </c>
      <c r="DR80">
        <v>9999</v>
      </c>
      <c r="DS80">
        <v>522.9</v>
      </c>
      <c r="DT80">
        <v>9999</v>
      </c>
      <c r="DU80">
        <v>1.8709</v>
      </c>
      <c r="DV80">
        <v>1.87598</v>
      </c>
      <c r="DW80">
        <v>1.8762099999999999</v>
      </c>
      <c r="DX80">
        <v>1.8827</v>
      </c>
      <c r="DY80">
        <v>1.8754599999999999</v>
      </c>
      <c r="DZ80">
        <v>1.8745400000000001</v>
      </c>
      <c r="EA80">
        <v>1.8707199999999999</v>
      </c>
      <c r="EB80">
        <v>1.8745400000000001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-0.873</v>
      </c>
      <c r="EQ80">
        <v>0.1338</v>
      </c>
      <c r="ER80">
        <v>-0.87250000000000205</v>
      </c>
      <c r="ES80">
        <v>0</v>
      </c>
      <c r="ET80">
        <v>0</v>
      </c>
      <c r="EU80">
        <v>0</v>
      </c>
      <c r="EV80">
        <v>0.13378000000000201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1.5</v>
      </c>
      <c r="FE80">
        <v>1.7</v>
      </c>
      <c r="FF80">
        <v>0.92285200000000001</v>
      </c>
      <c r="FG80">
        <v>2.5683600000000002</v>
      </c>
      <c r="FH80">
        <v>2.19604</v>
      </c>
      <c r="FI80">
        <v>2.67456</v>
      </c>
      <c r="FJ80">
        <v>2.4462899999999999</v>
      </c>
      <c r="FK80">
        <v>2.2229000000000001</v>
      </c>
      <c r="FL80">
        <v>30.458400000000001</v>
      </c>
      <c r="FM80">
        <v>24.148800000000001</v>
      </c>
      <c r="FN80">
        <v>19</v>
      </c>
      <c r="FO80">
        <v>759.65</v>
      </c>
      <c r="FP80">
        <v>738.71299999999997</v>
      </c>
      <c r="FQ80">
        <v>18.189800000000002</v>
      </c>
      <c r="FR80">
        <v>25.235099999999999</v>
      </c>
      <c r="FS80">
        <v>30.0002</v>
      </c>
      <c r="FT80">
        <v>25.236499999999999</v>
      </c>
      <c r="FU80">
        <v>25.2364</v>
      </c>
      <c r="FV80">
        <v>18.520099999999999</v>
      </c>
      <c r="FW80">
        <v>54.1021</v>
      </c>
      <c r="FX80">
        <v>99.629000000000005</v>
      </c>
      <c r="FY80">
        <v>18.1935</v>
      </c>
      <c r="FZ80">
        <v>410</v>
      </c>
      <c r="GA80">
        <v>15.797499999999999</v>
      </c>
      <c r="GB80">
        <v>99.875500000000002</v>
      </c>
      <c r="GC80">
        <v>99.641199999999998</v>
      </c>
    </row>
    <row r="81" spans="1:185" x14ac:dyDescent="0.2">
      <c r="A81">
        <v>66</v>
      </c>
      <c r="B81">
        <v>1768579787.0999999</v>
      </c>
      <c r="C81">
        <v>1394.0999999046301</v>
      </c>
      <c r="D81" t="s">
        <v>427</v>
      </c>
      <c r="E81" t="s">
        <v>428</v>
      </c>
      <c r="F81">
        <v>15</v>
      </c>
      <c r="G81">
        <v>1768579779.03333</v>
      </c>
      <c r="H81">
        <f t="shared" si="25"/>
        <v>-1.1997526233453451E-4</v>
      </c>
      <c r="I81">
        <v>0</v>
      </c>
      <c r="J81">
        <f t="shared" ref="J81:J118" si="37">K81*(0.0003137/0.0082157)</f>
        <v>1.6985166594509854E-2</v>
      </c>
      <c r="K81">
        <f t="shared" si="26"/>
        <v>0.44483593621458267</v>
      </c>
      <c r="L81">
        <f t="shared" si="27"/>
        <v>70.274396620967821</v>
      </c>
      <c r="M81">
        <f t="shared" si="28"/>
        <v>1.5495651017221825</v>
      </c>
      <c r="N81">
        <f t="shared" si="29"/>
        <v>2.2050208557177959</v>
      </c>
      <c r="O81">
        <v>0</v>
      </c>
      <c r="P81">
        <v>0</v>
      </c>
      <c r="Q81">
        <f t="shared" si="30"/>
        <v>1</v>
      </c>
      <c r="R81">
        <f t="shared" si="31"/>
        <v>0</v>
      </c>
      <c r="S81">
        <f t="shared" si="32"/>
        <v>26007.938402141674</v>
      </c>
      <c r="T81">
        <f t="shared" si="33"/>
        <v>499.99919999999997</v>
      </c>
      <c r="U81">
        <f t="shared" si="34"/>
        <v>421.49913660030256</v>
      </c>
      <c r="V81">
        <f t="shared" si="35"/>
        <v>0.84299962200000034</v>
      </c>
      <c r="W81">
        <f t="shared" si="36"/>
        <v>0.15869957468000007</v>
      </c>
      <c r="X81">
        <v>1</v>
      </c>
      <c r="Y81">
        <v>1768579779.03333</v>
      </c>
      <c r="Z81">
        <v>410.43586666666698</v>
      </c>
      <c r="AA81">
        <v>411.00099999999998</v>
      </c>
      <c r="AB81">
        <v>15.634840000000001</v>
      </c>
      <c r="AC81">
        <v>15.8035533333333</v>
      </c>
      <c r="AD81">
        <v>411.308533333333</v>
      </c>
      <c r="AE81">
        <v>15.50104</v>
      </c>
      <c r="AF81">
        <v>700.00080000000003</v>
      </c>
      <c r="AG81">
        <v>99.055006666666699</v>
      </c>
      <c r="AH81">
        <v>5.4744486666666703E-2</v>
      </c>
      <c r="AI81">
        <v>18.998840000000001</v>
      </c>
      <c r="AJ81">
        <v>999.9</v>
      </c>
      <c r="AK81">
        <v>999.9</v>
      </c>
      <c r="AL81">
        <v>0</v>
      </c>
      <c r="AM81">
        <v>0</v>
      </c>
      <c r="AN81">
        <v>5005.5666666666702</v>
      </c>
      <c r="AO81">
        <v>0</v>
      </c>
      <c r="AP81">
        <v>2.4277700000000002</v>
      </c>
      <c r="AQ81">
        <v>-0.56500873333333301</v>
      </c>
      <c r="AR81">
        <v>416.95493333333297</v>
      </c>
      <c r="AS81">
        <v>417.600666666667</v>
      </c>
      <c r="AT81">
        <v>-0.16871206666666699</v>
      </c>
      <c r="AU81">
        <v>411.00099999999998</v>
      </c>
      <c r="AV81">
        <v>15.8035533333333</v>
      </c>
      <c r="AW81">
        <v>1.5487106666666699</v>
      </c>
      <c r="AX81">
        <v>1.5654206666666699</v>
      </c>
      <c r="AY81">
        <v>13.457713333333301</v>
      </c>
      <c r="AZ81">
        <v>13.6225733333333</v>
      </c>
      <c r="BA81">
        <v>499.99919999999997</v>
      </c>
      <c r="BB81">
        <v>0.90000486666666701</v>
      </c>
      <c r="BC81">
        <v>0</v>
      </c>
      <c r="BD81">
        <v>9.9994866666666696E-2</v>
      </c>
      <c r="BE81">
        <v>0</v>
      </c>
      <c r="BF81">
        <v>25</v>
      </c>
      <c r="BG81">
        <v>8244.3926666666594</v>
      </c>
      <c r="BH81">
        <v>1768579680.0999999</v>
      </c>
      <c r="BI81" t="s">
        <v>412</v>
      </c>
      <c r="BJ81">
        <v>1768579680.0999999</v>
      </c>
      <c r="BK81">
        <v>1768579672.0999999</v>
      </c>
      <c r="BL81">
        <v>3</v>
      </c>
      <c r="BM81">
        <v>5.8999999999999997E-2</v>
      </c>
      <c r="BN81">
        <v>-8.0000000000000002E-3</v>
      </c>
      <c r="BO81">
        <v>-0.873</v>
      </c>
      <c r="BP81">
        <v>0.13400000000000001</v>
      </c>
      <c r="BQ81">
        <v>423</v>
      </c>
      <c r="BR81">
        <v>16</v>
      </c>
      <c r="BS81">
        <v>0.28000000000000003</v>
      </c>
      <c r="BT81">
        <v>0.11</v>
      </c>
      <c r="BU81">
        <v>-2.6144049999999999E-2</v>
      </c>
      <c r="BV81">
        <v>-16.2612550827068</v>
      </c>
      <c r="BW81">
        <v>1.67905205205483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-0.16892045</v>
      </c>
      <c r="CD81">
        <v>5.6791127819550398E-3</v>
      </c>
      <c r="CE81">
        <v>6.7604611344197101E-4</v>
      </c>
      <c r="CF81">
        <v>1</v>
      </c>
      <c r="CG81">
        <v>1</v>
      </c>
      <c r="CH81">
        <v>2</v>
      </c>
      <c r="CI81" t="s">
        <v>303</v>
      </c>
      <c r="CJ81">
        <v>3.3499300000000001</v>
      </c>
      <c r="CK81">
        <v>2.6926000000000001</v>
      </c>
      <c r="CL81">
        <v>9.7251199999999996E-2</v>
      </c>
      <c r="CM81">
        <v>9.6323199999999998E-2</v>
      </c>
      <c r="CN81">
        <v>8.7125499999999995E-2</v>
      </c>
      <c r="CO81">
        <v>8.6990100000000001E-2</v>
      </c>
      <c r="CP81">
        <v>31658.2</v>
      </c>
      <c r="CQ81">
        <v>27804.6</v>
      </c>
      <c r="CR81">
        <v>32456.400000000001</v>
      </c>
      <c r="CS81">
        <v>30694.2</v>
      </c>
      <c r="CT81">
        <v>40115.9</v>
      </c>
      <c r="CU81">
        <v>39397.800000000003</v>
      </c>
      <c r="CV81">
        <v>47396.7</v>
      </c>
      <c r="CW81">
        <v>46804.6</v>
      </c>
      <c r="CX81">
        <v>2.5078999999999998</v>
      </c>
      <c r="CY81">
        <v>2.3256999999999999</v>
      </c>
      <c r="CZ81">
        <v>0</v>
      </c>
      <c r="DA81">
        <v>0</v>
      </c>
      <c r="DB81">
        <v>999.9</v>
      </c>
      <c r="DC81">
        <v>999.9</v>
      </c>
      <c r="DD81">
        <v>61.957999999999998</v>
      </c>
      <c r="DE81">
        <v>24.702999999999999</v>
      </c>
      <c r="DF81">
        <v>19.539100000000001</v>
      </c>
      <c r="DG81">
        <v>29.92</v>
      </c>
      <c r="DH81">
        <v>13.0128</v>
      </c>
      <c r="DI81">
        <v>2</v>
      </c>
      <c r="DJ81">
        <v>-0.139433</v>
      </c>
      <c r="DK81">
        <v>2.42876</v>
      </c>
      <c r="DL81">
        <v>20.204499999999999</v>
      </c>
      <c r="DM81">
        <v>5.2505899999999999</v>
      </c>
      <c r="DN81">
        <v>12.033899999999999</v>
      </c>
      <c r="DO81">
        <v>4.9674800000000001</v>
      </c>
      <c r="DP81">
        <v>3.2909999999999999</v>
      </c>
      <c r="DQ81">
        <v>9999</v>
      </c>
      <c r="DR81">
        <v>9999</v>
      </c>
      <c r="DS81">
        <v>522.9</v>
      </c>
      <c r="DT81">
        <v>9999</v>
      </c>
      <c r="DU81">
        <v>1.8709199999999999</v>
      </c>
      <c r="DV81">
        <v>1.87601</v>
      </c>
      <c r="DW81">
        <v>1.87622</v>
      </c>
      <c r="DX81">
        <v>1.88273</v>
      </c>
      <c r="DY81">
        <v>1.87547</v>
      </c>
      <c r="DZ81">
        <v>1.8745400000000001</v>
      </c>
      <c r="EA81">
        <v>1.87073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-0.873</v>
      </c>
      <c r="EQ81">
        <v>0.1338</v>
      </c>
      <c r="ER81">
        <v>-0.87250000000000205</v>
      </c>
      <c r="ES81">
        <v>0</v>
      </c>
      <c r="ET81">
        <v>0</v>
      </c>
      <c r="EU81">
        <v>0</v>
      </c>
      <c r="EV81">
        <v>0.13378000000000201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1.8</v>
      </c>
      <c r="FE81">
        <v>1.9</v>
      </c>
      <c r="FF81">
        <v>0.90942400000000001</v>
      </c>
      <c r="FG81">
        <v>2.5647000000000002</v>
      </c>
      <c r="FH81">
        <v>2.19604</v>
      </c>
      <c r="FI81">
        <v>2.67456</v>
      </c>
      <c r="FJ81">
        <v>2.4462899999999999</v>
      </c>
      <c r="FK81">
        <v>2.2399900000000001</v>
      </c>
      <c r="FL81">
        <v>30.458400000000001</v>
      </c>
      <c r="FM81">
        <v>24.148800000000001</v>
      </c>
      <c r="FN81">
        <v>19</v>
      </c>
      <c r="FO81">
        <v>759.65599999999995</v>
      </c>
      <c r="FP81">
        <v>738.74900000000002</v>
      </c>
      <c r="FQ81">
        <v>18.183800000000002</v>
      </c>
      <c r="FR81">
        <v>25.240200000000002</v>
      </c>
      <c r="FS81">
        <v>30.000599999999999</v>
      </c>
      <c r="FT81">
        <v>25.241700000000002</v>
      </c>
      <c r="FU81">
        <v>25.241499999999998</v>
      </c>
      <c r="FV81">
        <v>18.260200000000001</v>
      </c>
      <c r="FW81">
        <v>54.1021</v>
      </c>
      <c r="FX81">
        <v>99.629000000000005</v>
      </c>
      <c r="FY81">
        <v>18.073</v>
      </c>
      <c r="FZ81">
        <v>410</v>
      </c>
      <c r="GA81">
        <v>15.7789</v>
      </c>
      <c r="GB81">
        <v>99.874300000000005</v>
      </c>
      <c r="GC81">
        <v>99.641300000000001</v>
      </c>
    </row>
    <row r="82" spans="1:185" x14ac:dyDescent="0.2">
      <c r="A82">
        <v>67</v>
      </c>
      <c r="B82">
        <v>1768579802.0999999</v>
      </c>
      <c r="C82">
        <v>1409.0999999046301</v>
      </c>
      <c r="D82" t="s">
        <v>429</v>
      </c>
      <c r="E82" t="s">
        <v>430</v>
      </c>
      <c r="F82">
        <v>15</v>
      </c>
      <c r="G82">
        <v>1768579794.03333</v>
      </c>
      <c r="H82">
        <f t="shared" si="25"/>
        <v>-1.2107579108812422E-4</v>
      </c>
      <c r="I82">
        <v>0</v>
      </c>
      <c r="J82">
        <f t="shared" si="37"/>
        <v>4.6949622670537294E-3</v>
      </c>
      <c r="K82">
        <f t="shared" si="26"/>
        <v>0.12295952023408772</v>
      </c>
      <c r="L82">
        <f t="shared" si="27"/>
        <v>70.27758023749179</v>
      </c>
      <c r="M82">
        <f t="shared" si="28"/>
        <v>1.5498603098638486</v>
      </c>
      <c r="N82">
        <f t="shared" si="29"/>
        <v>2.205341027147413</v>
      </c>
      <c r="O82">
        <v>0</v>
      </c>
      <c r="P82">
        <v>0</v>
      </c>
      <c r="Q82">
        <f t="shared" si="30"/>
        <v>1</v>
      </c>
      <c r="R82">
        <f t="shared" si="31"/>
        <v>0</v>
      </c>
      <c r="S82">
        <f t="shared" si="32"/>
        <v>25963.794695184712</v>
      </c>
      <c r="T82">
        <f t="shared" si="33"/>
        <v>500.000133333333</v>
      </c>
      <c r="U82">
        <f t="shared" si="34"/>
        <v>421.49987509993662</v>
      </c>
      <c r="V82">
        <f t="shared" si="35"/>
        <v>0.84299952540000034</v>
      </c>
      <c r="W82">
        <f t="shared" si="36"/>
        <v>0.15869929420400006</v>
      </c>
      <c r="X82">
        <v>1</v>
      </c>
      <c r="Y82">
        <v>1768579794.03333</v>
      </c>
      <c r="Z82">
        <v>411.967266666667</v>
      </c>
      <c r="AA82">
        <v>412.071666666667</v>
      </c>
      <c r="AB82">
        <v>15.6379</v>
      </c>
      <c r="AC82">
        <v>15.808160000000001</v>
      </c>
      <c r="AD82">
        <v>412.83980000000003</v>
      </c>
      <c r="AE82">
        <v>15.504113333333301</v>
      </c>
      <c r="AF82">
        <v>700.00246666666703</v>
      </c>
      <c r="AG82">
        <v>99.054640000000006</v>
      </c>
      <c r="AH82">
        <v>5.4595246666666701E-2</v>
      </c>
      <c r="AI82">
        <v>19.001166666666698</v>
      </c>
      <c r="AJ82">
        <v>999.9</v>
      </c>
      <c r="AK82">
        <v>999.9</v>
      </c>
      <c r="AL82">
        <v>0</v>
      </c>
      <c r="AM82">
        <v>0</v>
      </c>
      <c r="AN82">
        <v>4998.2666666666701</v>
      </c>
      <c r="AO82">
        <v>0</v>
      </c>
      <c r="AP82">
        <v>2.45374266666667</v>
      </c>
      <c r="AQ82">
        <v>-0.104433226666667</v>
      </c>
      <c r="AR82">
        <v>418.51193333333299</v>
      </c>
      <c r="AS82">
        <v>418.69046666666702</v>
      </c>
      <c r="AT82">
        <v>-0.17026386666666701</v>
      </c>
      <c r="AU82">
        <v>412.071666666667</v>
      </c>
      <c r="AV82">
        <v>15.808160000000001</v>
      </c>
      <c r="AW82">
        <v>1.54900666666667</v>
      </c>
      <c r="AX82">
        <v>1.5658719999999999</v>
      </c>
      <c r="AY82">
        <v>13.4606733333333</v>
      </c>
      <c r="AZ82">
        <v>13.627000000000001</v>
      </c>
      <c r="BA82">
        <v>500.000133333333</v>
      </c>
      <c r="BB82">
        <v>0.90000866666666701</v>
      </c>
      <c r="BC82">
        <v>0</v>
      </c>
      <c r="BD82">
        <v>9.9991086666666701E-2</v>
      </c>
      <c r="BE82">
        <v>0</v>
      </c>
      <c r="BF82">
        <v>25</v>
      </c>
      <c r="BG82">
        <v>8244.4186666666701</v>
      </c>
      <c r="BH82">
        <v>1768579680.0999999</v>
      </c>
      <c r="BI82" t="s">
        <v>412</v>
      </c>
      <c r="BJ82">
        <v>1768579680.0999999</v>
      </c>
      <c r="BK82">
        <v>1768579672.0999999</v>
      </c>
      <c r="BL82">
        <v>3</v>
      </c>
      <c r="BM82">
        <v>5.8999999999999997E-2</v>
      </c>
      <c r="BN82">
        <v>-8.0000000000000002E-3</v>
      </c>
      <c r="BO82">
        <v>-0.873</v>
      </c>
      <c r="BP82">
        <v>0.13400000000000001</v>
      </c>
      <c r="BQ82">
        <v>423</v>
      </c>
      <c r="BR82">
        <v>16</v>
      </c>
      <c r="BS82">
        <v>0.28000000000000003</v>
      </c>
      <c r="BT82">
        <v>0.11</v>
      </c>
      <c r="BU82">
        <v>-0.94683092000000002</v>
      </c>
      <c r="BV82">
        <v>16.3183158135338</v>
      </c>
      <c r="BW82">
        <v>1.80827539804042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-0.1695033</v>
      </c>
      <c r="CD82">
        <v>-1.8082736842105301E-2</v>
      </c>
      <c r="CE82">
        <v>2.0914825387748298E-3</v>
      </c>
      <c r="CF82">
        <v>1</v>
      </c>
      <c r="CG82">
        <v>1</v>
      </c>
      <c r="CH82">
        <v>2</v>
      </c>
      <c r="CI82" t="s">
        <v>303</v>
      </c>
      <c r="CJ82">
        <v>3.3498000000000001</v>
      </c>
      <c r="CK82">
        <v>2.6926000000000001</v>
      </c>
      <c r="CL82">
        <v>9.7313200000000002E-2</v>
      </c>
      <c r="CM82">
        <v>9.5225500000000005E-2</v>
      </c>
      <c r="CN82">
        <v>8.7120400000000001E-2</v>
      </c>
      <c r="CO82">
        <v>8.7004999999999999E-2</v>
      </c>
      <c r="CP82">
        <v>31655.5</v>
      </c>
      <c r="CQ82">
        <v>27838.400000000001</v>
      </c>
      <c r="CR82">
        <v>32455.8</v>
      </c>
      <c r="CS82">
        <v>30694.2</v>
      </c>
      <c r="CT82">
        <v>40115.599999999999</v>
      </c>
      <c r="CU82">
        <v>39397.300000000003</v>
      </c>
      <c r="CV82">
        <v>47396</v>
      </c>
      <c r="CW82">
        <v>46804.9</v>
      </c>
      <c r="CX82">
        <v>2.5077600000000002</v>
      </c>
      <c r="CY82">
        <v>2.3254800000000002</v>
      </c>
      <c r="CZ82">
        <v>0</v>
      </c>
      <c r="DA82">
        <v>0</v>
      </c>
      <c r="DB82">
        <v>999.9</v>
      </c>
      <c r="DC82">
        <v>999.9</v>
      </c>
      <c r="DD82">
        <v>61.908999999999999</v>
      </c>
      <c r="DE82">
        <v>24.733000000000001</v>
      </c>
      <c r="DF82">
        <v>19.5594</v>
      </c>
      <c r="DG82">
        <v>29.98</v>
      </c>
      <c r="DH82">
        <v>13.036899999999999</v>
      </c>
      <c r="DI82">
        <v>2</v>
      </c>
      <c r="DJ82">
        <v>-0.13875399999999999</v>
      </c>
      <c r="DK82">
        <v>2.2547000000000001</v>
      </c>
      <c r="DL82">
        <v>20.2075</v>
      </c>
      <c r="DM82">
        <v>5.2503500000000001</v>
      </c>
      <c r="DN82">
        <v>12.033899999999999</v>
      </c>
      <c r="DO82">
        <v>4.9673999999999996</v>
      </c>
      <c r="DP82">
        <v>3.2909999999999999</v>
      </c>
      <c r="DQ82">
        <v>9999</v>
      </c>
      <c r="DR82">
        <v>9999</v>
      </c>
      <c r="DS82">
        <v>522.9</v>
      </c>
      <c r="DT82">
        <v>9999</v>
      </c>
      <c r="DU82">
        <v>1.87093</v>
      </c>
      <c r="DV82">
        <v>1.87598</v>
      </c>
      <c r="DW82">
        <v>1.87622</v>
      </c>
      <c r="DX82">
        <v>1.8827499999999999</v>
      </c>
      <c r="DY82">
        <v>1.87547</v>
      </c>
      <c r="DZ82">
        <v>1.8745400000000001</v>
      </c>
      <c r="EA82">
        <v>1.87073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-0.873</v>
      </c>
      <c r="EQ82">
        <v>0.1338</v>
      </c>
      <c r="ER82">
        <v>-0.87250000000000205</v>
      </c>
      <c r="ES82">
        <v>0</v>
      </c>
      <c r="ET82">
        <v>0</v>
      </c>
      <c r="EU82">
        <v>0</v>
      </c>
      <c r="EV82">
        <v>0.13378000000000201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2</v>
      </c>
      <c r="FE82">
        <v>2.2000000000000002</v>
      </c>
      <c r="FF82">
        <v>0.90698199999999995</v>
      </c>
      <c r="FG82">
        <v>2.5598100000000001</v>
      </c>
      <c r="FH82">
        <v>2.19604</v>
      </c>
      <c r="FI82">
        <v>2.67578</v>
      </c>
      <c r="FJ82">
        <v>2.4462899999999999</v>
      </c>
      <c r="FK82">
        <v>2.2851599999999999</v>
      </c>
      <c r="FL82">
        <v>30.48</v>
      </c>
      <c r="FM82">
        <v>24.148800000000001</v>
      </c>
      <c r="FN82">
        <v>19</v>
      </c>
      <c r="FO82">
        <v>759.61599999999999</v>
      </c>
      <c r="FP82">
        <v>738.62300000000005</v>
      </c>
      <c r="FQ82">
        <v>18.0519</v>
      </c>
      <c r="FR82">
        <v>25.244800000000001</v>
      </c>
      <c r="FS82">
        <v>30.0001</v>
      </c>
      <c r="FT82">
        <v>25.247199999999999</v>
      </c>
      <c r="FU82">
        <v>25.2471</v>
      </c>
      <c r="FV82">
        <v>18.2118</v>
      </c>
      <c r="FW82">
        <v>54.1021</v>
      </c>
      <c r="FX82">
        <v>99.629000000000005</v>
      </c>
      <c r="FY82">
        <v>18.062999999999999</v>
      </c>
      <c r="FZ82">
        <v>410</v>
      </c>
      <c r="GA82">
        <v>15.762</v>
      </c>
      <c r="GB82">
        <v>99.872699999999995</v>
      </c>
      <c r="GC82">
        <v>99.6417</v>
      </c>
    </row>
    <row r="83" spans="1:185" x14ac:dyDescent="0.2">
      <c r="A83">
        <v>68</v>
      </c>
      <c r="B83">
        <v>1768579817.0999999</v>
      </c>
      <c r="C83">
        <v>1424.0999999046301</v>
      </c>
      <c r="D83" t="s">
        <v>431</v>
      </c>
      <c r="E83" t="s">
        <v>432</v>
      </c>
      <c r="F83">
        <v>15</v>
      </c>
      <c r="G83">
        <v>1768579809.03333</v>
      </c>
      <c r="H83">
        <f t="shared" si="25"/>
        <v>-1.2154039902577461E-4</v>
      </c>
      <c r="I83">
        <v>0</v>
      </c>
      <c r="J83">
        <f t="shared" si="37"/>
        <v>-3.7558207075658816E-2</v>
      </c>
      <c r="K83">
        <f t="shared" si="26"/>
        <v>-0.98363711148068256</v>
      </c>
      <c r="L83">
        <f t="shared" si="27"/>
        <v>70.311124339596432</v>
      </c>
      <c r="M83">
        <f t="shared" si="28"/>
        <v>1.5501485782824946</v>
      </c>
      <c r="N83">
        <f t="shared" si="29"/>
        <v>2.204698890598614</v>
      </c>
      <c r="O83">
        <v>0</v>
      </c>
      <c r="P83">
        <v>0</v>
      </c>
      <c r="Q83">
        <f t="shared" si="30"/>
        <v>1</v>
      </c>
      <c r="R83">
        <f t="shared" si="31"/>
        <v>0</v>
      </c>
      <c r="S83">
        <f t="shared" si="32"/>
        <v>25947.071753095348</v>
      </c>
      <c r="T83">
        <f t="shared" si="33"/>
        <v>499.999866666667</v>
      </c>
      <c r="U83">
        <f t="shared" si="34"/>
        <v>421.49960360007589</v>
      </c>
      <c r="V83">
        <f t="shared" si="35"/>
        <v>0.84299943199999972</v>
      </c>
      <c r="W83">
        <f t="shared" si="36"/>
        <v>0.15869935951999994</v>
      </c>
      <c r="X83">
        <v>1</v>
      </c>
      <c r="Y83">
        <v>1768579809.03333</v>
      </c>
      <c r="Z83">
        <v>410.10046666666699</v>
      </c>
      <c r="AA83">
        <v>408.62406666666698</v>
      </c>
      <c r="AB83">
        <v>15.6405866666667</v>
      </c>
      <c r="AC83">
        <v>15.811500000000001</v>
      </c>
      <c r="AD83">
        <v>410.97280000000001</v>
      </c>
      <c r="AE83">
        <v>15.506819999999999</v>
      </c>
      <c r="AF83">
        <v>700.00059999999996</v>
      </c>
      <c r="AG83">
        <v>99.055713333333301</v>
      </c>
      <c r="AH83">
        <v>5.4928186666666698E-2</v>
      </c>
      <c r="AI83">
        <v>18.996500000000001</v>
      </c>
      <c r="AJ83">
        <v>999.9</v>
      </c>
      <c r="AK83">
        <v>999.9</v>
      </c>
      <c r="AL83">
        <v>0</v>
      </c>
      <c r="AM83">
        <v>0</v>
      </c>
      <c r="AN83">
        <v>4995.3666666666704</v>
      </c>
      <c r="AO83">
        <v>0</v>
      </c>
      <c r="AP83">
        <v>2.4474946666666701</v>
      </c>
      <c r="AQ83">
        <v>1.47634046666667</v>
      </c>
      <c r="AR83">
        <v>416.616533333333</v>
      </c>
      <c r="AS83">
        <v>415.188733333333</v>
      </c>
      <c r="AT83">
        <v>-0.1709098</v>
      </c>
      <c r="AU83">
        <v>408.62406666666698</v>
      </c>
      <c r="AV83">
        <v>15.811500000000001</v>
      </c>
      <c r="AW83">
        <v>1.5492900000000001</v>
      </c>
      <c r="AX83">
        <v>1.5662180000000001</v>
      </c>
      <c r="AY83">
        <v>13.463480000000001</v>
      </c>
      <c r="AZ83">
        <v>13.630406666666699</v>
      </c>
      <c r="BA83">
        <v>499.999866666667</v>
      </c>
      <c r="BB83">
        <v>0.90000733333333305</v>
      </c>
      <c r="BC83">
        <v>0</v>
      </c>
      <c r="BD83">
        <v>9.9992266666666593E-2</v>
      </c>
      <c r="BE83">
        <v>0</v>
      </c>
      <c r="BF83">
        <v>25</v>
      </c>
      <c r="BG83">
        <v>8244.4113333333298</v>
      </c>
      <c r="BH83">
        <v>1768579680.0999999</v>
      </c>
      <c r="BI83" t="s">
        <v>412</v>
      </c>
      <c r="BJ83">
        <v>1768579680.0999999</v>
      </c>
      <c r="BK83">
        <v>1768579672.0999999</v>
      </c>
      <c r="BL83">
        <v>3</v>
      </c>
      <c r="BM83">
        <v>5.8999999999999997E-2</v>
      </c>
      <c r="BN83">
        <v>-8.0000000000000002E-3</v>
      </c>
      <c r="BO83">
        <v>-0.873</v>
      </c>
      <c r="BP83">
        <v>0.13400000000000001</v>
      </c>
      <c r="BQ83">
        <v>423</v>
      </c>
      <c r="BR83">
        <v>16</v>
      </c>
      <c r="BS83">
        <v>0.28000000000000003</v>
      </c>
      <c r="BT83">
        <v>0.11</v>
      </c>
      <c r="BU83">
        <v>1.7037608500000001</v>
      </c>
      <c r="BV83">
        <v>-17.3780987819549</v>
      </c>
      <c r="BW83">
        <v>2.45809026429863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-0.17139404999999999</v>
      </c>
      <c r="CD83">
        <v>8.7719548872180197E-3</v>
      </c>
      <c r="CE83">
        <v>1.02050386941941E-3</v>
      </c>
      <c r="CF83">
        <v>1</v>
      </c>
      <c r="CG83">
        <v>1</v>
      </c>
      <c r="CH83">
        <v>2</v>
      </c>
      <c r="CI83" t="s">
        <v>303</v>
      </c>
      <c r="CJ83">
        <v>3.3498999999999999</v>
      </c>
      <c r="CK83">
        <v>2.6930100000000001</v>
      </c>
      <c r="CL83">
        <v>9.7027199999999994E-2</v>
      </c>
      <c r="CM83">
        <v>9.6756700000000001E-2</v>
      </c>
      <c r="CN83">
        <v>8.7144899999999997E-2</v>
      </c>
      <c r="CO83">
        <v>8.7020600000000004E-2</v>
      </c>
      <c r="CP83">
        <v>31665.5</v>
      </c>
      <c r="CQ83">
        <v>27791.8</v>
      </c>
      <c r="CR83">
        <v>32455.8</v>
      </c>
      <c r="CS83">
        <v>30694.799999999999</v>
      </c>
      <c r="CT83">
        <v>40114.6</v>
      </c>
      <c r="CU83">
        <v>39397.5</v>
      </c>
      <c r="CV83">
        <v>47396.2</v>
      </c>
      <c r="CW83">
        <v>46805.8</v>
      </c>
      <c r="CX83">
        <v>2.5076800000000001</v>
      </c>
      <c r="CY83">
        <v>2.3252600000000001</v>
      </c>
      <c r="CZ83">
        <v>0</v>
      </c>
      <c r="DA83">
        <v>0</v>
      </c>
      <c r="DB83">
        <v>999.9</v>
      </c>
      <c r="DC83">
        <v>999.9</v>
      </c>
      <c r="DD83">
        <v>61.866999999999997</v>
      </c>
      <c r="DE83">
        <v>24.733000000000001</v>
      </c>
      <c r="DF83">
        <v>19.546199999999999</v>
      </c>
      <c r="DG83">
        <v>29.77</v>
      </c>
      <c r="DH83">
        <v>13.0168</v>
      </c>
      <c r="DI83">
        <v>2</v>
      </c>
      <c r="DJ83">
        <v>-0.13875399999999999</v>
      </c>
      <c r="DK83">
        <v>2.1931699999999998</v>
      </c>
      <c r="DL83">
        <v>20.2102</v>
      </c>
      <c r="DM83">
        <v>5.2511900000000002</v>
      </c>
      <c r="DN83">
        <v>12.033899999999999</v>
      </c>
      <c r="DO83">
        <v>4.9674399999999999</v>
      </c>
      <c r="DP83">
        <v>3.2909999999999999</v>
      </c>
      <c r="DQ83">
        <v>9999</v>
      </c>
      <c r="DR83">
        <v>9999</v>
      </c>
      <c r="DS83">
        <v>522.9</v>
      </c>
      <c r="DT83">
        <v>9999</v>
      </c>
      <c r="DU83">
        <v>1.8709</v>
      </c>
      <c r="DV83">
        <v>1.8759600000000001</v>
      </c>
      <c r="DW83">
        <v>1.8762099999999999</v>
      </c>
      <c r="DX83">
        <v>1.8827</v>
      </c>
      <c r="DY83">
        <v>1.87547</v>
      </c>
      <c r="DZ83">
        <v>1.8745400000000001</v>
      </c>
      <c r="EA83">
        <v>1.8707100000000001</v>
      </c>
      <c r="EB83">
        <v>1.8745400000000001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-0.872</v>
      </c>
      <c r="EQ83">
        <v>0.13370000000000001</v>
      </c>
      <c r="ER83">
        <v>-0.87250000000000205</v>
      </c>
      <c r="ES83">
        <v>0</v>
      </c>
      <c r="ET83">
        <v>0</v>
      </c>
      <c r="EU83">
        <v>0</v>
      </c>
      <c r="EV83">
        <v>0.13378000000000201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2.2999999999999998</v>
      </c>
      <c r="FE83">
        <v>2.4</v>
      </c>
      <c r="FF83">
        <v>0.89965799999999996</v>
      </c>
      <c r="FG83">
        <v>2.5671400000000002</v>
      </c>
      <c r="FH83">
        <v>2.19604</v>
      </c>
      <c r="FI83">
        <v>2.67456</v>
      </c>
      <c r="FJ83">
        <v>2.4462899999999999</v>
      </c>
      <c r="FK83">
        <v>2.2875999999999999</v>
      </c>
      <c r="FL83">
        <v>30.5015</v>
      </c>
      <c r="FM83">
        <v>24.148800000000001</v>
      </c>
      <c r="FN83">
        <v>19</v>
      </c>
      <c r="FO83">
        <v>759.62199999999996</v>
      </c>
      <c r="FP83">
        <v>738.495</v>
      </c>
      <c r="FQ83">
        <v>18.067499999999999</v>
      </c>
      <c r="FR83">
        <v>25.249099999999999</v>
      </c>
      <c r="FS83">
        <v>30.0001</v>
      </c>
      <c r="FT83">
        <v>25.252300000000002</v>
      </c>
      <c r="FU83">
        <v>25.252500000000001</v>
      </c>
      <c r="FV83">
        <v>18.062200000000001</v>
      </c>
      <c r="FW83">
        <v>54.1021</v>
      </c>
      <c r="FX83">
        <v>99.629000000000005</v>
      </c>
      <c r="FY83">
        <v>18.070699999999999</v>
      </c>
      <c r="FZ83">
        <v>410</v>
      </c>
      <c r="GA83">
        <v>15.7386</v>
      </c>
      <c r="GB83">
        <v>99.872900000000001</v>
      </c>
      <c r="GC83">
        <v>99.643600000000006</v>
      </c>
    </row>
    <row r="84" spans="1:185" x14ac:dyDescent="0.2">
      <c r="A84">
        <v>69</v>
      </c>
      <c r="B84">
        <v>1768579832.0999999</v>
      </c>
      <c r="C84">
        <v>1439.0999999046301</v>
      </c>
      <c r="D84" t="s">
        <v>433</v>
      </c>
      <c r="E84" t="s">
        <v>434</v>
      </c>
      <c r="F84">
        <v>15</v>
      </c>
      <c r="G84">
        <v>1768579824.03333</v>
      </c>
      <c r="H84">
        <f t="shared" si="25"/>
        <v>-1.1327328683889832E-4</v>
      </c>
      <c r="I84">
        <v>0</v>
      </c>
      <c r="J84">
        <f t="shared" si="37"/>
        <v>1.9660699863395029E-2</v>
      </c>
      <c r="K84">
        <f t="shared" si="26"/>
        <v>0.51490727404429237</v>
      </c>
      <c r="L84">
        <f t="shared" si="27"/>
        <v>70.342754267308123</v>
      </c>
      <c r="M84">
        <f t="shared" si="28"/>
        <v>1.5507581781428352</v>
      </c>
      <c r="N84">
        <f t="shared" si="29"/>
        <v>2.2045741516600694</v>
      </c>
      <c r="O84">
        <v>0</v>
      </c>
      <c r="P84">
        <v>0</v>
      </c>
      <c r="Q84">
        <f t="shared" si="30"/>
        <v>1</v>
      </c>
      <c r="R84">
        <f t="shared" si="31"/>
        <v>0</v>
      </c>
      <c r="S84">
        <f t="shared" si="32"/>
        <v>25945.329856444449</v>
      </c>
      <c r="T84">
        <f t="shared" si="33"/>
        <v>499.99946666666699</v>
      </c>
      <c r="U84">
        <f t="shared" si="34"/>
        <v>421.49930580026103</v>
      </c>
      <c r="V84">
        <f t="shared" si="35"/>
        <v>0.84299951079999969</v>
      </c>
      <c r="W84">
        <f t="shared" si="36"/>
        <v>0.15869921872799997</v>
      </c>
      <c r="X84">
        <v>1</v>
      </c>
      <c r="Y84">
        <v>1768579824.03333</v>
      </c>
      <c r="Z84">
        <v>411.86040000000003</v>
      </c>
      <c r="AA84">
        <v>412.529333333333</v>
      </c>
      <c r="AB84">
        <v>15.64662</v>
      </c>
      <c r="AC84">
        <v>15.805906666666701</v>
      </c>
      <c r="AD84">
        <v>412.73293333333299</v>
      </c>
      <c r="AE84">
        <v>15.5128533333333</v>
      </c>
      <c r="AF84">
        <v>700.00173333333305</v>
      </c>
      <c r="AG84">
        <v>99.056399999999996</v>
      </c>
      <c r="AH84">
        <v>5.4984959999999999E-2</v>
      </c>
      <c r="AI84">
        <v>18.9955933333333</v>
      </c>
      <c r="AJ84">
        <v>999.9</v>
      </c>
      <c r="AK84">
        <v>999.9</v>
      </c>
      <c r="AL84">
        <v>0</v>
      </c>
      <c r="AM84">
        <v>0</v>
      </c>
      <c r="AN84">
        <v>4995.0333333333301</v>
      </c>
      <c r="AO84">
        <v>0</v>
      </c>
      <c r="AP84">
        <v>2.4617253333333302</v>
      </c>
      <c r="AQ84">
        <v>-0.66890106666666704</v>
      </c>
      <c r="AR84">
        <v>418.40713333333298</v>
      </c>
      <c r="AS84">
        <v>419.15440000000001</v>
      </c>
      <c r="AT84">
        <v>-0.15926886666666701</v>
      </c>
      <c r="AU84">
        <v>412.529333333333</v>
      </c>
      <c r="AV84">
        <v>15.805906666666701</v>
      </c>
      <c r="AW84">
        <v>1.5498986666666701</v>
      </c>
      <c r="AX84">
        <v>1.5656746666666701</v>
      </c>
      <c r="AY84">
        <v>13.4695066666667</v>
      </c>
      <c r="AZ84">
        <v>13.62506</v>
      </c>
      <c r="BA84">
        <v>499.99946666666699</v>
      </c>
      <c r="BB84">
        <v>0.90000973333333301</v>
      </c>
      <c r="BC84">
        <v>0</v>
      </c>
      <c r="BD84">
        <v>9.9990040000000002E-2</v>
      </c>
      <c r="BE84">
        <v>0</v>
      </c>
      <c r="BF84">
        <v>25</v>
      </c>
      <c r="BG84">
        <v>8244.4073333333308</v>
      </c>
      <c r="BH84">
        <v>1768579680.0999999</v>
      </c>
      <c r="BI84" t="s">
        <v>412</v>
      </c>
      <c r="BJ84">
        <v>1768579680.0999999</v>
      </c>
      <c r="BK84">
        <v>1768579672.0999999</v>
      </c>
      <c r="BL84">
        <v>3</v>
      </c>
      <c r="BM84">
        <v>5.8999999999999997E-2</v>
      </c>
      <c r="BN84">
        <v>-8.0000000000000002E-3</v>
      </c>
      <c r="BO84">
        <v>-0.873</v>
      </c>
      <c r="BP84">
        <v>0.13400000000000001</v>
      </c>
      <c r="BQ84">
        <v>423</v>
      </c>
      <c r="BR84">
        <v>16</v>
      </c>
      <c r="BS84">
        <v>0.28000000000000003</v>
      </c>
      <c r="BT84">
        <v>0.11</v>
      </c>
      <c r="BU84">
        <v>-1.3729604500000001</v>
      </c>
      <c r="BV84">
        <v>20.3365287969925</v>
      </c>
      <c r="BW84">
        <v>3.8854760135664299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-0.16308829999999999</v>
      </c>
      <c r="CD84">
        <v>8.20418345864663E-2</v>
      </c>
      <c r="CE84">
        <v>8.5932222891066893E-3</v>
      </c>
      <c r="CF84">
        <v>1</v>
      </c>
      <c r="CG84">
        <v>1</v>
      </c>
      <c r="CH84">
        <v>2</v>
      </c>
      <c r="CI84" t="s">
        <v>303</v>
      </c>
      <c r="CJ84">
        <v>3.3499099999999999</v>
      </c>
      <c r="CK84">
        <v>2.6926199999999998</v>
      </c>
      <c r="CL84">
        <v>9.7219799999999995E-2</v>
      </c>
      <c r="CM84">
        <v>9.4516500000000003E-2</v>
      </c>
      <c r="CN84">
        <v>8.7155099999999999E-2</v>
      </c>
      <c r="CO84">
        <v>8.6941599999999994E-2</v>
      </c>
      <c r="CP84">
        <v>31658</v>
      </c>
      <c r="CQ84">
        <v>27860.1</v>
      </c>
      <c r="CR84">
        <v>32455.1</v>
      </c>
      <c r="CS84">
        <v>30694.1</v>
      </c>
      <c r="CT84">
        <v>40113.300000000003</v>
      </c>
      <c r="CU84">
        <v>39399.9</v>
      </c>
      <c r="CV84">
        <v>47395.1</v>
      </c>
      <c r="CW84">
        <v>46804.800000000003</v>
      </c>
      <c r="CX84">
        <v>2.5078</v>
      </c>
      <c r="CY84">
        <v>2.3251599999999999</v>
      </c>
      <c r="CZ84">
        <v>0</v>
      </c>
      <c r="DA84">
        <v>0</v>
      </c>
      <c r="DB84">
        <v>999.9</v>
      </c>
      <c r="DC84">
        <v>999.9</v>
      </c>
      <c r="DD84">
        <v>61.817999999999998</v>
      </c>
      <c r="DE84">
        <v>24.753</v>
      </c>
      <c r="DF84">
        <v>19.552099999999999</v>
      </c>
      <c r="DG84">
        <v>30.01</v>
      </c>
      <c r="DH84">
        <v>13.097</v>
      </c>
      <c r="DI84">
        <v>2</v>
      </c>
      <c r="DJ84">
        <v>-0.138516</v>
      </c>
      <c r="DK84">
        <v>2.1812299999999998</v>
      </c>
      <c r="DL84">
        <v>20.208500000000001</v>
      </c>
      <c r="DM84">
        <v>5.2509499999999996</v>
      </c>
      <c r="DN84">
        <v>12.033899999999999</v>
      </c>
      <c r="DO84">
        <v>4.96732</v>
      </c>
      <c r="DP84">
        <v>3.2909999999999999</v>
      </c>
      <c r="DQ84">
        <v>9999</v>
      </c>
      <c r="DR84">
        <v>9999</v>
      </c>
      <c r="DS84">
        <v>522.9</v>
      </c>
      <c r="DT84">
        <v>9999</v>
      </c>
      <c r="DU84">
        <v>1.8708800000000001</v>
      </c>
      <c r="DV84">
        <v>1.87595</v>
      </c>
      <c r="DW84">
        <v>1.87622</v>
      </c>
      <c r="DX84">
        <v>1.8827100000000001</v>
      </c>
      <c r="DY84">
        <v>1.8754599999999999</v>
      </c>
      <c r="DZ84">
        <v>1.87453</v>
      </c>
      <c r="EA84">
        <v>1.8707199999999999</v>
      </c>
      <c r="EB84">
        <v>1.8745400000000001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-0.873</v>
      </c>
      <c r="EQ84">
        <v>0.1338</v>
      </c>
      <c r="ER84">
        <v>-0.87250000000000205</v>
      </c>
      <c r="ES84">
        <v>0</v>
      </c>
      <c r="ET84">
        <v>0</v>
      </c>
      <c r="EU84">
        <v>0</v>
      </c>
      <c r="EV84">
        <v>0.13378000000000201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2.5</v>
      </c>
      <c r="FE84">
        <v>2.7</v>
      </c>
      <c r="FF84">
        <v>0.90454100000000004</v>
      </c>
      <c r="FG84">
        <v>2.5671400000000002</v>
      </c>
      <c r="FH84">
        <v>2.19604</v>
      </c>
      <c r="FI84">
        <v>2.67456</v>
      </c>
      <c r="FJ84">
        <v>2.4462899999999999</v>
      </c>
      <c r="FK84">
        <v>2.2216800000000001</v>
      </c>
      <c r="FL84">
        <v>30.5015</v>
      </c>
      <c r="FM84">
        <v>24.157499999999999</v>
      </c>
      <c r="FN84">
        <v>19</v>
      </c>
      <c r="FO84">
        <v>759.79899999999998</v>
      </c>
      <c r="FP84">
        <v>738.48099999999999</v>
      </c>
      <c r="FQ84">
        <v>18.0778</v>
      </c>
      <c r="FR84">
        <v>25.253299999999999</v>
      </c>
      <c r="FS84">
        <v>30.0001</v>
      </c>
      <c r="FT84">
        <v>25.2577</v>
      </c>
      <c r="FU84">
        <v>25.257999999999999</v>
      </c>
      <c r="FV84">
        <v>18.169899999999998</v>
      </c>
      <c r="FW84">
        <v>54.651699999999998</v>
      </c>
      <c r="FX84">
        <v>99.629000000000005</v>
      </c>
      <c r="FY84">
        <v>18.079899999999999</v>
      </c>
      <c r="FZ84">
        <v>410</v>
      </c>
      <c r="GA84">
        <v>15.716100000000001</v>
      </c>
      <c r="GB84">
        <v>99.870599999999996</v>
      </c>
      <c r="GC84">
        <v>99.641400000000004</v>
      </c>
    </row>
    <row r="85" spans="1:185" x14ac:dyDescent="0.2">
      <c r="A85">
        <v>70</v>
      </c>
      <c r="B85">
        <v>1768579847.0999999</v>
      </c>
      <c r="C85">
        <v>1454.0999999046301</v>
      </c>
      <c r="D85" t="s">
        <v>435</v>
      </c>
      <c r="E85" t="s">
        <v>436</v>
      </c>
      <c r="F85">
        <v>15</v>
      </c>
      <c r="G85">
        <v>1768579839.03333</v>
      </c>
      <c r="H85">
        <f t="shared" si="25"/>
        <v>-9.6831808528134359E-5</v>
      </c>
      <c r="I85">
        <v>0</v>
      </c>
      <c r="J85">
        <f t="shared" si="37"/>
        <v>-7.3031631125330912E-2</v>
      </c>
      <c r="K85">
        <f t="shared" si="26"/>
        <v>-1.9126744400267168</v>
      </c>
      <c r="L85">
        <f t="shared" si="27"/>
        <v>70.318770572713674</v>
      </c>
      <c r="M85">
        <f t="shared" si="28"/>
        <v>1.5502855510395945</v>
      </c>
      <c r="N85">
        <f t="shared" si="29"/>
        <v>2.204653947179736</v>
      </c>
      <c r="O85">
        <v>0</v>
      </c>
      <c r="P85">
        <v>0</v>
      </c>
      <c r="Q85">
        <f t="shared" si="30"/>
        <v>1</v>
      </c>
      <c r="R85">
        <f t="shared" si="31"/>
        <v>0</v>
      </c>
      <c r="S85">
        <f t="shared" si="32"/>
        <v>26018.454781120989</v>
      </c>
      <c r="T85">
        <f t="shared" si="33"/>
        <v>500.00113333333297</v>
      </c>
      <c r="U85">
        <f t="shared" si="34"/>
        <v>421.50072799948413</v>
      </c>
      <c r="V85">
        <f t="shared" si="35"/>
        <v>0.84299954519999976</v>
      </c>
      <c r="W85">
        <f t="shared" si="36"/>
        <v>0.15869920079199995</v>
      </c>
      <c r="X85">
        <v>1</v>
      </c>
      <c r="Y85">
        <v>1768579839.03333</v>
      </c>
      <c r="Z85">
        <v>408.84800000000001</v>
      </c>
      <c r="AA85">
        <v>406.05906666666698</v>
      </c>
      <c r="AB85">
        <v>15.641806666666699</v>
      </c>
      <c r="AC85">
        <v>15.7779733333333</v>
      </c>
      <c r="AD85">
        <v>409.72046666666699</v>
      </c>
      <c r="AE85">
        <v>15.508039999999999</v>
      </c>
      <c r="AF85">
        <v>700.00379999999996</v>
      </c>
      <c r="AG85">
        <v>99.056799999999996</v>
      </c>
      <c r="AH85">
        <v>5.4868113333333302E-2</v>
      </c>
      <c r="AI85">
        <v>18.996173333333299</v>
      </c>
      <c r="AJ85">
        <v>999.9</v>
      </c>
      <c r="AK85">
        <v>999.9</v>
      </c>
      <c r="AL85">
        <v>0</v>
      </c>
      <c r="AM85">
        <v>0</v>
      </c>
      <c r="AN85">
        <v>5007.2</v>
      </c>
      <c r="AO85">
        <v>0</v>
      </c>
      <c r="AP85">
        <v>2.4742946666666699</v>
      </c>
      <c r="AQ85">
        <v>2.7889175666666701</v>
      </c>
      <c r="AR85">
        <v>415.34486666666697</v>
      </c>
      <c r="AS85">
        <v>412.56853333333299</v>
      </c>
      <c r="AT85">
        <v>-0.136163066666667</v>
      </c>
      <c r="AU85">
        <v>406.05906666666698</v>
      </c>
      <c r="AV85">
        <v>15.7779733333333</v>
      </c>
      <c r="AW85">
        <v>1.5494273333333299</v>
      </c>
      <c r="AX85">
        <v>1.5629166666666701</v>
      </c>
      <c r="AY85">
        <v>13.4648533333333</v>
      </c>
      <c r="AZ85">
        <v>13.5979333333333</v>
      </c>
      <c r="BA85">
        <v>500.00113333333297</v>
      </c>
      <c r="BB85">
        <v>0.90001013333333302</v>
      </c>
      <c r="BC85">
        <v>0</v>
      </c>
      <c r="BD85">
        <v>9.9989693333333296E-2</v>
      </c>
      <c r="BE85">
        <v>0</v>
      </c>
      <c r="BF85">
        <v>25</v>
      </c>
      <c r="BG85">
        <v>8244.4380000000001</v>
      </c>
      <c r="BH85">
        <v>1768579680.0999999</v>
      </c>
      <c r="BI85" t="s">
        <v>412</v>
      </c>
      <c r="BJ85">
        <v>1768579680.0999999</v>
      </c>
      <c r="BK85">
        <v>1768579672.0999999</v>
      </c>
      <c r="BL85">
        <v>3</v>
      </c>
      <c r="BM85">
        <v>5.8999999999999997E-2</v>
      </c>
      <c r="BN85">
        <v>-8.0000000000000002E-3</v>
      </c>
      <c r="BO85">
        <v>-0.873</v>
      </c>
      <c r="BP85">
        <v>0.13400000000000001</v>
      </c>
      <c r="BQ85">
        <v>423</v>
      </c>
      <c r="BR85">
        <v>16</v>
      </c>
      <c r="BS85">
        <v>0.28000000000000003</v>
      </c>
      <c r="BT85">
        <v>0.11</v>
      </c>
      <c r="BU85">
        <v>3.4470651750000001</v>
      </c>
      <c r="BV85">
        <v>-25.8759723383458</v>
      </c>
      <c r="BW85">
        <v>3.1174495251668199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-0.13954939999999999</v>
      </c>
      <c r="CD85">
        <v>6.1422586466165503E-2</v>
      </c>
      <c r="CE85">
        <v>7.3430331294363597E-3</v>
      </c>
      <c r="CF85">
        <v>1</v>
      </c>
      <c r="CG85">
        <v>1</v>
      </c>
      <c r="CH85">
        <v>2</v>
      </c>
      <c r="CI85" t="s">
        <v>303</v>
      </c>
      <c r="CJ85">
        <v>3.3498600000000001</v>
      </c>
      <c r="CK85">
        <v>2.6927699999999999</v>
      </c>
      <c r="CL85">
        <v>9.6704300000000007E-2</v>
      </c>
      <c r="CM85">
        <v>9.5541799999999996E-2</v>
      </c>
      <c r="CN85">
        <v>8.71117E-2</v>
      </c>
      <c r="CO85">
        <v>8.6856699999999995E-2</v>
      </c>
      <c r="CP85">
        <v>31676.400000000001</v>
      </c>
      <c r="CQ85">
        <v>27828.799999999999</v>
      </c>
      <c r="CR85">
        <v>32455.5</v>
      </c>
      <c r="CS85">
        <v>30694.400000000001</v>
      </c>
      <c r="CT85">
        <v>40115.800000000003</v>
      </c>
      <c r="CU85">
        <v>39404.199999999997</v>
      </c>
      <c r="CV85">
        <v>47395.8</v>
      </c>
      <c r="CW85">
        <v>46805.2</v>
      </c>
      <c r="CX85">
        <v>2.5075400000000001</v>
      </c>
      <c r="CY85">
        <v>2.32498</v>
      </c>
      <c r="CZ85">
        <v>0</v>
      </c>
      <c r="DA85">
        <v>0</v>
      </c>
      <c r="DB85">
        <v>999.9</v>
      </c>
      <c r="DC85">
        <v>999.9</v>
      </c>
      <c r="DD85">
        <v>61.768999999999998</v>
      </c>
      <c r="DE85">
        <v>24.763000000000002</v>
      </c>
      <c r="DF85">
        <v>19.5501</v>
      </c>
      <c r="DG85">
        <v>29.92</v>
      </c>
      <c r="DH85">
        <v>13.052899999999999</v>
      </c>
      <c r="DI85">
        <v>2</v>
      </c>
      <c r="DJ85">
        <v>-0.13799600000000001</v>
      </c>
      <c r="DK85">
        <v>2.1723300000000001</v>
      </c>
      <c r="DL85">
        <v>20.209099999999999</v>
      </c>
      <c r="DM85">
        <v>5.2515499999999999</v>
      </c>
      <c r="DN85">
        <v>12.033899999999999</v>
      </c>
      <c r="DO85">
        <v>4.9676</v>
      </c>
      <c r="DP85">
        <v>3.2909999999999999</v>
      </c>
      <c r="DQ85">
        <v>9999</v>
      </c>
      <c r="DR85">
        <v>9999</v>
      </c>
      <c r="DS85">
        <v>522.9</v>
      </c>
      <c r="DT85">
        <v>9999</v>
      </c>
      <c r="DU85">
        <v>1.8708800000000001</v>
      </c>
      <c r="DV85">
        <v>1.87599</v>
      </c>
      <c r="DW85">
        <v>1.8762099999999999</v>
      </c>
      <c r="DX85">
        <v>1.8827199999999999</v>
      </c>
      <c r="DY85">
        <v>1.8754599999999999</v>
      </c>
      <c r="DZ85">
        <v>1.87453</v>
      </c>
      <c r="EA85">
        <v>1.8707100000000001</v>
      </c>
      <c r="EB85">
        <v>1.8745400000000001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-0.873</v>
      </c>
      <c r="EQ85">
        <v>0.1338</v>
      </c>
      <c r="ER85">
        <v>-0.87250000000000205</v>
      </c>
      <c r="ES85">
        <v>0</v>
      </c>
      <c r="ET85">
        <v>0</v>
      </c>
      <c r="EU85">
        <v>0</v>
      </c>
      <c r="EV85">
        <v>0.13378000000000201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2.8</v>
      </c>
      <c r="FE85">
        <v>2.9</v>
      </c>
      <c r="FF85">
        <v>0.92040999999999995</v>
      </c>
      <c r="FG85">
        <v>2.5671400000000002</v>
      </c>
      <c r="FH85">
        <v>2.19604</v>
      </c>
      <c r="FI85">
        <v>2.67456</v>
      </c>
      <c r="FJ85">
        <v>2.4462899999999999</v>
      </c>
      <c r="FK85">
        <v>2.2717299999999998</v>
      </c>
      <c r="FL85">
        <v>30.523099999999999</v>
      </c>
      <c r="FM85">
        <v>24.148800000000001</v>
      </c>
      <c r="FN85">
        <v>19</v>
      </c>
      <c r="FO85">
        <v>759.65300000000002</v>
      </c>
      <c r="FP85">
        <v>738.39800000000002</v>
      </c>
      <c r="FQ85">
        <v>18.086400000000001</v>
      </c>
      <c r="FR85">
        <v>25.2576</v>
      </c>
      <c r="FS85">
        <v>30.000299999999999</v>
      </c>
      <c r="FT85">
        <v>25.262799999999999</v>
      </c>
      <c r="FU85">
        <v>25.263999999999999</v>
      </c>
      <c r="FV85">
        <v>18.4818</v>
      </c>
      <c r="FW85">
        <v>54.651699999999998</v>
      </c>
      <c r="FX85">
        <v>99.629000000000005</v>
      </c>
      <c r="FY85">
        <v>18.088200000000001</v>
      </c>
      <c r="FZ85">
        <v>410</v>
      </c>
      <c r="GA85">
        <v>15.704499999999999</v>
      </c>
      <c r="GB85">
        <v>99.871899999999997</v>
      </c>
      <c r="GC85">
        <v>99.642300000000006</v>
      </c>
    </row>
    <row r="86" spans="1:185" x14ac:dyDescent="0.2">
      <c r="A86">
        <v>71</v>
      </c>
      <c r="B86">
        <v>1768579862.0999999</v>
      </c>
      <c r="C86">
        <v>1469.0999999046301</v>
      </c>
      <c r="D86" t="s">
        <v>437</v>
      </c>
      <c r="E86" t="s">
        <v>438</v>
      </c>
      <c r="F86">
        <v>15</v>
      </c>
      <c r="G86">
        <v>1768579854.03333</v>
      </c>
      <c r="H86">
        <f t="shared" si="25"/>
        <v>-9.6147883255493226E-5</v>
      </c>
      <c r="I86">
        <v>0</v>
      </c>
      <c r="J86">
        <f t="shared" si="37"/>
        <v>-5.9118970408252496E-3</v>
      </c>
      <c r="K86">
        <f t="shared" si="26"/>
        <v>-0.15483064239180108</v>
      </c>
      <c r="L86">
        <f t="shared" si="27"/>
        <v>70.27653053183549</v>
      </c>
      <c r="M86">
        <f t="shared" si="28"/>
        <v>1.5495393082973459</v>
      </c>
      <c r="N86">
        <f t="shared" si="29"/>
        <v>2.2049171986306293</v>
      </c>
      <c r="O86">
        <v>0</v>
      </c>
      <c r="P86">
        <v>0</v>
      </c>
      <c r="Q86">
        <f t="shared" si="30"/>
        <v>1</v>
      </c>
      <c r="R86">
        <f t="shared" si="31"/>
        <v>0</v>
      </c>
      <c r="S86">
        <f t="shared" si="32"/>
        <v>25987.620450710332</v>
      </c>
      <c r="T86">
        <f t="shared" si="33"/>
        <v>499.99753333333302</v>
      </c>
      <c r="U86">
        <f t="shared" si="34"/>
        <v>421.49770700105364</v>
      </c>
      <c r="V86">
        <f t="shared" si="35"/>
        <v>0.84299957280000026</v>
      </c>
      <c r="W86">
        <f t="shared" si="36"/>
        <v>0.15869898396800006</v>
      </c>
      <c r="X86">
        <v>1</v>
      </c>
      <c r="Y86">
        <v>1768579854.03333</v>
      </c>
      <c r="Z86">
        <v>408.28893333333298</v>
      </c>
      <c r="AA86">
        <v>408.011666666667</v>
      </c>
      <c r="AB86">
        <v>15.633953333333301</v>
      </c>
      <c r="AC86">
        <v>15.769159999999999</v>
      </c>
      <c r="AD86">
        <v>409.16153333333301</v>
      </c>
      <c r="AE86">
        <v>15.5001533333333</v>
      </c>
      <c r="AF86">
        <v>700.00033333333295</v>
      </c>
      <c r="AG86">
        <v>99.058946666666699</v>
      </c>
      <c r="AH86">
        <v>5.4775579999999997E-2</v>
      </c>
      <c r="AI86">
        <v>18.998086666666701</v>
      </c>
      <c r="AJ86">
        <v>999.9</v>
      </c>
      <c r="AK86">
        <v>999.9</v>
      </c>
      <c r="AL86">
        <v>0</v>
      </c>
      <c r="AM86">
        <v>0</v>
      </c>
      <c r="AN86">
        <v>5002</v>
      </c>
      <c r="AO86">
        <v>0</v>
      </c>
      <c r="AP86">
        <v>2.48272466666667</v>
      </c>
      <c r="AQ86">
        <v>0.27727432266666702</v>
      </c>
      <c r="AR86">
        <v>414.77353333333298</v>
      </c>
      <c r="AS86">
        <v>414.54873333333302</v>
      </c>
      <c r="AT86">
        <v>-0.135210733333333</v>
      </c>
      <c r="AU86">
        <v>408.011666666667</v>
      </c>
      <c r="AV86">
        <v>15.769159999999999</v>
      </c>
      <c r="AW86">
        <v>1.5486806666666699</v>
      </c>
      <c r="AX86">
        <v>1.5620766666666701</v>
      </c>
      <c r="AY86">
        <v>13.457459999999999</v>
      </c>
      <c r="AZ86">
        <v>13.589686666666701</v>
      </c>
      <c r="BA86">
        <v>499.99753333333302</v>
      </c>
      <c r="BB86">
        <v>0.90001346666666704</v>
      </c>
      <c r="BC86">
        <v>0</v>
      </c>
      <c r="BD86">
        <v>9.9986506666666697E-2</v>
      </c>
      <c r="BE86">
        <v>0</v>
      </c>
      <c r="BF86">
        <v>25</v>
      </c>
      <c r="BG86">
        <v>8244.384</v>
      </c>
      <c r="BH86">
        <v>1768579680.0999999</v>
      </c>
      <c r="BI86" t="s">
        <v>412</v>
      </c>
      <c r="BJ86">
        <v>1768579680.0999999</v>
      </c>
      <c r="BK86">
        <v>1768579672.0999999</v>
      </c>
      <c r="BL86">
        <v>3</v>
      </c>
      <c r="BM86">
        <v>5.8999999999999997E-2</v>
      </c>
      <c r="BN86">
        <v>-8.0000000000000002E-3</v>
      </c>
      <c r="BO86">
        <v>-0.873</v>
      </c>
      <c r="BP86">
        <v>0.13400000000000001</v>
      </c>
      <c r="BQ86">
        <v>423</v>
      </c>
      <c r="BR86">
        <v>16</v>
      </c>
      <c r="BS86">
        <v>0.28000000000000003</v>
      </c>
      <c r="BT86">
        <v>0.11</v>
      </c>
      <c r="BU86">
        <v>5.4491254285714302E-2</v>
      </c>
      <c r="BV86">
        <v>4.8671288711688296</v>
      </c>
      <c r="BW86">
        <v>0.88708230201231597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-0.135195476190476</v>
      </c>
      <c r="CD86">
        <v>2.7766753246751099E-3</v>
      </c>
      <c r="CE86">
        <v>1.3034688013526701E-3</v>
      </c>
      <c r="CF86">
        <v>1</v>
      </c>
      <c r="CG86">
        <v>1</v>
      </c>
      <c r="CH86">
        <v>2</v>
      </c>
      <c r="CI86" t="s">
        <v>303</v>
      </c>
      <c r="CJ86">
        <v>3.3498800000000002</v>
      </c>
      <c r="CK86">
        <v>2.6923699999999999</v>
      </c>
      <c r="CL86">
        <v>9.6671099999999996E-2</v>
      </c>
      <c r="CM86">
        <v>9.5512899999999998E-2</v>
      </c>
      <c r="CN86">
        <v>8.7092000000000003E-2</v>
      </c>
      <c r="CO86">
        <v>8.6832800000000002E-2</v>
      </c>
      <c r="CP86">
        <v>31677.3</v>
      </c>
      <c r="CQ86">
        <v>27829.200000000001</v>
      </c>
      <c r="CR86">
        <v>32455.200000000001</v>
      </c>
      <c r="CS86">
        <v>30693.9</v>
      </c>
      <c r="CT86">
        <v>40116.400000000001</v>
      </c>
      <c r="CU86">
        <v>39404.800000000003</v>
      </c>
      <c r="CV86">
        <v>47395.5</v>
      </c>
      <c r="CW86">
        <v>46804.800000000003</v>
      </c>
      <c r="CX86">
        <v>2.50766</v>
      </c>
      <c r="CY86">
        <v>2.3247599999999999</v>
      </c>
      <c r="CZ86">
        <v>0</v>
      </c>
      <c r="DA86">
        <v>0</v>
      </c>
      <c r="DB86">
        <v>999.9</v>
      </c>
      <c r="DC86">
        <v>999.9</v>
      </c>
      <c r="DD86">
        <v>61.738</v>
      </c>
      <c r="DE86">
        <v>24.792999999999999</v>
      </c>
      <c r="DF86">
        <v>19.5749</v>
      </c>
      <c r="DG86">
        <v>29.98</v>
      </c>
      <c r="DH86">
        <v>12.9688</v>
      </c>
      <c r="DI86">
        <v>2</v>
      </c>
      <c r="DJ86">
        <v>-0.13767299999999999</v>
      </c>
      <c r="DK86">
        <v>2.1685500000000002</v>
      </c>
      <c r="DL86">
        <v>20.2058</v>
      </c>
      <c r="DM86">
        <v>5.2508299999999997</v>
      </c>
      <c r="DN86">
        <v>12.033899999999999</v>
      </c>
      <c r="DO86">
        <v>4.9672000000000001</v>
      </c>
      <c r="DP86">
        <v>3.2909999999999999</v>
      </c>
      <c r="DQ86">
        <v>9999</v>
      </c>
      <c r="DR86">
        <v>9999</v>
      </c>
      <c r="DS86">
        <v>522.9</v>
      </c>
      <c r="DT86">
        <v>9999</v>
      </c>
      <c r="DU86">
        <v>1.8708899999999999</v>
      </c>
      <c r="DV86">
        <v>1.8759699999999999</v>
      </c>
      <c r="DW86">
        <v>1.87619</v>
      </c>
      <c r="DX86">
        <v>1.88273</v>
      </c>
      <c r="DY86">
        <v>1.8754599999999999</v>
      </c>
      <c r="DZ86">
        <v>1.87453</v>
      </c>
      <c r="EA86">
        <v>1.8707</v>
      </c>
      <c r="EB86">
        <v>1.87453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-0.872</v>
      </c>
      <c r="EQ86">
        <v>0.13370000000000001</v>
      </c>
      <c r="ER86">
        <v>-0.87250000000000205</v>
      </c>
      <c r="ES86">
        <v>0</v>
      </c>
      <c r="ET86">
        <v>0</v>
      </c>
      <c r="EU86">
        <v>0</v>
      </c>
      <c r="EV86">
        <v>0.13378000000000201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3</v>
      </c>
      <c r="FE86">
        <v>3.2</v>
      </c>
      <c r="FF86">
        <v>0.931396</v>
      </c>
      <c r="FG86">
        <v>2.5695800000000002</v>
      </c>
      <c r="FH86">
        <v>2.19604</v>
      </c>
      <c r="FI86">
        <v>2.67578</v>
      </c>
      <c r="FJ86">
        <v>2.4462899999999999</v>
      </c>
      <c r="FK86">
        <v>2.2509800000000002</v>
      </c>
      <c r="FL86">
        <v>30.523099999999999</v>
      </c>
      <c r="FM86">
        <v>24.148800000000001</v>
      </c>
      <c r="FN86">
        <v>19</v>
      </c>
      <c r="FO86">
        <v>759.83199999999999</v>
      </c>
      <c r="FP86">
        <v>738.25400000000002</v>
      </c>
      <c r="FQ86">
        <v>18.092400000000001</v>
      </c>
      <c r="FR86">
        <v>25.261800000000001</v>
      </c>
      <c r="FS86">
        <v>30.0001</v>
      </c>
      <c r="FT86">
        <v>25.2684</v>
      </c>
      <c r="FU86">
        <v>25.2682</v>
      </c>
      <c r="FV86">
        <v>18.702200000000001</v>
      </c>
      <c r="FW86">
        <v>55.1982</v>
      </c>
      <c r="FX86">
        <v>99.258600000000001</v>
      </c>
      <c r="FY86">
        <v>18.093</v>
      </c>
      <c r="FZ86">
        <v>410</v>
      </c>
      <c r="GA86">
        <v>15.6938</v>
      </c>
      <c r="GB86">
        <v>99.871200000000002</v>
      </c>
      <c r="GC86">
        <v>99.641099999999994</v>
      </c>
    </row>
    <row r="87" spans="1:185" x14ac:dyDescent="0.2">
      <c r="A87">
        <v>72</v>
      </c>
      <c r="B87">
        <v>1768579877.0999999</v>
      </c>
      <c r="C87">
        <v>1484.0999999046301</v>
      </c>
      <c r="D87" t="s">
        <v>439</v>
      </c>
      <c r="E87" t="s">
        <v>440</v>
      </c>
      <c r="F87">
        <v>15</v>
      </c>
      <c r="G87">
        <v>1768579869.03333</v>
      </c>
      <c r="H87">
        <f t="shared" si="25"/>
        <v>-8.7538899783669164E-5</v>
      </c>
      <c r="I87">
        <v>0</v>
      </c>
      <c r="J87">
        <f t="shared" si="37"/>
        <v>6.4474668463422757E-2</v>
      </c>
      <c r="K87">
        <f t="shared" si="26"/>
        <v>1.6885703974974251</v>
      </c>
      <c r="L87">
        <f t="shared" si="27"/>
        <v>70.231258927842873</v>
      </c>
      <c r="M87">
        <f t="shared" si="28"/>
        <v>1.5489251107174848</v>
      </c>
      <c r="N87">
        <f t="shared" si="29"/>
        <v>2.2054639691264599</v>
      </c>
      <c r="O87">
        <v>0</v>
      </c>
      <c r="P87">
        <v>0</v>
      </c>
      <c r="Q87">
        <f t="shared" si="30"/>
        <v>1</v>
      </c>
      <c r="R87">
        <f t="shared" si="31"/>
        <v>0</v>
      </c>
      <c r="S87">
        <f t="shared" si="32"/>
        <v>25991.045936758754</v>
      </c>
      <c r="T87">
        <f t="shared" si="33"/>
        <v>500.00213333333301</v>
      </c>
      <c r="U87">
        <f t="shared" si="34"/>
        <v>421.50160889919113</v>
      </c>
      <c r="V87">
        <f t="shared" si="35"/>
        <v>0.84299962099999992</v>
      </c>
      <c r="W87">
        <f t="shared" si="36"/>
        <v>0.15869898754</v>
      </c>
      <c r="X87">
        <v>1</v>
      </c>
      <c r="Y87">
        <v>1768579869.03333</v>
      </c>
      <c r="Z87">
        <v>409.04333333333301</v>
      </c>
      <c r="AA87">
        <v>411.40440000000001</v>
      </c>
      <c r="AB87">
        <v>15.6277733333333</v>
      </c>
      <c r="AC87">
        <v>15.750873333333301</v>
      </c>
      <c r="AD87">
        <v>409.91566666666699</v>
      </c>
      <c r="AE87">
        <v>15.494</v>
      </c>
      <c r="AF87">
        <v>700.00699999999995</v>
      </c>
      <c r="AG87">
        <v>99.058853333333303</v>
      </c>
      <c r="AH87">
        <v>5.4761746666666701E-2</v>
      </c>
      <c r="AI87">
        <v>19.00206</v>
      </c>
      <c r="AJ87">
        <v>999.9</v>
      </c>
      <c r="AK87">
        <v>999.9</v>
      </c>
      <c r="AL87">
        <v>0</v>
      </c>
      <c r="AM87">
        <v>0</v>
      </c>
      <c r="AN87">
        <v>5002.6333333333296</v>
      </c>
      <c r="AO87">
        <v>0</v>
      </c>
      <c r="AP87">
        <v>2.4712839999999998</v>
      </c>
      <c r="AQ87">
        <v>-2.3611095333333298</v>
      </c>
      <c r="AR87">
        <v>415.53726666666699</v>
      </c>
      <c r="AS87">
        <v>417.98806666666701</v>
      </c>
      <c r="AT87">
        <v>-0.12310713333333299</v>
      </c>
      <c r="AU87">
        <v>411.40440000000001</v>
      </c>
      <c r="AV87">
        <v>15.750873333333301</v>
      </c>
      <c r="AW87">
        <v>1.548068</v>
      </c>
      <c r="AX87">
        <v>1.5602640000000001</v>
      </c>
      <c r="AY87">
        <v>13.451373333333301</v>
      </c>
      <c r="AZ87">
        <v>13.571859999999999</v>
      </c>
      <c r="BA87">
        <v>500.00213333333301</v>
      </c>
      <c r="BB87">
        <v>0.90001359999999997</v>
      </c>
      <c r="BC87">
        <v>0</v>
      </c>
      <c r="BD87">
        <v>9.9986433333333305E-2</v>
      </c>
      <c r="BE87">
        <v>0</v>
      </c>
      <c r="BF87">
        <v>25</v>
      </c>
      <c r="BG87">
        <v>8244.4633333333295</v>
      </c>
      <c r="BH87">
        <v>1768579680.0999999</v>
      </c>
      <c r="BI87" t="s">
        <v>412</v>
      </c>
      <c r="BJ87">
        <v>1768579680.0999999</v>
      </c>
      <c r="BK87">
        <v>1768579672.0999999</v>
      </c>
      <c r="BL87">
        <v>3</v>
      </c>
      <c r="BM87">
        <v>5.8999999999999997E-2</v>
      </c>
      <c r="BN87">
        <v>-8.0000000000000002E-3</v>
      </c>
      <c r="BO87">
        <v>-0.873</v>
      </c>
      <c r="BP87">
        <v>0.13400000000000001</v>
      </c>
      <c r="BQ87">
        <v>423</v>
      </c>
      <c r="BR87">
        <v>16</v>
      </c>
      <c r="BS87">
        <v>0.28000000000000003</v>
      </c>
      <c r="BT87">
        <v>0.11</v>
      </c>
      <c r="BU87">
        <v>-1.6043572500000001</v>
      </c>
      <c r="BV87">
        <v>-14.555351323308299</v>
      </c>
      <c r="BW87">
        <v>1.60072865074974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-0.12603575</v>
      </c>
      <c r="CD87">
        <v>5.6586541353383299E-2</v>
      </c>
      <c r="CE87">
        <v>7.3415593839115702E-3</v>
      </c>
      <c r="CF87">
        <v>1</v>
      </c>
      <c r="CG87">
        <v>1</v>
      </c>
      <c r="CH87">
        <v>2</v>
      </c>
      <c r="CI87" t="s">
        <v>303</v>
      </c>
      <c r="CJ87">
        <v>3.3499300000000001</v>
      </c>
      <c r="CK87">
        <v>2.69245</v>
      </c>
      <c r="CL87">
        <v>9.7128400000000004E-2</v>
      </c>
      <c r="CM87">
        <v>9.6298999999999996E-2</v>
      </c>
      <c r="CN87">
        <v>8.7048899999999999E-2</v>
      </c>
      <c r="CO87">
        <v>8.6753499999999997E-2</v>
      </c>
      <c r="CP87">
        <v>31661</v>
      </c>
      <c r="CQ87">
        <v>27805.4</v>
      </c>
      <c r="CR87">
        <v>32454.9</v>
      </c>
      <c r="CS87">
        <v>30694.400000000001</v>
      </c>
      <c r="CT87">
        <v>40118.1</v>
      </c>
      <c r="CU87">
        <v>39409.199999999997</v>
      </c>
      <c r="CV87">
        <v>47395</v>
      </c>
      <c r="CW87">
        <v>46805.7</v>
      </c>
      <c r="CX87">
        <v>2.50752</v>
      </c>
      <c r="CY87">
        <v>2.3244600000000002</v>
      </c>
      <c r="CZ87">
        <v>0</v>
      </c>
      <c r="DA87">
        <v>0</v>
      </c>
      <c r="DB87">
        <v>999.9</v>
      </c>
      <c r="DC87">
        <v>999.9</v>
      </c>
      <c r="DD87">
        <v>61.69</v>
      </c>
      <c r="DE87">
        <v>24.803000000000001</v>
      </c>
      <c r="DF87">
        <v>19.569900000000001</v>
      </c>
      <c r="DG87">
        <v>29.98</v>
      </c>
      <c r="DH87">
        <v>12.9567</v>
      </c>
      <c r="DI87">
        <v>2</v>
      </c>
      <c r="DJ87">
        <v>-0.13695099999999999</v>
      </c>
      <c r="DK87">
        <v>2.2160700000000002</v>
      </c>
      <c r="DL87">
        <v>20.207799999999999</v>
      </c>
      <c r="DM87">
        <v>5.25143</v>
      </c>
      <c r="DN87">
        <v>12.033899999999999</v>
      </c>
      <c r="DO87">
        <v>4.9674800000000001</v>
      </c>
      <c r="DP87">
        <v>3.2909999999999999</v>
      </c>
      <c r="DQ87">
        <v>9999</v>
      </c>
      <c r="DR87">
        <v>9999</v>
      </c>
      <c r="DS87">
        <v>522.9</v>
      </c>
      <c r="DT87">
        <v>9999</v>
      </c>
      <c r="DU87">
        <v>1.8708899999999999</v>
      </c>
      <c r="DV87">
        <v>1.87599</v>
      </c>
      <c r="DW87">
        <v>1.8762099999999999</v>
      </c>
      <c r="DX87">
        <v>1.8827</v>
      </c>
      <c r="DY87">
        <v>1.8754599999999999</v>
      </c>
      <c r="DZ87">
        <v>1.8745400000000001</v>
      </c>
      <c r="EA87">
        <v>1.8707100000000001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-0.873</v>
      </c>
      <c r="EQ87">
        <v>0.1338</v>
      </c>
      <c r="ER87">
        <v>-0.87250000000000205</v>
      </c>
      <c r="ES87">
        <v>0</v>
      </c>
      <c r="ET87">
        <v>0</v>
      </c>
      <c r="EU87">
        <v>0</v>
      </c>
      <c r="EV87">
        <v>0.13378000000000201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3.3</v>
      </c>
      <c r="FE87">
        <v>3.4</v>
      </c>
      <c r="FF87">
        <v>0.91674800000000001</v>
      </c>
      <c r="FG87">
        <v>2.5720200000000002</v>
      </c>
      <c r="FH87">
        <v>2.19604</v>
      </c>
      <c r="FI87">
        <v>2.67456</v>
      </c>
      <c r="FJ87">
        <v>2.4462899999999999</v>
      </c>
      <c r="FK87">
        <v>2.2497600000000002</v>
      </c>
      <c r="FL87">
        <v>30.544599999999999</v>
      </c>
      <c r="FM87">
        <v>24.14</v>
      </c>
      <c r="FN87">
        <v>19</v>
      </c>
      <c r="FO87">
        <v>759.78</v>
      </c>
      <c r="FP87">
        <v>738.04600000000005</v>
      </c>
      <c r="FQ87">
        <v>18.0746</v>
      </c>
      <c r="FR87">
        <v>25.265999999999998</v>
      </c>
      <c r="FS87">
        <v>30.000299999999999</v>
      </c>
      <c r="FT87">
        <v>25.273</v>
      </c>
      <c r="FU87">
        <v>25.273299999999999</v>
      </c>
      <c r="FV87">
        <v>18.4055</v>
      </c>
      <c r="FW87">
        <v>55.1982</v>
      </c>
      <c r="FX87">
        <v>99.258600000000001</v>
      </c>
      <c r="FY87">
        <v>18.073599999999999</v>
      </c>
      <c r="FZ87">
        <v>410</v>
      </c>
      <c r="GA87">
        <v>15.690899999999999</v>
      </c>
      <c r="GB87">
        <v>99.870400000000004</v>
      </c>
      <c r="GC87">
        <v>99.643000000000001</v>
      </c>
    </row>
    <row r="88" spans="1:185" x14ac:dyDescent="0.2">
      <c r="A88">
        <v>73</v>
      </c>
      <c r="B88">
        <v>1768579987.0999999</v>
      </c>
      <c r="C88">
        <v>1594.0999999046301</v>
      </c>
      <c r="D88" t="s">
        <v>441</v>
      </c>
      <c r="E88" t="s">
        <v>442</v>
      </c>
      <c r="F88">
        <v>15</v>
      </c>
      <c r="G88">
        <v>1768579979.0999999</v>
      </c>
      <c r="H88">
        <f t="shared" si="25"/>
        <v>-1.2934614467078076E-3</v>
      </c>
      <c r="I88">
        <v>0</v>
      </c>
      <c r="J88">
        <f t="shared" si="37"/>
        <v>-9.1148178355855772E-2</v>
      </c>
      <c r="K88">
        <f t="shared" si="26"/>
        <v>-2.3871408636219451</v>
      </c>
      <c r="L88">
        <f t="shared" si="27"/>
        <v>72.267317857110783</v>
      </c>
      <c r="M88">
        <f t="shared" si="28"/>
        <v>1.583370377917946</v>
      </c>
      <c r="N88">
        <f t="shared" si="29"/>
        <v>2.190990927667519</v>
      </c>
      <c r="O88">
        <v>0</v>
      </c>
      <c r="P88">
        <v>0</v>
      </c>
      <c r="Q88">
        <f t="shared" si="30"/>
        <v>1</v>
      </c>
      <c r="R88">
        <f t="shared" si="31"/>
        <v>0</v>
      </c>
      <c r="S88">
        <f t="shared" si="32"/>
        <v>25989.751070483213</v>
      </c>
      <c r="T88">
        <f t="shared" si="33"/>
        <v>799.99800000000005</v>
      </c>
      <c r="U88">
        <f t="shared" si="34"/>
        <v>674.39888199857978</v>
      </c>
      <c r="V88">
        <f t="shared" si="35"/>
        <v>0.84300070999999965</v>
      </c>
      <c r="W88">
        <f t="shared" si="36"/>
        <v>0.15870151515999992</v>
      </c>
      <c r="X88">
        <v>1</v>
      </c>
      <c r="Y88">
        <v>1768579979.0999999</v>
      </c>
      <c r="Z88">
        <v>413.78859999999997</v>
      </c>
      <c r="AA88">
        <v>409.61373333333302</v>
      </c>
      <c r="AB88">
        <v>15.9743733333333</v>
      </c>
      <c r="AC88">
        <v>17.7926866666667</v>
      </c>
      <c r="AD88">
        <v>414.66120000000001</v>
      </c>
      <c r="AE88">
        <v>15.840593333333301</v>
      </c>
      <c r="AF88">
        <v>699.98893333333297</v>
      </c>
      <c r="AG88">
        <v>99.064686666666603</v>
      </c>
      <c r="AH88">
        <v>5.4718200000000002E-2</v>
      </c>
      <c r="AI88">
        <v>18.8965933333333</v>
      </c>
      <c r="AJ88">
        <v>999.9</v>
      </c>
      <c r="AK88">
        <v>999.9</v>
      </c>
      <c r="AL88">
        <v>0</v>
      </c>
      <c r="AM88">
        <v>0</v>
      </c>
      <c r="AN88">
        <v>5000.6000000000004</v>
      </c>
      <c r="AO88">
        <v>0</v>
      </c>
      <c r="AP88">
        <v>2.36002</v>
      </c>
      <c r="AQ88">
        <v>4.1749679999999998</v>
      </c>
      <c r="AR88">
        <v>420.50553333333301</v>
      </c>
      <c r="AS88">
        <v>417.03393333333298</v>
      </c>
      <c r="AT88">
        <v>-1.81831066666667</v>
      </c>
      <c r="AU88">
        <v>409.61373333333302</v>
      </c>
      <c r="AV88">
        <v>17.7926866666667</v>
      </c>
      <c r="AW88">
        <v>1.58249533333333</v>
      </c>
      <c r="AX88">
        <v>1.762626</v>
      </c>
      <c r="AY88">
        <v>13.7881933333333</v>
      </c>
      <c r="AZ88">
        <v>15.4589133333333</v>
      </c>
      <c r="BA88">
        <v>799.99800000000005</v>
      </c>
      <c r="BB88">
        <v>0.89998020000000001</v>
      </c>
      <c r="BC88">
        <v>0</v>
      </c>
      <c r="BD88">
        <v>0.10001993333333301</v>
      </c>
      <c r="BE88">
        <v>0</v>
      </c>
      <c r="BF88">
        <v>25</v>
      </c>
      <c r="BG88">
        <v>13190.9</v>
      </c>
      <c r="BH88">
        <v>1768579680.0999999</v>
      </c>
      <c r="BI88" t="s">
        <v>412</v>
      </c>
      <c r="BJ88">
        <v>1768579680.0999999</v>
      </c>
      <c r="BK88">
        <v>1768579672.0999999</v>
      </c>
      <c r="BL88">
        <v>3</v>
      </c>
      <c r="BM88">
        <v>5.8999999999999997E-2</v>
      </c>
      <c r="BN88">
        <v>-8.0000000000000002E-3</v>
      </c>
      <c r="BO88">
        <v>-0.873</v>
      </c>
      <c r="BP88">
        <v>0.13400000000000001</v>
      </c>
      <c r="BQ88">
        <v>423</v>
      </c>
      <c r="BR88">
        <v>16</v>
      </c>
      <c r="BS88">
        <v>0.28000000000000003</v>
      </c>
      <c r="BT88">
        <v>0.11</v>
      </c>
      <c r="BU88">
        <v>5.3545970000000001</v>
      </c>
      <c r="BV88">
        <v>-22.606940751879701</v>
      </c>
      <c r="BW88">
        <v>2.3688079138948801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-2.0142709999999999</v>
      </c>
      <c r="CD88">
        <v>4.6560586466165397</v>
      </c>
      <c r="CE88">
        <v>0.447583775821912</v>
      </c>
      <c r="CF88">
        <v>0</v>
      </c>
      <c r="CG88">
        <v>0</v>
      </c>
      <c r="CH88">
        <v>2</v>
      </c>
      <c r="CI88" t="s">
        <v>290</v>
      </c>
      <c r="CJ88">
        <v>3.3498700000000001</v>
      </c>
      <c r="CK88">
        <v>2.6926700000000001</v>
      </c>
      <c r="CL88">
        <v>9.7405800000000001E-2</v>
      </c>
      <c r="CM88">
        <v>9.5548900000000006E-2</v>
      </c>
      <c r="CN88">
        <v>8.9859300000000003E-2</v>
      </c>
      <c r="CO88">
        <v>9.3785999999999994E-2</v>
      </c>
      <c r="CP88">
        <v>31650.6</v>
      </c>
      <c r="CQ88">
        <v>27828.5</v>
      </c>
      <c r="CR88">
        <v>32454.3</v>
      </c>
      <c r="CS88">
        <v>30694.400000000001</v>
      </c>
      <c r="CT88">
        <v>39990.300000000003</v>
      </c>
      <c r="CU88">
        <v>39095.9</v>
      </c>
      <c r="CV88">
        <v>47394.6</v>
      </c>
      <c r="CW88">
        <v>46806.1</v>
      </c>
      <c r="CX88">
        <v>2.5057</v>
      </c>
      <c r="CY88">
        <v>2.3248799999999998</v>
      </c>
      <c r="CZ88">
        <v>0</v>
      </c>
      <c r="DA88">
        <v>0</v>
      </c>
      <c r="DB88">
        <v>999.9</v>
      </c>
      <c r="DC88">
        <v>999.9</v>
      </c>
      <c r="DD88">
        <v>61.372</v>
      </c>
      <c r="DE88">
        <v>24.914000000000001</v>
      </c>
      <c r="DF88">
        <v>19.598600000000001</v>
      </c>
      <c r="DG88">
        <v>30.33</v>
      </c>
      <c r="DH88">
        <v>13.036899999999999</v>
      </c>
      <c r="DI88">
        <v>2</v>
      </c>
      <c r="DJ88">
        <v>-0.134376</v>
      </c>
      <c r="DK88">
        <v>2.27685</v>
      </c>
      <c r="DL88">
        <v>20.196200000000001</v>
      </c>
      <c r="DM88">
        <v>5.2510700000000003</v>
      </c>
      <c r="DN88">
        <v>12.033899999999999</v>
      </c>
      <c r="DO88">
        <v>4.9675599999999998</v>
      </c>
      <c r="DP88">
        <v>3.2909999999999999</v>
      </c>
      <c r="DQ88">
        <v>9999</v>
      </c>
      <c r="DR88">
        <v>9999</v>
      </c>
      <c r="DS88">
        <v>522.9</v>
      </c>
      <c r="DT88">
        <v>9999</v>
      </c>
      <c r="DU88">
        <v>1.8708899999999999</v>
      </c>
      <c r="DV88">
        <v>1.8759600000000001</v>
      </c>
      <c r="DW88">
        <v>1.87622</v>
      </c>
      <c r="DX88">
        <v>1.8827100000000001</v>
      </c>
      <c r="DY88">
        <v>1.8754599999999999</v>
      </c>
      <c r="DZ88">
        <v>1.87453</v>
      </c>
      <c r="EA88">
        <v>1.8707199999999999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-0.872</v>
      </c>
      <c r="EQ88">
        <v>0.1338</v>
      </c>
      <c r="ER88">
        <v>-0.87250000000000205</v>
      </c>
      <c r="ES88">
        <v>0</v>
      </c>
      <c r="ET88">
        <v>0</v>
      </c>
      <c r="EU88">
        <v>0</v>
      </c>
      <c r="EV88">
        <v>0.13378000000000201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5.0999999999999996</v>
      </c>
      <c r="FE88">
        <v>5.2</v>
      </c>
      <c r="FF88">
        <v>0.93383799999999995</v>
      </c>
      <c r="FG88">
        <v>2.5708000000000002</v>
      </c>
      <c r="FH88">
        <v>2.19604</v>
      </c>
      <c r="FI88">
        <v>2.6721200000000001</v>
      </c>
      <c r="FJ88">
        <v>2.4462899999999999</v>
      </c>
      <c r="FK88">
        <v>2.2668499999999998</v>
      </c>
      <c r="FL88">
        <v>30.6309</v>
      </c>
      <c r="FM88">
        <v>24.14</v>
      </c>
      <c r="FN88">
        <v>19</v>
      </c>
      <c r="FO88">
        <v>758.85699999999997</v>
      </c>
      <c r="FP88">
        <v>739.005</v>
      </c>
      <c r="FQ88">
        <v>17.659300000000002</v>
      </c>
      <c r="FR88">
        <v>25.308199999999999</v>
      </c>
      <c r="FS88">
        <v>30.0002</v>
      </c>
      <c r="FT88">
        <v>25.3155</v>
      </c>
      <c r="FU88">
        <v>25.3127</v>
      </c>
      <c r="FV88">
        <v>18.749400000000001</v>
      </c>
      <c r="FW88">
        <v>36.414999999999999</v>
      </c>
      <c r="FX88">
        <v>100</v>
      </c>
      <c r="FY88">
        <v>17.6982</v>
      </c>
      <c r="FZ88">
        <v>410</v>
      </c>
      <c r="GA88">
        <v>16.832100000000001</v>
      </c>
      <c r="GB88">
        <v>99.869100000000003</v>
      </c>
      <c r="GC88">
        <v>99.643500000000003</v>
      </c>
    </row>
    <row r="89" spans="1:185" x14ac:dyDescent="0.2">
      <c r="A89">
        <v>74</v>
      </c>
      <c r="B89">
        <v>1768580002.0999999</v>
      </c>
      <c r="C89">
        <v>1609.0999999046301</v>
      </c>
      <c r="D89" t="s">
        <v>443</v>
      </c>
      <c r="E89" t="s">
        <v>444</v>
      </c>
      <c r="F89">
        <v>15</v>
      </c>
      <c r="G89">
        <v>1768579994.03333</v>
      </c>
      <c r="H89">
        <f t="shared" si="25"/>
        <v>-5.9566388136981163E-4</v>
      </c>
      <c r="I89">
        <v>0</v>
      </c>
      <c r="J89">
        <f t="shared" si="37"/>
        <v>-3.8730872848150043E-2</v>
      </c>
      <c r="K89">
        <f t="shared" si="26"/>
        <v>-1.0143488430301124</v>
      </c>
      <c r="L89">
        <f t="shared" si="27"/>
        <v>74.181387443406095</v>
      </c>
      <c r="M89">
        <f t="shared" si="28"/>
        <v>1.6244502924997382</v>
      </c>
      <c r="N89">
        <f t="shared" si="29"/>
        <v>2.1898354135517506</v>
      </c>
      <c r="O89">
        <v>0</v>
      </c>
      <c r="P89">
        <v>0</v>
      </c>
      <c r="Q89">
        <f t="shared" si="30"/>
        <v>1</v>
      </c>
      <c r="R89">
        <f t="shared" si="31"/>
        <v>0</v>
      </c>
      <c r="S89">
        <f t="shared" si="32"/>
        <v>25989.305824298226</v>
      </c>
      <c r="T89">
        <f t="shared" si="33"/>
        <v>799.99666666666701</v>
      </c>
      <c r="U89">
        <f t="shared" si="34"/>
        <v>674.39752119862021</v>
      </c>
      <c r="V89">
        <f t="shared" si="35"/>
        <v>0.84300041399999992</v>
      </c>
      <c r="W89">
        <f t="shared" si="36"/>
        <v>0.15870103499999999</v>
      </c>
      <c r="X89">
        <v>1</v>
      </c>
      <c r="Y89">
        <v>1768579994.03333</v>
      </c>
      <c r="Z89">
        <v>411.36939999999998</v>
      </c>
      <c r="AA89">
        <v>409.57026666666701</v>
      </c>
      <c r="AB89">
        <v>16.388913333333299</v>
      </c>
      <c r="AC89">
        <v>17.225919999999999</v>
      </c>
      <c r="AD89">
        <v>412.24193333333301</v>
      </c>
      <c r="AE89">
        <v>16.255133333333301</v>
      </c>
      <c r="AF89">
        <v>699.99633333333304</v>
      </c>
      <c r="AG89">
        <v>99.063940000000002</v>
      </c>
      <c r="AH89">
        <v>5.491306E-2</v>
      </c>
      <c r="AI89">
        <v>18.8881466666667</v>
      </c>
      <c r="AJ89">
        <v>999.9</v>
      </c>
      <c r="AK89">
        <v>999.9</v>
      </c>
      <c r="AL89">
        <v>0</v>
      </c>
      <c r="AM89">
        <v>0</v>
      </c>
      <c r="AN89">
        <v>5000.4333333333298</v>
      </c>
      <c r="AO89">
        <v>0</v>
      </c>
      <c r="AP89">
        <v>2.3713099999999998</v>
      </c>
      <c r="AQ89">
        <v>1.7991280000000001</v>
      </c>
      <c r="AR89">
        <v>418.22359999999998</v>
      </c>
      <c r="AS89">
        <v>416.74919999999997</v>
      </c>
      <c r="AT89">
        <v>-0.83701233333333303</v>
      </c>
      <c r="AU89">
        <v>409.57026666666701</v>
      </c>
      <c r="AV89">
        <v>17.225919999999999</v>
      </c>
      <c r="AW89">
        <v>1.62354933333333</v>
      </c>
      <c r="AX89">
        <v>1.7064680000000001</v>
      </c>
      <c r="AY89">
        <v>14.184093333333299</v>
      </c>
      <c r="AZ89">
        <v>14.954473333333301</v>
      </c>
      <c r="BA89">
        <v>799.99666666666701</v>
      </c>
      <c r="BB89">
        <v>0.89998619999999996</v>
      </c>
      <c r="BC89">
        <v>0</v>
      </c>
      <c r="BD89">
        <v>0.1000138</v>
      </c>
      <c r="BE89">
        <v>0</v>
      </c>
      <c r="BF89">
        <v>25</v>
      </c>
      <c r="BG89">
        <v>13190.9066666667</v>
      </c>
      <c r="BH89">
        <v>1768579680.0999999</v>
      </c>
      <c r="BI89" t="s">
        <v>412</v>
      </c>
      <c r="BJ89">
        <v>1768579680.0999999</v>
      </c>
      <c r="BK89">
        <v>1768579672.0999999</v>
      </c>
      <c r="BL89">
        <v>3</v>
      </c>
      <c r="BM89">
        <v>5.8999999999999997E-2</v>
      </c>
      <c r="BN89">
        <v>-8.0000000000000002E-3</v>
      </c>
      <c r="BO89">
        <v>-0.873</v>
      </c>
      <c r="BP89">
        <v>0.13400000000000001</v>
      </c>
      <c r="BQ89">
        <v>423</v>
      </c>
      <c r="BR89">
        <v>16</v>
      </c>
      <c r="BS89">
        <v>0.28000000000000003</v>
      </c>
      <c r="BT89">
        <v>0.11</v>
      </c>
      <c r="BU89">
        <v>2.2966129999999998</v>
      </c>
      <c r="BV89">
        <v>-7.69813172932332</v>
      </c>
      <c r="BW89">
        <v>0.82879511790972804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-1.0431766</v>
      </c>
      <c r="CD89">
        <v>3.5992842406015</v>
      </c>
      <c r="CE89">
        <v>0.346557763055656</v>
      </c>
      <c r="CF89">
        <v>0</v>
      </c>
      <c r="CG89">
        <v>0</v>
      </c>
      <c r="CH89">
        <v>2</v>
      </c>
      <c r="CI89" t="s">
        <v>290</v>
      </c>
      <c r="CJ89">
        <v>3.3498600000000001</v>
      </c>
      <c r="CK89">
        <v>2.69285</v>
      </c>
      <c r="CL89">
        <v>9.7142999999999993E-2</v>
      </c>
      <c r="CM89">
        <v>9.55704E-2</v>
      </c>
      <c r="CN89">
        <v>9.0434600000000004E-2</v>
      </c>
      <c r="CO89">
        <v>9.1197399999999998E-2</v>
      </c>
      <c r="CP89">
        <v>31658.5</v>
      </c>
      <c r="CQ89">
        <v>27827.7</v>
      </c>
      <c r="CR89">
        <v>32453</v>
      </c>
      <c r="CS89">
        <v>30694.400000000001</v>
      </c>
      <c r="CT89">
        <v>39963</v>
      </c>
      <c r="CU89">
        <v>39211.300000000003</v>
      </c>
      <c r="CV89">
        <v>47393.2</v>
      </c>
      <c r="CW89">
        <v>46805.9</v>
      </c>
      <c r="CX89">
        <v>2.50664</v>
      </c>
      <c r="CY89">
        <v>2.3241399999999999</v>
      </c>
      <c r="CZ89">
        <v>0</v>
      </c>
      <c r="DA89">
        <v>0</v>
      </c>
      <c r="DB89">
        <v>999.9</v>
      </c>
      <c r="DC89">
        <v>999.9</v>
      </c>
      <c r="DD89">
        <v>61.335999999999999</v>
      </c>
      <c r="DE89">
        <v>24.934000000000001</v>
      </c>
      <c r="DF89">
        <v>19.610600000000002</v>
      </c>
      <c r="DG89">
        <v>29.82</v>
      </c>
      <c r="DH89">
        <v>13.177099999999999</v>
      </c>
      <c r="DI89">
        <v>2</v>
      </c>
      <c r="DJ89">
        <v>-0.134598</v>
      </c>
      <c r="DK89">
        <v>1.9999</v>
      </c>
      <c r="DL89">
        <v>20.200099999999999</v>
      </c>
      <c r="DM89">
        <v>5.2509499999999996</v>
      </c>
      <c r="DN89">
        <v>12.033899999999999</v>
      </c>
      <c r="DO89">
        <v>4.96732</v>
      </c>
      <c r="DP89">
        <v>3.2909999999999999</v>
      </c>
      <c r="DQ89">
        <v>9999</v>
      </c>
      <c r="DR89">
        <v>9999</v>
      </c>
      <c r="DS89">
        <v>522.9</v>
      </c>
      <c r="DT89">
        <v>9999</v>
      </c>
      <c r="DU89">
        <v>1.8709100000000001</v>
      </c>
      <c r="DV89">
        <v>1.8760399999999999</v>
      </c>
      <c r="DW89">
        <v>1.87622</v>
      </c>
      <c r="DX89">
        <v>1.8827499999999999</v>
      </c>
      <c r="DY89">
        <v>1.87548</v>
      </c>
      <c r="DZ89">
        <v>1.8745400000000001</v>
      </c>
      <c r="EA89">
        <v>1.87073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-0.872</v>
      </c>
      <c r="EQ89">
        <v>0.1338</v>
      </c>
      <c r="ER89">
        <v>-0.87250000000000205</v>
      </c>
      <c r="ES89">
        <v>0</v>
      </c>
      <c r="ET89">
        <v>0</v>
      </c>
      <c r="EU89">
        <v>0</v>
      </c>
      <c r="EV89">
        <v>0.13378000000000201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5.4</v>
      </c>
      <c r="FE89">
        <v>5.5</v>
      </c>
      <c r="FF89">
        <v>0.93627899999999997</v>
      </c>
      <c r="FG89">
        <v>2.5610400000000002</v>
      </c>
      <c r="FH89">
        <v>2.19604</v>
      </c>
      <c r="FI89">
        <v>2.67334</v>
      </c>
      <c r="FJ89">
        <v>2.4462899999999999</v>
      </c>
      <c r="FK89">
        <v>2.2839399999999999</v>
      </c>
      <c r="FL89">
        <v>30.6524</v>
      </c>
      <c r="FM89">
        <v>24.148800000000001</v>
      </c>
      <c r="FN89">
        <v>19</v>
      </c>
      <c r="FO89">
        <v>759.70899999999995</v>
      </c>
      <c r="FP89">
        <v>738.37400000000002</v>
      </c>
      <c r="FQ89">
        <v>17.883800000000001</v>
      </c>
      <c r="FR89">
        <v>25.3154</v>
      </c>
      <c r="FS89">
        <v>30</v>
      </c>
      <c r="FT89">
        <v>25.3202</v>
      </c>
      <c r="FU89">
        <v>25.317</v>
      </c>
      <c r="FV89">
        <v>18.8001</v>
      </c>
      <c r="FW89">
        <v>45.070900000000002</v>
      </c>
      <c r="FX89">
        <v>100</v>
      </c>
      <c r="FY89">
        <v>17.933199999999999</v>
      </c>
      <c r="FZ89">
        <v>410</v>
      </c>
      <c r="GA89">
        <v>16.1968</v>
      </c>
      <c r="GB89">
        <v>99.865600000000001</v>
      </c>
      <c r="GC89">
        <v>99.643199999999993</v>
      </c>
    </row>
    <row r="90" spans="1:185" x14ac:dyDescent="0.2">
      <c r="A90">
        <v>75</v>
      </c>
      <c r="B90">
        <v>1768580017.0999999</v>
      </c>
      <c r="C90">
        <v>1624.0999999046301</v>
      </c>
      <c r="D90" t="s">
        <v>445</v>
      </c>
      <c r="E90" t="s">
        <v>446</v>
      </c>
      <c r="F90">
        <v>15</v>
      </c>
      <c r="G90">
        <v>1768580009.03333</v>
      </c>
      <c r="H90">
        <f t="shared" si="25"/>
        <v>-1.5159243399002028E-4</v>
      </c>
      <c r="I90">
        <v>0</v>
      </c>
      <c r="J90">
        <f t="shared" si="37"/>
        <v>0.10346332303846097</v>
      </c>
      <c r="K90">
        <f t="shared" si="26"/>
        <v>2.7096704593148986</v>
      </c>
      <c r="L90">
        <f t="shared" si="27"/>
        <v>74.0804964096112</v>
      </c>
      <c r="M90">
        <f t="shared" si="28"/>
        <v>1.6235180120150015</v>
      </c>
      <c r="N90">
        <f t="shared" si="29"/>
        <v>2.1915593046759962</v>
      </c>
      <c r="O90">
        <v>0</v>
      </c>
      <c r="P90">
        <v>0</v>
      </c>
      <c r="Q90">
        <f t="shared" si="30"/>
        <v>1</v>
      </c>
      <c r="R90">
        <f t="shared" si="31"/>
        <v>0</v>
      </c>
      <c r="S90">
        <f t="shared" si="32"/>
        <v>26014.665788107515</v>
      </c>
      <c r="T90">
        <f t="shared" si="33"/>
        <v>799.99839999999995</v>
      </c>
      <c r="U90">
        <f t="shared" si="34"/>
        <v>674.39879839970558</v>
      </c>
      <c r="V90">
        <f t="shared" si="35"/>
        <v>0.84300018399999999</v>
      </c>
      <c r="W90">
        <f t="shared" si="36"/>
        <v>0.15870045999999999</v>
      </c>
      <c r="X90">
        <v>1</v>
      </c>
      <c r="Y90">
        <v>1768580009.03333</v>
      </c>
      <c r="Z90">
        <v>411.68573333333302</v>
      </c>
      <c r="AA90">
        <v>415.46753333333299</v>
      </c>
      <c r="AB90">
        <v>16.379359999999998</v>
      </c>
      <c r="AC90">
        <v>16.592373333333299</v>
      </c>
      <c r="AD90">
        <v>412.55840000000001</v>
      </c>
      <c r="AE90">
        <v>16.245566666666701</v>
      </c>
      <c r="AF90">
        <v>700.00053333333301</v>
      </c>
      <c r="AG90">
        <v>99.064880000000002</v>
      </c>
      <c r="AH90">
        <v>5.4866560000000002E-2</v>
      </c>
      <c r="AI90">
        <v>18.900746666666699</v>
      </c>
      <c r="AJ90">
        <v>999.9</v>
      </c>
      <c r="AK90">
        <v>999.9</v>
      </c>
      <c r="AL90">
        <v>0</v>
      </c>
      <c r="AM90">
        <v>0</v>
      </c>
      <c r="AN90">
        <v>5004.8</v>
      </c>
      <c r="AO90">
        <v>0</v>
      </c>
      <c r="AP90">
        <v>2.3750733333333298</v>
      </c>
      <c r="AQ90">
        <v>-3.7817395333333299</v>
      </c>
      <c r="AR90">
        <v>418.54126666666701</v>
      </c>
      <c r="AS90">
        <v>422.47673333333302</v>
      </c>
      <c r="AT90">
        <v>-0.21301304333333301</v>
      </c>
      <c r="AU90">
        <v>415.46753333333299</v>
      </c>
      <c r="AV90">
        <v>16.592373333333299</v>
      </c>
      <c r="AW90">
        <v>1.62262</v>
      </c>
      <c r="AX90">
        <v>1.6437200000000001</v>
      </c>
      <c r="AY90">
        <v>14.17526</v>
      </c>
      <c r="AZ90">
        <v>14.3741533333333</v>
      </c>
      <c r="BA90">
        <v>799.99839999999995</v>
      </c>
      <c r="BB90">
        <v>0.89999386666666703</v>
      </c>
      <c r="BC90">
        <v>0</v>
      </c>
      <c r="BD90">
        <v>0.100006133333333</v>
      </c>
      <c r="BE90">
        <v>0</v>
      </c>
      <c r="BF90">
        <v>25</v>
      </c>
      <c r="BG90">
        <v>13190.96</v>
      </c>
      <c r="BH90">
        <v>1768579680.0999999</v>
      </c>
      <c r="BI90" t="s">
        <v>412</v>
      </c>
      <c r="BJ90">
        <v>1768579680.0999999</v>
      </c>
      <c r="BK90">
        <v>1768579672.0999999</v>
      </c>
      <c r="BL90">
        <v>3</v>
      </c>
      <c r="BM90">
        <v>5.8999999999999997E-2</v>
      </c>
      <c r="BN90">
        <v>-8.0000000000000002E-3</v>
      </c>
      <c r="BO90">
        <v>-0.873</v>
      </c>
      <c r="BP90">
        <v>0.13400000000000001</v>
      </c>
      <c r="BQ90">
        <v>423</v>
      </c>
      <c r="BR90">
        <v>16</v>
      </c>
      <c r="BS90">
        <v>0.28000000000000003</v>
      </c>
      <c r="BT90">
        <v>0.11</v>
      </c>
      <c r="BU90">
        <v>-2.45987965</v>
      </c>
      <c r="BV90">
        <v>-34.433384977443602</v>
      </c>
      <c r="BW90">
        <v>4.3602841952432803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-0.29893368250000002</v>
      </c>
      <c r="CD90">
        <v>2.0082435090225599</v>
      </c>
      <c r="CE90">
        <v>0.19374658011782001</v>
      </c>
      <c r="CF90">
        <v>0</v>
      </c>
      <c r="CG90">
        <v>0</v>
      </c>
      <c r="CH90">
        <v>2</v>
      </c>
      <c r="CI90" t="s">
        <v>290</v>
      </c>
      <c r="CJ90">
        <v>3.3498999999999999</v>
      </c>
      <c r="CK90">
        <v>2.6928100000000001</v>
      </c>
      <c r="CL90">
        <v>9.7859500000000002E-2</v>
      </c>
      <c r="CM90">
        <v>9.7431400000000001E-2</v>
      </c>
      <c r="CN90">
        <v>8.9854299999999998E-2</v>
      </c>
      <c r="CO90">
        <v>8.8835200000000003E-2</v>
      </c>
      <c r="CP90">
        <v>31633.7</v>
      </c>
      <c r="CQ90">
        <v>27770.5</v>
      </c>
      <c r="CR90">
        <v>32453.4</v>
      </c>
      <c r="CS90">
        <v>30694.5</v>
      </c>
      <c r="CT90">
        <v>39989.599999999999</v>
      </c>
      <c r="CU90">
        <v>39317.199999999997</v>
      </c>
      <c r="CV90">
        <v>47393.3</v>
      </c>
      <c r="CW90">
        <v>46806.400000000001</v>
      </c>
      <c r="CX90">
        <v>2.5070600000000001</v>
      </c>
      <c r="CY90">
        <v>2.3234400000000002</v>
      </c>
      <c r="CZ90">
        <v>0</v>
      </c>
      <c r="DA90">
        <v>0</v>
      </c>
      <c r="DB90">
        <v>999.9</v>
      </c>
      <c r="DC90">
        <v>999.9</v>
      </c>
      <c r="DD90">
        <v>61.311</v>
      </c>
      <c r="DE90">
        <v>24.943999999999999</v>
      </c>
      <c r="DF90">
        <v>19.613299999999999</v>
      </c>
      <c r="DG90">
        <v>29.88</v>
      </c>
      <c r="DH90">
        <v>13.1731</v>
      </c>
      <c r="DI90">
        <v>2</v>
      </c>
      <c r="DJ90">
        <v>-0.134187</v>
      </c>
      <c r="DK90">
        <v>1.82927</v>
      </c>
      <c r="DL90">
        <v>20.202200000000001</v>
      </c>
      <c r="DM90">
        <v>5.2507099999999998</v>
      </c>
      <c r="DN90">
        <v>12.033899999999999</v>
      </c>
      <c r="DO90">
        <v>4.9673999999999996</v>
      </c>
      <c r="DP90">
        <v>3.2909999999999999</v>
      </c>
      <c r="DQ90">
        <v>9999</v>
      </c>
      <c r="DR90">
        <v>9999</v>
      </c>
      <c r="DS90">
        <v>522.9</v>
      </c>
      <c r="DT90">
        <v>9999</v>
      </c>
      <c r="DU90">
        <v>1.8709100000000001</v>
      </c>
      <c r="DV90">
        <v>1.87601</v>
      </c>
      <c r="DW90">
        <v>1.87622</v>
      </c>
      <c r="DX90">
        <v>1.8827400000000001</v>
      </c>
      <c r="DY90">
        <v>1.8754900000000001</v>
      </c>
      <c r="DZ90">
        <v>1.8745400000000001</v>
      </c>
      <c r="EA90">
        <v>1.8707199999999999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-0.873</v>
      </c>
      <c r="EQ90">
        <v>0.1338</v>
      </c>
      <c r="ER90">
        <v>-0.87250000000000205</v>
      </c>
      <c r="ES90">
        <v>0</v>
      </c>
      <c r="ET90">
        <v>0</v>
      </c>
      <c r="EU90">
        <v>0</v>
      </c>
      <c r="EV90">
        <v>0.13378000000000201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5.6</v>
      </c>
      <c r="FE90">
        <v>5.8</v>
      </c>
      <c r="FF90">
        <v>0.88378900000000005</v>
      </c>
      <c r="FG90">
        <v>2.5634800000000002</v>
      </c>
      <c r="FH90">
        <v>2.19604</v>
      </c>
      <c r="FI90">
        <v>2.67456</v>
      </c>
      <c r="FJ90">
        <v>2.4462899999999999</v>
      </c>
      <c r="FK90">
        <v>2.2973599999999998</v>
      </c>
      <c r="FL90">
        <v>30.673999999999999</v>
      </c>
      <c r="FM90">
        <v>24.148800000000001</v>
      </c>
      <c r="FN90">
        <v>19</v>
      </c>
      <c r="FO90">
        <v>760.11500000000001</v>
      </c>
      <c r="FP90">
        <v>737.78099999999995</v>
      </c>
      <c r="FQ90">
        <v>18.110900000000001</v>
      </c>
      <c r="FR90">
        <v>25.3218</v>
      </c>
      <c r="FS90">
        <v>30.0002</v>
      </c>
      <c r="FT90">
        <v>25.324100000000001</v>
      </c>
      <c r="FU90">
        <v>25.321200000000001</v>
      </c>
      <c r="FV90">
        <v>17.754200000000001</v>
      </c>
      <c r="FW90">
        <v>51.974299999999999</v>
      </c>
      <c r="FX90">
        <v>100</v>
      </c>
      <c r="FY90">
        <v>18.1478</v>
      </c>
      <c r="FZ90">
        <v>410</v>
      </c>
      <c r="GA90">
        <v>15.775600000000001</v>
      </c>
      <c r="GB90">
        <v>99.866299999999995</v>
      </c>
      <c r="GC90">
        <v>99.644000000000005</v>
      </c>
    </row>
    <row r="91" spans="1:185" x14ac:dyDescent="0.2">
      <c r="A91">
        <v>76</v>
      </c>
      <c r="B91">
        <v>1768580032.0999999</v>
      </c>
      <c r="C91">
        <v>1639.0999999046301</v>
      </c>
      <c r="D91" t="s">
        <v>447</v>
      </c>
      <c r="E91" t="s">
        <v>448</v>
      </c>
      <c r="F91">
        <v>15</v>
      </c>
      <c r="G91">
        <v>1768580024.03333</v>
      </c>
      <c r="H91">
        <f t="shared" si="25"/>
        <v>8.4854536536822212E-5</v>
      </c>
      <c r="I91">
        <v>0</v>
      </c>
      <c r="J91">
        <f t="shared" si="37"/>
        <v>5.450298953381053E-3</v>
      </c>
      <c r="K91">
        <f t="shared" si="26"/>
        <v>0.14274154004237397</v>
      </c>
      <c r="L91">
        <f t="shared" si="27"/>
        <v>73.013718302626117</v>
      </c>
      <c r="M91">
        <f t="shared" si="28"/>
        <v>1.6035463775844012</v>
      </c>
      <c r="N91">
        <f t="shared" si="29"/>
        <v>2.1962261542934263</v>
      </c>
      <c r="O91">
        <v>0</v>
      </c>
      <c r="P91">
        <v>0</v>
      </c>
      <c r="Q91">
        <f t="shared" si="30"/>
        <v>1</v>
      </c>
      <c r="R91">
        <f t="shared" si="31"/>
        <v>0</v>
      </c>
      <c r="S91">
        <f t="shared" si="32"/>
        <v>25933.421174930063</v>
      </c>
      <c r="T91">
        <f t="shared" si="33"/>
        <v>799.998066666667</v>
      </c>
      <c r="U91">
        <f t="shared" si="34"/>
        <v>674.39843739983792</v>
      </c>
      <c r="V91">
        <f t="shared" si="35"/>
        <v>0.84300008400000004</v>
      </c>
      <c r="W91">
        <f t="shared" si="36"/>
        <v>0.15870021000000001</v>
      </c>
      <c r="X91">
        <v>1</v>
      </c>
      <c r="Y91">
        <v>1768580024.03333</v>
      </c>
      <c r="Z91">
        <v>415.90373333333298</v>
      </c>
      <c r="AA91">
        <v>416.15806666666703</v>
      </c>
      <c r="AB91">
        <v>16.177793333333302</v>
      </c>
      <c r="AC91">
        <v>16.058533333333301</v>
      </c>
      <c r="AD91">
        <v>416.77633333333301</v>
      </c>
      <c r="AE91">
        <v>16.044</v>
      </c>
      <c r="AF91">
        <v>699.99813333333304</v>
      </c>
      <c r="AG91">
        <v>99.065253333333303</v>
      </c>
      <c r="AH91">
        <v>5.4963159999999997E-2</v>
      </c>
      <c r="AI91">
        <v>18.934813333333299</v>
      </c>
      <c r="AJ91">
        <v>999.9</v>
      </c>
      <c r="AK91">
        <v>999.9</v>
      </c>
      <c r="AL91">
        <v>0</v>
      </c>
      <c r="AM91">
        <v>0</v>
      </c>
      <c r="AN91">
        <v>4991.7666666666701</v>
      </c>
      <c r="AO91">
        <v>0</v>
      </c>
      <c r="AP91">
        <v>2.3713099999999998</v>
      </c>
      <c r="AQ91">
        <v>-0.25436995333333301</v>
      </c>
      <c r="AR91">
        <v>422.74293333333299</v>
      </c>
      <c r="AS91">
        <v>422.95033333333299</v>
      </c>
      <c r="AT91">
        <v>0.11924721000000001</v>
      </c>
      <c r="AU91">
        <v>416.15806666666703</v>
      </c>
      <c r="AV91">
        <v>16.058533333333301</v>
      </c>
      <c r="AW91">
        <v>1.60265533333333</v>
      </c>
      <c r="AX91">
        <v>1.5908420000000001</v>
      </c>
      <c r="AY91">
        <v>13.984220000000001</v>
      </c>
      <c r="AZ91">
        <v>13.87</v>
      </c>
      <c r="BA91">
        <v>799.998066666667</v>
      </c>
      <c r="BB91">
        <v>0.89999720000000005</v>
      </c>
      <c r="BC91">
        <v>0</v>
      </c>
      <c r="BD91">
        <v>0.1000028</v>
      </c>
      <c r="BE91">
        <v>0</v>
      </c>
      <c r="BF91">
        <v>25</v>
      </c>
      <c r="BG91">
        <v>13190.993333333299</v>
      </c>
      <c r="BH91">
        <v>1768579680.0999999</v>
      </c>
      <c r="BI91" t="s">
        <v>412</v>
      </c>
      <c r="BJ91">
        <v>1768579680.0999999</v>
      </c>
      <c r="BK91">
        <v>1768579672.0999999</v>
      </c>
      <c r="BL91">
        <v>3</v>
      </c>
      <c r="BM91">
        <v>5.8999999999999997E-2</v>
      </c>
      <c r="BN91">
        <v>-8.0000000000000002E-3</v>
      </c>
      <c r="BO91">
        <v>-0.873</v>
      </c>
      <c r="BP91">
        <v>0.13400000000000001</v>
      </c>
      <c r="BQ91">
        <v>423</v>
      </c>
      <c r="BR91">
        <v>16</v>
      </c>
      <c r="BS91">
        <v>0.28000000000000003</v>
      </c>
      <c r="BT91">
        <v>0.11</v>
      </c>
      <c r="BU91">
        <v>-2.4461069649999998</v>
      </c>
      <c r="BV91">
        <v>41.811409718797002</v>
      </c>
      <c r="BW91">
        <v>4.3701974884722201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5.9369902500000002E-2</v>
      </c>
      <c r="CD91">
        <v>0.99932039774436099</v>
      </c>
      <c r="CE91">
        <v>0.100036996688808</v>
      </c>
      <c r="CF91">
        <v>0</v>
      </c>
      <c r="CG91">
        <v>0</v>
      </c>
      <c r="CH91">
        <v>2</v>
      </c>
      <c r="CI91" t="s">
        <v>290</v>
      </c>
      <c r="CJ91">
        <v>3.3498999999999999</v>
      </c>
      <c r="CK91">
        <v>2.6927300000000001</v>
      </c>
      <c r="CL91">
        <v>9.7966899999999996E-2</v>
      </c>
      <c r="CM91">
        <v>9.5848500000000003E-2</v>
      </c>
      <c r="CN91">
        <v>8.8826699999999995E-2</v>
      </c>
      <c r="CO91">
        <v>8.7227700000000005E-2</v>
      </c>
      <c r="CP91">
        <v>31629.1</v>
      </c>
      <c r="CQ91">
        <v>27819.8</v>
      </c>
      <c r="CR91">
        <v>32452.6</v>
      </c>
      <c r="CS91">
        <v>30695.200000000001</v>
      </c>
      <c r="CT91">
        <v>40035.5</v>
      </c>
      <c r="CU91">
        <v>39389.699999999997</v>
      </c>
      <c r="CV91">
        <v>47392.5</v>
      </c>
      <c r="CW91">
        <v>46807.6</v>
      </c>
      <c r="CX91">
        <v>2.5073400000000001</v>
      </c>
      <c r="CY91">
        <v>2.3228</v>
      </c>
      <c r="CZ91">
        <v>0</v>
      </c>
      <c r="DA91">
        <v>0</v>
      </c>
      <c r="DB91">
        <v>999.9</v>
      </c>
      <c r="DC91">
        <v>999.9</v>
      </c>
      <c r="DD91">
        <v>61.262</v>
      </c>
      <c r="DE91">
        <v>24.954999999999998</v>
      </c>
      <c r="DF91">
        <v>19.611899999999999</v>
      </c>
      <c r="DG91">
        <v>30</v>
      </c>
      <c r="DH91">
        <v>13.145</v>
      </c>
      <c r="DI91">
        <v>2</v>
      </c>
      <c r="DJ91">
        <v>-0.13395299999999999</v>
      </c>
      <c r="DK91">
        <v>1.8027200000000001</v>
      </c>
      <c r="DL91">
        <v>20.202300000000001</v>
      </c>
      <c r="DM91">
        <v>5.2510700000000003</v>
      </c>
      <c r="DN91">
        <v>12.033899999999999</v>
      </c>
      <c r="DO91">
        <v>4.9673999999999996</v>
      </c>
      <c r="DP91">
        <v>3.2910200000000001</v>
      </c>
      <c r="DQ91">
        <v>9999</v>
      </c>
      <c r="DR91">
        <v>9999</v>
      </c>
      <c r="DS91">
        <v>522.9</v>
      </c>
      <c r="DT91">
        <v>9999</v>
      </c>
      <c r="DU91">
        <v>1.8709</v>
      </c>
      <c r="DV91">
        <v>1.87598</v>
      </c>
      <c r="DW91">
        <v>1.87622</v>
      </c>
      <c r="DX91">
        <v>1.88273</v>
      </c>
      <c r="DY91">
        <v>1.8754599999999999</v>
      </c>
      <c r="DZ91">
        <v>1.8745400000000001</v>
      </c>
      <c r="EA91">
        <v>1.8707199999999999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-0.872</v>
      </c>
      <c r="EQ91">
        <v>0.1338</v>
      </c>
      <c r="ER91">
        <v>-0.87250000000000205</v>
      </c>
      <c r="ES91">
        <v>0</v>
      </c>
      <c r="ET91">
        <v>0</v>
      </c>
      <c r="EU91">
        <v>0</v>
      </c>
      <c r="EV91">
        <v>0.13378000000000201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5.9</v>
      </c>
      <c r="FE91">
        <v>6</v>
      </c>
      <c r="FF91">
        <v>0.865479</v>
      </c>
      <c r="FG91">
        <v>2.5683600000000002</v>
      </c>
      <c r="FH91">
        <v>2.19604</v>
      </c>
      <c r="FI91">
        <v>2.67456</v>
      </c>
      <c r="FJ91">
        <v>2.4462899999999999</v>
      </c>
      <c r="FK91">
        <v>2.3046899999999999</v>
      </c>
      <c r="FL91">
        <v>30.673999999999999</v>
      </c>
      <c r="FM91">
        <v>24.148800000000001</v>
      </c>
      <c r="FN91">
        <v>19</v>
      </c>
      <c r="FO91">
        <v>760.42</v>
      </c>
      <c r="FP91">
        <v>737.26700000000005</v>
      </c>
      <c r="FQ91">
        <v>18.2789</v>
      </c>
      <c r="FR91">
        <v>25.3278</v>
      </c>
      <c r="FS91">
        <v>30.0001</v>
      </c>
      <c r="FT91">
        <v>25.3291</v>
      </c>
      <c r="FU91">
        <v>25.327100000000002</v>
      </c>
      <c r="FV91">
        <v>17.370799999999999</v>
      </c>
      <c r="FW91">
        <v>55.899299999999997</v>
      </c>
      <c r="FX91">
        <v>100</v>
      </c>
      <c r="FY91">
        <v>18.295000000000002</v>
      </c>
      <c r="FZ91">
        <v>410</v>
      </c>
      <c r="GA91">
        <v>15.553100000000001</v>
      </c>
      <c r="GB91">
        <v>99.8643</v>
      </c>
      <c r="GC91">
        <v>99.646500000000003</v>
      </c>
    </row>
    <row r="92" spans="1:185" x14ac:dyDescent="0.2">
      <c r="A92">
        <v>77</v>
      </c>
      <c r="B92">
        <v>1768580047.0999999</v>
      </c>
      <c r="C92">
        <v>1654.0999999046301</v>
      </c>
      <c r="D92" t="s">
        <v>449</v>
      </c>
      <c r="E92" t="s">
        <v>450</v>
      </c>
      <c r="F92">
        <v>15</v>
      </c>
      <c r="G92">
        <v>1768580039.03333</v>
      </c>
      <c r="H92">
        <f t="shared" si="25"/>
        <v>1.3857834699053669E-4</v>
      </c>
      <c r="I92">
        <v>0</v>
      </c>
      <c r="J92">
        <f t="shared" si="37"/>
        <v>-0.15886459163881192</v>
      </c>
      <c r="K92">
        <f t="shared" si="26"/>
        <v>-4.160611493551122</v>
      </c>
      <c r="L92">
        <f t="shared" si="27"/>
        <v>71.746297624869626</v>
      </c>
      <c r="M92">
        <f t="shared" si="28"/>
        <v>1.5797286085642537</v>
      </c>
      <c r="N92">
        <f t="shared" si="29"/>
        <v>2.2018259629562653</v>
      </c>
      <c r="O92">
        <v>0</v>
      </c>
      <c r="P92">
        <v>0</v>
      </c>
      <c r="Q92">
        <f t="shared" si="30"/>
        <v>1</v>
      </c>
      <c r="R92">
        <f t="shared" si="31"/>
        <v>0</v>
      </c>
      <c r="S92">
        <f t="shared" si="32"/>
        <v>25961.679894956473</v>
      </c>
      <c r="T92">
        <f t="shared" si="33"/>
        <v>799.99853333333294</v>
      </c>
      <c r="U92">
        <f t="shared" si="34"/>
        <v>674.39887719979163</v>
      </c>
      <c r="V92">
        <f t="shared" si="35"/>
        <v>0.84300014200000029</v>
      </c>
      <c r="W92">
        <f t="shared" si="36"/>
        <v>0.15869996524000005</v>
      </c>
      <c r="X92">
        <v>1</v>
      </c>
      <c r="Y92">
        <v>1768580039.03333</v>
      </c>
      <c r="Z92">
        <v>412.41320000000002</v>
      </c>
      <c r="AA92">
        <v>406.55113333333298</v>
      </c>
      <c r="AB92">
        <v>15.9373533333333</v>
      </c>
      <c r="AC92">
        <v>15.74254</v>
      </c>
      <c r="AD92">
        <v>413.28573333333298</v>
      </c>
      <c r="AE92">
        <v>15.8035533333333</v>
      </c>
      <c r="AF92">
        <v>700.00226666666697</v>
      </c>
      <c r="AG92">
        <v>99.066166666666703</v>
      </c>
      <c r="AH92">
        <v>5.4971926666666698E-2</v>
      </c>
      <c r="AI92">
        <v>18.9756066666667</v>
      </c>
      <c r="AJ92">
        <v>999.9</v>
      </c>
      <c r="AK92">
        <v>999.9</v>
      </c>
      <c r="AL92">
        <v>0</v>
      </c>
      <c r="AM92">
        <v>0</v>
      </c>
      <c r="AN92">
        <v>4997.0333333333301</v>
      </c>
      <c r="AO92">
        <v>0</v>
      </c>
      <c r="AP92">
        <v>2.3713099999999998</v>
      </c>
      <c r="AQ92">
        <v>5.8620720000000004</v>
      </c>
      <c r="AR92">
        <v>419.0926</v>
      </c>
      <c r="AS92">
        <v>413.05380000000002</v>
      </c>
      <c r="AT92">
        <v>0.194794733333333</v>
      </c>
      <c r="AU92">
        <v>406.55113333333298</v>
      </c>
      <c r="AV92">
        <v>15.74254</v>
      </c>
      <c r="AW92">
        <v>1.5788513333333301</v>
      </c>
      <c r="AX92">
        <v>1.55955333333333</v>
      </c>
      <c r="AY92">
        <v>13.7538</v>
      </c>
      <c r="AZ92">
        <v>13.564719999999999</v>
      </c>
      <c r="BA92">
        <v>799.99853333333294</v>
      </c>
      <c r="BB92">
        <v>0.90000106666666702</v>
      </c>
      <c r="BC92">
        <v>0</v>
      </c>
      <c r="BD92">
        <v>9.9999133333333295E-2</v>
      </c>
      <c r="BE92">
        <v>0</v>
      </c>
      <c r="BF92">
        <v>25</v>
      </c>
      <c r="BG92">
        <v>13191.0133333333</v>
      </c>
      <c r="BH92">
        <v>1768579680.0999999</v>
      </c>
      <c r="BI92" t="s">
        <v>412</v>
      </c>
      <c r="BJ92">
        <v>1768579680.0999999</v>
      </c>
      <c r="BK92">
        <v>1768579672.0999999</v>
      </c>
      <c r="BL92">
        <v>3</v>
      </c>
      <c r="BM92">
        <v>5.8999999999999997E-2</v>
      </c>
      <c r="BN92">
        <v>-8.0000000000000002E-3</v>
      </c>
      <c r="BO92">
        <v>-0.873</v>
      </c>
      <c r="BP92">
        <v>0.13400000000000001</v>
      </c>
      <c r="BQ92">
        <v>423</v>
      </c>
      <c r="BR92">
        <v>16</v>
      </c>
      <c r="BS92">
        <v>0.28000000000000003</v>
      </c>
      <c r="BT92">
        <v>0.11</v>
      </c>
      <c r="BU92">
        <v>5.0904154999999998</v>
      </c>
      <c r="BV92">
        <v>8.7579153383458603</v>
      </c>
      <c r="BW92">
        <v>2.03084046723635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0.18750035000000001</v>
      </c>
      <c r="CD92">
        <v>0.14094509774436101</v>
      </c>
      <c r="CE92">
        <v>1.5079306603007299E-2</v>
      </c>
      <c r="CF92">
        <v>0</v>
      </c>
      <c r="CG92">
        <v>0</v>
      </c>
      <c r="CH92">
        <v>2</v>
      </c>
      <c r="CI92" t="s">
        <v>290</v>
      </c>
      <c r="CJ92">
        <v>3.3499500000000002</v>
      </c>
      <c r="CK92">
        <v>2.6927400000000001</v>
      </c>
      <c r="CL92">
        <v>9.6890000000000004E-2</v>
      </c>
      <c r="CM92">
        <v>9.5081600000000002E-2</v>
      </c>
      <c r="CN92">
        <v>8.7876899999999994E-2</v>
      </c>
      <c r="CO92">
        <v>8.6269899999999997E-2</v>
      </c>
      <c r="CP92">
        <v>31666.2</v>
      </c>
      <c r="CQ92">
        <v>27843</v>
      </c>
      <c r="CR92">
        <v>32451.9</v>
      </c>
      <c r="CS92">
        <v>30694.799999999999</v>
      </c>
      <c r="CT92">
        <v>40077.9</v>
      </c>
      <c r="CU92">
        <v>39431.699999999997</v>
      </c>
      <c r="CV92">
        <v>47391.8</v>
      </c>
      <c r="CW92">
        <v>46807</v>
      </c>
      <c r="CX92">
        <v>2.5072399999999999</v>
      </c>
      <c r="CY92">
        <v>2.32246</v>
      </c>
      <c r="CZ92">
        <v>0</v>
      </c>
      <c r="DA92">
        <v>0</v>
      </c>
      <c r="DB92">
        <v>999.9</v>
      </c>
      <c r="DC92">
        <v>999.9</v>
      </c>
      <c r="DD92">
        <v>61.213999999999999</v>
      </c>
      <c r="DE92">
        <v>24.975000000000001</v>
      </c>
      <c r="DF92">
        <v>19.618099999999998</v>
      </c>
      <c r="DG92">
        <v>30.15</v>
      </c>
      <c r="DH92">
        <v>13.0929</v>
      </c>
      <c r="DI92">
        <v>2</v>
      </c>
      <c r="DJ92">
        <v>-0.13316700000000001</v>
      </c>
      <c r="DK92">
        <v>1.87805</v>
      </c>
      <c r="DL92">
        <v>20.200600000000001</v>
      </c>
      <c r="DM92">
        <v>5.2478400000000001</v>
      </c>
      <c r="DN92">
        <v>12.033899999999999</v>
      </c>
      <c r="DO92">
        <v>4.9667599999999998</v>
      </c>
      <c r="DP92">
        <v>3.29054</v>
      </c>
      <c r="DQ92">
        <v>9999</v>
      </c>
      <c r="DR92">
        <v>9999</v>
      </c>
      <c r="DS92">
        <v>522.9</v>
      </c>
      <c r="DT92">
        <v>9999</v>
      </c>
      <c r="DU92">
        <v>1.8709</v>
      </c>
      <c r="DV92">
        <v>1.87602</v>
      </c>
      <c r="DW92">
        <v>1.87622</v>
      </c>
      <c r="DX92">
        <v>1.8827100000000001</v>
      </c>
      <c r="DY92">
        <v>1.8754599999999999</v>
      </c>
      <c r="DZ92">
        <v>1.8745400000000001</v>
      </c>
      <c r="EA92">
        <v>1.87073</v>
      </c>
      <c r="EB92">
        <v>1.8745400000000001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-0.873</v>
      </c>
      <c r="EQ92">
        <v>0.1338</v>
      </c>
      <c r="ER92">
        <v>-0.87250000000000205</v>
      </c>
      <c r="ES92">
        <v>0</v>
      </c>
      <c r="ET92">
        <v>0</v>
      </c>
      <c r="EU92">
        <v>0</v>
      </c>
      <c r="EV92">
        <v>0.13378000000000201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6.1</v>
      </c>
      <c r="FE92">
        <v>6.2</v>
      </c>
      <c r="FF92">
        <v>0.89111300000000004</v>
      </c>
      <c r="FG92">
        <v>2.5720200000000002</v>
      </c>
      <c r="FH92">
        <v>2.19604</v>
      </c>
      <c r="FI92">
        <v>2.67578</v>
      </c>
      <c r="FJ92">
        <v>2.4462899999999999</v>
      </c>
      <c r="FK92">
        <v>2.2900399999999999</v>
      </c>
      <c r="FL92">
        <v>30.695599999999999</v>
      </c>
      <c r="FM92">
        <v>24.14</v>
      </c>
      <c r="FN92">
        <v>19</v>
      </c>
      <c r="FO92">
        <v>760.40300000000002</v>
      </c>
      <c r="FP92">
        <v>737.02800000000002</v>
      </c>
      <c r="FQ92">
        <v>18.359500000000001</v>
      </c>
      <c r="FR92">
        <v>25.332899999999999</v>
      </c>
      <c r="FS92">
        <v>30.000299999999999</v>
      </c>
      <c r="FT92">
        <v>25.3338</v>
      </c>
      <c r="FU92">
        <v>25.332599999999999</v>
      </c>
      <c r="FV92">
        <v>17.8826</v>
      </c>
      <c r="FW92">
        <v>57.721899999999998</v>
      </c>
      <c r="FX92">
        <v>100</v>
      </c>
      <c r="FY92">
        <v>18.357900000000001</v>
      </c>
      <c r="FZ92">
        <v>410</v>
      </c>
      <c r="GA92">
        <v>15.5304</v>
      </c>
      <c r="GB92">
        <v>99.862499999999997</v>
      </c>
      <c r="GC92">
        <v>99.645099999999999</v>
      </c>
    </row>
    <row r="93" spans="1:185" x14ac:dyDescent="0.2">
      <c r="A93">
        <v>78</v>
      </c>
      <c r="B93">
        <v>1768580062.0999999</v>
      </c>
      <c r="C93">
        <v>1669.0999999046301</v>
      </c>
      <c r="D93" t="s">
        <v>451</v>
      </c>
      <c r="E93" t="s">
        <v>452</v>
      </c>
      <c r="F93">
        <v>15</v>
      </c>
      <c r="G93">
        <v>1768580054.03333</v>
      </c>
      <c r="H93">
        <f t="shared" si="25"/>
        <v>9.7448788221874387E-5</v>
      </c>
      <c r="I93">
        <v>0</v>
      </c>
      <c r="J93">
        <f t="shared" si="37"/>
        <v>-4.0254401569689548E-2</v>
      </c>
      <c r="K93">
        <f t="shared" si="26"/>
        <v>-1.0542495600130646</v>
      </c>
      <c r="L93">
        <f t="shared" si="27"/>
        <v>70.704277228146466</v>
      </c>
      <c r="M93">
        <f t="shared" si="28"/>
        <v>1.5603014848400767</v>
      </c>
      <c r="N93">
        <f t="shared" si="29"/>
        <v>2.2067992857141334</v>
      </c>
      <c r="O93">
        <v>0</v>
      </c>
      <c r="P93">
        <v>0</v>
      </c>
      <c r="Q93">
        <f t="shared" si="30"/>
        <v>1</v>
      </c>
      <c r="R93">
        <f t="shared" si="31"/>
        <v>0</v>
      </c>
      <c r="S93">
        <f t="shared" si="32"/>
        <v>25962.756734533636</v>
      </c>
      <c r="T93">
        <f t="shared" si="33"/>
        <v>799.99786666666705</v>
      </c>
      <c r="U93">
        <f t="shared" si="34"/>
        <v>674.39800816051593</v>
      </c>
      <c r="V93">
        <f t="shared" si="35"/>
        <v>0.84299975819999973</v>
      </c>
      <c r="W93">
        <f t="shared" si="36"/>
        <v>0.15869953841199996</v>
      </c>
      <c r="X93">
        <v>1</v>
      </c>
      <c r="Y93">
        <v>1768580054.03333</v>
      </c>
      <c r="Z93">
        <v>408.42753333333297</v>
      </c>
      <c r="AA93">
        <v>406.97833333333301</v>
      </c>
      <c r="AB93">
        <v>15.741160000000001</v>
      </c>
      <c r="AC93">
        <v>15.604139999999999</v>
      </c>
      <c r="AD93">
        <v>409.30013333333301</v>
      </c>
      <c r="AE93">
        <v>15.607366666666699</v>
      </c>
      <c r="AF93">
        <v>700.00606666666704</v>
      </c>
      <c r="AG93">
        <v>99.067260000000005</v>
      </c>
      <c r="AH93">
        <v>5.5135353333333303E-2</v>
      </c>
      <c r="AI93">
        <v>19.011759999999999</v>
      </c>
      <c r="AJ93">
        <v>999.9</v>
      </c>
      <c r="AK93">
        <v>999.9</v>
      </c>
      <c r="AL93">
        <v>0</v>
      </c>
      <c r="AM93">
        <v>0</v>
      </c>
      <c r="AN93">
        <v>4997.7</v>
      </c>
      <c r="AO93">
        <v>0</v>
      </c>
      <c r="AP93">
        <v>2.3750733333333298</v>
      </c>
      <c r="AQ93">
        <v>1.44927764</v>
      </c>
      <c r="AR93">
        <v>414.95966666666698</v>
      </c>
      <c r="AS93">
        <v>413.42939999999999</v>
      </c>
      <c r="AT93">
        <v>0.13700447333333299</v>
      </c>
      <c r="AU93">
        <v>406.97833333333301</v>
      </c>
      <c r="AV93">
        <v>15.604139999999999</v>
      </c>
      <c r="AW93">
        <v>1.55943266666667</v>
      </c>
      <c r="AX93">
        <v>1.54586</v>
      </c>
      <c r="AY93">
        <v>13.56362</v>
      </c>
      <c r="AZ93">
        <v>13.429460000000001</v>
      </c>
      <c r="BA93">
        <v>799.99786666666705</v>
      </c>
      <c r="BB93">
        <v>0.90000593333333301</v>
      </c>
      <c r="BC93">
        <v>0</v>
      </c>
      <c r="BD93">
        <v>9.9993993333333295E-2</v>
      </c>
      <c r="BE93">
        <v>0</v>
      </c>
      <c r="BF93">
        <v>25</v>
      </c>
      <c r="BG93">
        <v>13191.02</v>
      </c>
      <c r="BH93">
        <v>1768579680.0999999</v>
      </c>
      <c r="BI93" t="s">
        <v>412</v>
      </c>
      <c r="BJ93">
        <v>1768579680.0999999</v>
      </c>
      <c r="BK93">
        <v>1768579672.0999999</v>
      </c>
      <c r="BL93">
        <v>3</v>
      </c>
      <c r="BM93">
        <v>5.8999999999999997E-2</v>
      </c>
      <c r="BN93">
        <v>-8.0000000000000002E-3</v>
      </c>
      <c r="BO93">
        <v>-0.873</v>
      </c>
      <c r="BP93">
        <v>0.13400000000000001</v>
      </c>
      <c r="BQ93">
        <v>423</v>
      </c>
      <c r="BR93">
        <v>16</v>
      </c>
      <c r="BS93">
        <v>0.28000000000000003</v>
      </c>
      <c r="BT93">
        <v>0.11</v>
      </c>
      <c r="BU93">
        <v>2.4217064095238099</v>
      </c>
      <c r="BV93">
        <v>-17.061288748051901</v>
      </c>
      <c r="BW93">
        <v>1.9248532295584899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0.15458629047618999</v>
      </c>
      <c r="CD93">
        <v>-0.40208503636363602</v>
      </c>
      <c r="CE93">
        <v>4.1557667471827098E-2</v>
      </c>
      <c r="CF93">
        <v>0</v>
      </c>
      <c r="CG93">
        <v>0</v>
      </c>
      <c r="CH93">
        <v>2</v>
      </c>
      <c r="CI93" t="s">
        <v>290</v>
      </c>
      <c r="CJ93">
        <v>3.34985</v>
      </c>
      <c r="CK93">
        <v>2.6931600000000002</v>
      </c>
      <c r="CL93">
        <v>9.6629699999999999E-2</v>
      </c>
      <c r="CM93">
        <v>9.5406599999999994E-2</v>
      </c>
      <c r="CN93">
        <v>8.7214600000000003E-2</v>
      </c>
      <c r="CO93">
        <v>8.6128499999999997E-2</v>
      </c>
      <c r="CP93">
        <v>31674.5</v>
      </c>
      <c r="CQ93">
        <v>27832.2</v>
      </c>
      <c r="CR93">
        <v>32451.1</v>
      </c>
      <c r="CS93">
        <v>30693.9</v>
      </c>
      <c r="CT93">
        <v>40107</v>
      </c>
      <c r="CU93">
        <v>39437</v>
      </c>
      <c r="CV93">
        <v>47390.7</v>
      </c>
      <c r="CW93">
        <v>46805.7</v>
      </c>
      <c r="CX93">
        <v>2.5066799999999998</v>
      </c>
      <c r="CY93">
        <v>2.3220800000000001</v>
      </c>
      <c r="CZ93">
        <v>0</v>
      </c>
      <c r="DA93">
        <v>0</v>
      </c>
      <c r="DB93">
        <v>999.9</v>
      </c>
      <c r="DC93">
        <v>999.9</v>
      </c>
      <c r="DD93">
        <v>61.201000000000001</v>
      </c>
      <c r="DE93">
        <v>25.004999999999999</v>
      </c>
      <c r="DF93">
        <v>19.6477</v>
      </c>
      <c r="DG93">
        <v>30.36</v>
      </c>
      <c r="DH93">
        <v>13.125</v>
      </c>
      <c r="DI93">
        <v>2</v>
      </c>
      <c r="DJ93">
        <v>-0.125886</v>
      </c>
      <c r="DK93">
        <v>3.3490899999999999</v>
      </c>
      <c r="DL93">
        <v>20.172599999999999</v>
      </c>
      <c r="DM93">
        <v>5.2503500000000001</v>
      </c>
      <c r="DN93">
        <v>12.033899999999999</v>
      </c>
      <c r="DO93">
        <v>4.9671200000000004</v>
      </c>
      <c r="DP93">
        <v>3.2909999999999999</v>
      </c>
      <c r="DQ93">
        <v>9999</v>
      </c>
      <c r="DR93">
        <v>9999</v>
      </c>
      <c r="DS93">
        <v>522.9</v>
      </c>
      <c r="DT93">
        <v>9999</v>
      </c>
      <c r="DU93">
        <v>1.8708899999999999</v>
      </c>
      <c r="DV93">
        <v>1.8759999999999999</v>
      </c>
      <c r="DW93">
        <v>1.8762099999999999</v>
      </c>
      <c r="DX93">
        <v>1.8827400000000001</v>
      </c>
      <c r="DY93">
        <v>1.8754599999999999</v>
      </c>
      <c r="DZ93">
        <v>1.8745400000000001</v>
      </c>
      <c r="EA93">
        <v>1.87073</v>
      </c>
      <c r="EB93">
        <v>1.8745400000000001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-0.872</v>
      </c>
      <c r="EQ93">
        <v>0.1338</v>
      </c>
      <c r="ER93">
        <v>-0.87250000000000205</v>
      </c>
      <c r="ES93">
        <v>0</v>
      </c>
      <c r="ET93">
        <v>0</v>
      </c>
      <c r="EU93">
        <v>0</v>
      </c>
      <c r="EV93">
        <v>0.13378000000000201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6.4</v>
      </c>
      <c r="FE93">
        <v>6.5</v>
      </c>
      <c r="FF93">
        <v>0.90576199999999996</v>
      </c>
      <c r="FG93">
        <v>2.5708000000000002</v>
      </c>
      <c r="FH93">
        <v>2.19604</v>
      </c>
      <c r="FI93">
        <v>2.67578</v>
      </c>
      <c r="FJ93">
        <v>2.4462899999999999</v>
      </c>
      <c r="FK93">
        <v>2.2436500000000001</v>
      </c>
      <c r="FL93">
        <v>30.717199999999998</v>
      </c>
      <c r="FM93">
        <v>24.1313</v>
      </c>
      <c r="FN93">
        <v>19</v>
      </c>
      <c r="FO93">
        <v>760.00699999999995</v>
      </c>
      <c r="FP93">
        <v>736.75400000000002</v>
      </c>
      <c r="FQ93">
        <v>17.921299999999999</v>
      </c>
      <c r="FR93">
        <v>25.337199999999999</v>
      </c>
      <c r="FS93">
        <v>30.0031</v>
      </c>
      <c r="FT93">
        <v>25.338899999999999</v>
      </c>
      <c r="FU93">
        <v>25.338200000000001</v>
      </c>
      <c r="FV93">
        <v>18.188400000000001</v>
      </c>
      <c r="FW93">
        <v>57.721899999999998</v>
      </c>
      <c r="FX93">
        <v>99.629800000000003</v>
      </c>
      <c r="FY93">
        <v>17.862500000000001</v>
      </c>
      <c r="FZ93">
        <v>410</v>
      </c>
      <c r="GA93">
        <v>15.556100000000001</v>
      </c>
      <c r="GB93">
        <v>99.860200000000006</v>
      </c>
      <c r="GC93">
        <v>99.642399999999995</v>
      </c>
    </row>
    <row r="94" spans="1:185" x14ac:dyDescent="0.2">
      <c r="A94">
        <v>79</v>
      </c>
      <c r="B94">
        <v>1768580077.0999999</v>
      </c>
      <c r="C94">
        <v>1684.0999999046301</v>
      </c>
      <c r="D94" t="s">
        <v>453</v>
      </c>
      <c r="E94" t="s">
        <v>454</v>
      </c>
      <c r="F94">
        <v>15</v>
      </c>
      <c r="G94">
        <v>1768580069.03333</v>
      </c>
      <c r="H94">
        <f t="shared" si="25"/>
        <v>1.2709801571838637E-5</v>
      </c>
      <c r="I94">
        <v>0</v>
      </c>
      <c r="J94">
        <f t="shared" si="37"/>
        <v>4.9300404783990184E-2</v>
      </c>
      <c r="K94">
        <f t="shared" si="26"/>
        <v>1.2911614140383427</v>
      </c>
      <c r="L94">
        <f t="shared" si="27"/>
        <v>70.141292716210245</v>
      </c>
      <c r="M94">
        <f t="shared" si="28"/>
        <v>1.5476418994211276</v>
      </c>
      <c r="N94">
        <f t="shared" si="29"/>
        <v>2.2064633249387695</v>
      </c>
      <c r="O94">
        <v>0</v>
      </c>
      <c r="P94">
        <v>0</v>
      </c>
      <c r="Q94">
        <f t="shared" si="30"/>
        <v>1</v>
      </c>
      <c r="R94">
        <f t="shared" si="31"/>
        <v>0</v>
      </c>
      <c r="S94">
        <f t="shared" si="32"/>
        <v>25975.464449469928</v>
      </c>
      <c r="T94">
        <f t="shared" si="33"/>
        <v>799.99839999999995</v>
      </c>
      <c r="U94">
        <f t="shared" si="34"/>
        <v>674.39846576037098</v>
      </c>
      <c r="V94">
        <f t="shared" si="35"/>
        <v>0.84299976820000022</v>
      </c>
      <c r="W94">
        <f t="shared" si="36"/>
        <v>0.15869930357200004</v>
      </c>
      <c r="X94">
        <v>1</v>
      </c>
      <c r="Y94">
        <v>1768580069.03333</v>
      </c>
      <c r="Z94">
        <v>408.70126666666698</v>
      </c>
      <c r="AA94">
        <v>410.5532</v>
      </c>
      <c r="AB94">
        <v>15.6134</v>
      </c>
      <c r="AC94">
        <v>15.5955266666667</v>
      </c>
      <c r="AD94">
        <v>409.57380000000001</v>
      </c>
      <c r="AE94">
        <v>15.479613333333299</v>
      </c>
      <c r="AF94">
        <v>700.00139999999999</v>
      </c>
      <c r="AG94">
        <v>99.067553333333393</v>
      </c>
      <c r="AH94">
        <v>5.5116900000000003E-2</v>
      </c>
      <c r="AI94">
        <v>19.009319999999999</v>
      </c>
      <c r="AJ94">
        <v>999.9</v>
      </c>
      <c r="AK94">
        <v>999.9</v>
      </c>
      <c r="AL94">
        <v>0</v>
      </c>
      <c r="AM94">
        <v>0</v>
      </c>
      <c r="AN94">
        <v>4999.7666666666701</v>
      </c>
      <c r="AO94">
        <v>0</v>
      </c>
      <c r="AP94">
        <v>2.3713099999999998</v>
      </c>
      <c r="AQ94">
        <v>-1.8519675333333301</v>
      </c>
      <c r="AR94">
        <v>415.18380000000002</v>
      </c>
      <c r="AS94">
        <v>417.05739999999997</v>
      </c>
      <c r="AT94">
        <v>1.7879994E-2</v>
      </c>
      <c r="AU94">
        <v>410.5532</v>
      </c>
      <c r="AV94">
        <v>15.5955266666667</v>
      </c>
      <c r="AW94">
        <v>1.5467820000000001</v>
      </c>
      <c r="AX94">
        <v>1.54501</v>
      </c>
      <c r="AY94">
        <v>13.4385933333333</v>
      </c>
      <c r="AZ94">
        <v>13.4210266666667</v>
      </c>
      <c r="BA94">
        <v>799.99839999999995</v>
      </c>
      <c r="BB94">
        <v>0.90000946666666704</v>
      </c>
      <c r="BC94">
        <v>0</v>
      </c>
      <c r="BD94">
        <v>9.9990593333333294E-2</v>
      </c>
      <c r="BE94">
        <v>0</v>
      </c>
      <c r="BF94">
        <v>25</v>
      </c>
      <c r="BG94">
        <v>13191.0333333333</v>
      </c>
      <c r="BH94">
        <v>1768579680.0999999</v>
      </c>
      <c r="BI94" t="s">
        <v>412</v>
      </c>
      <c r="BJ94">
        <v>1768579680.0999999</v>
      </c>
      <c r="BK94">
        <v>1768579672.0999999</v>
      </c>
      <c r="BL94">
        <v>3</v>
      </c>
      <c r="BM94">
        <v>5.8999999999999997E-2</v>
      </c>
      <c r="BN94">
        <v>-8.0000000000000002E-3</v>
      </c>
      <c r="BO94">
        <v>-0.873</v>
      </c>
      <c r="BP94">
        <v>0.13400000000000001</v>
      </c>
      <c r="BQ94">
        <v>423</v>
      </c>
      <c r="BR94">
        <v>16</v>
      </c>
      <c r="BS94">
        <v>0.28000000000000003</v>
      </c>
      <c r="BT94">
        <v>0.11</v>
      </c>
      <c r="BU94">
        <v>-1.3077775700000001</v>
      </c>
      <c r="BV94">
        <v>-9.6561986977443599</v>
      </c>
      <c r="BW94">
        <v>1.12073882298859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3.6386830500000002E-2</v>
      </c>
      <c r="CD94">
        <v>-0.422399592631579</v>
      </c>
      <c r="CE94">
        <v>4.0969219928249603E-2</v>
      </c>
      <c r="CF94">
        <v>0</v>
      </c>
      <c r="CG94">
        <v>0</v>
      </c>
      <c r="CH94">
        <v>2</v>
      </c>
      <c r="CI94" t="s">
        <v>290</v>
      </c>
      <c r="CJ94">
        <v>3.3498399999999999</v>
      </c>
      <c r="CK94">
        <v>2.69265</v>
      </c>
      <c r="CL94">
        <v>9.6992200000000001E-2</v>
      </c>
      <c r="CM94">
        <v>9.5854499999999995E-2</v>
      </c>
      <c r="CN94">
        <v>8.6838799999999994E-2</v>
      </c>
      <c r="CO94">
        <v>8.6132100000000003E-2</v>
      </c>
      <c r="CP94">
        <v>31662.2</v>
      </c>
      <c r="CQ94">
        <v>27818.2</v>
      </c>
      <c r="CR94">
        <v>32451.5</v>
      </c>
      <c r="CS94">
        <v>30693.7</v>
      </c>
      <c r="CT94">
        <v>40124.699999999997</v>
      </c>
      <c r="CU94">
        <v>39436.9</v>
      </c>
      <c r="CV94">
        <v>47391.4</v>
      </c>
      <c r="CW94">
        <v>46805.9</v>
      </c>
      <c r="CX94">
        <v>2.5066999999999999</v>
      </c>
      <c r="CY94">
        <v>2.3216800000000002</v>
      </c>
      <c r="CZ94">
        <v>0</v>
      </c>
      <c r="DA94">
        <v>0</v>
      </c>
      <c r="DB94">
        <v>999.9</v>
      </c>
      <c r="DC94">
        <v>999.9</v>
      </c>
      <c r="DD94">
        <v>61.152000000000001</v>
      </c>
      <c r="DE94">
        <v>25.004999999999999</v>
      </c>
      <c r="DF94">
        <v>19.632300000000001</v>
      </c>
      <c r="DG94">
        <v>30.06</v>
      </c>
      <c r="DH94">
        <v>13.1691</v>
      </c>
      <c r="DI94">
        <v>2</v>
      </c>
      <c r="DJ94">
        <v>-0.12989200000000001</v>
      </c>
      <c r="DK94">
        <v>2.5310700000000002</v>
      </c>
      <c r="DL94">
        <v>20.1905</v>
      </c>
      <c r="DM94">
        <v>5.2474800000000004</v>
      </c>
      <c r="DN94">
        <v>12.033899999999999</v>
      </c>
      <c r="DO94">
        <v>4.9668799999999997</v>
      </c>
      <c r="DP94">
        <v>3.2906</v>
      </c>
      <c r="DQ94">
        <v>9999</v>
      </c>
      <c r="DR94">
        <v>9999</v>
      </c>
      <c r="DS94">
        <v>523</v>
      </c>
      <c r="DT94">
        <v>9999</v>
      </c>
      <c r="DU94">
        <v>1.8708800000000001</v>
      </c>
      <c r="DV94">
        <v>1.87595</v>
      </c>
      <c r="DW94">
        <v>1.8762099999999999</v>
      </c>
      <c r="DX94">
        <v>1.8826799999999999</v>
      </c>
      <c r="DY94">
        <v>1.8754599999999999</v>
      </c>
      <c r="DZ94">
        <v>1.8745400000000001</v>
      </c>
      <c r="EA94">
        <v>1.8706799999999999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-0.873</v>
      </c>
      <c r="EQ94">
        <v>0.1338</v>
      </c>
      <c r="ER94">
        <v>-0.87250000000000205</v>
      </c>
      <c r="ES94">
        <v>0</v>
      </c>
      <c r="ET94">
        <v>0</v>
      </c>
      <c r="EU94">
        <v>0</v>
      </c>
      <c r="EV94">
        <v>0.13378000000000201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6.6</v>
      </c>
      <c r="FE94">
        <v>6.8</v>
      </c>
      <c r="FF94">
        <v>0.89965799999999996</v>
      </c>
      <c r="FG94">
        <v>2.5647000000000002</v>
      </c>
      <c r="FH94">
        <v>2.19604</v>
      </c>
      <c r="FI94">
        <v>2.67578</v>
      </c>
      <c r="FJ94">
        <v>2.4462899999999999</v>
      </c>
      <c r="FK94">
        <v>2.2802699999999998</v>
      </c>
      <c r="FL94">
        <v>30.717199999999998</v>
      </c>
      <c r="FM94">
        <v>24.148800000000001</v>
      </c>
      <c r="FN94">
        <v>19</v>
      </c>
      <c r="FO94">
        <v>760.08900000000006</v>
      </c>
      <c r="FP94">
        <v>736.45799999999997</v>
      </c>
      <c r="FQ94">
        <v>17.792899999999999</v>
      </c>
      <c r="FR94">
        <v>25.341899999999999</v>
      </c>
      <c r="FS94">
        <v>29.999400000000001</v>
      </c>
      <c r="FT94">
        <v>25.343599999999999</v>
      </c>
      <c r="FU94">
        <v>25.343599999999999</v>
      </c>
      <c r="FV94">
        <v>18.058900000000001</v>
      </c>
      <c r="FW94">
        <v>57.721899999999998</v>
      </c>
      <c r="FX94">
        <v>99.629800000000003</v>
      </c>
      <c r="FY94">
        <v>17.823899999999998</v>
      </c>
      <c r="FZ94">
        <v>410</v>
      </c>
      <c r="GA94">
        <v>15.5867</v>
      </c>
      <c r="GB94">
        <v>99.861500000000007</v>
      </c>
      <c r="GC94">
        <v>99.642300000000006</v>
      </c>
    </row>
    <row r="95" spans="1:185" x14ac:dyDescent="0.2">
      <c r="A95">
        <v>80</v>
      </c>
      <c r="B95">
        <v>1768580092.0999999</v>
      </c>
      <c r="C95">
        <v>1699.0999999046301</v>
      </c>
      <c r="D95" t="s">
        <v>455</v>
      </c>
      <c r="E95" t="s">
        <v>456</v>
      </c>
      <c r="F95">
        <v>15</v>
      </c>
      <c r="G95">
        <v>1768580084.03333</v>
      </c>
      <c r="H95">
        <f t="shared" si="25"/>
        <v>-2.7333193768147395E-5</v>
      </c>
      <c r="I95">
        <v>0</v>
      </c>
      <c r="J95">
        <f t="shared" si="37"/>
        <v>8.1282836353049337E-2</v>
      </c>
      <c r="K95">
        <f t="shared" si="26"/>
        <v>2.1287707957467243</v>
      </c>
      <c r="L95">
        <f t="shared" si="27"/>
        <v>70.00462387524928</v>
      </c>
      <c r="M95">
        <f t="shared" si="28"/>
        <v>1.5422158788667462</v>
      </c>
      <c r="N95">
        <f t="shared" si="29"/>
        <v>2.2030200199561523</v>
      </c>
      <c r="O95">
        <v>0</v>
      </c>
      <c r="P95">
        <v>0</v>
      </c>
      <c r="Q95">
        <f t="shared" si="30"/>
        <v>1</v>
      </c>
      <c r="R95">
        <f t="shared" si="31"/>
        <v>0</v>
      </c>
      <c r="S95">
        <f t="shared" si="32"/>
        <v>25985.585535345828</v>
      </c>
      <c r="T95">
        <f t="shared" si="33"/>
        <v>799.99746666666704</v>
      </c>
      <c r="U95">
        <f t="shared" si="34"/>
        <v>674.39755208098904</v>
      </c>
      <c r="V95">
        <f t="shared" si="35"/>
        <v>0.84299960959999964</v>
      </c>
      <c r="W95">
        <f t="shared" si="36"/>
        <v>0.15869886809599992</v>
      </c>
      <c r="X95">
        <v>1</v>
      </c>
      <c r="Y95">
        <v>1768580084.03333</v>
      </c>
      <c r="Z95">
        <v>410.83280000000002</v>
      </c>
      <c r="AA95">
        <v>413.85786666666701</v>
      </c>
      <c r="AB95">
        <v>15.558386666666699</v>
      </c>
      <c r="AC95">
        <v>15.596826666666701</v>
      </c>
      <c r="AD95">
        <v>411.70553333333299</v>
      </c>
      <c r="AE95">
        <v>15.4246</v>
      </c>
      <c r="AF95">
        <v>699.99826666666695</v>
      </c>
      <c r="AG95">
        <v>99.069406666666694</v>
      </c>
      <c r="AH95">
        <v>5.50020466666667E-2</v>
      </c>
      <c r="AI95">
        <v>18.984293333333301</v>
      </c>
      <c r="AJ95">
        <v>999.9</v>
      </c>
      <c r="AK95">
        <v>999.9</v>
      </c>
      <c r="AL95">
        <v>0</v>
      </c>
      <c r="AM95">
        <v>0</v>
      </c>
      <c r="AN95">
        <v>5001</v>
      </c>
      <c r="AO95">
        <v>0</v>
      </c>
      <c r="AP95">
        <v>2.3713099999999998</v>
      </c>
      <c r="AQ95">
        <v>-3.0250303999999999</v>
      </c>
      <c r="AR95">
        <v>417.32586666666703</v>
      </c>
      <c r="AS95">
        <v>420.41493333333301</v>
      </c>
      <c r="AT95">
        <v>-3.8446733333333302E-2</v>
      </c>
      <c r="AU95">
        <v>413.85786666666701</v>
      </c>
      <c r="AV95">
        <v>15.596826666666701</v>
      </c>
      <c r="AW95">
        <v>1.541358</v>
      </c>
      <c r="AX95">
        <v>1.54516866666667</v>
      </c>
      <c r="AY95">
        <v>13.3847133333333</v>
      </c>
      <c r="AZ95">
        <v>13.4225866666667</v>
      </c>
      <c r="BA95">
        <v>799.99746666666704</v>
      </c>
      <c r="BB95">
        <v>0.90001533333333295</v>
      </c>
      <c r="BC95">
        <v>0</v>
      </c>
      <c r="BD95">
        <v>9.9984746666666596E-2</v>
      </c>
      <c r="BE95">
        <v>0</v>
      </c>
      <c r="BF95">
        <v>25</v>
      </c>
      <c r="BG95">
        <v>13191.053333333301</v>
      </c>
      <c r="BH95">
        <v>1768579680.0999999</v>
      </c>
      <c r="BI95" t="s">
        <v>412</v>
      </c>
      <c r="BJ95">
        <v>1768579680.0999999</v>
      </c>
      <c r="BK95">
        <v>1768579672.0999999</v>
      </c>
      <c r="BL95">
        <v>3</v>
      </c>
      <c r="BM95">
        <v>5.8999999999999997E-2</v>
      </c>
      <c r="BN95">
        <v>-8.0000000000000002E-3</v>
      </c>
      <c r="BO95">
        <v>-0.873</v>
      </c>
      <c r="BP95">
        <v>0.13400000000000001</v>
      </c>
      <c r="BQ95">
        <v>423</v>
      </c>
      <c r="BR95">
        <v>16</v>
      </c>
      <c r="BS95">
        <v>0.28000000000000003</v>
      </c>
      <c r="BT95">
        <v>0.11</v>
      </c>
      <c r="BU95">
        <v>-2.72496933333333</v>
      </c>
      <c r="BV95">
        <v>-11.6679790909091</v>
      </c>
      <c r="BW95">
        <v>1.55588210308372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-3.0290960952380999E-2</v>
      </c>
      <c r="CD95">
        <v>-0.15347315376623399</v>
      </c>
      <c r="CE95">
        <v>1.5724060786387498E-2</v>
      </c>
      <c r="CF95">
        <v>0</v>
      </c>
      <c r="CG95">
        <v>0</v>
      </c>
      <c r="CH95">
        <v>2</v>
      </c>
      <c r="CI95" t="s">
        <v>290</v>
      </c>
      <c r="CJ95">
        <v>3.3499599999999998</v>
      </c>
      <c r="CK95">
        <v>2.6929099999999999</v>
      </c>
      <c r="CL95">
        <v>9.7552700000000006E-2</v>
      </c>
      <c r="CM95">
        <v>9.6847299999999997E-2</v>
      </c>
      <c r="CN95">
        <v>8.6722599999999997E-2</v>
      </c>
      <c r="CO95">
        <v>8.6140999999999995E-2</v>
      </c>
      <c r="CP95">
        <v>31642.5</v>
      </c>
      <c r="CQ95">
        <v>27788.400000000001</v>
      </c>
      <c r="CR95">
        <v>32451.599999999999</v>
      </c>
      <c r="CS95">
        <v>30694.5</v>
      </c>
      <c r="CT95">
        <v>40130.400000000001</v>
      </c>
      <c r="CU95">
        <v>39437.800000000003</v>
      </c>
      <c r="CV95">
        <v>47391.7</v>
      </c>
      <c r="CW95">
        <v>46807.199999999997</v>
      </c>
      <c r="CX95">
        <v>2.5067599999999999</v>
      </c>
      <c r="CY95">
        <v>2.3214999999999999</v>
      </c>
      <c r="CZ95">
        <v>0</v>
      </c>
      <c r="DA95">
        <v>0</v>
      </c>
      <c r="DB95">
        <v>999.9</v>
      </c>
      <c r="DC95">
        <v>999.9</v>
      </c>
      <c r="DD95">
        <v>61.128</v>
      </c>
      <c r="DE95">
        <v>25.015000000000001</v>
      </c>
      <c r="DF95">
        <v>19.637499999999999</v>
      </c>
      <c r="DG95">
        <v>30.27</v>
      </c>
      <c r="DH95">
        <v>13.125</v>
      </c>
      <c r="DI95">
        <v>2</v>
      </c>
      <c r="DJ95">
        <v>-0.130856</v>
      </c>
      <c r="DK95">
        <v>2.3775900000000001</v>
      </c>
      <c r="DL95">
        <v>20.194099999999999</v>
      </c>
      <c r="DM95">
        <v>5.2505899999999999</v>
      </c>
      <c r="DN95">
        <v>12.033899999999999</v>
      </c>
      <c r="DO95">
        <v>4.96732</v>
      </c>
      <c r="DP95">
        <v>3.2910200000000001</v>
      </c>
      <c r="DQ95">
        <v>9999</v>
      </c>
      <c r="DR95">
        <v>9999</v>
      </c>
      <c r="DS95">
        <v>523</v>
      </c>
      <c r="DT95">
        <v>9999</v>
      </c>
      <c r="DU95">
        <v>1.8708800000000001</v>
      </c>
      <c r="DV95">
        <v>1.8759300000000001</v>
      </c>
      <c r="DW95">
        <v>1.8762000000000001</v>
      </c>
      <c r="DX95">
        <v>1.8826700000000001</v>
      </c>
      <c r="DY95">
        <v>1.8754599999999999</v>
      </c>
      <c r="DZ95">
        <v>1.87453</v>
      </c>
      <c r="EA95">
        <v>1.87069</v>
      </c>
      <c r="EB95">
        <v>1.87453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-0.872</v>
      </c>
      <c r="EQ95">
        <v>0.1338</v>
      </c>
      <c r="ER95">
        <v>-0.87250000000000205</v>
      </c>
      <c r="ES95">
        <v>0</v>
      </c>
      <c r="ET95">
        <v>0</v>
      </c>
      <c r="EU95">
        <v>0</v>
      </c>
      <c r="EV95">
        <v>0.13378000000000201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6.9</v>
      </c>
      <c r="FE95">
        <v>7</v>
      </c>
      <c r="FF95">
        <v>0.86914100000000005</v>
      </c>
      <c r="FG95">
        <v>2.5720200000000002</v>
      </c>
      <c r="FH95">
        <v>2.19604</v>
      </c>
      <c r="FI95">
        <v>2.67578</v>
      </c>
      <c r="FJ95">
        <v>2.4462899999999999</v>
      </c>
      <c r="FK95">
        <v>2.2802699999999998</v>
      </c>
      <c r="FL95">
        <v>30.738800000000001</v>
      </c>
      <c r="FM95">
        <v>24.14</v>
      </c>
      <c r="FN95">
        <v>19</v>
      </c>
      <c r="FO95">
        <v>760.21100000000001</v>
      </c>
      <c r="FP95">
        <v>736.36500000000001</v>
      </c>
      <c r="FQ95">
        <v>17.851700000000001</v>
      </c>
      <c r="FR95">
        <v>25.346900000000002</v>
      </c>
      <c r="FS95">
        <v>29.9999</v>
      </c>
      <c r="FT95">
        <v>25.348700000000001</v>
      </c>
      <c r="FU95">
        <v>25.348800000000001</v>
      </c>
      <c r="FV95">
        <v>17.454999999999998</v>
      </c>
      <c r="FW95">
        <v>57.721899999999998</v>
      </c>
      <c r="FX95">
        <v>99.629800000000003</v>
      </c>
      <c r="FY95">
        <v>17.863199999999999</v>
      </c>
      <c r="FZ95">
        <v>410</v>
      </c>
      <c r="GA95">
        <v>15.5867</v>
      </c>
      <c r="GB95">
        <v>99.862099999999998</v>
      </c>
      <c r="GC95">
        <v>99.644999999999996</v>
      </c>
    </row>
    <row r="96" spans="1:185" x14ac:dyDescent="0.2">
      <c r="A96">
        <v>81</v>
      </c>
      <c r="B96">
        <v>1768580107.0999999</v>
      </c>
      <c r="C96">
        <v>1714.0999999046301</v>
      </c>
      <c r="D96" t="s">
        <v>457</v>
      </c>
      <c r="E96" t="s">
        <v>458</v>
      </c>
      <c r="F96">
        <v>15</v>
      </c>
      <c r="G96">
        <v>1768580099.03333</v>
      </c>
      <c r="H96">
        <f t="shared" si="25"/>
        <v>-4.1435610820674021E-5</v>
      </c>
      <c r="I96">
        <v>0</v>
      </c>
      <c r="J96">
        <f t="shared" si="37"/>
        <v>-5.2105044026845862E-2</v>
      </c>
      <c r="K96">
        <f t="shared" si="26"/>
        <v>-1.3646139949357905</v>
      </c>
      <c r="L96">
        <f t="shared" si="27"/>
        <v>69.973783478458145</v>
      </c>
      <c r="M96">
        <f t="shared" si="28"/>
        <v>1.5404599020365104</v>
      </c>
      <c r="N96">
        <f t="shared" si="29"/>
        <v>2.2014815055852313</v>
      </c>
      <c r="O96">
        <v>0</v>
      </c>
      <c r="P96">
        <v>0</v>
      </c>
      <c r="Q96">
        <f t="shared" si="30"/>
        <v>1</v>
      </c>
      <c r="R96">
        <f t="shared" si="31"/>
        <v>0</v>
      </c>
      <c r="S96">
        <f t="shared" si="32"/>
        <v>25982.099514216334</v>
      </c>
      <c r="T96">
        <f t="shared" si="33"/>
        <v>800.00066666666703</v>
      </c>
      <c r="U96">
        <f t="shared" si="34"/>
        <v>674.39994023948191</v>
      </c>
      <c r="V96">
        <f t="shared" si="35"/>
        <v>0.84299922279999961</v>
      </c>
      <c r="W96">
        <f t="shared" si="36"/>
        <v>0.15869849872799996</v>
      </c>
      <c r="X96">
        <v>1</v>
      </c>
      <c r="Y96">
        <v>1768580099.03333</v>
      </c>
      <c r="Z96">
        <v>412.787933333333</v>
      </c>
      <c r="AA96">
        <v>410.81406666666697</v>
      </c>
      <c r="AB96">
        <v>15.5407266666667</v>
      </c>
      <c r="AC96">
        <v>15.599</v>
      </c>
      <c r="AD96">
        <v>413.66053333333298</v>
      </c>
      <c r="AE96">
        <v>15.406940000000001</v>
      </c>
      <c r="AF96">
        <v>700.00580000000002</v>
      </c>
      <c r="AG96">
        <v>99.069113333333306</v>
      </c>
      <c r="AH96">
        <v>5.49453466666667E-2</v>
      </c>
      <c r="AI96">
        <v>18.973099999999999</v>
      </c>
      <c r="AJ96">
        <v>999.9</v>
      </c>
      <c r="AK96">
        <v>999.9</v>
      </c>
      <c r="AL96">
        <v>0</v>
      </c>
      <c r="AM96">
        <v>0</v>
      </c>
      <c r="AN96">
        <v>5000.2666666666701</v>
      </c>
      <c r="AO96">
        <v>0</v>
      </c>
      <c r="AP96">
        <v>2.3713099999999998</v>
      </c>
      <c r="AQ96">
        <v>1.9739166666666701</v>
      </c>
      <c r="AR96">
        <v>419.30419999999998</v>
      </c>
      <c r="AS96">
        <v>417.323933333333</v>
      </c>
      <c r="AT96">
        <v>-5.8281579999999999E-2</v>
      </c>
      <c r="AU96">
        <v>410.81406666666697</v>
      </c>
      <c r="AV96">
        <v>15.599</v>
      </c>
      <c r="AW96">
        <v>1.5396046666666701</v>
      </c>
      <c r="AX96">
        <v>1.5453793333333301</v>
      </c>
      <c r="AY96">
        <v>13.36726</v>
      </c>
      <c r="AZ96">
        <v>13.4246866666667</v>
      </c>
      <c r="BA96">
        <v>800.00066666666703</v>
      </c>
      <c r="BB96">
        <v>0.90001933333333295</v>
      </c>
      <c r="BC96">
        <v>0</v>
      </c>
      <c r="BD96">
        <v>9.9980440000000004E-2</v>
      </c>
      <c r="BE96">
        <v>0</v>
      </c>
      <c r="BF96">
        <v>25</v>
      </c>
      <c r="BG96">
        <v>13191.12</v>
      </c>
      <c r="BH96">
        <v>1768579680.0999999</v>
      </c>
      <c r="BI96" t="s">
        <v>412</v>
      </c>
      <c r="BJ96">
        <v>1768579680.0999999</v>
      </c>
      <c r="BK96">
        <v>1768579672.0999999</v>
      </c>
      <c r="BL96">
        <v>3</v>
      </c>
      <c r="BM96">
        <v>5.8999999999999997E-2</v>
      </c>
      <c r="BN96">
        <v>-8.0000000000000002E-3</v>
      </c>
      <c r="BO96">
        <v>-0.873</v>
      </c>
      <c r="BP96">
        <v>0.13400000000000001</v>
      </c>
      <c r="BQ96">
        <v>423</v>
      </c>
      <c r="BR96">
        <v>16</v>
      </c>
      <c r="BS96">
        <v>0.28000000000000003</v>
      </c>
      <c r="BT96">
        <v>0.11</v>
      </c>
      <c r="BU96">
        <v>0.28199249999999998</v>
      </c>
      <c r="BV96">
        <v>36.619293473684202</v>
      </c>
      <c r="BW96">
        <v>3.8907565139951701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-5.5825609999999998E-2</v>
      </c>
      <c r="CD96">
        <v>-5.8583972932330801E-2</v>
      </c>
      <c r="CE96">
        <v>5.6488824984150601E-3</v>
      </c>
      <c r="CF96">
        <v>1</v>
      </c>
      <c r="CG96">
        <v>1</v>
      </c>
      <c r="CH96">
        <v>2</v>
      </c>
      <c r="CI96" t="s">
        <v>303</v>
      </c>
      <c r="CJ96">
        <v>3.3499300000000001</v>
      </c>
      <c r="CK96">
        <v>2.6926999999999999</v>
      </c>
      <c r="CL96">
        <v>9.7210400000000002E-2</v>
      </c>
      <c r="CM96">
        <v>9.5460900000000001E-2</v>
      </c>
      <c r="CN96">
        <v>8.6678099999999994E-2</v>
      </c>
      <c r="CO96">
        <v>8.6147000000000001E-2</v>
      </c>
      <c r="CP96">
        <v>31654.1</v>
      </c>
      <c r="CQ96">
        <v>27830.799999999999</v>
      </c>
      <c r="CR96">
        <v>32451.200000000001</v>
      </c>
      <c r="CS96">
        <v>30694.3</v>
      </c>
      <c r="CT96">
        <v>40131.699999999997</v>
      </c>
      <c r="CU96">
        <v>39437</v>
      </c>
      <c r="CV96">
        <v>47391</v>
      </c>
      <c r="CW96">
        <v>46806.7</v>
      </c>
      <c r="CX96">
        <v>2.50658</v>
      </c>
      <c r="CY96">
        <v>2.3212199999999998</v>
      </c>
      <c r="CZ96">
        <v>0</v>
      </c>
      <c r="DA96">
        <v>0</v>
      </c>
      <c r="DB96">
        <v>999.9</v>
      </c>
      <c r="DC96">
        <v>999.9</v>
      </c>
      <c r="DD96">
        <v>61.079000000000001</v>
      </c>
      <c r="DE96">
        <v>25.024999999999999</v>
      </c>
      <c r="DF96">
        <v>19.631399999999999</v>
      </c>
      <c r="DG96">
        <v>29.79</v>
      </c>
      <c r="DH96">
        <v>13.105</v>
      </c>
      <c r="DI96">
        <v>2</v>
      </c>
      <c r="DJ96">
        <v>-0.130465</v>
      </c>
      <c r="DK96">
        <v>2.29982</v>
      </c>
      <c r="DL96">
        <v>20.195399999999999</v>
      </c>
      <c r="DM96">
        <v>5.2508299999999997</v>
      </c>
      <c r="DN96">
        <v>12.033899999999999</v>
      </c>
      <c r="DO96">
        <v>4.9674399999999999</v>
      </c>
      <c r="DP96">
        <v>3.2909999999999999</v>
      </c>
      <c r="DQ96">
        <v>9999</v>
      </c>
      <c r="DR96">
        <v>9999</v>
      </c>
      <c r="DS96">
        <v>523</v>
      </c>
      <c r="DT96">
        <v>9999</v>
      </c>
      <c r="DU96">
        <v>1.8708899999999999</v>
      </c>
      <c r="DV96">
        <v>1.87595</v>
      </c>
      <c r="DW96">
        <v>1.87622</v>
      </c>
      <c r="DX96">
        <v>1.8826799999999999</v>
      </c>
      <c r="DY96">
        <v>1.8754599999999999</v>
      </c>
      <c r="DZ96">
        <v>1.87452</v>
      </c>
      <c r="EA96">
        <v>1.8706799999999999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-0.873</v>
      </c>
      <c r="EQ96">
        <v>0.1338</v>
      </c>
      <c r="ER96">
        <v>-0.87250000000000205</v>
      </c>
      <c r="ES96">
        <v>0</v>
      </c>
      <c r="ET96">
        <v>0</v>
      </c>
      <c r="EU96">
        <v>0</v>
      </c>
      <c r="EV96">
        <v>0.13378000000000201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7.1</v>
      </c>
      <c r="FE96">
        <v>7.2</v>
      </c>
      <c r="FF96">
        <v>0.87402299999999999</v>
      </c>
      <c r="FG96">
        <v>2.5732400000000002</v>
      </c>
      <c r="FH96">
        <v>2.19604</v>
      </c>
      <c r="FI96">
        <v>2.67578</v>
      </c>
      <c r="FJ96">
        <v>2.4462899999999999</v>
      </c>
      <c r="FK96">
        <v>2.2436500000000001</v>
      </c>
      <c r="FL96">
        <v>30.738800000000001</v>
      </c>
      <c r="FM96">
        <v>24.14</v>
      </c>
      <c r="FN96">
        <v>19</v>
      </c>
      <c r="FO96">
        <v>760.13300000000004</v>
      </c>
      <c r="FP96">
        <v>736.16899999999998</v>
      </c>
      <c r="FQ96">
        <v>17.9053</v>
      </c>
      <c r="FR96">
        <v>25.351299999999998</v>
      </c>
      <c r="FS96">
        <v>30.0002</v>
      </c>
      <c r="FT96">
        <v>25.3538</v>
      </c>
      <c r="FU96">
        <v>25.3535</v>
      </c>
      <c r="FV96">
        <v>17.559699999999999</v>
      </c>
      <c r="FW96">
        <v>57.721899999999998</v>
      </c>
      <c r="FX96">
        <v>99.629800000000003</v>
      </c>
      <c r="FY96">
        <v>17.918199999999999</v>
      </c>
      <c r="FZ96">
        <v>410</v>
      </c>
      <c r="GA96">
        <v>15.5867</v>
      </c>
      <c r="GB96">
        <v>99.860600000000005</v>
      </c>
      <c r="GC96">
        <v>99.644199999999998</v>
      </c>
    </row>
    <row r="97" spans="1:185" x14ac:dyDescent="0.2">
      <c r="A97">
        <v>82</v>
      </c>
      <c r="B97">
        <v>1768580122.0999999</v>
      </c>
      <c r="C97">
        <v>1729.0999999046301</v>
      </c>
      <c r="D97" t="s">
        <v>459</v>
      </c>
      <c r="E97" t="s">
        <v>460</v>
      </c>
      <c r="F97">
        <v>15</v>
      </c>
      <c r="G97">
        <v>1768580114.03333</v>
      </c>
      <c r="H97">
        <f t="shared" si="25"/>
        <v>-4.8137828693167585E-5</v>
      </c>
      <c r="I97">
        <v>0</v>
      </c>
      <c r="J97">
        <f t="shared" si="37"/>
        <v>-3.3127858073130664E-2</v>
      </c>
      <c r="K97">
        <f t="shared" si="26"/>
        <v>-0.86760772576161793</v>
      </c>
      <c r="L97">
        <f t="shared" si="27"/>
        <v>69.938150026318809</v>
      </c>
      <c r="M97">
        <f t="shared" si="28"/>
        <v>1.5398439415415961</v>
      </c>
      <c r="N97">
        <f t="shared" si="29"/>
        <v>2.2017224375567968</v>
      </c>
      <c r="O97">
        <v>0</v>
      </c>
      <c r="P97">
        <v>0</v>
      </c>
      <c r="Q97">
        <f t="shared" si="30"/>
        <v>1</v>
      </c>
      <c r="R97">
        <f t="shared" si="31"/>
        <v>0</v>
      </c>
      <c r="S97">
        <f t="shared" si="32"/>
        <v>25970.402542150925</v>
      </c>
      <c r="T97">
        <f t="shared" si="33"/>
        <v>799.99873333333301</v>
      </c>
      <c r="U97">
        <f t="shared" si="34"/>
        <v>674.39832148096673</v>
      </c>
      <c r="V97">
        <f t="shared" si="35"/>
        <v>0.84299923659999998</v>
      </c>
      <c r="W97">
        <f t="shared" si="36"/>
        <v>0.158698390316</v>
      </c>
      <c r="X97">
        <v>1</v>
      </c>
      <c r="Y97">
        <v>1768580114.03333</v>
      </c>
      <c r="Z97">
        <v>410.47826666666703</v>
      </c>
      <c r="AA97">
        <v>409.2106</v>
      </c>
      <c r="AB97">
        <v>15.5345</v>
      </c>
      <c r="AC97">
        <v>15.6022</v>
      </c>
      <c r="AD97">
        <v>411.35093333333299</v>
      </c>
      <c r="AE97">
        <v>15.400733333333299</v>
      </c>
      <c r="AF97">
        <v>700.00046666666697</v>
      </c>
      <c r="AG97">
        <v>99.069393333333295</v>
      </c>
      <c r="AH97">
        <v>5.474594E-2</v>
      </c>
      <c r="AI97">
        <v>18.9748533333333</v>
      </c>
      <c r="AJ97">
        <v>999.9</v>
      </c>
      <c r="AK97">
        <v>999.9</v>
      </c>
      <c r="AL97">
        <v>0</v>
      </c>
      <c r="AM97">
        <v>0</v>
      </c>
      <c r="AN97">
        <v>4998.3333333333303</v>
      </c>
      <c r="AO97">
        <v>0</v>
      </c>
      <c r="AP97">
        <v>2.3713099999999998</v>
      </c>
      <c r="AQ97">
        <v>1.2676893333333299</v>
      </c>
      <c r="AR97">
        <v>416.9556</v>
      </c>
      <c r="AS97">
        <v>415.69639999999998</v>
      </c>
      <c r="AT97">
        <v>-6.7674773333333299E-2</v>
      </c>
      <c r="AU97">
        <v>409.2106</v>
      </c>
      <c r="AV97">
        <v>15.6022</v>
      </c>
      <c r="AW97">
        <v>1.5389953333333299</v>
      </c>
      <c r="AX97">
        <v>1.5456986666666701</v>
      </c>
      <c r="AY97">
        <v>13.3611733333333</v>
      </c>
      <c r="AZ97">
        <v>13.427860000000001</v>
      </c>
      <c r="BA97">
        <v>799.99873333333301</v>
      </c>
      <c r="BB97">
        <v>0.90002099999999996</v>
      </c>
      <c r="BC97">
        <v>0</v>
      </c>
      <c r="BD97">
        <v>9.9978846666666704E-2</v>
      </c>
      <c r="BE97">
        <v>0</v>
      </c>
      <c r="BF97">
        <v>25</v>
      </c>
      <c r="BG97">
        <v>13191.0933333333</v>
      </c>
      <c r="BH97">
        <v>1768579680.0999999</v>
      </c>
      <c r="BI97" t="s">
        <v>412</v>
      </c>
      <c r="BJ97">
        <v>1768579680.0999999</v>
      </c>
      <c r="BK97">
        <v>1768579672.0999999</v>
      </c>
      <c r="BL97">
        <v>3</v>
      </c>
      <c r="BM97">
        <v>5.8999999999999997E-2</v>
      </c>
      <c r="BN97">
        <v>-8.0000000000000002E-3</v>
      </c>
      <c r="BO97">
        <v>-0.873</v>
      </c>
      <c r="BP97">
        <v>0.13400000000000001</v>
      </c>
      <c r="BQ97">
        <v>423</v>
      </c>
      <c r="BR97">
        <v>16</v>
      </c>
      <c r="BS97">
        <v>0.28000000000000003</v>
      </c>
      <c r="BT97">
        <v>0.11</v>
      </c>
      <c r="BU97">
        <v>1.9840380952381</v>
      </c>
      <c r="BV97">
        <v>-11.0387788051948</v>
      </c>
      <c r="BW97">
        <v>1.2996889732130601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-6.6197123809523806E-2</v>
      </c>
      <c r="CD97">
        <v>-3.02080363636365E-2</v>
      </c>
      <c r="CE97">
        <v>3.0713666638353099E-3</v>
      </c>
      <c r="CF97">
        <v>1</v>
      </c>
      <c r="CG97">
        <v>1</v>
      </c>
      <c r="CH97">
        <v>2</v>
      </c>
      <c r="CI97" t="s">
        <v>303</v>
      </c>
      <c r="CJ97">
        <v>3.3498999999999999</v>
      </c>
      <c r="CK97">
        <v>2.6925400000000002</v>
      </c>
      <c r="CL97">
        <v>9.6992200000000001E-2</v>
      </c>
      <c r="CM97">
        <v>9.5440200000000003E-2</v>
      </c>
      <c r="CN97">
        <v>8.6661299999999997E-2</v>
      </c>
      <c r="CO97">
        <v>8.6161799999999997E-2</v>
      </c>
      <c r="CP97">
        <v>31661.5</v>
      </c>
      <c r="CQ97">
        <v>27831.7</v>
      </c>
      <c r="CR97">
        <v>32450.9</v>
      </c>
      <c r="CS97">
        <v>30694.6</v>
      </c>
      <c r="CT97">
        <v>40132.199999999997</v>
      </c>
      <c r="CU97">
        <v>39436.5</v>
      </c>
      <c r="CV97">
        <v>47390.6</v>
      </c>
      <c r="CW97">
        <v>46807</v>
      </c>
      <c r="CX97">
        <v>2.5066000000000002</v>
      </c>
      <c r="CY97">
        <v>2.32118</v>
      </c>
      <c r="CZ97">
        <v>0</v>
      </c>
      <c r="DA97">
        <v>0</v>
      </c>
      <c r="DB97">
        <v>999.9</v>
      </c>
      <c r="DC97">
        <v>999.9</v>
      </c>
      <c r="DD97">
        <v>61.055</v>
      </c>
      <c r="DE97">
        <v>25.045000000000002</v>
      </c>
      <c r="DF97">
        <v>19.649699999999999</v>
      </c>
      <c r="DG97">
        <v>30.15</v>
      </c>
      <c r="DH97">
        <v>13.213100000000001</v>
      </c>
      <c r="DI97">
        <v>2</v>
      </c>
      <c r="DJ97">
        <v>-0.13023999999999999</v>
      </c>
      <c r="DK97">
        <v>2.2600199999999999</v>
      </c>
      <c r="DL97">
        <v>20.195399999999999</v>
      </c>
      <c r="DM97">
        <v>5.2478400000000001</v>
      </c>
      <c r="DN97">
        <v>12.033899999999999</v>
      </c>
      <c r="DO97">
        <v>4.9670399999999999</v>
      </c>
      <c r="DP97">
        <v>3.2906399999999998</v>
      </c>
      <c r="DQ97">
        <v>9999</v>
      </c>
      <c r="DR97">
        <v>9999</v>
      </c>
      <c r="DS97">
        <v>523</v>
      </c>
      <c r="DT97">
        <v>9999</v>
      </c>
      <c r="DU97">
        <v>1.8708899999999999</v>
      </c>
      <c r="DV97">
        <v>1.8759999999999999</v>
      </c>
      <c r="DW97">
        <v>1.87622</v>
      </c>
      <c r="DX97">
        <v>1.8827</v>
      </c>
      <c r="DY97">
        <v>1.8754599999999999</v>
      </c>
      <c r="DZ97">
        <v>1.8745400000000001</v>
      </c>
      <c r="EA97">
        <v>1.8707</v>
      </c>
      <c r="EB97">
        <v>1.8745400000000001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-0.872</v>
      </c>
      <c r="EQ97">
        <v>0.1338</v>
      </c>
      <c r="ER97">
        <v>-0.87250000000000205</v>
      </c>
      <c r="ES97">
        <v>0</v>
      </c>
      <c r="ET97">
        <v>0</v>
      </c>
      <c r="EU97">
        <v>0</v>
      </c>
      <c r="EV97">
        <v>0.13378000000000201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7.4</v>
      </c>
      <c r="FE97">
        <v>7.5</v>
      </c>
      <c r="FF97">
        <v>0.88012699999999999</v>
      </c>
      <c r="FG97">
        <v>2.5659200000000002</v>
      </c>
      <c r="FH97">
        <v>2.19604</v>
      </c>
      <c r="FI97">
        <v>2.67578</v>
      </c>
      <c r="FJ97">
        <v>2.4462899999999999</v>
      </c>
      <c r="FK97">
        <v>2.2875999999999999</v>
      </c>
      <c r="FL97">
        <v>30.760400000000001</v>
      </c>
      <c r="FM97">
        <v>24.148800000000001</v>
      </c>
      <c r="FN97">
        <v>19</v>
      </c>
      <c r="FO97">
        <v>760.22199999999998</v>
      </c>
      <c r="FP97">
        <v>736.21</v>
      </c>
      <c r="FQ97">
        <v>17.964200000000002</v>
      </c>
      <c r="FR97">
        <v>25.3568</v>
      </c>
      <c r="FS97">
        <v>30.0002</v>
      </c>
      <c r="FT97">
        <v>25.359000000000002</v>
      </c>
      <c r="FU97">
        <v>25.358899999999998</v>
      </c>
      <c r="FV97">
        <v>17.6693</v>
      </c>
      <c r="FW97">
        <v>57.721899999999998</v>
      </c>
      <c r="FX97">
        <v>99.257199999999997</v>
      </c>
      <c r="FY97">
        <v>17.972899999999999</v>
      </c>
      <c r="FZ97">
        <v>410</v>
      </c>
      <c r="GA97">
        <v>15.5867</v>
      </c>
      <c r="GB97">
        <v>99.859800000000007</v>
      </c>
      <c r="GC97">
        <v>99.644800000000004</v>
      </c>
    </row>
    <row r="98" spans="1:185" x14ac:dyDescent="0.2">
      <c r="A98">
        <v>83</v>
      </c>
      <c r="B98">
        <v>1768580137.0999999</v>
      </c>
      <c r="C98">
        <v>1744.0999999046301</v>
      </c>
      <c r="D98" t="s">
        <v>461</v>
      </c>
      <c r="E98" t="s">
        <v>462</v>
      </c>
      <c r="F98">
        <v>15</v>
      </c>
      <c r="G98">
        <v>1768580129.03333</v>
      </c>
      <c r="H98">
        <f t="shared" si="25"/>
        <v>-5.2347251604491838E-5</v>
      </c>
      <c r="I98">
        <v>0</v>
      </c>
      <c r="J98">
        <f t="shared" si="37"/>
        <v>-2.218612009986929E-2</v>
      </c>
      <c r="K98">
        <f t="shared" si="26"/>
        <v>-0.58104720084314987</v>
      </c>
      <c r="L98">
        <f t="shared" si="27"/>
        <v>69.897049246879234</v>
      </c>
      <c r="M98">
        <f t="shared" si="28"/>
        <v>1.5396589190122125</v>
      </c>
      <c r="N98">
        <f t="shared" si="29"/>
        <v>2.2027523845449815</v>
      </c>
      <c r="O98">
        <v>0</v>
      </c>
      <c r="P98">
        <v>0</v>
      </c>
      <c r="Q98">
        <f t="shared" si="30"/>
        <v>1</v>
      </c>
      <c r="R98">
        <f t="shared" si="31"/>
        <v>0</v>
      </c>
      <c r="S98">
        <f t="shared" si="32"/>
        <v>25986.473143751311</v>
      </c>
      <c r="T98">
        <f t="shared" si="33"/>
        <v>799.99906666666698</v>
      </c>
      <c r="U98">
        <f t="shared" si="34"/>
        <v>674.39878840049562</v>
      </c>
      <c r="V98">
        <f t="shared" si="35"/>
        <v>0.84299946899999967</v>
      </c>
      <c r="W98">
        <f t="shared" si="36"/>
        <v>0.15869873745999996</v>
      </c>
      <c r="X98">
        <v>1</v>
      </c>
      <c r="Y98">
        <v>1768580129.03333</v>
      </c>
      <c r="Z98">
        <v>409.2176</v>
      </c>
      <c r="AA98">
        <v>408.35693333333302</v>
      </c>
      <c r="AB98">
        <v>15.53252</v>
      </c>
      <c r="AC98">
        <v>15.60614</v>
      </c>
      <c r="AD98">
        <v>410.09013333333297</v>
      </c>
      <c r="AE98">
        <v>15.3987533333333</v>
      </c>
      <c r="AF98">
        <v>700.00226666666697</v>
      </c>
      <c r="AG98">
        <v>99.069839999999999</v>
      </c>
      <c r="AH98">
        <v>5.50231266666667E-2</v>
      </c>
      <c r="AI98">
        <v>18.9823466666667</v>
      </c>
      <c r="AJ98">
        <v>999.9</v>
      </c>
      <c r="AK98">
        <v>999.9</v>
      </c>
      <c r="AL98">
        <v>0</v>
      </c>
      <c r="AM98">
        <v>0</v>
      </c>
      <c r="AN98">
        <v>5001.1000000000004</v>
      </c>
      <c r="AO98">
        <v>0</v>
      </c>
      <c r="AP98">
        <v>2.3713099999999998</v>
      </c>
      <c r="AQ98">
        <v>0.86072256666666702</v>
      </c>
      <c r="AR98">
        <v>415.67406666666699</v>
      </c>
      <c r="AS98">
        <v>414.830733333333</v>
      </c>
      <c r="AT98">
        <v>-7.3607126666666703E-2</v>
      </c>
      <c r="AU98">
        <v>408.35693333333302</v>
      </c>
      <c r="AV98">
        <v>15.60614</v>
      </c>
      <c r="AW98">
        <v>1.53880533333333</v>
      </c>
      <c r="AX98">
        <v>1.54609666666667</v>
      </c>
      <c r="AY98">
        <v>13.3592866666667</v>
      </c>
      <c r="AZ98">
        <v>13.43182</v>
      </c>
      <c r="BA98">
        <v>799.99906666666698</v>
      </c>
      <c r="BB98">
        <v>0.90001673333333299</v>
      </c>
      <c r="BC98">
        <v>0</v>
      </c>
      <c r="BD98">
        <v>9.9983233333333296E-2</v>
      </c>
      <c r="BE98">
        <v>0</v>
      </c>
      <c r="BF98">
        <v>25</v>
      </c>
      <c r="BG98">
        <v>13191.073333333299</v>
      </c>
      <c r="BH98">
        <v>1768579680.0999999</v>
      </c>
      <c r="BI98" t="s">
        <v>412</v>
      </c>
      <c r="BJ98">
        <v>1768579680.0999999</v>
      </c>
      <c r="BK98">
        <v>1768579672.0999999</v>
      </c>
      <c r="BL98">
        <v>3</v>
      </c>
      <c r="BM98">
        <v>5.8999999999999997E-2</v>
      </c>
      <c r="BN98">
        <v>-8.0000000000000002E-3</v>
      </c>
      <c r="BO98">
        <v>-0.873</v>
      </c>
      <c r="BP98">
        <v>0.13400000000000001</v>
      </c>
      <c r="BQ98">
        <v>423</v>
      </c>
      <c r="BR98">
        <v>16</v>
      </c>
      <c r="BS98">
        <v>0.28000000000000003</v>
      </c>
      <c r="BT98">
        <v>0.11</v>
      </c>
      <c r="BU98">
        <v>0.94686292500000002</v>
      </c>
      <c r="BV98">
        <v>-7.0601874812030001</v>
      </c>
      <c r="BW98">
        <v>1.04657171703556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-7.2776080000000007E-2</v>
      </c>
      <c r="CD98">
        <v>-2.1177491729323299E-2</v>
      </c>
      <c r="CE98">
        <v>2.0809482904675901E-3</v>
      </c>
      <c r="CF98">
        <v>1</v>
      </c>
      <c r="CG98">
        <v>1</v>
      </c>
      <c r="CH98">
        <v>2</v>
      </c>
      <c r="CI98" t="s">
        <v>303</v>
      </c>
      <c r="CJ98">
        <v>3.3498600000000001</v>
      </c>
      <c r="CK98">
        <v>2.6929500000000002</v>
      </c>
      <c r="CL98">
        <v>9.68392E-2</v>
      </c>
      <c r="CM98">
        <v>9.5773300000000006E-2</v>
      </c>
      <c r="CN98">
        <v>8.6661199999999994E-2</v>
      </c>
      <c r="CO98">
        <v>8.6179199999999997E-2</v>
      </c>
      <c r="CP98">
        <v>31666</v>
      </c>
      <c r="CQ98">
        <v>27820.9</v>
      </c>
      <c r="CR98">
        <v>32450.1</v>
      </c>
      <c r="CS98">
        <v>30694</v>
      </c>
      <c r="CT98">
        <v>40131.199999999997</v>
      </c>
      <c r="CU98">
        <v>39435.1</v>
      </c>
      <c r="CV98">
        <v>47389.5</v>
      </c>
      <c r="CW98">
        <v>46806.1</v>
      </c>
      <c r="CX98">
        <v>2.50624</v>
      </c>
      <c r="CY98">
        <v>2.3209200000000001</v>
      </c>
      <c r="CZ98">
        <v>0</v>
      </c>
      <c r="DA98">
        <v>0</v>
      </c>
      <c r="DB98">
        <v>999.9</v>
      </c>
      <c r="DC98">
        <v>999.9</v>
      </c>
      <c r="DD98">
        <v>61.006</v>
      </c>
      <c r="DE98">
        <v>25.055</v>
      </c>
      <c r="DF98">
        <v>19.644200000000001</v>
      </c>
      <c r="DG98">
        <v>29.58</v>
      </c>
      <c r="DH98">
        <v>13.145</v>
      </c>
      <c r="DI98">
        <v>2</v>
      </c>
      <c r="DJ98">
        <v>-0.129695</v>
      </c>
      <c r="DK98">
        <v>2.2376399999999999</v>
      </c>
      <c r="DL98">
        <v>20.196400000000001</v>
      </c>
      <c r="DM98">
        <v>5.2513100000000001</v>
      </c>
      <c r="DN98">
        <v>12.033899999999999</v>
      </c>
      <c r="DO98">
        <v>4.96732</v>
      </c>
      <c r="DP98">
        <v>3.2909999999999999</v>
      </c>
      <c r="DQ98">
        <v>9999</v>
      </c>
      <c r="DR98">
        <v>9999</v>
      </c>
      <c r="DS98">
        <v>523</v>
      </c>
      <c r="DT98">
        <v>9999</v>
      </c>
      <c r="DU98">
        <v>1.8708800000000001</v>
      </c>
      <c r="DV98">
        <v>1.87592</v>
      </c>
      <c r="DW98">
        <v>1.87619</v>
      </c>
      <c r="DX98">
        <v>1.8826499999999999</v>
      </c>
      <c r="DY98">
        <v>1.8754599999999999</v>
      </c>
      <c r="DZ98">
        <v>1.87452</v>
      </c>
      <c r="EA98">
        <v>1.8706700000000001</v>
      </c>
      <c r="EB98">
        <v>1.8745000000000001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-0.873</v>
      </c>
      <c r="EQ98">
        <v>0.1338</v>
      </c>
      <c r="ER98">
        <v>-0.87250000000000205</v>
      </c>
      <c r="ES98">
        <v>0</v>
      </c>
      <c r="ET98">
        <v>0</v>
      </c>
      <c r="EU98">
        <v>0</v>
      </c>
      <c r="EV98">
        <v>0.13378000000000201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7.6</v>
      </c>
      <c r="FE98">
        <v>7.8</v>
      </c>
      <c r="FF98">
        <v>0.88622999999999996</v>
      </c>
      <c r="FG98">
        <v>2.5695800000000002</v>
      </c>
      <c r="FH98">
        <v>2.19604</v>
      </c>
      <c r="FI98">
        <v>2.67578</v>
      </c>
      <c r="FJ98">
        <v>2.4462899999999999</v>
      </c>
      <c r="FK98">
        <v>2.2875999999999999</v>
      </c>
      <c r="FL98">
        <v>30.782</v>
      </c>
      <c r="FM98">
        <v>24.14</v>
      </c>
      <c r="FN98">
        <v>19</v>
      </c>
      <c r="FO98">
        <v>759.99800000000005</v>
      </c>
      <c r="FP98">
        <v>736.04700000000003</v>
      </c>
      <c r="FQ98">
        <v>18.005600000000001</v>
      </c>
      <c r="FR98">
        <v>25.361899999999999</v>
      </c>
      <c r="FS98">
        <v>30.0001</v>
      </c>
      <c r="FT98">
        <v>25.3645</v>
      </c>
      <c r="FU98">
        <v>25.3645</v>
      </c>
      <c r="FV98">
        <v>17.799099999999999</v>
      </c>
      <c r="FW98">
        <v>57.721899999999998</v>
      </c>
      <c r="FX98">
        <v>99.257199999999997</v>
      </c>
      <c r="FY98">
        <v>18.011900000000001</v>
      </c>
      <c r="FZ98">
        <v>410</v>
      </c>
      <c r="GA98">
        <v>15.5867</v>
      </c>
      <c r="GB98">
        <v>99.857399999999998</v>
      </c>
      <c r="GC98">
        <v>99.643000000000001</v>
      </c>
    </row>
    <row r="99" spans="1:185" x14ac:dyDescent="0.2">
      <c r="A99">
        <v>84</v>
      </c>
      <c r="B99">
        <v>1768580152.0999999</v>
      </c>
      <c r="C99">
        <v>1759.0999999046301</v>
      </c>
      <c r="D99" t="s">
        <v>463</v>
      </c>
      <c r="E99" t="s">
        <v>464</v>
      </c>
      <c r="F99">
        <v>15</v>
      </c>
      <c r="G99">
        <v>1768580144.03333</v>
      </c>
      <c r="H99">
        <f t="shared" si="25"/>
        <v>-5.4774367489342059E-5</v>
      </c>
      <c r="I99">
        <v>0</v>
      </c>
      <c r="J99">
        <f t="shared" si="37"/>
        <v>-9.266818352111638E-3</v>
      </c>
      <c r="K99">
        <f t="shared" si="26"/>
        <v>-0.24269492998228745</v>
      </c>
      <c r="L99">
        <f t="shared" si="27"/>
        <v>69.863124225710649</v>
      </c>
      <c r="M99">
        <f t="shared" si="28"/>
        <v>1.5398146943704834</v>
      </c>
      <c r="N99">
        <f t="shared" si="29"/>
        <v>2.2040449971800848</v>
      </c>
      <c r="O99">
        <v>0</v>
      </c>
      <c r="P99">
        <v>0</v>
      </c>
      <c r="Q99">
        <f t="shared" si="30"/>
        <v>1</v>
      </c>
      <c r="R99">
        <f t="shared" si="31"/>
        <v>0</v>
      </c>
      <c r="S99">
        <f t="shared" si="32"/>
        <v>25978.526999218579</v>
      </c>
      <c r="T99">
        <f t="shared" si="33"/>
        <v>799.99913333333302</v>
      </c>
      <c r="U99">
        <f t="shared" si="34"/>
        <v>674.39905724022935</v>
      </c>
      <c r="V99">
        <f t="shared" si="35"/>
        <v>0.84299973479999968</v>
      </c>
      <c r="W99">
        <f t="shared" si="36"/>
        <v>0.15869951888799996</v>
      </c>
      <c r="X99">
        <v>1</v>
      </c>
      <c r="Y99">
        <v>1768580144.03333</v>
      </c>
      <c r="Z99">
        <v>409.30206666666697</v>
      </c>
      <c r="AA99">
        <v>408.92333333333301</v>
      </c>
      <c r="AB99">
        <v>15.533899999999999</v>
      </c>
      <c r="AC99">
        <v>15.6109333333333</v>
      </c>
      <c r="AD99">
        <v>410.1746</v>
      </c>
      <c r="AE99">
        <v>15.4001133333333</v>
      </c>
      <c r="AF99">
        <v>700.00226666666697</v>
      </c>
      <c r="AG99">
        <v>99.070980000000006</v>
      </c>
      <c r="AH99">
        <v>5.5105166666666698E-2</v>
      </c>
      <c r="AI99">
        <v>18.9917466666667</v>
      </c>
      <c r="AJ99">
        <v>999.9</v>
      </c>
      <c r="AK99">
        <v>999.9</v>
      </c>
      <c r="AL99">
        <v>0</v>
      </c>
      <c r="AM99">
        <v>0</v>
      </c>
      <c r="AN99">
        <v>4999.8666666666704</v>
      </c>
      <c r="AO99">
        <v>0</v>
      </c>
      <c r="AP99">
        <v>2.3713099999999998</v>
      </c>
      <c r="AQ99">
        <v>0.37880900000000001</v>
      </c>
      <c r="AR99">
        <v>415.76060000000001</v>
      </c>
      <c r="AS99">
        <v>415.40820000000002</v>
      </c>
      <c r="AT99">
        <v>-7.7056686666666693E-2</v>
      </c>
      <c r="AU99">
        <v>408.92333333333301</v>
      </c>
      <c r="AV99">
        <v>15.6109333333333</v>
      </c>
      <c r="AW99">
        <v>1.538958</v>
      </c>
      <c r="AX99">
        <v>1.54659066666667</v>
      </c>
      <c r="AY99">
        <v>13.360806666666701</v>
      </c>
      <c r="AZ99">
        <v>13.436719999999999</v>
      </c>
      <c r="BA99">
        <v>799.99913333333302</v>
      </c>
      <c r="BB99">
        <v>0.90000613333333301</v>
      </c>
      <c r="BC99">
        <v>0</v>
      </c>
      <c r="BD99">
        <v>9.99937733333333E-2</v>
      </c>
      <c r="BE99">
        <v>0</v>
      </c>
      <c r="BF99">
        <v>25</v>
      </c>
      <c r="BG99">
        <v>13191.026666666699</v>
      </c>
      <c r="BH99">
        <v>1768579680.0999999</v>
      </c>
      <c r="BI99" t="s">
        <v>412</v>
      </c>
      <c r="BJ99">
        <v>1768579680.0999999</v>
      </c>
      <c r="BK99">
        <v>1768579672.0999999</v>
      </c>
      <c r="BL99">
        <v>3</v>
      </c>
      <c r="BM99">
        <v>5.8999999999999997E-2</v>
      </c>
      <c r="BN99">
        <v>-8.0000000000000002E-3</v>
      </c>
      <c r="BO99">
        <v>-0.873</v>
      </c>
      <c r="BP99">
        <v>0.13400000000000001</v>
      </c>
      <c r="BQ99">
        <v>423</v>
      </c>
      <c r="BR99">
        <v>16</v>
      </c>
      <c r="BS99">
        <v>0.28000000000000003</v>
      </c>
      <c r="BT99">
        <v>0.11</v>
      </c>
      <c r="BU99">
        <v>0.13006492857142901</v>
      </c>
      <c r="BV99">
        <v>8.9690336493506493</v>
      </c>
      <c r="BW99">
        <v>1.3039840319322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-7.6506333333333301E-2</v>
      </c>
      <c r="CD99">
        <v>-1.07867454545454E-2</v>
      </c>
      <c r="CE99">
        <v>1.1234808283838401E-3</v>
      </c>
      <c r="CF99">
        <v>1</v>
      </c>
      <c r="CG99">
        <v>1</v>
      </c>
      <c r="CH99">
        <v>2</v>
      </c>
      <c r="CI99" t="s">
        <v>303</v>
      </c>
      <c r="CJ99">
        <v>3.3498999999999999</v>
      </c>
      <c r="CK99">
        <v>2.6926399999999999</v>
      </c>
      <c r="CL99">
        <v>9.6794599999999995E-2</v>
      </c>
      <c r="CM99">
        <v>9.5205600000000001E-2</v>
      </c>
      <c r="CN99">
        <v>8.6674600000000004E-2</v>
      </c>
      <c r="CO99">
        <v>8.6202699999999993E-2</v>
      </c>
      <c r="CP99">
        <v>31668.1</v>
      </c>
      <c r="CQ99">
        <v>27838.6</v>
      </c>
      <c r="CR99">
        <v>32450.6</v>
      </c>
      <c r="CS99">
        <v>30694.3</v>
      </c>
      <c r="CT99">
        <v>40131.599999999999</v>
      </c>
      <c r="CU99">
        <v>39434.699999999997</v>
      </c>
      <c r="CV99">
        <v>47390.6</v>
      </c>
      <c r="CW99">
        <v>46807</v>
      </c>
      <c r="CX99">
        <v>2.5063200000000001</v>
      </c>
      <c r="CY99">
        <v>2.3207599999999999</v>
      </c>
      <c r="CZ99">
        <v>0</v>
      </c>
      <c r="DA99">
        <v>0</v>
      </c>
      <c r="DB99">
        <v>999.9</v>
      </c>
      <c r="DC99">
        <v>999.9</v>
      </c>
      <c r="DD99">
        <v>60.957000000000001</v>
      </c>
      <c r="DE99">
        <v>25.074999999999999</v>
      </c>
      <c r="DF99">
        <v>19.651900000000001</v>
      </c>
      <c r="DG99">
        <v>30.33</v>
      </c>
      <c r="DH99">
        <v>13.141</v>
      </c>
      <c r="DI99">
        <v>2</v>
      </c>
      <c r="DJ99">
        <v>-0.12919700000000001</v>
      </c>
      <c r="DK99">
        <v>2.25474</v>
      </c>
      <c r="DL99">
        <v>20.196100000000001</v>
      </c>
      <c r="DM99">
        <v>5.2505899999999999</v>
      </c>
      <c r="DN99">
        <v>12.033899999999999</v>
      </c>
      <c r="DO99">
        <v>4.9673999999999996</v>
      </c>
      <c r="DP99">
        <v>3.2909999999999999</v>
      </c>
      <c r="DQ99">
        <v>9999</v>
      </c>
      <c r="DR99">
        <v>9999</v>
      </c>
      <c r="DS99">
        <v>523</v>
      </c>
      <c r="DT99">
        <v>9999</v>
      </c>
      <c r="DU99">
        <v>1.8709199999999999</v>
      </c>
      <c r="DV99">
        <v>1.87602</v>
      </c>
      <c r="DW99">
        <v>1.87622</v>
      </c>
      <c r="DX99">
        <v>1.8827400000000001</v>
      </c>
      <c r="DY99">
        <v>1.8754599999999999</v>
      </c>
      <c r="DZ99">
        <v>1.8745400000000001</v>
      </c>
      <c r="EA99">
        <v>1.87073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-0.872</v>
      </c>
      <c r="EQ99">
        <v>0.1338</v>
      </c>
      <c r="ER99">
        <v>-0.87250000000000205</v>
      </c>
      <c r="ES99">
        <v>0</v>
      </c>
      <c r="ET99">
        <v>0</v>
      </c>
      <c r="EU99">
        <v>0</v>
      </c>
      <c r="EV99">
        <v>0.13378000000000201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7.9</v>
      </c>
      <c r="FE99">
        <v>8</v>
      </c>
      <c r="FF99">
        <v>0.89721700000000004</v>
      </c>
      <c r="FG99">
        <v>2.5695800000000002</v>
      </c>
      <c r="FH99">
        <v>2.19604</v>
      </c>
      <c r="FI99">
        <v>2.67578</v>
      </c>
      <c r="FJ99">
        <v>2.4462899999999999</v>
      </c>
      <c r="FK99">
        <v>2.2631800000000002</v>
      </c>
      <c r="FL99">
        <v>30.782</v>
      </c>
      <c r="FM99">
        <v>24.14</v>
      </c>
      <c r="FN99">
        <v>19</v>
      </c>
      <c r="FO99">
        <v>760.13699999999994</v>
      </c>
      <c r="FP99">
        <v>735.97799999999995</v>
      </c>
      <c r="FQ99">
        <v>18.0321</v>
      </c>
      <c r="FR99">
        <v>25.366599999999998</v>
      </c>
      <c r="FS99">
        <v>30.000299999999999</v>
      </c>
      <c r="FT99">
        <v>25.369599999999998</v>
      </c>
      <c r="FU99">
        <v>25.37</v>
      </c>
      <c r="FV99">
        <v>18.025099999999998</v>
      </c>
      <c r="FW99">
        <v>57.721899999999998</v>
      </c>
      <c r="FX99">
        <v>99.257199999999997</v>
      </c>
      <c r="FY99">
        <v>18.0321</v>
      </c>
      <c r="FZ99">
        <v>410</v>
      </c>
      <c r="GA99">
        <v>15.5867</v>
      </c>
      <c r="GB99">
        <v>99.859399999999994</v>
      </c>
      <c r="GC99">
        <v>99.644499999999994</v>
      </c>
    </row>
    <row r="100" spans="1:185" x14ac:dyDescent="0.2">
      <c r="A100">
        <v>85</v>
      </c>
      <c r="B100">
        <v>1768580167.0999999</v>
      </c>
      <c r="C100">
        <v>1774.0999999046301</v>
      </c>
      <c r="D100" t="s">
        <v>465</v>
      </c>
      <c r="E100" t="s">
        <v>466</v>
      </c>
      <c r="F100">
        <v>15</v>
      </c>
      <c r="G100">
        <v>1768580159.03333</v>
      </c>
      <c r="H100">
        <f t="shared" si="25"/>
        <v>-5.6163906193125412E-5</v>
      </c>
      <c r="I100">
        <v>0</v>
      </c>
      <c r="J100">
        <f t="shared" si="37"/>
        <v>2.592472224233278E-2</v>
      </c>
      <c r="K100">
        <f t="shared" si="26"/>
        <v>0.67895996342471598</v>
      </c>
      <c r="L100">
        <f t="shared" si="27"/>
        <v>69.843179348973834</v>
      </c>
      <c r="M100">
        <f t="shared" si="28"/>
        <v>1.5401450895188196</v>
      </c>
      <c r="N100">
        <f t="shared" si="29"/>
        <v>2.2051474515835423</v>
      </c>
      <c r="O100">
        <v>0</v>
      </c>
      <c r="P100">
        <v>0</v>
      </c>
      <c r="Q100">
        <f t="shared" si="30"/>
        <v>1</v>
      </c>
      <c r="R100">
        <f t="shared" si="31"/>
        <v>0</v>
      </c>
      <c r="S100">
        <f t="shared" si="32"/>
        <v>25961.756525679652</v>
      </c>
      <c r="T100">
        <f t="shared" si="33"/>
        <v>799.99926666666602</v>
      </c>
      <c r="U100">
        <f t="shared" si="34"/>
        <v>674.39925796011278</v>
      </c>
      <c r="V100">
        <f t="shared" si="35"/>
        <v>0.84299984519999971</v>
      </c>
      <c r="W100">
        <f t="shared" si="36"/>
        <v>0.15869956103199995</v>
      </c>
      <c r="X100">
        <v>1</v>
      </c>
      <c r="Y100">
        <v>1768580159.03333</v>
      </c>
      <c r="Z100">
        <v>408.79360000000003</v>
      </c>
      <c r="AA100">
        <v>409.73073333333298</v>
      </c>
      <c r="AB100">
        <v>15.5372733333333</v>
      </c>
      <c r="AC100">
        <v>15.61626</v>
      </c>
      <c r="AD100">
        <v>409.66626666666701</v>
      </c>
      <c r="AE100">
        <v>15.403513333333301</v>
      </c>
      <c r="AF100">
        <v>700.00766666666698</v>
      </c>
      <c r="AG100">
        <v>99.070833333333297</v>
      </c>
      <c r="AH100">
        <v>5.4995019999999999E-2</v>
      </c>
      <c r="AI100">
        <v>18.999759999999998</v>
      </c>
      <c r="AJ100">
        <v>999.9</v>
      </c>
      <c r="AK100">
        <v>999.9</v>
      </c>
      <c r="AL100">
        <v>0</v>
      </c>
      <c r="AM100">
        <v>0</v>
      </c>
      <c r="AN100">
        <v>4997.2</v>
      </c>
      <c r="AO100">
        <v>0</v>
      </c>
      <c r="AP100">
        <v>2.3713099999999998</v>
      </c>
      <c r="AQ100">
        <v>-0.93706146666666701</v>
      </c>
      <c r="AR100">
        <v>415.24546666666703</v>
      </c>
      <c r="AS100">
        <v>416.23059999999998</v>
      </c>
      <c r="AT100">
        <v>-7.8996513333333296E-2</v>
      </c>
      <c r="AU100">
        <v>409.73073333333298</v>
      </c>
      <c r="AV100">
        <v>15.61626</v>
      </c>
      <c r="AW100">
        <v>1.5392906666666699</v>
      </c>
      <c r="AX100">
        <v>1.54711666666667</v>
      </c>
      <c r="AY100">
        <v>13.364133333333299</v>
      </c>
      <c r="AZ100">
        <v>13.441940000000001</v>
      </c>
      <c r="BA100">
        <v>799.99926666666602</v>
      </c>
      <c r="BB100">
        <v>0.90000593333333301</v>
      </c>
      <c r="BC100">
        <v>0</v>
      </c>
      <c r="BD100">
        <v>9.9994093333333298E-2</v>
      </c>
      <c r="BE100">
        <v>0</v>
      </c>
      <c r="BF100">
        <v>25</v>
      </c>
      <c r="BG100">
        <v>13191.0333333333</v>
      </c>
      <c r="BH100">
        <v>1768579680.0999999</v>
      </c>
      <c r="BI100" t="s">
        <v>412</v>
      </c>
      <c r="BJ100">
        <v>1768579680.0999999</v>
      </c>
      <c r="BK100">
        <v>1768579672.0999999</v>
      </c>
      <c r="BL100">
        <v>3</v>
      </c>
      <c r="BM100">
        <v>5.8999999999999997E-2</v>
      </c>
      <c r="BN100">
        <v>-8.0000000000000002E-3</v>
      </c>
      <c r="BO100">
        <v>-0.873</v>
      </c>
      <c r="BP100">
        <v>0.13400000000000001</v>
      </c>
      <c r="BQ100">
        <v>423</v>
      </c>
      <c r="BR100">
        <v>16</v>
      </c>
      <c r="BS100">
        <v>0.28000000000000003</v>
      </c>
      <c r="BT100">
        <v>0.11</v>
      </c>
      <c r="BU100">
        <v>-0.29002309999999998</v>
      </c>
      <c r="BV100">
        <v>-18.260465233082702</v>
      </c>
      <c r="BW100">
        <v>1.84198475280296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-7.8722845E-2</v>
      </c>
      <c r="CD100">
        <v>-8.2679593984962708E-3</v>
      </c>
      <c r="CE100">
        <v>8.5375888134472597E-4</v>
      </c>
      <c r="CF100">
        <v>1</v>
      </c>
      <c r="CG100">
        <v>1</v>
      </c>
      <c r="CH100">
        <v>2</v>
      </c>
      <c r="CI100" t="s">
        <v>303</v>
      </c>
      <c r="CJ100">
        <v>3.3498399999999999</v>
      </c>
      <c r="CK100">
        <v>2.6927599999999998</v>
      </c>
      <c r="CL100">
        <v>9.6973599999999993E-2</v>
      </c>
      <c r="CM100">
        <v>9.6036899999999994E-2</v>
      </c>
      <c r="CN100">
        <v>8.6688600000000005E-2</v>
      </c>
      <c r="CO100">
        <v>8.6222699999999999E-2</v>
      </c>
      <c r="CP100">
        <v>31661.4</v>
      </c>
      <c r="CQ100">
        <v>27812.7</v>
      </c>
      <c r="CR100">
        <v>32450.2</v>
      </c>
      <c r="CS100">
        <v>30694</v>
      </c>
      <c r="CT100">
        <v>40130.199999999997</v>
      </c>
      <c r="CU100">
        <v>39433.5</v>
      </c>
      <c r="CV100">
        <v>47389.7</v>
      </c>
      <c r="CW100">
        <v>46806.5</v>
      </c>
      <c r="CX100">
        <v>2.5063200000000001</v>
      </c>
      <c r="CY100">
        <v>2.3206199999999999</v>
      </c>
      <c r="CZ100">
        <v>0</v>
      </c>
      <c r="DA100">
        <v>0</v>
      </c>
      <c r="DB100">
        <v>999.9</v>
      </c>
      <c r="DC100">
        <v>999.9</v>
      </c>
      <c r="DD100">
        <v>60.933</v>
      </c>
      <c r="DE100">
        <v>25.096</v>
      </c>
      <c r="DF100">
        <v>19.667999999999999</v>
      </c>
      <c r="DG100">
        <v>30.21</v>
      </c>
      <c r="DH100">
        <v>13.1571</v>
      </c>
      <c r="DI100">
        <v>2</v>
      </c>
      <c r="DJ100">
        <v>-0.12821299999999999</v>
      </c>
      <c r="DK100">
        <v>2.5417900000000002</v>
      </c>
      <c r="DL100">
        <v>20.1907</v>
      </c>
      <c r="DM100">
        <v>5.2511900000000002</v>
      </c>
      <c r="DN100">
        <v>12.033899999999999</v>
      </c>
      <c r="DO100">
        <v>4.9673999999999996</v>
      </c>
      <c r="DP100">
        <v>3.2909999999999999</v>
      </c>
      <c r="DQ100">
        <v>9999</v>
      </c>
      <c r="DR100">
        <v>9999</v>
      </c>
      <c r="DS100">
        <v>523</v>
      </c>
      <c r="DT100">
        <v>9999</v>
      </c>
      <c r="DU100">
        <v>1.8708800000000001</v>
      </c>
      <c r="DV100">
        <v>1.8759399999999999</v>
      </c>
      <c r="DW100">
        <v>1.8762000000000001</v>
      </c>
      <c r="DX100">
        <v>1.8827</v>
      </c>
      <c r="DY100">
        <v>1.8754599999999999</v>
      </c>
      <c r="DZ100">
        <v>1.8745400000000001</v>
      </c>
      <c r="EA100">
        <v>1.8707199999999999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-0.873</v>
      </c>
      <c r="EQ100">
        <v>0.1338</v>
      </c>
      <c r="ER100">
        <v>-0.87250000000000205</v>
      </c>
      <c r="ES100">
        <v>0</v>
      </c>
      <c r="ET100">
        <v>0</v>
      </c>
      <c r="EU100">
        <v>0</v>
      </c>
      <c r="EV100">
        <v>0.13378000000000201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8.1</v>
      </c>
      <c r="FE100">
        <v>8.1999999999999993</v>
      </c>
      <c r="FF100">
        <v>0.89233399999999996</v>
      </c>
      <c r="FG100">
        <v>2.5659200000000002</v>
      </c>
      <c r="FH100">
        <v>2.19604</v>
      </c>
      <c r="FI100">
        <v>2.67578</v>
      </c>
      <c r="FJ100">
        <v>2.4462899999999999</v>
      </c>
      <c r="FK100">
        <v>2.2644000000000002</v>
      </c>
      <c r="FL100">
        <v>30.803699999999999</v>
      </c>
      <c r="FM100">
        <v>24.148800000000001</v>
      </c>
      <c r="FN100">
        <v>19</v>
      </c>
      <c r="FO100">
        <v>760.21500000000003</v>
      </c>
      <c r="FP100">
        <v>735.92499999999995</v>
      </c>
      <c r="FQ100">
        <v>18.0215</v>
      </c>
      <c r="FR100">
        <v>25.371300000000002</v>
      </c>
      <c r="FS100">
        <v>30.000699999999998</v>
      </c>
      <c r="FT100">
        <v>25.3751</v>
      </c>
      <c r="FU100">
        <v>25.375499999999999</v>
      </c>
      <c r="FV100">
        <v>17.9224</v>
      </c>
      <c r="FW100">
        <v>57.721899999999998</v>
      </c>
      <c r="FX100">
        <v>99.257199999999997</v>
      </c>
      <c r="FY100">
        <v>17.9389</v>
      </c>
      <c r="FZ100">
        <v>410</v>
      </c>
      <c r="GA100">
        <v>15.5867</v>
      </c>
      <c r="GB100">
        <v>99.857699999999994</v>
      </c>
      <c r="GC100">
        <v>99.643500000000003</v>
      </c>
    </row>
    <row r="101" spans="1:185" x14ac:dyDescent="0.2">
      <c r="A101">
        <v>86</v>
      </c>
      <c r="B101">
        <v>1768580182.0999999</v>
      </c>
      <c r="C101">
        <v>1789.0999999046301</v>
      </c>
      <c r="D101" t="s">
        <v>467</v>
      </c>
      <c r="E101" t="s">
        <v>468</v>
      </c>
      <c r="F101">
        <v>15</v>
      </c>
      <c r="G101">
        <v>1768580174.03333</v>
      </c>
      <c r="H101">
        <f t="shared" si="25"/>
        <v>-5.8893867161686025E-5</v>
      </c>
      <c r="I101">
        <v>0</v>
      </c>
      <c r="J101">
        <f t="shared" si="37"/>
        <v>-3.1679261032115831E-3</v>
      </c>
      <c r="K101">
        <f t="shared" si="26"/>
        <v>-8.2966944488860064E-2</v>
      </c>
      <c r="L101">
        <f t="shared" si="27"/>
        <v>69.814692873959444</v>
      </c>
      <c r="M101">
        <f t="shared" si="28"/>
        <v>1.5402523332447322</v>
      </c>
      <c r="N101">
        <f t="shared" si="29"/>
        <v>2.206200829423457</v>
      </c>
      <c r="O101">
        <v>0</v>
      </c>
      <c r="P101">
        <v>0</v>
      </c>
      <c r="Q101">
        <f t="shared" si="30"/>
        <v>1</v>
      </c>
      <c r="R101">
        <f t="shared" si="31"/>
        <v>0</v>
      </c>
      <c r="S101">
        <f t="shared" si="32"/>
        <v>25965.960454102104</v>
      </c>
      <c r="T101">
        <f t="shared" si="33"/>
        <v>799.99946666666699</v>
      </c>
      <c r="U101">
        <f t="shared" si="34"/>
        <v>674.39976527985698</v>
      </c>
      <c r="V101">
        <f t="shared" si="35"/>
        <v>0.84300026859999999</v>
      </c>
      <c r="W101">
        <f t="shared" si="36"/>
        <v>0.15870071047599998</v>
      </c>
      <c r="X101">
        <v>1</v>
      </c>
      <c r="Y101">
        <v>1768580174.03333</v>
      </c>
      <c r="Z101">
        <v>409.77473333333302</v>
      </c>
      <c r="AA101">
        <v>409.621733333333</v>
      </c>
      <c r="AB101">
        <v>15.5383266666667</v>
      </c>
      <c r="AC101">
        <v>15.6211533333333</v>
      </c>
      <c r="AD101">
        <v>410.6472</v>
      </c>
      <c r="AE101">
        <v>15.40456</v>
      </c>
      <c r="AF101">
        <v>700.00106666666704</v>
      </c>
      <c r="AG101">
        <v>99.071133333333293</v>
      </c>
      <c r="AH101">
        <v>5.4877226666666702E-2</v>
      </c>
      <c r="AI101">
        <v>19.0074133333333</v>
      </c>
      <c r="AJ101">
        <v>999.9</v>
      </c>
      <c r="AK101">
        <v>999.9</v>
      </c>
      <c r="AL101">
        <v>0</v>
      </c>
      <c r="AM101">
        <v>0</v>
      </c>
      <c r="AN101">
        <v>4998</v>
      </c>
      <c r="AO101">
        <v>0</v>
      </c>
      <c r="AP101">
        <v>2.3713099999999998</v>
      </c>
      <c r="AQ101">
        <v>0.15307436666666699</v>
      </c>
      <c r="AR101">
        <v>416.24246666666699</v>
      </c>
      <c r="AS101">
        <v>416.12206666666702</v>
      </c>
      <c r="AT101">
        <v>-8.2823746666666698E-2</v>
      </c>
      <c r="AU101">
        <v>409.621733333333</v>
      </c>
      <c r="AV101">
        <v>15.6211533333333</v>
      </c>
      <c r="AW101">
        <v>1.5394000000000001</v>
      </c>
      <c r="AX101">
        <v>1.547606</v>
      </c>
      <c r="AY101">
        <v>13.365220000000001</v>
      </c>
      <c r="AZ101">
        <v>13.446773333333301</v>
      </c>
      <c r="BA101">
        <v>799.99946666666699</v>
      </c>
      <c r="BB101">
        <v>0.89999046666666704</v>
      </c>
      <c r="BC101">
        <v>0</v>
      </c>
      <c r="BD101">
        <v>0.10000951333333299</v>
      </c>
      <c r="BE101">
        <v>0</v>
      </c>
      <c r="BF101">
        <v>25</v>
      </c>
      <c r="BG101">
        <v>13190.993333333299</v>
      </c>
      <c r="BH101">
        <v>1768579680.0999999</v>
      </c>
      <c r="BI101" t="s">
        <v>412</v>
      </c>
      <c r="BJ101">
        <v>1768579680.0999999</v>
      </c>
      <c r="BK101">
        <v>1768579672.0999999</v>
      </c>
      <c r="BL101">
        <v>3</v>
      </c>
      <c r="BM101">
        <v>5.8999999999999997E-2</v>
      </c>
      <c r="BN101">
        <v>-8.0000000000000002E-3</v>
      </c>
      <c r="BO101">
        <v>-0.873</v>
      </c>
      <c r="BP101">
        <v>0.13400000000000001</v>
      </c>
      <c r="BQ101">
        <v>423</v>
      </c>
      <c r="BR101">
        <v>16</v>
      </c>
      <c r="BS101">
        <v>0.28000000000000003</v>
      </c>
      <c r="BT101">
        <v>0.11</v>
      </c>
      <c r="BU101">
        <v>-0.63274422500000005</v>
      </c>
      <c r="BV101">
        <v>12.4482701278195</v>
      </c>
      <c r="BW101">
        <v>1.90918180637017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-8.174671E-2</v>
      </c>
      <c r="CD101">
        <v>-2.3131200000000102E-2</v>
      </c>
      <c r="CE101">
        <v>2.5174143250367002E-3</v>
      </c>
      <c r="CF101">
        <v>1</v>
      </c>
      <c r="CG101">
        <v>1</v>
      </c>
      <c r="CH101">
        <v>2</v>
      </c>
      <c r="CI101" t="s">
        <v>303</v>
      </c>
      <c r="CJ101">
        <v>3.3498399999999999</v>
      </c>
      <c r="CK101">
        <v>2.6930800000000001</v>
      </c>
      <c r="CL101">
        <v>9.6957699999999994E-2</v>
      </c>
      <c r="CM101">
        <v>9.5766900000000002E-2</v>
      </c>
      <c r="CN101">
        <v>8.6681999999999995E-2</v>
      </c>
      <c r="CO101">
        <v>8.6240499999999998E-2</v>
      </c>
      <c r="CP101">
        <v>31662</v>
      </c>
      <c r="CQ101">
        <v>27820.799999999999</v>
      </c>
      <c r="CR101">
        <v>32450.2</v>
      </c>
      <c r="CS101">
        <v>30693.7</v>
      </c>
      <c r="CT101">
        <v>40130.6</v>
      </c>
      <c r="CU101">
        <v>39432.400000000001</v>
      </c>
      <c r="CV101">
        <v>47389.8</v>
      </c>
      <c r="CW101">
        <v>46806.1</v>
      </c>
      <c r="CX101">
        <v>2.5061200000000001</v>
      </c>
      <c r="CY101">
        <v>2.3203200000000002</v>
      </c>
      <c r="CZ101">
        <v>0</v>
      </c>
      <c r="DA101">
        <v>0</v>
      </c>
      <c r="DB101">
        <v>999.9</v>
      </c>
      <c r="DC101">
        <v>999.9</v>
      </c>
      <c r="DD101">
        <v>60.89</v>
      </c>
      <c r="DE101">
        <v>25.096</v>
      </c>
      <c r="DF101">
        <v>19.655899999999999</v>
      </c>
      <c r="DG101">
        <v>30.3</v>
      </c>
      <c r="DH101">
        <v>13.113</v>
      </c>
      <c r="DI101">
        <v>2</v>
      </c>
      <c r="DJ101">
        <v>-0.12768499999999999</v>
      </c>
      <c r="DK101">
        <v>2.4424800000000002</v>
      </c>
      <c r="DL101">
        <v>20.192599999999999</v>
      </c>
      <c r="DM101">
        <v>5.2508299999999997</v>
      </c>
      <c r="DN101">
        <v>12.033899999999999</v>
      </c>
      <c r="DO101">
        <v>4.9675200000000004</v>
      </c>
      <c r="DP101">
        <v>3.2909999999999999</v>
      </c>
      <c r="DQ101">
        <v>9999</v>
      </c>
      <c r="DR101">
        <v>9999</v>
      </c>
      <c r="DS101">
        <v>523</v>
      </c>
      <c r="DT101">
        <v>9999</v>
      </c>
      <c r="DU101">
        <v>1.8709</v>
      </c>
      <c r="DV101">
        <v>1.87595</v>
      </c>
      <c r="DW101">
        <v>1.8762000000000001</v>
      </c>
      <c r="DX101">
        <v>1.8826799999999999</v>
      </c>
      <c r="DY101">
        <v>1.8754599999999999</v>
      </c>
      <c r="DZ101">
        <v>1.8745400000000001</v>
      </c>
      <c r="EA101">
        <v>1.8707100000000001</v>
      </c>
      <c r="EB101">
        <v>1.8745400000000001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-0.873</v>
      </c>
      <c r="EQ101">
        <v>0.1338</v>
      </c>
      <c r="ER101">
        <v>-0.87250000000000205</v>
      </c>
      <c r="ES101">
        <v>0</v>
      </c>
      <c r="ET101">
        <v>0</v>
      </c>
      <c r="EU101">
        <v>0</v>
      </c>
      <c r="EV101">
        <v>0.13378000000000201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8.4</v>
      </c>
      <c r="FE101">
        <v>8.5</v>
      </c>
      <c r="FF101">
        <v>0.89721700000000004</v>
      </c>
      <c r="FG101">
        <v>2.5720200000000002</v>
      </c>
      <c r="FH101">
        <v>2.19604</v>
      </c>
      <c r="FI101">
        <v>2.67456</v>
      </c>
      <c r="FJ101">
        <v>2.4462899999999999</v>
      </c>
      <c r="FK101">
        <v>2.3046899999999999</v>
      </c>
      <c r="FL101">
        <v>30.803699999999999</v>
      </c>
      <c r="FM101">
        <v>24.148800000000001</v>
      </c>
      <c r="FN101">
        <v>19</v>
      </c>
      <c r="FO101">
        <v>760.11400000000003</v>
      </c>
      <c r="FP101">
        <v>735.71900000000005</v>
      </c>
      <c r="FQ101">
        <v>17.912600000000001</v>
      </c>
      <c r="FR101">
        <v>25.376000000000001</v>
      </c>
      <c r="FS101">
        <v>30.0002</v>
      </c>
      <c r="FT101">
        <v>25.379899999999999</v>
      </c>
      <c r="FU101">
        <v>25.380700000000001</v>
      </c>
      <c r="FV101">
        <v>18.013000000000002</v>
      </c>
      <c r="FW101">
        <v>57.721899999999998</v>
      </c>
      <c r="FX101">
        <v>98.885400000000004</v>
      </c>
      <c r="FY101">
        <v>17.916399999999999</v>
      </c>
      <c r="FZ101">
        <v>410</v>
      </c>
      <c r="GA101">
        <v>15.5867</v>
      </c>
      <c r="GB101">
        <v>99.858000000000004</v>
      </c>
      <c r="GC101">
        <v>99.642700000000005</v>
      </c>
    </row>
    <row r="102" spans="1:185" x14ac:dyDescent="0.2">
      <c r="A102">
        <v>87</v>
      </c>
      <c r="B102">
        <v>1768580197.0999999</v>
      </c>
      <c r="C102">
        <v>1804.0999999046301</v>
      </c>
      <c r="D102" t="s">
        <v>469</v>
      </c>
      <c r="E102" t="s">
        <v>470</v>
      </c>
      <c r="F102">
        <v>15</v>
      </c>
      <c r="G102">
        <v>1768580189.03333</v>
      </c>
      <c r="H102">
        <f t="shared" si="25"/>
        <v>-6.2046115768186062E-5</v>
      </c>
      <c r="I102">
        <v>0</v>
      </c>
      <c r="J102">
        <f t="shared" si="37"/>
        <v>3.3693907567993392E-3</v>
      </c>
      <c r="K102">
        <f t="shared" si="26"/>
        <v>8.8243237617584722E-2</v>
      </c>
      <c r="L102">
        <f t="shared" si="27"/>
        <v>69.84872832502748</v>
      </c>
      <c r="M102">
        <f t="shared" si="28"/>
        <v>1.5403808745846956</v>
      </c>
      <c r="N102">
        <f t="shared" si="29"/>
        <v>2.2053098338696056</v>
      </c>
      <c r="O102">
        <v>0</v>
      </c>
      <c r="P102">
        <v>0</v>
      </c>
      <c r="Q102">
        <f t="shared" si="30"/>
        <v>1</v>
      </c>
      <c r="R102">
        <f t="shared" si="31"/>
        <v>0</v>
      </c>
      <c r="S102">
        <f t="shared" si="32"/>
        <v>26002.584218352826</v>
      </c>
      <c r="T102">
        <f t="shared" si="33"/>
        <v>799.99900000000002</v>
      </c>
      <c r="U102">
        <f t="shared" si="34"/>
        <v>674.39951059955808</v>
      </c>
      <c r="V102">
        <f t="shared" si="35"/>
        <v>0.84300044200000002</v>
      </c>
      <c r="W102">
        <f t="shared" si="36"/>
        <v>0.15870110499999995</v>
      </c>
      <c r="X102">
        <v>1</v>
      </c>
      <c r="Y102">
        <v>1768580189.03333</v>
      </c>
      <c r="Z102">
        <v>409.85566666666699</v>
      </c>
      <c r="AA102">
        <v>409.94540000000001</v>
      </c>
      <c r="AB102">
        <v>15.5394466666667</v>
      </c>
      <c r="AC102">
        <v>15.626706666666699</v>
      </c>
      <c r="AD102">
        <v>410.72806666666702</v>
      </c>
      <c r="AE102">
        <v>15.4056533333333</v>
      </c>
      <c r="AF102">
        <v>699.99946666666699</v>
      </c>
      <c r="AG102">
        <v>99.071926666666698</v>
      </c>
      <c r="AH102">
        <v>5.5211360000000001E-2</v>
      </c>
      <c r="AI102">
        <v>19.00094</v>
      </c>
      <c r="AJ102">
        <v>999.9</v>
      </c>
      <c r="AK102">
        <v>999.9</v>
      </c>
      <c r="AL102">
        <v>0</v>
      </c>
      <c r="AM102">
        <v>0</v>
      </c>
      <c r="AN102">
        <v>5003.9666666666699</v>
      </c>
      <c r="AO102">
        <v>0</v>
      </c>
      <c r="AP102">
        <v>2.3647619999999998</v>
      </c>
      <c r="AQ102">
        <v>-8.9744266666666697E-2</v>
      </c>
      <c r="AR102">
        <v>416.325066666667</v>
      </c>
      <c r="AS102">
        <v>416.45306666666698</v>
      </c>
      <c r="AT102">
        <v>-8.7264439999999999E-2</v>
      </c>
      <c r="AU102">
        <v>409.94540000000001</v>
      </c>
      <c r="AV102">
        <v>15.626706666666699</v>
      </c>
      <c r="AW102">
        <v>1.5395206666666701</v>
      </c>
      <c r="AX102">
        <v>1.5481686666666701</v>
      </c>
      <c r="AY102">
        <v>13.366440000000001</v>
      </c>
      <c r="AZ102">
        <v>13.452353333333299</v>
      </c>
      <c r="BA102">
        <v>799.99900000000002</v>
      </c>
      <c r="BB102">
        <v>0.89998526666666701</v>
      </c>
      <c r="BC102">
        <v>0</v>
      </c>
      <c r="BD102">
        <v>0.10001473333333299</v>
      </c>
      <c r="BE102">
        <v>0</v>
      </c>
      <c r="BF102">
        <v>25</v>
      </c>
      <c r="BG102">
        <v>13190.9333333333</v>
      </c>
      <c r="BH102">
        <v>1768579680.0999999</v>
      </c>
      <c r="BI102" t="s">
        <v>412</v>
      </c>
      <c r="BJ102">
        <v>1768579680.0999999</v>
      </c>
      <c r="BK102">
        <v>1768579672.0999999</v>
      </c>
      <c r="BL102">
        <v>3</v>
      </c>
      <c r="BM102">
        <v>5.8999999999999997E-2</v>
      </c>
      <c r="BN102">
        <v>-8.0000000000000002E-3</v>
      </c>
      <c r="BO102">
        <v>-0.873</v>
      </c>
      <c r="BP102">
        <v>0.13400000000000001</v>
      </c>
      <c r="BQ102">
        <v>423</v>
      </c>
      <c r="BR102">
        <v>16</v>
      </c>
      <c r="BS102">
        <v>0.28000000000000003</v>
      </c>
      <c r="BT102">
        <v>0.11</v>
      </c>
      <c r="BU102">
        <v>-0.25360565000000002</v>
      </c>
      <c r="BV102">
        <v>3.6937937593984902</v>
      </c>
      <c r="BW102">
        <v>0.98893247716713595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-8.6997320000000003E-2</v>
      </c>
      <c r="CD102">
        <v>-9.0326887218045403E-3</v>
      </c>
      <c r="CE102">
        <v>1.00648355207624E-3</v>
      </c>
      <c r="CF102">
        <v>1</v>
      </c>
      <c r="CG102">
        <v>1</v>
      </c>
      <c r="CH102">
        <v>2</v>
      </c>
      <c r="CI102" t="s">
        <v>303</v>
      </c>
      <c r="CJ102">
        <v>3.34992</v>
      </c>
      <c r="CK102">
        <v>2.6932299999999998</v>
      </c>
      <c r="CL102">
        <v>9.6973599999999993E-2</v>
      </c>
      <c r="CM102">
        <v>9.6138799999999996E-2</v>
      </c>
      <c r="CN102">
        <v>8.6697499999999997E-2</v>
      </c>
      <c r="CO102">
        <v>8.6263699999999999E-2</v>
      </c>
      <c r="CP102">
        <v>31661</v>
      </c>
      <c r="CQ102">
        <v>27809.200000000001</v>
      </c>
      <c r="CR102">
        <v>32449.8</v>
      </c>
      <c r="CS102">
        <v>30693.599999999999</v>
      </c>
      <c r="CT102">
        <v>40129.599999999999</v>
      </c>
      <c r="CU102">
        <v>39431.4</v>
      </c>
      <c r="CV102">
        <v>47389.4</v>
      </c>
      <c r="CW102">
        <v>46806.2</v>
      </c>
      <c r="CX102">
        <v>2.50596</v>
      </c>
      <c r="CY102">
        <v>2.3201999999999998</v>
      </c>
      <c r="CZ102">
        <v>0</v>
      </c>
      <c r="DA102">
        <v>0</v>
      </c>
      <c r="DB102">
        <v>999.9</v>
      </c>
      <c r="DC102">
        <v>999.9</v>
      </c>
      <c r="DD102">
        <v>60.853000000000002</v>
      </c>
      <c r="DE102">
        <v>25.116</v>
      </c>
      <c r="DF102">
        <v>19.668099999999999</v>
      </c>
      <c r="DG102">
        <v>30.06</v>
      </c>
      <c r="DH102">
        <v>13.0929</v>
      </c>
      <c r="DI102">
        <v>2</v>
      </c>
      <c r="DJ102">
        <v>-0.12767300000000001</v>
      </c>
      <c r="DK102">
        <v>2.3572299999999999</v>
      </c>
      <c r="DL102">
        <v>20.194299999999998</v>
      </c>
      <c r="DM102">
        <v>5.2496400000000003</v>
      </c>
      <c r="DN102">
        <v>12.033899999999999</v>
      </c>
      <c r="DO102">
        <v>4.9672000000000001</v>
      </c>
      <c r="DP102">
        <v>3.2909999999999999</v>
      </c>
      <c r="DQ102">
        <v>9999</v>
      </c>
      <c r="DR102">
        <v>9999</v>
      </c>
      <c r="DS102">
        <v>523</v>
      </c>
      <c r="DT102">
        <v>9999</v>
      </c>
      <c r="DU102">
        <v>1.87094</v>
      </c>
      <c r="DV102">
        <v>1.8759999999999999</v>
      </c>
      <c r="DW102">
        <v>1.8762099999999999</v>
      </c>
      <c r="DX102">
        <v>1.8827100000000001</v>
      </c>
      <c r="DY102">
        <v>1.87547</v>
      </c>
      <c r="DZ102">
        <v>1.8745400000000001</v>
      </c>
      <c r="EA102">
        <v>1.87073</v>
      </c>
      <c r="EB102">
        <v>1.8745400000000001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-0.873</v>
      </c>
      <c r="EQ102">
        <v>0.13370000000000001</v>
      </c>
      <c r="ER102">
        <v>-0.87250000000000205</v>
      </c>
      <c r="ES102">
        <v>0</v>
      </c>
      <c r="ET102">
        <v>0</v>
      </c>
      <c r="EU102">
        <v>0</v>
      </c>
      <c r="EV102">
        <v>0.13378000000000201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8.6</v>
      </c>
      <c r="FE102">
        <v>8.8000000000000007</v>
      </c>
      <c r="FF102">
        <v>0.89233399999999996</v>
      </c>
      <c r="FG102">
        <v>2.5708000000000002</v>
      </c>
      <c r="FH102">
        <v>2.19604</v>
      </c>
      <c r="FI102">
        <v>2.67578</v>
      </c>
      <c r="FJ102">
        <v>2.4462899999999999</v>
      </c>
      <c r="FK102">
        <v>2.2851599999999999</v>
      </c>
      <c r="FL102">
        <v>30.825299999999999</v>
      </c>
      <c r="FM102">
        <v>24.14</v>
      </c>
      <c r="FN102">
        <v>19</v>
      </c>
      <c r="FO102">
        <v>760.04600000000005</v>
      </c>
      <c r="FP102">
        <v>735.66899999999998</v>
      </c>
      <c r="FQ102">
        <v>17.9191</v>
      </c>
      <c r="FR102">
        <v>25.380700000000001</v>
      </c>
      <c r="FS102">
        <v>30.0002</v>
      </c>
      <c r="FT102">
        <v>25.384599999999999</v>
      </c>
      <c r="FU102">
        <v>25.385000000000002</v>
      </c>
      <c r="FV102">
        <v>17.9207</v>
      </c>
      <c r="FW102">
        <v>57.721899999999998</v>
      </c>
      <c r="FX102">
        <v>98.885400000000004</v>
      </c>
      <c r="FY102">
        <v>17.923400000000001</v>
      </c>
      <c r="FZ102">
        <v>410</v>
      </c>
      <c r="GA102">
        <v>15.5867</v>
      </c>
      <c r="GB102">
        <v>99.856999999999999</v>
      </c>
      <c r="GC102">
        <v>99.642499999999998</v>
      </c>
    </row>
    <row r="103" spans="1:185" x14ac:dyDescent="0.2">
      <c r="A103">
        <v>88</v>
      </c>
      <c r="B103">
        <v>1768580212.0999999</v>
      </c>
      <c r="C103">
        <v>1819.0999999046301</v>
      </c>
      <c r="D103" t="s">
        <v>471</v>
      </c>
      <c r="E103" t="s">
        <v>472</v>
      </c>
      <c r="F103">
        <v>15</v>
      </c>
      <c r="G103">
        <v>1768580204.03333</v>
      </c>
      <c r="H103">
        <f t="shared" si="25"/>
        <v>-6.2094021705209535E-5</v>
      </c>
      <c r="I103">
        <v>0</v>
      </c>
      <c r="J103">
        <f t="shared" si="37"/>
        <v>-1.8482863840459288E-2</v>
      </c>
      <c r="K103">
        <f t="shared" si="26"/>
        <v>-0.48406013533331638</v>
      </c>
      <c r="L103">
        <f t="shared" si="27"/>
        <v>69.880251214431823</v>
      </c>
      <c r="M103">
        <f t="shared" si="28"/>
        <v>1.5409805288821796</v>
      </c>
      <c r="N103">
        <f t="shared" si="29"/>
        <v>2.205173138478834</v>
      </c>
      <c r="O103">
        <v>0</v>
      </c>
      <c r="P103">
        <v>0</v>
      </c>
      <c r="Q103">
        <f t="shared" si="30"/>
        <v>1</v>
      </c>
      <c r="R103">
        <f t="shared" si="31"/>
        <v>0</v>
      </c>
      <c r="S103">
        <f t="shared" si="32"/>
        <v>25997.261955184735</v>
      </c>
      <c r="T103">
        <f t="shared" si="33"/>
        <v>799.99906666666698</v>
      </c>
      <c r="U103">
        <f t="shared" si="34"/>
        <v>674.40004359903094</v>
      </c>
      <c r="V103">
        <f t="shared" si="35"/>
        <v>0.84300103799999937</v>
      </c>
      <c r="W103">
        <f t="shared" si="36"/>
        <v>0.15870168555999986</v>
      </c>
      <c r="X103">
        <v>1</v>
      </c>
      <c r="Y103">
        <v>1768580204.03333</v>
      </c>
      <c r="Z103">
        <v>410.56973333333298</v>
      </c>
      <c r="AA103">
        <v>409.84179999999998</v>
      </c>
      <c r="AB103">
        <v>15.545260000000001</v>
      </c>
      <c r="AC103">
        <v>15.6325866666667</v>
      </c>
      <c r="AD103">
        <v>411.44220000000001</v>
      </c>
      <c r="AE103">
        <v>15.411486666666701</v>
      </c>
      <c r="AF103">
        <v>700.00099999999998</v>
      </c>
      <c r="AG103">
        <v>99.073433333333298</v>
      </c>
      <c r="AH103">
        <v>5.5209666666666699E-2</v>
      </c>
      <c r="AI103">
        <v>18.999946666666698</v>
      </c>
      <c r="AJ103">
        <v>999.9</v>
      </c>
      <c r="AK103">
        <v>999.9</v>
      </c>
      <c r="AL103">
        <v>0</v>
      </c>
      <c r="AM103">
        <v>0</v>
      </c>
      <c r="AN103">
        <v>5003</v>
      </c>
      <c r="AO103">
        <v>0</v>
      </c>
      <c r="AP103">
        <v>2.366568</v>
      </c>
      <c r="AQ103">
        <v>0.72782606666666705</v>
      </c>
      <c r="AR103">
        <v>417.05293333333299</v>
      </c>
      <c r="AS103">
        <v>416.35046666666699</v>
      </c>
      <c r="AT103">
        <v>-8.7338120000000005E-2</v>
      </c>
      <c r="AU103">
        <v>409.84179999999998</v>
      </c>
      <c r="AV103">
        <v>15.6325866666667</v>
      </c>
      <c r="AW103">
        <v>1.540122</v>
      </c>
      <c r="AX103">
        <v>1.54877466666667</v>
      </c>
      <c r="AY103">
        <v>13.37242</v>
      </c>
      <c r="AZ103">
        <v>13.4583666666667</v>
      </c>
      <c r="BA103">
        <v>799.99906666666698</v>
      </c>
      <c r="BB103">
        <v>0.89997893333333301</v>
      </c>
      <c r="BC103">
        <v>0</v>
      </c>
      <c r="BD103">
        <v>0.100021533333333</v>
      </c>
      <c r="BE103">
        <v>0</v>
      </c>
      <c r="BF103">
        <v>25</v>
      </c>
      <c r="BG103">
        <v>13190.926666666701</v>
      </c>
      <c r="BH103">
        <v>1768579680.0999999</v>
      </c>
      <c r="BI103" t="s">
        <v>412</v>
      </c>
      <c r="BJ103">
        <v>1768579680.0999999</v>
      </c>
      <c r="BK103">
        <v>1768579672.0999999</v>
      </c>
      <c r="BL103">
        <v>3</v>
      </c>
      <c r="BM103">
        <v>5.8999999999999997E-2</v>
      </c>
      <c r="BN103">
        <v>-8.0000000000000002E-3</v>
      </c>
      <c r="BO103">
        <v>-0.873</v>
      </c>
      <c r="BP103">
        <v>0.13400000000000001</v>
      </c>
      <c r="BQ103">
        <v>423</v>
      </c>
      <c r="BR103">
        <v>16</v>
      </c>
      <c r="BS103">
        <v>0.28000000000000003</v>
      </c>
      <c r="BT103">
        <v>0.11</v>
      </c>
      <c r="BU103">
        <v>0.52116390476190499</v>
      </c>
      <c r="BV103">
        <v>17.870317948052001</v>
      </c>
      <c r="BW103">
        <v>3.0466135196812001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-8.7573404761904797E-2</v>
      </c>
      <c r="CD103">
        <v>1.0207340259740299E-2</v>
      </c>
      <c r="CE103">
        <v>1.4386298797570199E-3</v>
      </c>
      <c r="CF103">
        <v>1</v>
      </c>
      <c r="CG103">
        <v>1</v>
      </c>
      <c r="CH103">
        <v>2</v>
      </c>
      <c r="CI103" t="s">
        <v>303</v>
      </c>
      <c r="CJ103">
        <v>3.34992</v>
      </c>
      <c r="CK103">
        <v>2.6930299999999998</v>
      </c>
      <c r="CL103">
        <v>9.6885600000000002E-2</v>
      </c>
      <c r="CM103">
        <v>9.4790299999999994E-2</v>
      </c>
      <c r="CN103">
        <v>8.6730600000000005E-2</v>
      </c>
      <c r="CO103">
        <v>8.6283799999999994E-2</v>
      </c>
      <c r="CP103">
        <v>31664.1</v>
      </c>
      <c r="CQ103">
        <v>27851</v>
      </c>
      <c r="CR103">
        <v>32449.9</v>
      </c>
      <c r="CS103">
        <v>30694</v>
      </c>
      <c r="CT103">
        <v>40128.300000000003</v>
      </c>
      <c r="CU103">
        <v>39430.800000000003</v>
      </c>
      <c r="CV103">
        <v>47389.599999999999</v>
      </c>
      <c r="CW103">
        <v>46806.7</v>
      </c>
      <c r="CX103">
        <v>2.5060799999999999</v>
      </c>
      <c r="CY103">
        <v>2.3200400000000001</v>
      </c>
      <c r="CZ103">
        <v>0</v>
      </c>
      <c r="DA103">
        <v>0</v>
      </c>
      <c r="DB103">
        <v>999.9</v>
      </c>
      <c r="DC103">
        <v>999.9</v>
      </c>
      <c r="DD103">
        <v>60.817</v>
      </c>
      <c r="DE103">
        <v>25.146000000000001</v>
      </c>
      <c r="DF103">
        <v>19.6891</v>
      </c>
      <c r="DG103">
        <v>29.94</v>
      </c>
      <c r="DH103">
        <v>13.101000000000001</v>
      </c>
      <c r="DI103">
        <v>2</v>
      </c>
      <c r="DJ103">
        <v>-0.127276</v>
      </c>
      <c r="DK103">
        <v>2.3863400000000001</v>
      </c>
      <c r="DL103">
        <v>20.193899999999999</v>
      </c>
      <c r="DM103">
        <v>5.25047</v>
      </c>
      <c r="DN103">
        <v>12.033899999999999</v>
      </c>
      <c r="DO103">
        <v>4.9673600000000002</v>
      </c>
      <c r="DP103">
        <v>3.2909999999999999</v>
      </c>
      <c r="DQ103">
        <v>9999</v>
      </c>
      <c r="DR103">
        <v>9999</v>
      </c>
      <c r="DS103">
        <v>523</v>
      </c>
      <c r="DT103">
        <v>9999</v>
      </c>
      <c r="DU103">
        <v>1.8709</v>
      </c>
      <c r="DV103">
        <v>1.87602</v>
      </c>
      <c r="DW103">
        <v>1.8762099999999999</v>
      </c>
      <c r="DX103">
        <v>1.8827400000000001</v>
      </c>
      <c r="DY103">
        <v>1.87547</v>
      </c>
      <c r="DZ103">
        <v>1.8745400000000001</v>
      </c>
      <c r="EA103">
        <v>1.8707199999999999</v>
      </c>
      <c r="EB103">
        <v>1.8745400000000001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-0.872</v>
      </c>
      <c r="EQ103">
        <v>0.1338</v>
      </c>
      <c r="ER103">
        <v>-0.87250000000000205</v>
      </c>
      <c r="ES103">
        <v>0</v>
      </c>
      <c r="ET103">
        <v>0</v>
      </c>
      <c r="EU103">
        <v>0</v>
      </c>
      <c r="EV103">
        <v>0.13378000000000201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8.9</v>
      </c>
      <c r="FE103">
        <v>9</v>
      </c>
      <c r="FF103">
        <v>0.90576199999999996</v>
      </c>
      <c r="FG103">
        <v>2.5732400000000002</v>
      </c>
      <c r="FH103">
        <v>2.19604</v>
      </c>
      <c r="FI103">
        <v>2.67456</v>
      </c>
      <c r="FJ103">
        <v>2.4462899999999999</v>
      </c>
      <c r="FK103">
        <v>2.2497600000000002</v>
      </c>
      <c r="FL103">
        <v>30.825299999999999</v>
      </c>
      <c r="FM103">
        <v>24.14</v>
      </c>
      <c r="FN103">
        <v>19</v>
      </c>
      <c r="FO103">
        <v>760.22400000000005</v>
      </c>
      <c r="FP103">
        <v>735.59699999999998</v>
      </c>
      <c r="FQ103">
        <v>17.924399999999999</v>
      </c>
      <c r="FR103">
        <v>25.385300000000001</v>
      </c>
      <c r="FS103">
        <v>30.0001</v>
      </c>
      <c r="FT103">
        <v>25.3901</v>
      </c>
      <c r="FU103">
        <v>25.3904</v>
      </c>
      <c r="FV103">
        <v>18.172999999999998</v>
      </c>
      <c r="FW103">
        <v>57.721899999999998</v>
      </c>
      <c r="FX103">
        <v>98.885400000000004</v>
      </c>
      <c r="FY103">
        <v>17.9236</v>
      </c>
      <c r="FZ103">
        <v>410</v>
      </c>
      <c r="GA103">
        <v>15.5867</v>
      </c>
      <c r="GB103">
        <v>99.857299999999995</v>
      </c>
      <c r="GC103">
        <v>99.643799999999999</v>
      </c>
    </row>
    <row r="104" spans="1:185" x14ac:dyDescent="0.2">
      <c r="A104">
        <v>89</v>
      </c>
      <c r="B104">
        <v>1768580537.0999999</v>
      </c>
      <c r="C104">
        <v>2144.0999999046298</v>
      </c>
      <c r="D104" t="s">
        <v>473</v>
      </c>
      <c r="E104" t="s">
        <v>474</v>
      </c>
      <c r="F104">
        <v>15</v>
      </c>
      <c r="G104">
        <v>1768580528.5999999</v>
      </c>
      <c r="H104">
        <f t="shared" si="25"/>
        <v>-4.4457058924452304E-5</v>
      </c>
      <c r="I104">
        <v>0</v>
      </c>
      <c r="J104">
        <f t="shared" si="37"/>
        <v>-3.9751820825429239E-2</v>
      </c>
      <c r="K104">
        <f t="shared" si="26"/>
        <v>-1.0410871353378355</v>
      </c>
      <c r="L104">
        <f t="shared" si="27"/>
        <v>69.742025860785461</v>
      </c>
      <c r="M104">
        <f t="shared" si="28"/>
        <v>1.5379525346244609</v>
      </c>
      <c r="N104">
        <f t="shared" si="29"/>
        <v>2.2052019792118207</v>
      </c>
      <c r="O104">
        <v>0</v>
      </c>
      <c r="P104">
        <v>0</v>
      </c>
      <c r="Q104">
        <f t="shared" si="30"/>
        <v>1</v>
      </c>
      <c r="R104">
        <f t="shared" si="31"/>
        <v>0</v>
      </c>
      <c r="S104">
        <f t="shared" si="32"/>
        <v>25985.567740926232</v>
      </c>
      <c r="T104">
        <f t="shared" si="33"/>
        <v>999.99743750000005</v>
      </c>
      <c r="U104">
        <f t="shared" si="34"/>
        <v>842.99732718881364</v>
      </c>
      <c r="V104">
        <f t="shared" si="35"/>
        <v>0.84299948737499997</v>
      </c>
      <c r="W104">
        <f t="shared" si="36"/>
        <v>0.1586989133175</v>
      </c>
      <c r="X104">
        <v>1</v>
      </c>
      <c r="Y104">
        <v>1768580528.5999999</v>
      </c>
      <c r="Z104">
        <v>412.97275000000002</v>
      </c>
      <c r="AA104">
        <v>411.45925</v>
      </c>
      <c r="AB104">
        <v>15.51375</v>
      </c>
      <c r="AC104">
        <v>15.576275000000001</v>
      </c>
      <c r="AD104">
        <v>413.81175000000002</v>
      </c>
      <c r="AE104">
        <v>15.386749999999999</v>
      </c>
      <c r="AF104">
        <v>699.99781250000001</v>
      </c>
      <c r="AG104">
        <v>99.079731249999995</v>
      </c>
      <c r="AH104">
        <v>5.5070756249999998E-2</v>
      </c>
      <c r="AI104">
        <v>19.00015625</v>
      </c>
      <c r="AJ104">
        <v>999.9</v>
      </c>
      <c r="AK104">
        <v>999.9</v>
      </c>
      <c r="AL104">
        <v>0</v>
      </c>
      <c r="AM104">
        <v>0</v>
      </c>
      <c r="AN104">
        <v>5000.78125</v>
      </c>
      <c r="AO104">
        <v>0</v>
      </c>
      <c r="AP104">
        <v>2.3435743750000002</v>
      </c>
      <c r="AQ104">
        <v>1.4798313812499999</v>
      </c>
      <c r="AR104">
        <v>419.44925000000001</v>
      </c>
      <c r="AS104">
        <v>417.96974999999998</v>
      </c>
      <c r="AT104">
        <v>-5.5733143749999998E-2</v>
      </c>
      <c r="AU104">
        <v>411.45925</v>
      </c>
      <c r="AV104">
        <v>15.576275000000001</v>
      </c>
      <c r="AW104">
        <v>1.5377687499999999</v>
      </c>
      <c r="AX104">
        <v>1.5432937499999999</v>
      </c>
      <c r="AY104">
        <v>13.34898125</v>
      </c>
      <c r="AZ104">
        <v>13.403968750000001</v>
      </c>
      <c r="BA104">
        <v>999.99743750000005</v>
      </c>
      <c r="BB104">
        <v>0.90001418749999995</v>
      </c>
      <c r="BC104">
        <v>0</v>
      </c>
      <c r="BD104">
        <v>9.9985712500000004E-2</v>
      </c>
      <c r="BE104">
        <v>0</v>
      </c>
      <c r="BF104">
        <v>26</v>
      </c>
      <c r="BG104">
        <v>16488.825000000001</v>
      </c>
      <c r="BH104">
        <v>1768580558.0999999</v>
      </c>
      <c r="BI104" t="s">
        <v>475</v>
      </c>
      <c r="BJ104">
        <v>1768580558.0999999</v>
      </c>
      <c r="BK104">
        <v>1768580555.0999999</v>
      </c>
      <c r="BL104">
        <v>4</v>
      </c>
      <c r="BM104">
        <v>3.3000000000000002E-2</v>
      </c>
      <c r="BN104">
        <v>-7.0000000000000001E-3</v>
      </c>
      <c r="BO104">
        <v>-0.83899999999999997</v>
      </c>
      <c r="BP104">
        <v>0.127</v>
      </c>
      <c r="BQ104">
        <v>422</v>
      </c>
      <c r="BR104">
        <v>16</v>
      </c>
      <c r="BS104">
        <v>0.27</v>
      </c>
      <c r="BT104">
        <v>0.05</v>
      </c>
      <c r="BU104">
        <v>0.66275910500000002</v>
      </c>
      <c r="BV104">
        <v>24.733928738345899</v>
      </c>
      <c r="BW104">
        <v>2.4075660760442998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-5.4792504999999998E-2</v>
      </c>
      <c r="CD104">
        <v>-2.6893330827067699E-2</v>
      </c>
      <c r="CE104">
        <v>2.61323238585377E-3</v>
      </c>
      <c r="CF104">
        <v>1</v>
      </c>
      <c r="CG104">
        <v>1</v>
      </c>
      <c r="CH104">
        <v>2</v>
      </c>
      <c r="CI104" t="s">
        <v>303</v>
      </c>
      <c r="CJ104">
        <v>3.34985</v>
      </c>
      <c r="CK104">
        <v>2.6928999999999998</v>
      </c>
      <c r="CL104">
        <v>9.7259499999999999E-2</v>
      </c>
      <c r="CM104">
        <v>9.52239E-2</v>
      </c>
      <c r="CN104">
        <v>8.6591100000000004E-2</v>
      </c>
      <c r="CO104">
        <v>8.6042499999999994E-2</v>
      </c>
      <c r="CP104">
        <v>31646.400000000001</v>
      </c>
      <c r="CQ104">
        <v>27836.5</v>
      </c>
      <c r="CR104">
        <v>32445.599999999999</v>
      </c>
      <c r="CS104">
        <v>30693.200000000001</v>
      </c>
      <c r="CT104">
        <v>40130.9</v>
      </c>
      <c r="CU104">
        <v>39442.5</v>
      </c>
      <c r="CV104">
        <v>47384.9</v>
      </c>
      <c r="CW104">
        <v>46807.8</v>
      </c>
      <c r="CX104">
        <v>2.5042599999999999</v>
      </c>
      <c r="CY104">
        <v>2.3157999999999999</v>
      </c>
      <c r="CZ104">
        <v>0</v>
      </c>
      <c r="DA104">
        <v>0</v>
      </c>
      <c r="DB104">
        <v>999.9</v>
      </c>
      <c r="DC104">
        <v>999.9</v>
      </c>
      <c r="DD104">
        <v>60.078000000000003</v>
      </c>
      <c r="DE104">
        <v>25.417999999999999</v>
      </c>
      <c r="DF104">
        <v>19.767199999999999</v>
      </c>
      <c r="DG104">
        <v>30.16</v>
      </c>
      <c r="DH104">
        <v>13.1731</v>
      </c>
      <c r="DI104">
        <v>2</v>
      </c>
      <c r="DJ104">
        <v>-0.117246</v>
      </c>
      <c r="DK104">
        <v>2.5802399999999999</v>
      </c>
      <c r="DL104">
        <v>20.182600000000001</v>
      </c>
      <c r="DM104">
        <v>5.2513100000000001</v>
      </c>
      <c r="DN104">
        <v>12.033899999999999</v>
      </c>
      <c r="DO104">
        <v>4.9672400000000003</v>
      </c>
      <c r="DP104">
        <v>3.2909999999999999</v>
      </c>
      <c r="DQ104">
        <v>9999</v>
      </c>
      <c r="DR104">
        <v>9999</v>
      </c>
      <c r="DS104">
        <v>523.1</v>
      </c>
      <c r="DT104">
        <v>9999</v>
      </c>
      <c r="DU104">
        <v>1.8709199999999999</v>
      </c>
      <c r="DV104">
        <v>1.87602</v>
      </c>
      <c r="DW104">
        <v>1.87622</v>
      </c>
      <c r="DX104">
        <v>1.88276</v>
      </c>
      <c r="DY104">
        <v>1.87547</v>
      </c>
      <c r="DZ104">
        <v>1.8745400000000001</v>
      </c>
      <c r="EA104">
        <v>1.87073</v>
      </c>
      <c r="EB104">
        <v>1.8745400000000001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-0.83899999999999997</v>
      </c>
      <c r="EQ104">
        <v>0.127</v>
      </c>
      <c r="ER104">
        <v>-0.87250000000000205</v>
      </c>
      <c r="ES104">
        <v>0</v>
      </c>
      <c r="ET104">
        <v>0</v>
      </c>
      <c r="EU104">
        <v>0</v>
      </c>
      <c r="EV104">
        <v>0.13378000000000201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14.3</v>
      </c>
      <c r="FE104">
        <v>14.4</v>
      </c>
      <c r="FF104">
        <v>0.88745099999999999</v>
      </c>
      <c r="FG104">
        <v>2.5756800000000002</v>
      </c>
      <c r="FH104">
        <v>2.19604</v>
      </c>
      <c r="FI104">
        <v>2.67456</v>
      </c>
      <c r="FJ104">
        <v>2.4462899999999999</v>
      </c>
      <c r="FK104">
        <v>2.2973599999999998</v>
      </c>
      <c r="FL104">
        <v>31.0853</v>
      </c>
      <c r="FM104">
        <v>24.14</v>
      </c>
      <c r="FN104">
        <v>19</v>
      </c>
      <c r="FO104">
        <v>760.32500000000005</v>
      </c>
      <c r="FP104">
        <v>733.27099999999996</v>
      </c>
      <c r="FQ104">
        <v>17.744800000000001</v>
      </c>
      <c r="FR104">
        <v>25.505700000000001</v>
      </c>
      <c r="FS104">
        <v>30.0001</v>
      </c>
      <c r="FT104">
        <v>25.505600000000001</v>
      </c>
      <c r="FU104">
        <v>25.5044</v>
      </c>
      <c r="FV104">
        <v>17.825600000000001</v>
      </c>
      <c r="FW104">
        <v>59.6922</v>
      </c>
      <c r="FX104">
        <v>98.513099999999994</v>
      </c>
      <c r="FY104">
        <v>17.7484</v>
      </c>
      <c r="FZ104">
        <v>410</v>
      </c>
      <c r="GA104">
        <v>15.5397</v>
      </c>
      <c r="GB104">
        <v>99.846000000000004</v>
      </c>
      <c r="GC104">
        <v>99.644099999999995</v>
      </c>
    </row>
    <row r="105" spans="1:185" x14ac:dyDescent="0.2">
      <c r="A105">
        <v>90</v>
      </c>
      <c r="B105">
        <v>1768580560.0999999</v>
      </c>
      <c r="C105">
        <v>2167.0999999046298</v>
      </c>
      <c r="D105" t="s">
        <v>476</v>
      </c>
      <c r="E105" t="s">
        <v>477</v>
      </c>
      <c r="F105">
        <v>15</v>
      </c>
      <c r="G105">
        <v>1768580559.0999999</v>
      </c>
      <c r="H105">
        <f t="shared" si="25"/>
        <v>-1.4222362362489879E-7</v>
      </c>
      <c r="I105">
        <v>0</v>
      </c>
      <c r="J105">
        <f t="shared" si="37"/>
        <v>7.2398700416201464E-4</v>
      </c>
      <c r="K105">
        <f t="shared" si="26"/>
        <v>1.8960981925705653E-2</v>
      </c>
      <c r="L105">
        <f t="shared" si="27"/>
        <v>70.085742820760856</v>
      </c>
      <c r="M105">
        <f t="shared" si="28"/>
        <v>1.5457293092269002</v>
      </c>
      <c r="N105">
        <f t="shared" si="29"/>
        <v>2.2054832366976398</v>
      </c>
      <c r="O105">
        <v>329</v>
      </c>
      <c r="P105">
        <v>47</v>
      </c>
      <c r="Q105">
        <f t="shared" si="30"/>
        <v>1</v>
      </c>
      <c r="R105">
        <f t="shared" si="31"/>
        <v>0</v>
      </c>
      <c r="S105">
        <f t="shared" si="32"/>
        <v>26005.421078999188</v>
      </c>
      <c r="T105">
        <f t="shared" si="33"/>
        <v>999.99400000000003</v>
      </c>
      <c r="U105">
        <f t="shared" si="34"/>
        <v>842.99426700405013</v>
      </c>
      <c r="V105">
        <f t="shared" si="35"/>
        <v>0.84299932500000008</v>
      </c>
      <c r="W105">
        <f t="shared" si="36"/>
        <v>0.15869928690000001</v>
      </c>
      <c r="X105">
        <v>1</v>
      </c>
      <c r="Y105">
        <v>1768580559.0999999</v>
      </c>
      <c r="Z105">
        <v>422.7</v>
      </c>
      <c r="AA105">
        <v>422.72699999999998</v>
      </c>
      <c r="AB105">
        <v>15.589700000000001</v>
      </c>
      <c r="AC105">
        <v>15.5899</v>
      </c>
      <c r="AD105">
        <v>423.53899999999999</v>
      </c>
      <c r="AE105">
        <v>15.463100000000001</v>
      </c>
      <c r="AF105">
        <v>700.03200000000004</v>
      </c>
      <c r="AG105">
        <v>99.082400000000007</v>
      </c>
      <c r="AH105">
        <v>6.8277000000000004E-2</v>
      </c>
      <c r="AI105">
        <v>19.002199999999998</v>
      </c>
      <c r="AJ105">
        <v>999.9</v>
      </c>
      <c r="AK105">
        <v>999.9</v>
      </c>
      <c r="AL105">
        <v>0</v>
      </c>
      <c r="AM105">
        <v>0</v>
      </c>
      <c r="AN105">
        <v>5004</v>
      </c>
      <c r="AO105">
        <v>0</v>
      </c>
      <c r="AP105">
        <v>2.3713099999999998</v>
      </c>
      <c r="AQ105">
        <v>-2.7740500000000001E-2</v>
      </c>
      <c r="AR105">
        <v>429.39400000000001</v>
      </c>
      <c r="AS105">
        <v>429.42200000000003</v>
      </c>
      <c r="AT105">
        <v>-2.66075E-4</v>
      </c>
      <c r="AU105">
        <v>422.72699999999998</v>
      </c>
      <c r="AV105">
        <v>15.5899</v>
      </c>
      <c r="AW105">
        <v>1.5446599999999999</v>
      </c>
      <c r="AX105">
        <v>1.5446899999999999</v>
      </c>
      <c r="AY105">
        <v>13.4176</v>
      </c>
      <c r="AZ105">
        <v>13.4178</v>
      </c>
      <c r="BA105">
        <v>999.99400000000003</v>
      </c>
      <c r="BB105">
        <v>0.90000800000000003</v>
      </c>
      <c r="BC105">
        <v>0</v>
      </c>
      <c r="BD105">
        <v>9.9991499999999997E-2</v>
      </c>
      <c r="BE105">
        <v>0</v>
      </c>
      <c r="BF105">
        <v>26</v>
      </c>
      <c r="BG105">
        <v>16488.7</v>
      </c>
      <c r="BH105">
        <v>1768580558.0999999</v>
      </c>
      <c r="BI105" t="s">
        <v>475</v>
      </c>
      <c r="BJ105">
        <v>1768580558.0999999</v>
      </c>
      <c r="BK105">
        <v>1768580555.0999999</v>
      </c>
      <c r="BL105">
        <v>4</v>
      </c>
      <c r="BM105">
        <v>3.3000000000000002E-2</v>
      </c>
      <c r="BN105">
        <v>-7.0000000000000001E-3</v>
      </c>
      <c r="BO105">
        <v>-0.83899999999999997</v>
      </c>
      <c r="BP105">
        <v>0.127</v>
      </c>
      <c r="BQ105">
        <v>422</v>
      </c>
      <c r="BR105">
        <v>16</v>
      </c>
      <c r="BS105">
        <v>0.27</v>
      </c>
      <c r="BT105">
        <v>0.05</v>
      </c>
      <c r="BU105">
        <v>0.46739312857142801</v>
      </c>
      <c r="BV105">
        <v>-7.1357107402597402</v>
      </c>
      <c r="BW105">
        <v>1.03960482087106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-3.58527190476191E-3</v>
      </c>
      <c r="CD105">
        <v>0.112573984597403</v>
      </c>
      <c r="CE105">
        <v>1.8265769194325002E-2</v>
      </c>
      <c r="CF105">
        <v>0</v>
      </c>
      <c r="CG105">
        <v>0</v>
      </c>
      <c r="CH105">
        <v>2</v>
      </c>
      <c r="CI105" t="s">
        <v>290</v>
      </c>
      <c r="CJ105">
        <v>3.3524099999999999</v>
      </c>
      <c r="CK105">
        <v>2.70444</v>
      </c>
      <c r="CL105">
        <v>9.9265500000000007E-2</v>
      </c>
      <c r="CM105">
        <v>9.7972600000000007E-2</v>
      </c>
      <c r="CN105">
        <v>8.6895E-2</v>
      </c>
      <c r="CO105">
        <v>8.6084300000000002E-2</v>
      </c>
      <c r="CP105">
        <v>31576.3</v>
      </c>
      <c r="CQ105">
        <v>27752.2</v>
      </c>
      <c r="CR105">
        <v>32445.9</v>
      </c>
      <c r="CS105">
        <v>30693.599999999999</v>
      </c>
      <c r="CT105">
        <v>40117.599999999999</v>
      </c>
      <c r="CU105">
        <v>39441.1</v>
      </c>
      <c r="CV105">
        <v>47385.1</v>
      </c>
      <c r="CW105">
        <v>46808.1</v>
      </c>
      <c r="CX105">
        <v>1.8288199999999999</v>
      </c>
      <c r="CY105">
        <v>1.7582</v>
      </c>
      <c r="CZ105">
        <v>0</v>
      </c>
      <c r="DA105">
        <v>0</v>
      </c>
      <c r="DB105">
        <v>999.9</v>
      </c>
      <c r="DC105">
        <v>999.9</v>
      </c>
      <c r="DD105">
        <v>60.005000000000003</v>
      </c>
      <c r="DE105">
        <v>25.448</v>
      </c>
      <c r="DF105">
        <v>19.776800000000001</v>
      </c>
      <c r="DG105">
        <v>30.09</v>
      </c>
      <c r="DH105">
        <v>13.8782</v>
      </c>
      <c r="DI105">
        <v>2</v>
      </c>
      <c r="DJ105">
        <v>-0.116856</v>
      </c>
      <c r="DK105">
        <v>2.6225499999999999</v>
      </c>
      <c r="DL105">
        <v>20.179500000000001</v>
      </c>
      <c r="DM105">
        <v>5.24221</v>
      </c>
      <c r="DN105">
        <v>12.033899999999999</v>
      </c>
      <c r="DO105">
        <v>4.9655199999999997</v>
      </c>
      <c r="DP105">
        <v>3.28972</v>
      </c>
      <c r="DQ105">
        <v>9999</v>
      </c>
      <c r="DR105">
        <v>9999</v>
      </c>
      <c r="DS105">
        <v>523.1</v>
      </c>
      <c r="DT105">
        <v>9999</v>
      </c>
      <c r="DU105">
        <v>1.87097</v>
      </c>
      <c r="DV105">
        <v>1.87605</v>
      </c>
      <c r="DW105">
        <v>1.87622</v>
      </c>
      <c r="DX105">
        <v>1.8827499999999999</v>
      </c>
      <c r="DY105">
        <v>1.87548</v>
      </c>
      <c r="DZ105">
        <v>1.8745400000000001</v>
      </c>
      <c r="EA105">
        <v>1.87073</v>
      </c>
      <c r="EB105">
        <v>1.8745400000000001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-0.83899999999999997</v>
      </c>
      <c r="EQ105">
        <v>0.12659999999999999</v>
      </c>
      <c r="ER105">
        <v>-0.83918181818182802</v>
      </c>
      <c r="ES105">
        <v>0</v>
      </c>
      <c r="ET105">
        <v>0</v>
      </c>
      <c r="EU105">
        <v>0</v>
      </c>
      <c r="EV105">
        <v>0.12659000000000201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0</v>
      </c>
      <c r="FE105">
        <v>0.1</v>
      </c>
      <c r="FF105">
        <v>0.88378900000000005</v>
      </c>
      <c r="FG105">
        <v>2.5744600000000002</v>
      </c>
      <c r="FH105">
        <v>2.19604</v>
      </c>
      <c r="FI105">
        <v>2.67456</v>
      </c>
      <c r="FJ105">
        <v>2.4462899999999999</v>
      </c>
      <c r="FK105">
        <v>2.2680699999999998</v>
      </c>
      <c r="FL105">
        <v>31.106999999999999</v>
      </c>
      <c r="FM105">
        <v>24.14</v>
      </c>
      <c r="FN105">
        <v>19</v>
      </c>
      <c r="FO105">
        <v>350.904</v>
      </c>
      <c r="FP105">
        <v>352.67500000000001</v>
      </c>
      <c r="FQ105">
        <v>17.743400000000001</v>
      </c>
      <c r="FR105">
        <v>25.511700000000001</v>
      </c>
      <c r="FS105">
        <v>30.0002</v>
      </c>
      <c r="FT105">
        <v>25.5261</v>
      </c>
      <c r="FU105">
        <v>25.523599999999998</v>
      </c>
      <c r="FV105">
        <v>17.6266</v>
      </c>
      <c r="FW105">
        <v>59.6922</v>
      </c>
      <c r="FX105">
        <v>98.513099999999994</v>
      </c>
      <c r="FY105">
        <v>17.741199999999999</v>
      </c>
      <c r="FZ105">
        <v>410</v>
      </c>
      <c r="GA105">
        <v>15.5397</v>
      </c>
      <c r="GB105">
        <v>99.846699999999998</v>
      </c>
      <c r="GC105">
        <v>99.644999999999996</v>
      </c>
    </row>
    <row r="106" spans="1:185" x14ac:dyDescent="0.2">
      <c r="A106">
        <v>91</v>
      </c>
      <c r="B106">
        <v>1768580575.0999999</v>
      </c>
      <c r="C106">
        <v>2182.0999999046298</v>
      </c>
      <c r="D106" t="s">
        <v>478</v>
      </c>
      <c r="E106" t="s">
        <v>479</v>
      </c>
      <c r="F106">
        <v>15</v>
      </c>
      <c r="G106">
        <v>1768580567.03333</v>
      </c>
      <c r="H106">
        <f t="shared" si="25"/>
        <v>-4.0251237111059341E-5</v>
      </c>
      <c r="I106">
        <v>0</v>
      </c>
      <c r="J106">
        <f t="shared" si="37"/>
        <v>-5.6274404608583024E-2</v>
      </c>
      <c r="K106">
        <f t="shared" si="26"/>
        <v>-1.4738081796070626</v>
      </c>
      <c r="L106">
        <f t="shared" si="27"/>
        <v>69.846927038313368</v>
      </c>
      <c r="M106">
        <f t="shared" si="28"/>
        <v>1.5403507627509894</v>
      </c>
      <c r="N106">
        <f t="shared" si="29"/>
        <v>2.2053235955621293</v>
      </c>
      <c r="O106">
        <v>0</v>
      </c>
      <c r="P106">
        <v>0</v>
      </c>
      <c r="Q106">
        <f t="shared" si="30"/>
        <v>1</v>
      </c>
      <c r="R106">
        <f t="shared" si="31"/>
        <v>0</v>
      </c>
      <c r="S106">
        <f t="shared" si="32"/>
        <v>25960.165891748875</v>
      </c>
      <c r="T106">
        <f t="shared" si="33"/>
        <v>999.99599999999998</v>
      </c>
      <c r="U106">
        <f t="shared" si="34"/>
        <v>842.99598340257899</v>
      </c>
      <c r="V106">
        <f t="shared" si="35"/>
        <v>0.84299935540000059</v>
      </c>
      <c r="W106">
        <f t="shared" si="36"/>
        <v>0.15869886920400011</v>
      </c>
      <c r="X106">
        <v>1</v>
      </c>
      <c r="Y106">
        <v>1768580567.03333</v>
      </c>
      <c r="Z106">
        <v>416.72219999999999</v>
      </c>
      <c r="AA106">
        <v>414.59486666666697</v>
      </c>
      <c r="AB106">
        <v>15.537373333333299</v>
      </c>
      <c r="AC106">
        <v>15.5939266666667</v>
      </c>
      <c r="AD106">
        <v>417.561266666667</v>
      </c>
      <c r="AE106">
        <v>15.410773333333299</v>
      </c>
      <c r="AF106">
        <v>700.68086666666704</v>
      </c>
      <c r="AG106">
        <v>99.081246666666701</v>
      </c>
      <c r="AH106">
        <v>5.7181026666666697E-2</v>
      </c>
      <c r="AI106">
        <v>19.00104</v>
      </c>
      <c r="AJ106">
        <v>999.9</v>
      </c>
      <c r="AK106">
        <v>999.9</v>
      </c>
      <c r="AL106">
        <v>0</v>
      </c>
      <c r="AM106">
        <v>0</v>
      </c>
      <c r="AN106">
        <v>4996.5</v>
      </c>
      <c r="AO106">
        <v>0</v>
      </c>
      <c r="AP106">
        <v>2.3819253333333301</v>
      </c>
      <c r="AQ106">
        <v>2.1272678333333301</v>
      </c>
      <c r="AR106">
        <v>423.29919999999998</v>
      </c>
      <c r="AS106">
        <v>421.16226666666699</v>
      </c>
      <c r="AT106">
        <v>-5.6554924999999999E-2</v>
      </c>
      <c r="AU106">
        <v>414.59486666666697</v>
      </c>
      <c r="AV106">
        <v>15.5939266666667</v>
      </c>
      <c r="AW106">
        <v>1.5394620000000001</v>
      </c>
      <c r="AX106">
        <v>1.5450646666666701</v>
      </c>
      <c r="AY106">
        <v>13.365826666666701</v>
      </c>
      <c r="AZ106">
        <v>13.421566666666701</v>
      </c>
      <c r="BA106">
        <v>999.99599999999998</v>
      </c>
      <c r="BB106">
        <v>0.90001433333333403</v>
      </c>
      <c r="BC106">
        <v>0</v>
      </c>
      <c r="BD106">
        <v>9.9985420000000005E-2</v>
      </c>
      <c r="BE106">
        <v>0</v>
      </c>
      <c r="BF106">
        <v>26</v>
      </c>
      <c r="BG106">
        <v>16488.8</v>
      </c>
      <c r="BH106">
        <v>1768580558.0999999</v>
      </c>
      <c r="BI106" t="s">
        <v>475</v>
      </c>
      <c r="BJ106">
        <v>1768580558.0999999</v>
      </c>
      <c r="BK106">
        <v>1768580555.0999999</v>
      </c>
      <c r="BL106">
        <v>4</v>
      </c>
      <c r="BM106">
        <v>3.3000000000000002E-2</v>
      </c>
      <c r="BN106">
        <v>-7.0000000000000001E-3</v>
      </c>
      <c r="BO106">
        <v>-0.83899999999999997</v>
      </c>
      <c r="BP106">
        <v>0.127</v>
      </c>
      <c r="BQ106">
        <v>422</v>
      </c>
      <c r="BR106">
        <v>16</v>
      </c>
      <c r="BS106">
        <v>0.27</v>
      </c>
      <c r="BT106">
        <v>0.05</v>
      </c>
      <c r="BU106">
        <v>1.56807048</v>
      </c>
      <c r="BV106">
        <v>23.403540406015001</v>
      </c>
      <c r="BW106">
        <v>2.76649297406406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-4.2305233499999997E-2</v>
      </c>
      <c r="CD106">
        <v>-0.29628221287217998</v>
      </c>
      <c r="CE106">
        <v>3.1081734546346901E-2</v>
      </c>
      <c r="CF106">
        <v>0</v>
      </c>
      <c r="CG106">
        <v>0</v>
      </c>
      <c r="CH106">
        <v>2</v>
      </c>
      <c r="CI106" t="s">
        <v>290</v>
      </c>
      <c r="CJ106">
        <v>3.34985</v>
      </c>
      <c r="CK106">
        <v>2.69259</v>
      </c>
      <c r="CL106">
        <v>9.7585000000000005E-2</v>
      </c>
      <c r="CM106">
        <v>9.5417100000000005E-2</v>
      </c>
      <c r="CN106">
        <v>8.6643700000000004E-2</v>
      </c>
      <c r="CO106">
        <v>8.6114300000000005E-2</v>
      </c>
      <c r="CP106">
        <v>31635.3</v>
      </c>
      <c r="CQ106">
        <v>27830.5</v>
      </c>
      <c r="CR106">
        <v>32445.9</v>
      </c>
      <c r="CS106">
        <v>30693.3</v>
      </c>
      <c r="CT106">
        <v>40129.199999999997</v>
      </c>
      <c r="CU106">
        <v>39439.599999999999</v>
      </c>
      <c r="CV106">
        <v>47385.599999999999</v>
      </c>
      <c r="CW106">
        <v>46808.2</v>
      </c>
      <c r="CX106">
        <v>2.50258</v>
      </c>
      <c r="CY106">
        <v>2.31412</v>
      </c>
      <c r="CZ106">
        <v>0</v>
      </c>
      <c r="DA106">
        <v>0</v>
      </c>
      <c r="DB106">
        <v>999.9</v>
      </c>
      <c r="DC106">
        <v>999.9</v>
      </c>
      <c r="DD106">
        <v>59.98</v>
      </c>
      <c r="DE106">
        <v>25.448</v>
      </c>
      <c r="DF106">
        <v>19.767800000000001</v>
      </c>
      <c r="DG106">
        <v>30.15</v>
      </c>
      <c r="DH106">
        <v>13.113</v>
      </c>
      <c r="DI106">
        <v>2</v>
      </c>
      <c r="DJ106">
        <v>-0.116346</v>
      </c>
      <c r="DK106">
        <v>2.6256699999999999</v>
      </c>
      <c r="DL106">
        <v>20.181799999999999</v>
      </c>
      <c r="DM106">
        <v>5.2510700000000003</v>
      </c>
      <c r="DN106">
        <v>12.033899999999999</v>
      </c>
      <c r="DO106">
        <v>4.9674399999999999</v>
      </c>
      <c r="DP106">
        <v>3.2909999999999999</v>
      </c>
      <c r="DQ106">
        <v>9999</v>
      </c>
      <c r="DR106">
        <v>9999</v>
      </c>
      <c r="DS106">
        <v>523.1</v>
      </c>
      <c r="DT106">
        <v>9999</v>
      </c>
      <c r="DU106">
        <v>1.87096</v>
      </c>
      <c r="DV106">
        <v>1.8760600000000001</v>
      </c>
      <c r="DW106">
        <v>1.8762300000000001</v>
      </c>
      <c r="DX106">
        <v>1.88276</v>
      </c>
      <c r="DY106">
        <v>1.8754999999999999</v>
      </c>
      <c r="DZ106">
        <v>1.8745400000000001</v>
      </c>
      <c r="EA106">
        <v>1.87073</v>
      </c>
      <c r="EB106">
        <v>1.8745400000000001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-0.84</v>
      </c>
      <c r="EQ106">
        <v>0.12659999999999999</v>
      </c>
      <c r="ER106">
        <v>-0.83918181818182802</v>
      </c>
      <c r="ES106">
        <v>0</v>
      </c>
      <c r="ET106">
        <v>0</v>
      </c>
      <c r="EU106">
        <v>0</v>
      </c>
      <c r="EV106">
        <v>0.12659000000000201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0.3</v>
      </c>
      <c r="FE106">
        <v>0.3</v>
      </c>
      <c r="FF106">
        <v>0.87036100000000005</v>
      </c>
      <c r="FG106">
        <v>2.5744600000000002</v>
      </c>
      <c r="FH106">
        <v>2.19604</v>
      </c>
      <c r="FI106">
        <v>2.67456</v>
      </c>
      <c r="FJ106">
        <v>2.4462899999999999</v>
      </c>
      <c r="FK106">
        <v>2.2021500000000001</v>
      </c>
      <c r="FL106">
        <v>31.106999999999999</v>
      </c>
      <c r="FM106">
        <v>24.1313</v>
      </c>
      <c r="FN106">
        <v>19</v>
      </c>
      <c r="FO106">
        <v>759.06200000000001</v>
      </c>
      <c r="FP106">
        <v>731.84799999999996</v>
      </c>
      <c r="FQ106">
        <v>17.738900000000001</v>
      </c>
      <c r="FR106">
        <v>25.515999999999998</v>
      </c>
      <c r="FS106">
        <v>30.0002</v>
      </c>
      <c r="FT106">
        <v>25.515899999999998</v>
      </c>
      <c r="FU106">
        <v>25.514199999999999</v>
      </c>
      <c r="FV106">
        <v>17.481400000000001</v>
      </c>
      <c r="FW106">
        <v>59.6922</v>
      </c>
      <c r="FX106">
        <v>98.513099999999994</v>
      </c>
      <c r="FY106">
        <v>17.738</v>
      </c>
      <c r="FZ106">
        <v>410</v>
      </c>
      <c r="GA106">
        <v>15.557</v>
      </c>
      <c r="GB106">
        <v>99.847300000000004</v>
      </c>
      <c r="GC106">
        <v>99.6447</v>
      </c>
    </row>
    <row r="107" spans="1:185" x14ac:dyDescent="0.2">
      <c r="A107">
        <v>92</v>
      </c>
      <c r="B107">
        <v>1768580590.0999999</v>
      </c>
      <c r="C107">
        <v>2197.0999999046298</v>
      </c>
      <c r="D107" t="s">
        <v>480</v>
      </c>
      <c r="E107" t="s">
        <v>481</v>
      </c>
      <c r="F107">
        <v>15</v>
      </c>
      <c r="G107">
        <v>1768580582.03333</v>
      </c>
      <c r="H107">
        <f t="shared" si="25"/>
        <v>-5.019954150242287E-5</v>
      </c>
      <c r="I107">
        <v>0</v>
      </c>
      <c r="J107">
        <f t="shared" si="37"/>
        <v>-6.7040823299914412E-2</v>
      </c>
      <c r="K107">
        <f t="shared" si="26"/>
        <v>-1.7557771500959731</v>
      </c>
      <c r="L107">
        <f t="shared" si="27"/>
        <v>69.806783442832156</v>
      </c>
      <c r="M107">
        <f t="shared" si="28"/>
        <v>1.5395461640398569</v>
      </c>
      <c r="N107">
        <f t="shared" si="29"/>
        <v>2.205439196751787</v>
      </c>
      <c r="O107">
        <v>0</v>
      </c>
      <c r="P107">
        <v>0</v>
      </c>
      <c r="Q107">
        <f t="shared" si="30"/>
        <v>1</v>
      </c>
      <c r="R107">
        <f t="shared" si="31"/>
        <v>0</v>
      </c>
      <c r="S107">
        <f t="shared" si="32"/>
        <v>25982.113553567793</v>
      </c>
      <c r="T107">
        <f t="shared" si="33"/>
        <v>999.99720000000002</v>
      </c>
      <c r="U107">
        <f t="shared" si="34"/>
        <v>842.99713640140919</v>
      </c>
      <c r="V107">
        <f t="shared" si="35"/>
        <v>0.84299949680000019</v>
      </c>
      <c r="W107">
        <f t="shared" si="36"/>
        <v>0.15869892388800005</v>
      </c>
      <c r="X107">
        <v>1</v>
      </c>
      <c r="Y107">
        <v>1768580582.03333</v>
      </c>
      <c r="Z107">
        <v>411.98913333333297</v>
      </c>
      <c r="AA107">
        <v>409.45133333333303</v>
      </c>
      <c r="AB107">
        <v>15.5295133333333</v>
      </c>
      <c r="AC107">
        <v>15.600113333333301</v>
      </c>
      <c r="AD107">
        <v>412.828466666667</v>
      </c>
      <c r="AE107">
        <v>15.4029333333333</v>
      </c>
      <c r="AF107">
        <v>699.99953333333303</v>
      </c>
      <c r="AG107">
        <v>99.081986666666694</v>
      </c>
      <c r="AH107">
        <v>5.480732E-2</v>
      </c>
      <c r="AI107">
        <v>19.00188</v>
      </c>
      <c r="AJ107">
        <v>999.9</v>
      </c>
      <c r="AK107">
        <v>999.9</v>
      </c>
      <c r="AL107">
        <v>0</v>
      </c>
      <c r="AM107">
        <v>0</v>
      </c>
      <c r="AN107">
        <v>5000.1333333333296</v>
      </c>
      <c r="AO107">
        <v>0</v>
      </c>
      <c r="AP107">
        <v>2.3713099999999998</v>
      </c>
      <c r="AQ107">
        <v>2.5379726666666702</v>
      </c>
      <c r="AR107">
        <v>418.48820000000001</v>
      </c>
      <c r="AS107">
        <v>415.939866666667</v>
      </c>
      <c r="AT107">
        <v>-7.0582893333333299E-2</v>
      </c>
      <c r="AU107">
        <v>409.45133333333303</v>
      </c>
      <c r="AV107">
        <v>15.600113333333301</v>
      </c>
      <c r="AW107">
        <v>1.5386966666666699</v>
      </c>
      <c r="AX107">
        <v>1.5456920000000001</v>
      </c>
      <c r="AY107">
        <v>13.3582</v>
      </c>
      <c r="AZ107">
        <v>13.42778</v>
      </c>
      <c r="BA107">
        <v>999.99720000000002</v>
      </c>
      <c r="BB107">
        <v>0.90001406666666695</v>
      </c>
      <c r="BC107">
        <v>0</v>
      </c>
      <c r="BD107">
        <v>9.9985840000000006E-2</v>
      </c>
      <c r="BE107">
        <v>0</v>
      </c>
      <c r="BF107">
        <v>26</v>
      </c>
      <c r="BG107">
        <v>16488.813333333299</v>
      </c>
      <c r="BH107">
        <v>1768580558.0999999</v>
      </c>
      <c r="BI107" t="s">
        <v>475</v>
      </c>
      <c r="BJ107">
        <v>1768580558.0999999</v>
      </c>
      <c r="BK107">
        <v>1768580555.0999999</v>
      </c>
      <c r="BL107">
        <v>4</v>
      </c>
      <c r="BM107">
        <v>3.3000000000000002E-2</v>
      </c>
      <c r="BN107">
        <v>-7.0000000000000001E-3</v>
      </c>
      <c r="BO107">
        <v>-0.83899999999999997</v>
      </c>
      <c r="BP107">
        <v>0.127</v>
      </c>
      <c r="BQ107">
        <v>422</v>
      </c>
      <c r="BR107">
        <v>16</v>
      </c>
      <c r="BS107">
        <v>0.27</v>
      </c>
      <c r="BT107">
        <v>0.05</v>
      </c>
      <c r="BU107">
        <v>3.23437476190476</v>
      </c>
      <c r="BV107">
        <v>-12.1495472727273</v>
      </c>
      <c r="BW107">
        <v>1.34846676429767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-7.0348552380952403E-2</v>
      </c>
      <c r="CD107">
        <v>-3.4652571428572402E-3</v>
      </c>
      <c r="CE107">
        <v>5.5662112498542997E-4</v>
      </c>
      <c r="CF107">
        <v>1</v>
      </c>
      <c r="CG107">
        <v>1</v>
      </c>
      <c r="CH107">
        <v>2</v>
      </c>
      <c r="CI107" t="s">
        <v>303</v>
      </c>
      <c r="CJ107">
        <v>3.3498700000000001</v>
      </c>
      <c r="CK107">
        <v>2.69258</v>
      </c>
      <c r="CL107">
        <v>9.7124199999999994E-2</v>
      </c>
      <c r="CM107">
        <v>9.53682E-2</v>
      </c>
      <c r="CN107">
        <v>8.6669200000000002E-2</v>
      </c>
      <c r="CO107">
        <v>8.6140099999999997E-2</v>
      </c>
      <c r="CP107">
        <v>31650.6</v>
      </c>
      <c r="CQ107">
        <v>27831.9</v>
      </c>
      <c r="CR107">
        <v>32445.1</v>
      </c>
      <c r="CS107">
        <v>30693.1</v>
      </c>
      <c r="CT107">
        <v>40127.199999999997</v>
      </c>
      <c r="CU107">
        <v>39438.1</v>
      </c>
      <c r="CV107">
        <v>47384.7</v>
      </c>
      <c r="CW107">
        <v>46807.7</v>
      </c>
      <c r="CX107">
        <v>2.5038</v>
      </c>
      <c r="CY107">
        <v>2.3150599999999999</v>
      </c>
      <c r="CZ107">
        <v>0</v>
      </c>
      <c r="DA107">
        <v>0</v>
      </c>
      <c r="DB107">
        <v>999.9</v>
      </c>
      <c r="DC107">
        <v>999.9</v>
      </c>
      <c r="DD107">
        <v>59.956000000000003</v>
      </c>
      <c r="DE107">
        <v>25.468</v>
      </c>
      <c r="DF107">
        <v>19.784600000000001</v>
      </c>
      <c r="DG107">
        <v>30.15</v>
      </c>
      <c r="DH107">
        <v>13.145</v>
      </c>
      <c r="DI107">
        <v>2</v>
      </c>
      <c r="DJ107">
        <v>-0.11613999999999999</v>
      </c>
      <c r="DK107">
        <v>2.6298300000000001</v>
      </c>
      <c r="DL107">
        <v>20.1815</v>
      </c>
      <c r="DM107">
        <v>5.24796</v>
      </c>
      <c r="DN107">
        <v>12.033899999999999</v>
      </c>
      <c r="DO107">
        <v>4.9670800000000002</v>
      </c>
      <c r="DP107">
        <v>3.2907199999999999</v>
      </c>
      <c r="DQ107">
        <v>9999</v>
      </c>
      <c r="DR107">
        <v>9999</v>
      </c>
      <c r="DS107">
        <v>523.1</v>
      </c>
      <c r="DT107">
        <v>9999</v>
      </c>
      <c r="DU107">
        <v>1.8709499999999999</v>
      </c>
      <c r="DV107">
        <v>1.87601</v>
      </c>
      <c r="DW107">
        <v>1.87622</v>
      </c>
      <c r="DX107">
        <v>1.8826799999999999</v>
      </c>
      <c r="DY107">
        <v>1.87547</v>
      </c>
      <c r="DZ107">
        <v>1.8745400000000001</v>
      </c>
      <c r="EA107">
        <v>1.87073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-0.83899999999999997</v>
      </c>
      <c r="EQ107">
        <v>0.12659999999999999</v>
      </c>
      <c r="ER107">
        <v>-0.83918181818182802</v>
      </c>
      <c r="ES107">
        <v>0</v>
      </c>
      <c r="ET107">
        <v>0</v>
      </c>
      <c r="EU107">
        <v>0</v>
      </c>
      <c r="EV107">
        <v>0.12659000000000201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0.5</v>
      </c>
      <c r="FE107">
        <v>0.6</v>
      </c>
      <c r="FF107">
        <v>0.87524400000000002</v>
      </c>
      <c r="FG107">
        <v>2.5708000000000002</v>
      </c>
      <c r="FH107">
        <v>2.19604</v>
      </c>
      <c r="FI107">
        <v>2.67456</v>
      </c>
      <c r="FJ107">
        <v>2.4462899999999999</v>
      </c>
      <c r="FK107">
        <v>2.3083499999999999</v>
      </c>
      <c r="FL107">
        <v>31.106999999999999</v>
      </c>
      <c r="FM107">
        <v>24.14</v>
      </c>
      <c r="FN107">
        <v>19</v>
      </c>
      <c r="FO107">
        <v>760.11900000000003</v>
      </c>
      <c r="FP107">
        <v>732.77</v>
      </c>
      <c r="FQ107">
        <v>17.732199999999999</v>
      </c>
      <c r="FR107">
        <v>25.5199</v>
      </c>
      <c r="FS107">
        <v>30.0002</v>
      </c>
      <c r="FT107">
        <v>25.5184</v>
      </c>
      <c r="FU107">
        <v>25.517600000000002</v>
      </c>
      <c r="FV107">
        <v>17.5777</v>
      </c>
      <c r="FW107">
        <v>59.6922</v>
      </c>
      <c r="FX107">
        <v>98.513099999999994</v>
      </c>
      <c r="FY107">
        <v>17.732399999999998</v>
      </c>
      <c r="FZ107">
        <v>410</v>
      </c>
      <c r="GA107">
        <v>15.5593</v>
      </c>
      <c r="GB107">
        <v>99.845100000000002</v>
      </c>
      <c r="GC107">
        <v>99.643900000000002</v>
      </c>
    </row>
    <row r="108" spans="1:185" x14ac:dyDescent="0.2">
      <c r="A108">
        <v>93</v>
      </c>
      <c r="B108">
        <v>1768580605.0999999</v>
      </c>
      <c r="C108">
        <v>2212.0999999046298</v>
      </c>
      <c r="D108" t="s">
        <v>482</v>
      </c>
      <c r="E108" t="s">
        <v>483</v>
      </c>
      <c r="F108">
        <v>15</v>
      </c>
      <c r="G108">
        <v>1768580597.03333</v>
      </c>
      <c r="H108">
        <f t="shared" si="25"/>
        <v>-5.0379728537466113E-5</v>
      </c>
      <c r="I108">
        <v>0</v>
      </c>
      <c r="J108">
        <f t="shared" si="37"/>
        <v>-5.1008370838325143E-2</v>
      </c>
      <c r="K108">
        <f t="shared" si="26"/>
        <v>-1.3358924842092057</v>
      </c>
      <c r="L108">
        <f t="shared" si="27"/>
        <v>69.827618710083712</v>
      </c>
      <c r="M108">
        <f t="shared" si="28"/>
        <v>1.5401728939331076</v>
      </c>
      <c r="N108">
        <f t="shared" si="29"/>
        <v>2.2056786732592579</v>
      </c>
      <c r="O108">
        <v>0</v>
      </c>
      <c r="P108">
        <v>0</v>
      </c>
      <c r="Q108">
        <f t="shared" si="30"/>
        <v>1</v>
      </c>
      <c r="R108">
        <f t="shared" si="31"/>
        <v>0</v>
      </c>
      <c r="S108">
        <f t="shared" si="32"/>
        <v>25964.445005188241</v>
      </c>
      <c r="T108">
        <f t="shared" si="33"/>
        <v>1000.00066666667</v>
      </c>
      <c r="U108">
        <f t="shared" si="34"/>
        <v>843.00018919975446</v>
      </c>
      <c r="V108">
        <f t="shared" si="35"/>
        <v>0.84299962720000021</v>
      </c>
      <c r="W108">
        <f t="shared" si="36"/>
        <v>0.15869875619200005</v>
      </c>
      <c r="X108">
        <v>1</v>
      </c>
      <c r="Y108">
        <v>1768580597.03333</v>
      </c>
      <c r="Z108">
        <v>409.94600000000003</v>
      </c>
      <c r="AA108">
        <v>408.00806666666699</v>
      </c>
      <c r="AB108">
        <v>15.535679999999999</v>
      </c>
      <c r="AC108">
        <v>15.606533333333299</v>
      </c>
      <c r="AD108">
        <v>410.78519999999997</v>
      </c>
      <c r="AE108">
        <v>15.409093333333299</v>
      </c>
      <c r="AF108">
        <v>699.99593333333303</v>
      </c>
      <c r="AG108">
        <v>99.083166666666699</v>
      </c>
      <c r="AH108">
        <v>5.4617706666666703E-2</v>
      </c>
      <c r="AI108">
        <v>19.003620000000002</v>
      </c>
      <c r="AJ108">
        <v>999.9</v>
      </c>
      <c r="AK108">
        <v>999.9</v>
      </c>
      <c r="AL108">
        <v>0</v>
      </c>
      <c r="AM108">
        <v>0</v>
      </c>
      <c r="AN108">
        <v>4997.1666666666697</v>
      </c>
      <c r="AO108">
        <v>0</v>
      </c>
      <c r="AP108">
        <v>2.3713099999999998</v>
      </c>
      <c r="AQ108">
        <v>1.9380873333333299</v>
      </c>
      <c r="AR108">
        <v>416.41533333333302</v>
      </c>
      <c r="AS108">
        <v>414.47646666666702</v>
      </c>
      <c r="AT108">
        <v>-7.0829139999999999E-2</v>
      </c>
      <c r="AU108">
        <v>408.00806666666699</v>
      </c>
      <c r="AV108">
        <v>15.606533333333299</v>
      </c>
      <c r="AW108">
        <v>1.539326</v>
      </c>
      <c r="AX108">
        <v>1.5463439999999999</v>
      </c>
      <c r="AY108">
        <v>13.364473333333301</v>
      </c>
      <c r="AZ108">
        <v>13.4342666666667</v>
      </c>
      <c r="BA108">
        <v>1000.00066666667</v>
      </c>
      <c r="BB108">
        <v>0.90001706666666703</v>
      </c>
      <c r="BC108">
        <v>0</v>
      </c>
      <c r="BD108">
        <v>9.9983093333333301E-2</v>
      </c>
      <c r="BE108">
        <v>0</v>
      </c>
      <c r="BF108">
        <v>26</v>
      </c>
      <c r="BG108">
        <v>16488.88</v>
      </c>
      <c r="BH108">
        <v>1768580558.0999999</v>
      </c>
      <c r="BI108" t="s">
        <v>475</v>
      </c>
      <c r="BJ108">
        <v>1768580558.0999999</v>
      </c>
      <c r="BK108">
        <v>1768580555.0999999</v>
      </c>
      <c r="BL108">
        <v>4</v>
      </c>
      <c r="BM108">
        <v>3.3000000000000002E-2</v>
      </c>
      <c r="BN108">
        <v>-7.0000000000000001E-3</v>
      </c>
      <c r="BO108">
        <v>-0.83899999999999997</v>
      </c>
      <c r="BP108">
        <v>0.127</v>
      </c>
      <c r="BQ108">
        <v>422</v>
      </c>
      <c r="BR108">
        <v>16</v>
      </c>
      <c r="BS108">
        <v>0.27</v>
      </c>
      <c r="BT108">
        <v>0.05</v>
      </c>
      <c r="BU108">
        <v>1.9350125</v>
      </c>
      <c r="BV108">
        <v>1.07881669172932</v>
      </c>
      <c r="BW108">
        <v>0.47028952740705399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-7.0818135000000004E-2</v>
      </c>
      <c r="CD108">
        <v>3.7616390977433502E-4</v>
      </c>
      <c r="CE108">
        <v>3.5489674311692401E-4</v>
      </c>
      <c r="CF108">
        <v>1</v>
      </c>
      <c r="CG108">
        <v>1</v>
      </c>
      <c r="CH108">
        <v>2</v>
      </c>
      <c r="CI108" t="s">
        <v>303</v>
      </c>
      <c r="CJ108">
        <v>3.3498800000000002</v>
      </c>
      <c r="CK108">
        <v>2.69231</v>
      </c>
      <c r="CL108">
        <v>9.6780400000000003E-2</v>
      </c>
      <c r="CM108">
        <v>9.4994300000000004E-2</v>
      </c>
      <c r="CN108">
        <v>8.6695499999999995E-2</v>
      </c>
      <c r="CO108">
        <v>8.6160700000000007E-2</v>
      </c>
      <c r="CP108">
        <v>31662.799999999999</v>
      </c>
      <c r="CQ108">
        <v>27843.4</v>
      </c>
      <c r="CR108">
        <v>32445.3</v>
      </c>
      <c r="CS108">
        <v>30693.200000000001</v>
      </c>
      <c r="CT108">
        <v>40126.199999999997</v>
      </c>
      <c r="CU108">
        <v>39437.4</v>
      </c>
      <c r="CV108">
        <v>47384.9</v>
      </c>
      <c r="CW108">
        <v>46808</v>
      </c>
      <c r="CX108">
        <v>2.5039400000000001</v>
      </c>
      <c r="CY108">
        <v>2.3151799999999998</v>
      </c>
      <c r="CZ108">
        <v>0</v>
      </c>
      <c r="DA108">
        <v>0</v>
      </c>
      <c r="DB108">
        <v>999.9</v>
      </c>
      <c r="DC108">
        <v>999.9</v>
      </c>
      <c r="DD108">
        <v>59.912999999999997</v>
      </c>
      <c r="DE108">
        <v>25.478000000000002</v>
      </c>
      <c r="DF108">
        <v>19.7821</v>
      </c>
      <c r="DG108">
        <v>30.06</v>
      </c>
      <c r="DH108">
        <v>13.0809</v>
      </c>
      <c r="DI108">
        <v>2</v>
      </c>
      <c r="DJ108">
        <v>-0.115768</v>
      </c>
      <c r="DK108">
        <v>2.6371199999999999</v>
      </c>
      <c r="DL108">
        <v>20.181100000000001</v>
      </c>
      <c r="DM108">
        <v>5.2478400000000001</v>
      </c>
      <c r="DN108">
        <v>12.033899999999999</v>
      </c>
      <c r="DO108">
        <v>4.9669600000000003</v>
      </c>
      <c r="DP108">
        <v>3.2906399999999998</v>
      </c>
      <c r="DQ108">
        <v>9999</v>
      </c>
      <c r="DR108">
        <v>9999</v>
      </c>
      <c r="DS108">
        <v>523.1</v>
      </c>
      <c r="DT108">
        <v>9999</v>
      </c>
      <c r="DU108">
        <v>1.87094</v>
      </c>
      <c r="DV108">
        <v>1.8760300000000001</v>
      </c>
      <c r="DW108">
        <v>1.87622</v>
      </c>
      <c r="DX108">
        <v>1.88273</v>
      </c>
      <c r="DY108">
        <v>1.8754599999999999</v>
      </c>
      <c r="DZ108">
        <v>1.8745400000000001</v>
      </c>
      <c r="EA108">
        <v>1.87073</v>
      </c>
      <c r="EB108">
        <v>1.8745400000000001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-0.84</v>
      </c>
      <c r="EQ108">
        <v>0.12659999999999999</v>
      </c>
      <c r="ER108">
        <v>-0.83918181818182802</v>
      </c>
      <c r="ES108">
        <v>0</v>
      </c>
      <c r="ET108">
        <v>0</v>
      </c>
      <c r="EU108">
        <v>0</v>
      </c>
      <c r="EV108">
        <v>0.12659000000000201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0.8</v>
      </c>
      <c r="FE108">
        <v>0.8</v>
      </c>
      <c r="FF108">
        <v>0.88989300000000005</v>
      </c>
      <c r="FG108">
        <v>2.5793499999999998</v>
      </c>
      <c r="FH108">
        <v>2.19604</v>
      </c>
      <c r="FI108">
        <v>2.67456</v>
      </c>
      <c r="FJ108">
        <v>2.4462899999999999</v>
      </c>
      <c r="FK108">
        <v>2.2741699999999998</v>
      </c>
      <c r="FL108">
        <v>31.128699999999998</v>
      </c>
      <c r="FM108">
        <v>24.14</v>
      </c>
      <c r="FN108">
        <v>19</v>
      </c>
      <c r="FO108">
        <v>760.29600000000005</v>
      </c>
      <c r="FP108">
        <v>732.93700000000001</v>
      </c>
      <c r="FQ108">
        <v>17.728300000000001</v>
      </c>
      <c r="FR108">
        <v>25.522500000000001</v>
      </c>
      <c r="FS108">
        <v>30</v>
      </c>
      <c r="FT108">
        <v>25.5227</v>
      </c>
      <c r="FU108">
        <v>25.5215</v>
      </c>
      <c r="FV108">
        <v>17.8751</v>
      </c>
      <c r="FW108">
        <v>59.6922</v>
      </c>
      <c r="FX108">
        <v>98.140799999999999</v>
      </c>
      <c r="FY108">
        <v>17.721599999999999</v>
      </c>
      <c r="FZ108">
        <v>410</v>
      </c>
      <c r="GA108">
        <v>15.5566</v>
      </c>
      <c r="GB108">
        <v>99.845600000000005</v>
      </c>
      <c r="GC108">
        <v>99.644400000000005</v>
      </c>
    </row>
    <row r="109" spans="1:185" x14ac:dyDescent="0.2">
      <c r="A109">
        <v>94</v>
      </c>
      <c r="B109">
        <v>1768580620.0999999</v>
      </c>
      <c r="C109">
        <v>2227.0999999046298</v>
      </c>
      <c r="D109" t="s">
        <v>484</v>
      </c>
      <c r="E109" t="s">
        <v>485</v>
      </c>
      <c r="F109">
        <v>15</v>
      </c>
      <c r="G109">
        <v>1768580612.03333</v>
      </c>
      <c r="H109">
        <f t="shared" si="25"/>
        <v>-5.0897024979086044E-5</v>
      </c>
      <c r="I109">
        <v>0</v>
      </c>
      <c r="J109">
        <f t="shared" si="37"/>
        <v>-3.4094297703112224E-2</v>
      </c>
      <c r="K109">
        <f t="shared" si="26"/>
        <v>-0.89291846235084171</v>
      </c>
      <c r="L109">
        <f t="shared" si="27"/>
        <v>69.840201647787694</v>
      </c>
      <c r="M109">
        <f t="shared" si="28"/>
        <v>1.5407779320732855</v>
      </c>
      <c r="N109">
        <f t="shared" si="29"/>
        <v>2.2061475994064406</v>
      </c>
      <c r="O109">
        <v>0</v>
      </c>
      <c r="P109">
        <v>0</v>
      </c>
      <c r="Q109">
        <f t="shared" si="30"/>
        <v>1</v>
      </c>
      <c r="R109">
        <f t="shared" si="31"/>
        <v>0</v>
      </c>
      <c r="S109">
        <f t="shared" si="32"/>
        <v>25956.230156170306</v>
      </c>
      <c r="T109">
        <f t="shared" si="33"/>
        <v>999.99813333333304</v>
      </c>
      <c r="U109">
        <f t="shared" si="34"/>
        <v>842.99806380067628</v>
      </c>
      <c r="V109">
        <f t="shared" si="35"/>
        <v>0.84299963739999972</v>
      </c>
      <c r="W109">
        <f t="shared" si="36"/>
        <v>0.15869918444399994</v>
      </c>
      <c r="X109">
        <v>1</v>
      </c>
      <c r="Y109">
        <v>1768580612.03333</v>
      </c>
      <c r="Z109">
        <v>408.04700000000003</v>
      </c>
      <c r="AA109">
        <v>406.741733333333</v>
      </c>
      <c r="AB109">
        <v>15.5414866666667</v>
      </c>
      <c r="AC109">
        <v>15.6130666666667</v>
      </c>
      <c r="AD109">
        <v>408.88613333333302</v>
      </c>
      <c r="AE109">
        <v>15.4148866666667</v>
      </c>
      <c r="AF109">
        <v>700.000133333333</v>
      </c>
      <c r="AG109">
        <v>99.085073333333398</v>
      </c>
      <c r="AH109">
        <v>5.4601339999999998E-2</v>
      </c>
      <c r="AI109">
        <v>19.0070266666667</v>
      </c>
      <c r="AJ109">
        <v>999.9</v>
      </c>
      <c r="AK109">
        <v>999.9</v>
      </c>
      <c r="AL109">
        <v>0</v>
      </c>
      <c r="AM109">
        <v>0</v>
      </c>
      <c r="AN109">
        <v>4995.7666666666701</v>
      </c>
      <c r="AO109">
        <v>0</v>
      </c>
      <c r="AP109">
        <v>2.3713099999999998</v>
      </c>
      <c r="AQ109">
        <v>1.3051508333333299</v>
      </c>
      <c r="AR109">
        <v>414.48873333333302</v>
      </c>
      <c r="AS109">
        <v>413.19279999999998</v>
      </c>
      <c r="AT109">
        <v>-7.1570833333333306E-2</v>
      </c>
      <c r="AU109">
        <v>406.741733333333</v>
      </c>
      <c r="AV109">
        <v>15.6130666666667</v>
      </c>
      <c r="AW109">
        <v>1.53993</v>
      </c>
      <c r="AX109">
        <v>1.5470206666666699</v>
      </c>
      <c r="AY109">
        <v>13.3704933333333</v>
      </c>
      <c r="AZ109">
        <v>13.44098</v>
      </c>
      <c r="BA109">
        <v>999.99813333333304</v>
      </c>
      <c r="BB109">
        <v>0.90001073333333304</v>
      </c>
      <c r="BC109">
        <v>0</v>
      </c>
      <c r="BD109">
        <v>9.9989220000000004E-2</v>
      </c>
      <c r="BE109">
        <v>0</v>
      </c>
      <c r="BF109">
        <v>26</v>
      </c>
      <c r="BG109">
        <v>16488.8066666667</v>
      </c>
      <c r="BH109">
        <v>1768580558.0999999</v>
      </c>
      <c r="BI109" t="s">
        <v>475</v>
      </c>
      <c r="BJ109">
        <v>1768580558.0999999</v>
      </c>
      <c r="BK109">
        <v>1768580555.0999999</v>
      </c>
      <c r="BL109">
        <v>4</v>
      </c>
      <c r="BM109">
        <v>3.3000000000000002E-2</v>
      </c>
      <c r="BN109">
        <v>-7.0000000000000001E-3</v>
      </c>
      <c r="BO109">
        <v>-0.83899999999999997</v>
      </c>
      <c r="BP109">
        <v>0.127</v>
      </c>
      <c r="BQ109">
        <v>422</v>
      </c>
      <c r="BR109">
        <v>16</v>
      </c>
      <c r="BS109">
        <v>0.27</v>
      </c>
      <c r="BT109">
        <v>0.05</v>
      </c>
      <c r="BU109">
        <v>1.665093425</v>
      </c>
      <c r="BV109">
        <v>-7.00784212781954</v>
      </c>
      <c r="BW109">
        <v>0.83081106170544705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-7.1314324999999998E-2</v>
      </c>
      <c r="CD109">
        <v>-5.24444661654131E-3</v>
      </c>
      <c r="CE109">
        <v>7.4994354112493001E-4</v>
      </c>
      <c r="CF109">
        <v>1</v>
      </c>
      <c r="CG109">
        <v>1</v>
      </c>
      <c r="CH109">
        <v>2</v>
      </c>
      <c r="CI109" t="s">
        <v>303</v>
      </c>
      <c r="CJ109">
        <v>3.3498399999999999</v>
      </c>
      <c r="CK109">
        <v>2.6926199999999998</v>
      </c>
      <c r="CL109">
        <v>9.6544900000000003E-2</v>
      </c>
      <c r="CM109">
        <v>9.52823E-2</v>
      </c>
      <c r="CN109">
        <v>8.6719199999999996E-2</v>
      </c>
      <c r="CO109">
        <v>8.6189000000000002E-2</v>
      </c>
      <c r="CP109">
        <v>31670.5</v>
      </c>
      <c r="CQ109">
        <v>27834.1</v>
      </c>
      <c r="CR109">
        <v>32444.799999999999</v>
      </c>
      <c r="CS109">
        <v>30692.6</v>
      </c>
      <c r="CT109">
        <v>40124.6</v>
      </c>
      <c r="CU109">
        <v>39435.5</v>
      </c>
      <c r="CV109">
        <v>47384.3</v>
      </c>
      <c r="CW109">
        <v>46807.199999999997</v>
      </c>
      <c r="CX109">
        <v>2.5040200000000001</v>
      </c>
      <c r="CY109">
        <v>2.3150200000000001</v>
      </c>
      <c r="CZ109">
        <v>0</v>
      </c>
      <c r="DA109">
        <v>0</v>
      </c>
      <c r="DB109">
        <v>999.9</v>
      </c>
      <c r="DC109">
        <v>999.9</v>
      </c>
      <c r="DD109">
        <v>59.889000000000003</v>
      </c>
      <c r="DE109">
        <v>25.507999999999999</v>
      </c>
      <c r="DF109">
        <v>19.806899999999999</v>
      </c>
      <c r="DG109">
        <v>29.97</v>
      </c>
      <c r="DH109">
        <v>13.113</v>
      </c>
      <c r="DI109">
        <v>2</v>
      </c>
      <c r="DJ109">
        <v>-0.115467</v>
      </c>
      <c r="DK109">
        <v>2.6723699999999999</v>
      </c>
      <c r="DL109">
        <v>20.181000000000001</v>
      </c>
      <c r="DM109">
        <v>5.2508299999999997</v>
      </c>
      <c r="DN109">
        <v>12.033899999999999</v>
      </c>
      <c r="DO109">
        <v>4.9672000000000001</v>
      </c>
      <c r="DP109">
        <v>3.2909999999999999</v>
      </c>
      <c r="DQ109">
        <v>9999</v>
      </c>
      <c r="DR109">
        <v>9999</v>
      </c>
      <c r="DS109">
        <v>523.1</v>
      </c>
      <c r="DT109">
        <v>9999</v>
      </c>
      <c r="DU109">
        <v>1.8709800000000001</v>
      </c>
      <c r="DV109">
        <v>1.87601</v>
      </c>
      <c r="DW109">
        <v>1.87622</v>
      </c>
      <c r="DX109">
        <v>1.88273</v>
      </c>
      <c r="DY109">
        <v>1.87548</v>
      </c>
      <c r="DZ109">
        <v>1.8745400000000001</v>
      </c>
      <c r="EA109">
        <v>1.87073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-0.83899999999999997</v>
      </c>
      <c r="EQ109">
        <v>0.12659999999999999</v>
      </c>
      <c r="ER109">
        <v>-0.83918181818182802</v>
      </c>
      <c r="ES109">
        <v>0</v>
      </c>
      <c r="ET109">
        <v>0</v>
      </c>
      <c r="EU109">
        <v>0</v>
      </c>
      <c r="EV109">
        <v>0.12659000000000201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1</v>
      </c>
      <c r="FE109">
        <v>1.1000000000000001</v>
      </c>
      <c r="FF109">
        <v>0.90698199999999995</v>
      </c>
      <c r="FG109">
        <v>2.5720200000000002</v>
      </c>
      <c r="FH109">
        <v>2.19604</v>
      </c>
      <c r="FI109">
        <v>2.67456</v>
      </c>
      <c r="FJ109">
        <v>2.4462899999999999</v>
      </c>
      <c r="FK109">
        <v>2.2399900000000001</v>
      </c>
      <c r="FL109">
        <v>31.150400000000001</v>
      </c>
      <c r="FM109">
        <v>24.1313</v>
      </c>
      <c r="FN109">
        <v>19</v>
      </c>
      <c r="FO109">
        <v>760.40599999999995</v>
      </c>
      <c r="FP109">
        <v>732.84900000000005</v>
      </c>
      <c r="FQ109">
        <v>17.708600000000001</v>
      </c>
      <c r="FR109">
        <v>25.525500000000001</v>
      </c>
      <c r="FS109">
        <v>30.0002</v>
      </c>
      <c r="FT109">
        <v>25.5258</v>
      </c>
      <c r="FU109">
        <v>25.5258</v>
      </c>
      <c r="FV109">
        <v>18.214400000000001</v>
      </c>
      <c r="FW109">
        <v>59.6922</v>
      </c>
      <c r="FX109">
        <v>98.140799999999999</v>
      </c>
      <c r="FY109">
        <v>17.700600000000001</v>
      </c>
      <c r="FZ109">
        <v>410</v>
      </c>
      <c r="GA109">
        <v>15.5566</v>
      </c>
      <c r="GB109">
        <v>99.844200000000001</v>
      </c>
      <c r="GC109">
        <v>99.642600000000002</v>
      </c>
    </row>
    <row r="110" spans="1:185" x14ac:dyDescent="0.2">
      <c r="A110">
        <v>95</v>
      </c>
      <c r="B110">
        <v>1768580635.0999999</v>
      </c>
      <c r="C110">
        <v>2242.0999999046298</v>
      </c>
      <c r="D110" t="s">
        <v>486</v>
      </c>
      <c r="E110" t="s">
        <v>487</v>
      </c>
      <c r="F110">
        <v>15</v>
      </c>
      <c r="G110">
        <v>1768580627.03333</v>
      </c>
      <c r="H110">
        <f t="shared" si="25"/>
        <v>-5.1191173196821405E-5</v>
      </c>
      <c r="I110">
        <v>0</v>
      </c>
      <c r="J110">
        <f t="shared" si="37"/>
        <v>1.4277087445770238E-2</v>
      </c>
      <c r="K110">
        <f t="shared" si="26"/>
        <v>0.3739122324775726</v>
      </c>
      <c r="L110">
        <f t="shared" si="27"/>
        <v>69.881599340079774</v>
      </c>
      <c r="M110">
        <f t="shared" si="28"/>
        <v>1.5412526059086713</v>
      </c>
      <c r="N110">
        <f t="shared" si="29"/>
        <v>2.205519937241482</v>
      </c>
      <c r="O110">
        <v>0</v>
      </c>
      <c r="P110">
        <v>0</v>
      </c>
      <c r="Q110">
        <f t="shared" si="30"/>
        <v>1</v>
      </c>
      <c r="R110">
        <f t="shared" si="31"/>
        <v>0</v>
      </c>
      <c r="S110">
        <f t="shared" si="32"/>
        <v>26002.437052466696</v>
      </c>
      <c r="T110">
        <f t="shared" si="33"/>
        <v>1000.00033333333</v>
      </c>
      <c r="U110">
        <f t="shared" si="34"/>
        <v>842.99999699990235</v>
      </c>
      <c r="V110">
        <f t="shared" si="35"/>
        <v>0.84299971599999979</v>
      </c>
      <c r="W110">
        <f t="shared" si="36"/>
        <v>0.15869941991999997</v>
      </c>
      <c r="X110">
        <v>1</v>
      </c>
      <c r="Y110">
        <v>1768580627.03333</v>
      </c>
      <c r="Z110">
        <v>407.86</v>
      </c>
      <c r="AA110">
        <v>408.36433333333298</v>
      </c>
      <c r="AB110">
        <v>15.546239999999999</v>
      </c>
      <c r="AC110">
        <v>15.618233333333301</v>
      </c>
      <c r="AD110">
        <v>408.69906666666702</v>
      </c>
      <c r="AE110">
        <v>15.419639999999999</v>
      </c>
      <c r="AF110">
        <v>700.000133333333</v>
      </c>
      <c r="AG110">
        <v>99.084853333333299</v>
      </c>
      <c r="AH110">
        <v>5.5041966666666699E-2</v>
      </c>
      <c r="AI110">
        <v>19.002466666666699</v>
      </c>
      <c r="AJ110">
        <v>999.9</v>
      </c>
      <c r="AK110">
        <v>999.9</v>
      </c>
      <c r="AL110">
        <v>0</v>
      </c>
      <c r="AM110">
        <v>0</v>
      </c>
      <c r="AN110">
        <v>5003.3999999999996</v>
      </c>
      <c r="AO110">
        <v>0</v>
      </c>
      <c r="AP110">
        <v>2.3713099999999998</v>
      </c>
      <c r="AQ110">
        <v>-0.50444946666666701</v>
      </c>
      <c r="AR110">
        <v>414.30066666666698</v>
      </c>
      <c r="AS110">
        <v>414.84353333333303</v>
      </c>
      <c r="AT110">
        <v>-7.2011519999999996E-2</v>
      </c>
      <c r="AU110">
        <v>408.36433333333298</v>
      </c>
      <c r="AV110">
        <v>15.618233333333301</v>
      </c>
      <c r="AW110">
        <v>1.5403946666666699</v>
      </c>
      <c r="AX110">
        <v>1.54753133333333</v>
      </c>
      <c r="AY110">
        <v>13.37514</v>
      </c>
      <c r="AZ110">
        <v>13.4460333333333</v>
      </c>
      <c r="BA110">
        <v>1000.00033333333</v>
      </c>
      <c r="BB110">
        <v>0.90000753333333305</v>
      </c>
      <c r="BC110">
        <v>0</v>
      </c>
      <c r="BD110">
        <v>9.9992399999999995E-2</v>
      </c>
      <c r="BE110">
        <v>0</v>
      </c>
      <c r="BF110">
        <v>26</v>
      </c>
      <c r="BG110">
        <v>16488.84</v>
      </c>
      <c r="BH110">
        <v>1768580558.0999999</v>
      </c>
      <c r="BI110" t="s">
        <v>475</v>
      </c>
      <c r="BJ110">
        <v>1768580558.0999999</v>
      </c>
      <c r="BK110">
        <v>1768580555.0999999</v>
      </c>
      <c r="BL110">
        <v>4</v>
      </c>
      <c r="BM110">
        <v>3.3000000000000002E-2</v>
      </c>
      <c r="BN110">
        <v>-7.0000000000000001E-3</v>
      </c>
      <c r="BO110">
        <v>-0.83899999999999997</v>
      </c>
      <c r="BP110">
        <v>0.127</v>
      </c>
      <c r="BQ110">
        <v>422</v>
      </c>
      <c r="BR110">
        <v>16</v>
      </c>
      <c r="BS110">
        <v>0.27</v>
      </c>
      <c r="BT110">
        <v>0.05</v>
      </c>
      <c r="BU110">
        <v>-0.33049627500000001</v>
      </c>
      <c r="BV110">
        <v>-2.6770753308270701</v>
      </c>
      <c r="BW110">
        <v>0.36929816066680698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-7.2085725000000003E-2</v>
      </c>
      <c r="CD110">
        <v>1.1372323308270701E-2</v>
      </c>
      <c r="CE110">
        <v>2.9917246370404801E-3</v>
      </c>
      <c r="CF110">
        <v>1</v>
      </c>
      <c r="CG110">
        <v>1</v>
      </c>
      <c r="CH110">
        <v>2</v>
      </c>
      <c r="CI110" t="s">
        <v>303</v>
      </c>
      <c r="CJ110">
        <v>3.3498999999999999</v>
      </c>
      <c r="CK110">
        <v>2.6929500000000002</v>
      </c>
      <c r="CL110">
        <v>9.6651399999999998E-2</v>
      </c>
      <c r="CM110">
        <v>9.5397999999999997E-2</v>
      </c>
      <c r="CN110">
        <v>8.6735499999999993E-2</v>
      </c>
      <c r="CO110">
        <v>8.6153900000000005E-2</v>
      </c>
      <c r="CP110">
        <v>31667.4</v>
      </c>
      <c r="CQ110">
        <v>27830.5</v>
      </c>
      <c r="CR110">
        <v>32445.4</v>
      </c>
      <c r="CS110">
        <v>30692.6</v>
      </c>
      <c r="CT110">
        <v>40124.5</v>
      </c>
      <c r="CU110">
        <v>39437.300000000003</v>
      </c>
      <c r="CV110">
        <v>47385</v>
      </c>
      <c r="CW110">
        <v>46807.5</v>
      </c>
      <c r="CX110">
        <v>2.5038800000000001</v>
      </c>
      <c r="CY110">
        <v>2.3150400000000002</v>
      </c>
      <c r="CZ110">
        <v>0</v>
      </c>
      <c r="DA110">
        <v>0</v>
      </c>
      <c r="DB110">
        <v>999.9</v>
      </c>
      <c r="DC110">
        <v>999.9</v>
      </c>
      <c r="DD110">
        <v>59.863999999999997</v>
      </c>
      <c r="DE110">
        <v>25.507999999999999</v>
      </c>
      <c r="DF110">
        <v>19.801400000000001</v>
      </c>
      <c r="DG110">
        <v>30.09</v>
      </c>
      <c r="DH110">
        <v>13.1571</v>
      </c>
      <c r="DI110">
        <v>2</v>
      </c>
      <c r="DJ110">
        <v>-0.11509999999999999</v>
      </c>
      <c r="DK110">
        <v>2.6751999999999998</v>
      </c>
      <c r="DL110">
        <v>20.180900000000001</v>
      </c>
      <c r="DM110">
        <v>5.2501199999999999</v>
      </c>
      <c r="DN110">
        <v>12.033899999999999</v>
      </c>
      <c r="DO110">
        <v>4.9670800000000002</v>
      </c>
      <c r="DP110">
        <v>3.2909999999999999</v>
      </c>
      <c r="DQ110">
        <v>9999</v>
      </c>
      <c r="DR110">
        <v>9999</v>
      </c>
      <c r="DS110">
        <v>523.1</v>
      </c>
      <c r="DT110">
        <v>9999</v>
      </c>
      <c r="DU110">
        <v>1.87093</v>
      </c>
      <c r="DV110">
        <v>1.87599</v>
      </c>
      <c r="DW110">
        <v>1.87622</v>
      </c>
      <c r="DX110">
        <v>1.8827199999999999</v>
      </c>
      <c r="DY110">
        <v>1.8754900000000001</v>
      </c>
      <c r="DZ110">
        <v>1.8745400000000001</v>
      </c>
      <c r="EA110">
        <v>1.87073</v>
      </c>
      <c r="EB110">
        <v>1.8745400000000001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-0.83899999999999997</v>
      </c>
      <c r="EQ110">
        <v>0.12659999999999999</v>
      </c>
      <c r="ER110">
        <v>-0.83918181818182802</v>
      </c>
      <c r="ES110">
        <v>0</v>
      </c>
      <c r="ET110">
        <v>0</v>
      </c>
      <c r="EU110">
        <v>0</v>
      </c>
      <c r="EV110">
        <v>0.12659000000000201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1.3</v>
      </c>
      <c r="FE110">
        <v>1.3</v>
      </c>
      <c r="FF110">
        <v>0.91552699999999998</v>
      </c>
      <c r="FG110">
        <v>2.5744600000000002</v>
      </c>
      <c r="FH110">
        <v>2.19604</v>
      </c>
      <c r="FI110">
        <v>2.67456</v>
      </c>
      <c r="FJ110">
        <v>2.4462899999999999</v>
      </c>
      <c r="FK110">
        <v>2.2522000000000002</v>
      </c>
      <c r="FL110">
        <v>31.1722</v>
      </c>
      <c r="FM110">
        <v>24.14</v>
      </c>
      <c r="FN110">
        <v>19</v>
      </c>
      <c r="FO110">
        <v>760.33699999999999</v>
      </c>
      <c r="FP110">
        <v>732.92100000000005</v>
      </c>
      <c r="FQ110">
        <v>17.693999999999999</v>
      </c>
      <c r="FR110">
        <v>25.5289</v>
      </c>
      <c r="FS110">
        <v>30.0001</v>
      </c>
      <c r="FT110">
        <v>25.529199999999999</v>
      </c>
      <c r="FU110">
        <v>25.529599999999999</v>
      </c>
      <c r="FV110">
        <v>18.390899999999998</v>
      </c>
      <c r="FW110">
        <v>59.9711</v>
      </c>
      <c r="FX110">
        <v>98.140799999999999</v>
      </c>
      <c r="FY110">
        <v>17.6934</v>
      </c>
      <c r="FZ110">
        <v>410</v>
      </c>
      <c r="GA110">
        <v>15.5566</v>
      </c>
      <c r="GB110">
        <v>99.846000000000004</v>
      </c>
      <c r="GC110">
        <v>99.643000000000001</v>
      </c>
    </row>
    <row r="111" spans="1:185" x14ac:dyDescent="0.2">
      <c r="A111">
        <v>96</v>
      </c>
      <c r="B111">
        <v>1768580650.0999999</v>
      </c>
      <c r="C111">
        <v>2257.0999999046298</v>
      </c>
      <c r="D111" t="s">
        <v>488</v>
      </c>
      <c r="E111" t="s">
        <v>489</v>
      </c>
      <c r="F111">
        <v>15</v>
      </c>
      <c r="G111">
        <v>1768580642.03333</v>
      </c>
      <c r="H111">
        <f t="shared" si="25"/>
        <v>-4.2464492523921731E-5</v>
      </c>
      <c r="I111">
        <v>0</v>
      </c>
      <c r="J111">
        <f t="shared" si="37"/>
        <v>4.8741662078167061E-2</v>
      </c>
      <c r="K111">
        <f t="shared" si="26"/>
        <v>1.2765281260299557</v>
      </c>
      <c r="L111">
        <f t="shared" si="27"/>
        <v>69.880413354791813</v>
      </c>
      <c r="M111">
        <f t="shared" si="28"/>
        <v>1.5413566104801133</v>
      </c>
      <c r="N111">
        <f t="shared" si="29"/>
        <v>2.2057062007553507</v>
      </c>
      <c r="O111">
        <v>0</v>
      </c>
      <c r="P111">
        <v>0</v>
      </c>
      <c r="Q111">
        <f t="shared" si="30"/>
        <v>1</v>
      </c>
      <c r="R111">
        <f t="shared" si="31"/>
        <v>0</v>
      </c>
      <c r="S111">
        <f t="shared" si="32"/>
        <v>25972.533236928186</v>
      </c>
      <c r="T111">
        <f t="shared" si="33"/>
        <v>999.99760000000003</v>
      </c>
      <c r="U111">
        <f t="shared" si="34"/>
        <v>842.99797380000666</v>
      </c>
      <c r="V111">
        <f t="shared" si="35"/>
        <v>0.84299999699999939</v>
      </c>
      <c r="W111">
        <f t="shared" si="36"/>
        <v>0.15870005745999988</v>
      </c>
      <c r="X111">
        <v>1</v>
      </c>
      <c r="Y111">
        <v>1768580642.03333</v>
      </c>
      <c r="Z111">
        <v>408.811466666667</v>
      </c>
      <c r="AA111">
        <v>410.61026666666697</v>
      </c>
      <c r="AB111">
        <v>15.54762</v>
      </c>
      <c r="AC111">
        <v>15.607340000000001</v>
      </c>
      <c r="AD111">
        <v>409.65066666666701</v>
      </c>
      <c r="AE111">
        <v>15.42102</v>
      </c>
      <c r="AF111">
        <v>700.00453333333303</v>
      </c>
      <c r="AG111">
        <v>99.0827666666667</v>
      </c>
      <c r="AH111">
        <v>5.5018440000000002E-2</v>
      </c>
      <c r="AI111">
        <v>19.003820000000001</v>
      </c>
      <c r="AJ111">
        <v>999.9</v>
      </c>
      <c r="AK111">
        <v>999.9</v>
      </c>
      <c r="AL111">
        <v>0</v>
      </c>
      <c r="AM111">
        <v>0</v>
      </c>
      <c r="AN111">
        <v>4998.5333333333301</v>
      </c>
      <c r="AO111">
        <v>0</v>
      </c>
      <c r="AP111">
        <v>2.3713099999999998</v>
      </c>
      <c r="AQ111">
        <v>-1.79882813333333</v>
      </c>
      <c r="AR111">
        <v>415.26806666666698</v>
      </c>
      <c r="AS111">
        <v>417.12046666666703</v>
      </c>
      <c r="AT111">
        <v>-5.9732239999999999E-2</v>
      </c>
      <c r="AU111">
        <v>410.61026666666697</v>
      </c>
      <c r="AV111">
        <v>15.607340000000001</v>
      </c>
      <c r="AW111">
        <v>1.5405006666666701</v>
      </c>
      <c r="AX111">
        <v>1.5464199999999999</v>
      </c>
      <c r="AY111">
        <v>13.37618</v>
      </c>
      <c r="AZ111">
        <v>13.43502</v>
      </c>
      <c r="BA111">
        <v>999.99760000000003</v>
      </c>
      <c r="BB111">
        <v>0.89999913333333303</v>
      </c>
      <c r="BC111">
        <v>0</v>
      </c>
      <c r="BD111">
        <v>0.100000833333333</v>
      </c>
      <c r="BE111">
        <v>0</v>
      </c>
      <c r="BF111">
        <v>26</v>
      </c>
      <c r="BG111">
        <v>16488.733333333301</v>
      </c>
      <c r="BH111">
        <v>1768580558.0999999</v>
      </c>
      <c r="BI111" t="s">
        <v>475</v>
      </c>
      <c r="BJ111">
        <v>1768580558.0999999</v>
      </c>
      <c r="BK111">
        <v>1768580555.0999999</v>
      </c>
      <c r="BL111">
        <v>4</v>
      </c>
      <c r="BM111">
        <v>3.3000000000000002E-2</v>
      </c>
      <c r="BN111">
        <v>-7.0000000000000001E-3</v>
      </c>
      <c r="BO111">
        <v>-0.83899999999999997</v>
      </c>
      <c r="BP111">
        <v>0.127</v>
      </c>
      <c r="BQ111">
        <v>422</v>
      </c>
      <c r="BR111">
        <v>16</v>
      </c>
      <c r="BS111">
        <v>0.27</v>
      </c>
      <c r="BT111">
        <v>0.05</v>
      </c>
      <c r="BU111">
        <v>-1.4245532380952399</v>
      </c>
      <c r="BV111">
        <v>-8.9428073766233798</v>
      </c>
      <c r="BW111">
        <v>0.98771480457308503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-6.2475795238095197E-2</v>
      </c>
      <c r="CD111">
        <v>3.0956228571428601E-2</v>
      </c>
      <c r="CE111">
        <v>5.4859393450526197E-3</v>
      </c>
      <c r="CF111">
        <v>1</v>
      </c>
      <c r="CG111">
        <v>1</v>
      </c>
      <c r="CH111">
        <v>2</v>
      </c>
      <c r="CI111" t="s">
        <v>303</v>
      </c>
      <c r="CJ111">
        <v>3.3498299999999999</v>
      </c>
      <c r="CK111">
        <v>2.6926800000000002</v>
      </c>
      <c r="CL111">
        <v>9.6984299999999996E-2</v>
      </c>
      <c r="CM111">
        <v>9.6027100000000004E-2</v>
      </c>
      <c r="CN111">
        <v>8.6730000000000002E-2</v>
      </c>
      <c r="CO111">
        <v>8.6164900000000003E-2</v>
      </c>
      <c r="CP111">
        <v>31655.599999999999</v>
      </c>
      <c r="CQ111">
        <v>27811.5</v>
      </c>
      <c r="CR111">
        <v>32445.3</v>
      </c>
      <c r="CS111">
        <v>30693.1</v>
      </c>
      <c r="CT111">
        <v>40124.9</v>
      </c>
      <c r="CU111">
        <v>39437.199999999997</v>
      </c>
      <c r="CV111">
        <v>47385.2</v>
      </c>
      <c r="CW111">
        <v>46807.9</v>
      </c>
      <c r="CX111">
        <v>2.5037799999999999</v>
      </c>
      <c r="CY111">
        <v>2.3148200000000001</v>
      </c>
      <c r="CZ111">
        <v>0</v>
      </c>
      <c r="DA111">
        <v>0</v>
      </c>
      <c r="DB111">
        <v>999.9</v>
      </c>
      <c r="DC111">
        <v>999.9</v>
      </c>
      <c r="DD111">
        <v>59.816000000000003</v>
      </c>
      <c r="DE111">
        <v>25.518999999999998</v>
      </c>
      <c r="DF111">
        <v>19.797899999999998</v>
      </c>
      <c r="DG111">
        <v>30.03</v>
      </c>
      <c r="DH111">
        <v>13.153</v>
      </c>
      <c r="DI111">
        <v>2</v>
      </c>
      <c r="DJ111">
        <v>-0.11486200000000001</v>
      </c>
      <c r="DK111">
        <v>2.6956199999999999</v>
      </c>
      <c r="DL111">
        <v>20.180599999999998</v>
      </c>
      <c r="DM111">
        <v>5.2492799999999997</v>
      </c>
      <c r="DN111">
        <v>12.033899999999999</v>
      </c>
      <c r="DO111">
        <v>4.96692</v>
      </c>
      <c r="DP111">
        <v>3.2909999999999999</v>
      </c>
      <c r="DQ111">
        <v>9999</v>
      </c>
      <c r="DR111">
        <v>9999</v>
      </c>
      <c r="DS111">
        <v>523.1</v>
      </c>
      <c r="DT111">
        <v>9999</v>
      </c>
      <c r="DU111">
        <v>1.8709800000000001</v>
      </c>
      <c r="DV111">
        <v>1.8760399999999999</v>
      </c>
      <c r="DW111">
        <v>1.8762399999999999</v>
      </c>
      <c r="DX111">
        <v>1.8827700000000001</v>
      </c>
      <c r="DY111">
        <v>1.87551</v>
      </c>
      <c r="DZ111">
        <v>1.87456</v>
      </c>
      <c r="EA111">
        <v>1.87073</v>
      </c>
      <c r="EB111">
        <v>1.8745499999999999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-0.83899999999999997</v>
      </c>
      <c r="EQ111">
        <v>0.1265</v>
      </c>
      <c r="ER111">
        <v>-0.83918181818182802</v>
      </c>
      <c r="ES111">
        <v>0</v>
      </c>
      <c r="ET111">
        <v>0</v>
      </c>
      <c r="EU111">
        <v>0</v>
      </c>
      <c r="EV111">
        <v>0.12659000000000201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1.5</v>
      </c>
      <c r="FE111">
        <v>1.6</v>
      </c>
      <c r="FF111">
        <v>0.90820299999999998</v>
      </c>
      <c r="FG111">
        <v>2.5659200000000002</v>
      </c>
      <c r="FH111">
        <v>2.19604</v>
      </c>
      <c r="FI111">
        <v>2.67578</v>
      </c>
      <c r="FJ111">
        <v>2.4462899999999999</v>
      </c>
      <c r="FK111">
        <v>2.2839399999999999</v>
      </c>
      <c r="FL111">
        <v>31.1722</v>
      </c>
      <c r="FM111">
        <v>24.14</v>
      </c>
      <c r="FN111">
        <v>19</v>
      </c>
      <c r="FO111">
        <v>760.30799999999999</v>
      </c>
      <c r="FP111">
        <v>732.75400000000002</v>
      </c>
      <c r="FQ111">
        <v>17.687200000000001</v>
      </c>
      <c r="FR111">
        <v>25.532800000000002</v>
      </c>
      <c r="FS111">
        <v>30.0002</v>
      </c>
      <c r="FT111">
        <v>25.533000000000001</v>
      </c>
      <c r="FU111">
        <v>25.5322</v>
      </c>
      <c r="FV111">
        <v>18.221299999999999</v>
      </c>
      <c r="FW111">
        <v>59.9711</v>
      </c>
      <c r="FX111">
        <v>98.140799999999999</v>
      </c>
      <c r="FY111">
        <v>17.681799999999999</v>
      </c>
      <c r="FZ111">
        <v>410</v>
      </c>
      <c r="GA111">
        <v>15.5566</v>
      </c>
      <c r="GB111">
        <v>99.846000000000004</v>
      </c>
      <c r="GC111">
        <v>99.644099999999995</v>
      </c>
    </row>
    <row r="112" spans="1:185" x14ac:dyDescent="0.2">
      <c r="A112">
        <v>97</v>
      </c>
      <c r="B112">
        <v>1768580665.0999999</v>
      </c>
      <c r="C112">
        <v>2272.0999999046298</v>
      </c>
      <c r="D112" t="s">
        <v>490</v>
      </c>
      <c r="E112" t="s">
        <v>491</v>
      </c>
      <c r="F112">
        <v>15</v>
      </c>
      <c r="G112">
        <v>1768580657.03333</v>
      </c>
      <c r="H112">
        <f t="shared" ref="H112:H118" si="38">AF112*Q112*(AB112-AC112)/(1000*X112*(1000-Q112*AB112))</f>
        <v>-4.6432074916242838E-5</v>
      </c>
      <c r="I112">
        <v>0</v>
      </c>
      <c r="J112">
        <f t="shared" si="37"/>
        <v>8.4914818040340567E-2</v>
      </c>
      <c r="K112">
        <f t="shared" ref="K112:K118" si="39">AF112*Q112*(AA112-Z112*(1000-Q112*AC112)/(1000-Q112*AB112))/(1000*X112)</f>
        <v>2.2238912036150014</v>
      </c>
      <c r="L112">
        <f t="shared" ref="L112:L118" si="40">(M112/N112*100)</f>
        <v>69.890940691302987</v>
      </c>
      <c r="M112">
        <f t="shared" ref="M112:M118" si="41">AB112*(AG112+AH112)/1000</f>
        <v>1.5415150633712609</v>
      </c>
      <c r="N112">
        <f t="shared" ref="N112:N118" si="42">0.61365*EXP(17.502*AI112/(240.97+AI112))</f>
        <v>2.2056006803226249</v>
      </c>
      <c r="O112">
        <v>0</v>
      </c>
      <c r="P112">
        <v>0</v>
      </c>
      <c r="Q112">
        <f t="shared" ref="Q112:Q118" si="43">IF(O112*$H$13&gt;=S112,1,(S112/(S112-O112*$H$13)))</f>
        <v>1</v>
      </c>
      <c r="R112">
        <f t="shared" ref="R112:R118" si="44">(Q112-1)*100</f>
        <v>0</v>
      </c>
      <c r="S112">
        <f t="shared" ref="S112:S118" si="45">MAX(0,($B$13+$C$13*AN112)/(1+$D$13*AN112)*AG112/(AI112+273)*$E$13)</f>
        <v>25908.247859476411</v>
      </c>
      <c r="T112">
        <f t="shared" ref="T112:T118" si="46">$B$11*AO112+$C$11*AP112+$D$11*BA112</f>
        <v>999.99846666666701</v>
      </c>
      <c r="U112">
        <f t="shared" ref="U112:U118" si="47">T112*V112</f>
        <v>842.99904739947885</v>
      </c>
      <c r="V112">
        <f t="shared" ref="V112:V118" si="48">($B$11*$D$9+$C$11*$D$9+$D$11*(BB112*$E$9+BC112*$F$9+BD112*$G$9+BE112*$H$9))/($B$11+$C$11+$D$11)</f>
        <v>0.8430003399999999</v>
      </c>
      <c r="W112">
        <f t="shared" ref="W112:W118" si="49">($B$11*$L$9+$C$11*$L$9+$D$11*(BB112*$M$9+BC112*$N$9+BD112*$O$9+BE112*$P$9))/($B$11+$C$11+$D$11)</f>
        <v>0.15870084999999998</v>
      </c>
      <c r="X112">
        <v>1</v>
      </c>
      <c r="Y112">
        <v>1768580657.03333</v>
      </c>
      <c r="Z112">
        <v>411.78253333333299</v>
      </c>
      <c r="AA112">
        <v>414.93220000000002</v>
      </c>
      <c r="AB112">
        <v>15.549146666666701</v>
      </c>
      <c r="AC112">
        <v>15.6144466666667</v>
      </c>
      <c r="AD112">
        <v>412.6216</v>
      </c>
      <c r="AE112">
        <v>15.422553333333299</v>
      </c>
      <c r="AF112">
        <v>700.00146666666706</v>
      </c>
      <c r="AG112">
        <v>99.083306666666701</v>
      </c>
      <c r="AH112">
        <v>5.493522E-2</v>
      </c>
      <c r="AI112">
        <v>19.003053333333298</v>
      </c>
      <c r="AJ112">
        <v>999.9</v>
      </c>
      <c r="AK112">
        <v>999.9</v>
      </c>
      <c r="AL112">
        <v>0</v>
      </c>
      <c r="AM112">
        <v>0</v>
      </c>
      <c r="AN112">
        <v>4987.8</v>
      </c>
      <c r="AO112">
        <v>0</v>
      </c>
      <c r="AP112">
        <v>2.3397693333333298</v>
      </c>
      <c r="AQ112">
        <v>-3.1495929333333299</v>
      </c>
      <c r="AR112">
        <v>418.28666666666697</v>
      </c>
      <c r="AS112">
        <v>421.513933333333</v>
      </c>
      <c r="AT112">
        <v>-6.5285626666666693E-2</v>
      </c>
      <c r="AU112">
        <v>414.93220000000002</v>
      </c>
      <c r="AV112">
        <v>15.6144466666667</v>
      </c>
      <c r="AW112">
        <v>1.540662</v>
      </c>
      <c r="AX112">
        <v>1.5471313333333301</v>
      </c>
      <c r="AY112">
        <v>13.37778</v>
      </c>
      <c r="AZ112">
        <v>13.442066666666699</v>
      </c>
      <c r="BA112">
        <v>999.99846666666701</v>
      </c>
      <c r="BB112">
        <v>0.89998866666666699</v>
      </c>
      <c r="BC112">
        <v>0</v>
      </c>
      <c r="BD112">
        <v>0.10001133333333299</v>
      </c>
      <c r="BE112">
        <v>0</v>
      </c>
      <c r="BF112">
        <v>26</v>
      </c>
      <c r="BG112">
        <v>16488.706666666701</v>
      </c>
      <c r="BH112">
        <v>1768580558.0999999</v>
      </c>
      <c r="BI112" t="s">
        <v>475</v>
      </c>
      <c r="BJ112">
        <v>1768580558.0999999</v>
      </c>
      <c r="BK112">
        <v>1768580555.0999999</v>
      </c>
      <c r="BL112">
        <v>4</v>
      </c>
      <c r="BM112">
        <v>3.3000000000000002E-2</v>
      </c>
      <c r="BN112">
        <v>-7.0000000000000001E-3</v>
      </c>
      <c r="BO112">
        <v>-0.83899999999999997</v>
      </c>
      <c r="BP112">
        <v>0.127</v>
      </c>
      <c r="BQ112">
        <v>422</v>
      </c>
      <c r="BR112">
        <v>16</v>
      </c>
      <c r="BS112">
        <v>0.27</v>
      </c>
      <c r="BT112">
        <v>0.05</v>
      </c>
      <c r="BU112">
        <v>-3.0281842000000001</v>
      </c>
      <c r="BV112">
        <v>3.0597316691729302</v>
      </c>
      <c r="BW112">
        <v>2.0923919429392699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-6.4452839999999997E-2</v>
      </c>
      <c r="CD112">
        <v>-2.07213924812031E-2</v>
      </c>
      <c r="CE112">
        <v>2.0052055164994898E-3</v>
      </c>
      <c r="CF112">
        <v>1</v>
      </c>
      <c r="CG112">
        <v>1</v>
      </c>
      <c r="CH112">
        <v>2</v>
      </c>
      <c r="CI112" t="s">
        <v>303</v>
      </c>
      <c r="CJ112">
        <v>3.3498000000000001</v>
      </c>
      <c r="CK112">
        <v>2.6927699999999999</v>
      </c>
      <c r="CL112">
        <v>9.7597900000000001E-2</v>
      </c>
      <c r="CM112">
        <v>9.5213699999999998E-2</v>
      </c>
      <c r="CN112">
        <v>8.6740600000000001E-2</v>
      </c>
      <c r="CO112">
        <v>8.6194599999999996E-2</v>
      </c>
      <c r="CP112">
        <v>31634.1</v>
      </c>
      <c r="CQ112">
        <v>27837</v>
      </c>
      <c r="CR112">
        <v>32445.3</v>
      </c>
      <c r="CS112">
        <v>30693.599999999999</v>
      </c>
      <c r="CT112">
        <v>40124.400000000001</v>
      </c>
      <c r="CU112">
        <v>39436.6</v>
      </c>
      <c r="CV112">
        <v>47385</v>
      </c>
      <c r="CW112">
        <v>46808.800000000003</v>
      </c>
      <c r="CX112">
        <v>2.5038200000000002</v>
      </c>
      <c r="CY112">
        <v>2.3146200000000001</v>
      </c>
      <c r="CZ112">
        <v>0</v>
      </c>
      <c r="DA112">
        <v>0</v>
      </c>
      <c r="DB112">
        <v>999.9</v>
      </c>
      <c r="DC112">
        <v>999.9</v>
      </c>
      <c r="DD112">
        <v>59.767000000000003</v>
      </c>
      <c r="DE112">
        <v>25.548999999999999</v>
      </c>
      <c r="DF112">
        <v>19.816800000000001</v>
      </c>
      <c r="DG112">
        <v>30.33</v>
      </c>
      <c r="DH112">
        <v>13.105</v>
      </c>
      <c r="DI112">
        <v>2</v>
      </c>
      <c r="DJ112">
        <v>-0.114457</v>
      </c>
      <c r="DK112">
        <v>2.7188400000000001</v>
      </c>
      <c r="DL112">
        <v>20.180199999999999</v>
      </c>
      <c r="DM112">
        <v>5.25</v>
      </c>
      <c r="DN112">
        <v>12.033899999999999</v>
      </c>
      <c r="DO112">
        <v>4.9669999999999996</v>
      </c>
      <c r="DP112">
        <v>3.2909999999999999</v>
      </c>
      <c r="DQ112">
        <v>9999</v>
      </c>
      <c r="DR112">
        <v>9999</v>
      </c>
      <c r="DS112">
        <v>523.1</v>
      </c>
      <c r="DT112">
        <v>9999</v>
      </c>
      <c r="DU112">
        <v>1.87096</v>
      </c>
      <c r="DV112">
        <v>1.8760399999999999</v>
      </c>
      <c r="DW112">
        <v>1.87622</v>
      </c>
      <c r="DX112">
        <v>1.8827499999999999</v>
      </c>
      <c r="DY112">
        <v>1.87548</v>
      </c>
      <c r="DZ112">
        <v>1.8745400000000001</v>
      </c>
      <c r="EA112">
        <v>1.87073</v>
      </c>
      <c r="EB112">
        <v>1.8745499999999999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-0.83899999999999997</v>
      </c>
      <c r="EQ112">
        <v>0.12659999999999999</v>
      </c>
      <c r="ER112">
        <v>-0.83918181818182802</v>
      </c>
      <c r="ES112">
        <v>0</v>
      </c>
      <c r="ET112">
        <v>0</v>
      </c>
      <c r="EU112">
        <v>0</v>
      </c>
      <c r="EV112">
        <v>0.12659000000000201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1.8</v>
      </c>
      <c r="FE112">
        <v>1.8</v>
      </c>
      <c r="FF112">
        <v>0.88500999999999996</v>
      </c>
      <c r="FG112">
        <v>2.5732400000000002</v>
      </c>
      <c r="FH112">
        <v>2.19604</v>
      </c>
      <c r="FI112">
        <v>2.67456</v>
      </c>
      <c r="FJ112">
        <v>2.4462899999999999</v>
      </c>
      <c r="FK112">
        <v>2.2888199999999999</v>
      </c>
      <c r="FL112">
        <v>31.1722</v>
      </c>
      <c r="FM112">
        <v>24.14</v>
      </c>
      <c r="FN112">
        <v>19</v>
      </c>
      <c r="FO112">
        <v>760.38900000000001</v>
      </c>
      <c r="FP112">
        <v>732.62900000000002</v>
      </c>
      <c r="FQ112">
        <v>17.677399999999999</v>
      </c>
      <c r="FR112">
        <v>25.536200000000001</v>
      </c>
      <c r="FS112">
        <v>30.0001</v>
      </c>
      <c r="FT112">
        <v>25.5365</v>
      </c>
      <c r="FU112">
        <v>25.5365</v>
      </c>
      <c r="FV112">
        <v>17.791699999999999</v>
      </c>
      <c r="FW112">
        <v>59.9711</v>
      </c>
      <c r="FX112">
        <v>97.767200000000003</v>
      </c>
      <c r="FY112">
        <v>17.672799999999999</v>
      </c>
      <c r="FZ112">
        <v>410</v>
      </c>
      <c r="GA112">
        <v>15.5566</v>
      </c>
      <c r="GB112">
        <v>99.845699999999994</v>
      </c>
      <c r="GC112">
        <v>99.645899999999997</v>
      </c>
    </row>
    <row r="113" spans="1:185" x14ac:dyDescent="0.2">
      <c r="A113">
        <v>98</v>
      </c>
      <c r="B113">
        <v>1768580680.0999999</v>
      </c>
      <c r="C113">
        <v>2287.0999999046298</v>
      </c>
      <c r="D113" t="s">
        <v>492</v>
      </c>
      <c r="E113" t="s">
        <v>493</v>
      </c>
      <c r="F113">
        <v>15</v>
      </c>
      <c r="G113">
        <v>1768580672.03333</v>
      </c>
      <c r="H113">
        <f t="shared" si="38"/>
        <v>-4.6896691689242429E-5</v>
      </c>
      <c r="I113">
        <v>0</v>
      </c>
      <c r="J113">
        <f t="shared" si="37"/>
        <v>-0.11451440516692547</v>
      </c>
      <c r="K113">
        <f t="shared" si="39"/>
        <v>-2.9990946717561666</v>
      </c>
      <c r="L113">
        <f t="shared" si="40"/>
        <v>69.910235103689729</v>
      </c>
      <c r="M113">
        <f t="shared" si="41"/>
        <v>1.541818747660977</v>
      </c>
      <c r="N113">
        <f t="shared" si="42"/>
        <v>2.2054263519128154</v>
      </c>
      <c r="O113">
        <v>0</v>
      </c>
      <c r="P113">
        <v>0</v>
      </c>
      <c r="Q113">
        <f t="shared" si="43"/>
        <v>1</v>
      </c>
      <c r="R113">
        <f t="shared" si="44"/>
        <v>0</v>
      </c>
      <c r="S113">
        <f t="shared" si="45"/>
        <v>26046.581799026273</v>
      </c>
      <c r="T113">
        <f t="shared" si="46"/>
        <v>999.99773333333303</v>
      </c>
      <c r="U113">
        <f t="shared" si="47"/>
        <v>842.99854719896234</v>
      </c>
      <c r="V113">
        <f t="shared" si="48"/>
        <v>0.84300045800000079</v>
      </c>
      <c r="W113">
        <f t="shared" si="49"/>
        <v>0.15870114500000015</v>
      </c>
      <c r="X113">
        <v>1</v>
      </c>
      <c r="Y113">
        <v>1768580672.03333</v>
      </c>
      <c r="Z113">
        <v>410.6798</v>
      </c>
      <c r="AA113">
        <v>406.367866666667</v>
      </c>
      <c r="AB113">
        <v>15.5521666666667</v>
      </c>
      <c r="AC113">
        <v>15.618119999999999</v>
      </c>
      <c r="AD113">
        <v>411.51906666666702</v>
      </c>
      <c r="AE113">
        <v>15.4255666666667</v>
      </c>
      <c r="AF113">
        <v>700.00019999999995</v>
      </c>
      <c r="AG113">
        <v>99.083473333333302</v>
      </c>
      <c r="AH113">
        <v>5.5044193333333297E-2</v>
      </c>
      <c r="AI113">
        <v>19.0017866666667</v>
      </c>
      <c r="AJ113">
        <v>999.9</v>
      </c>
      <c r="AK113">
        <v>999.9</v>
      </c>
      <c r="AL113">
        <v>0</v>
      </c>
      <c r="AM113">
        <v>0</v>
      </c>
      <c r="AN113">
        <v>5010.8</v>
      </c>
      <c r="AO113">
        <v>0</v>
      </c>
      <c r="AP113">
        <v>2.3347259999999999</v>
      </c>
      <c r="AQ113">
        <v>4.3120600666666702</v>
      </c>
      <c r="AR113">
        <v>417.167666666667</v>
      </c>
      <c r="AS113">
        <v>412.8152</v>
      </c>
      <c r="AT113">
        <v>-6.5953059999999994E-2</v>
      </c>
      <c r="AU113">
        <v>406.367866666667</v>
      </c>
      <c r="AV113">
        <v>15.618119999999999</v>
      </c>
      <c r="AW113">
        <v>1.54096266666667</v>
      </c>
      <c r="AX113">
        <v>1.5474966666666701</v>
      </c>
      <c r="AY113">
        <v>13.380786666666699</v>
      </c>
      <c r="AZ113">
        <v>13.4457066666667</v>
      </c>
      <c r="BA113">
        <v>999.99773333333303</v>
      </c>
      <c r="BB113">
        <v>0.89998473333333395</v>
      </c>
      <c r="BC113">
        <v>0</v>
      </c>
      <c r="BD113">
        <v>0.100015266666667</v>
      </c>
      <c r="BE113">
        <v>0</v>
      </c>
      <c r="BF113">
        <v>26</v>
      </c>
      <c r="BG113">
        <v>16488.686666666701</v>
      </c>
      <c r="BH113">
        <v>1768580558.0999999</v>
      </c>
      <c r="BI113" t="s">
        <v>475</v>
      </c>
      <c r="BJ113">
        <v>1768580558.0999999</v>
      </c>
      <c r="BK113">
        <v>1768580555.0999999</v>
      </c>
      <c r="BL113">
        <v>4</v>
      </c>
      <c r="BM113">
        <v>3.3000000000000002E-2</v>
      </c>
      <c r="BN113">
        <v>-7.0000000000000001E-3</v>
      </c>
      <c r="BO113">
        <v>-0.83899999999999997</v>
      </c>
      <c r="BP113">
        <v>0.127</v>
      </c>
      <c r="BQ113">
        <v>422</v>
      </c>
      <c r="BR113">
        <v>16</v>
      </c>
      <c r="BS113">
        <v>0.27</v>
      </c>
      <c r="BT113">
        <v>0.05</v>
      </c>
      <c r="BU113">
        <v>2.5217527142857099</v>
      </c>
      <c r="BV113">
        <v>14.964799168831201</v>
      </c>
      <c r="BW113">
        <v>4.1119162953672097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-6.6221280952380904E-2</v>
      </c>
      <c r="CD113">
        <v>1.42459714285714E-2</v>
      </c>
      <c r="CE113">
        <v>2.2798585437779199E-3</v>
      </c>
      <c r="CF113">
        <v>1</v>
      </c>
      <c r="CG113">
        <v>1</v>
      </c>
      <c r="CH113">
        <v>2</v>
      </c>
      <c r="CI113" t="s">
        <v>303</v>
      </c>
      <c r="CJ113">
        <v>3.3498399999999999</v>
      </c>
      <c r="CK113">
        <v>2.6929500000000002</v>
      </c>
      <c r="CL113">
        <v>9.6768400000000004E-2</v>
      </c>
      <c r="CM113">
        <v>9.5366300000000001E-2</v>
      </c>
      <c r="CN113">
        <v>8.6750800000000003E-2</v>
      </c>
      <c r="CO113">
        <v>8.6183200000000001E-2</v>
      </c>
      <c r="CP113">
        <v>31661.8</v>
      </c>
      <c r="CQ113">
        <v>27832</v>
      </c>
      <c r="CR113">
        <v>32443.9</v>
      </c>
      <c r="CS113">
        <v>30693.200000000001</v>
      </c>
      <c r="CT113">
        <v>40122</v>
      </c>
      <c r="CU113">
        <v>39436.699999999997</v>
      </c>
      <c r="CV113">
        <v>47382.8</v>
      </c>
      <c r="CW113">
        <v>46808.3</v>
      </c>
      <c r="CX113">
        <v>2.5037799999999999</v>
      </c>
      <c r="CY113">
        <v>2.3145600000000002</v>
      </c>
      <c r="CZ113">
        <v>0</v>
      </c>
      <c r="DA113">
        <v>0</v>
      </c>
      <c r="DB113">
        <v>999.9</v>
      </c>
      <c r="DC113">
        <v>999.9</v>
      </c>
      <c r="DD113">
        <v>59.755000000000003</v>
      </c>
      <c r="DE113">
        <v>25.559000000000001</v>
      </c>
      <c r="DF113">
        <v>19.824300000000001</v>
      </c>
      <c r="DG113">
        <v>30.27</v>
      </c>
      <c r="DH113">
        <v>13.137</v>
      </c>
      <c r="DI113">
        <v>2</v>
      </c>
      <c r="DJ113">
        <v>-0.114026</v>
      </c>
      <c r="DK113">
        <v>2.7240099999999998</v>
      </c>
      <c r="DL113">
        <v>20.180199999999999</v>
      </c>
      <c r="DM113">
        <v>5.25</v>
      </c>
      <c r="DN113">
        <v>12.033899999999999</v>
      </c>
      <c r="DO113">
        <v>4.9671599999999998</v>
      </c>
      <c r="DP113">
        <v>3.2909999999999999</v>
      </c>
      <c r="DQ113">
        <v>9999</v>
      </c>
      <c r="DR113">
        <v>9999</v>
      </c>
      <c r="DS113">
        <v>523.1</v>
      </c>
      <c r="DT113">
        <v>9999</v>
      </c>
      <c r="DU113">
        <v>1.8709499999999999</v>
      </c>
      <c r="DV113">
        <v>1.87602</v>
      </c>
      <c r="DW113">
        <v>1.87622</v>
      </c>
      <c r="DX113">
        <v>1.8827799999999999</v>
      </c>
      <c r="DY113">
        <v>1.8755299999999999</v>
      </c>
      <c r="DZ113">
        <v>1.8745700000000001</v>
      </c>
      <c r="EA113">
        <v>1.8707400000000001</v>
      </c>
      <c r="EB113">
        <v>1.8745499999999999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-0.83899999999999997</v>
      </c>
      <c r="EQ113">
        <v>0.12659999999999999</v>
      </c>
      <c r="ER113">
        <v>-0.83918181818182802</v>
      </c>
      <c r="ES113">
        <v>0</v>
      </c>
      <c r="ET113">
        <v>0</v>
      </c>
      <c r="EU113">
        <v>0</v>
      </c>
      <c r="EV113">
        <v>0.12659000000000201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2</v>
      </c>
      <c r="FE113">
        <v>2.1</v>
      </c>
      <c r="FF113">
        <v>0.90576199999999996</v>
      </c>
      <c r="FG113">
        <v>2.5732400000000002</v>
      </c>
      <c r="FH113">
        <v>2.19604</v>
      </c>
      <c r="FI113">
        <v>2.67456</v>
      </c>
      <c r="FJ113">
        <v>2.4462899999999999</v>
      </c>
      <c r="FK113">
        <v>2.2619600000000002</v>
      </c>
      <c r="FL113">
        <v>31.193899999999999</v>
      </c>
      <c r="FM113">
        <v>24.1313</v>
      </c>
      <c r="FN113">
        <v>19</v>
      </c>
      <c r="FO113">
        <v>760.42200000000003</v>
      </c>
      <c r="FP113">
        <v>732.64499999999998</v>
      </c>
      <c r="FQ113">
        <v>17.668399999999998</v>
      </c>
      <c r="FR113">
        <v>25.541399999999999</v>
      </c>
      <c r="FS113">
        <v>30.000299999999999</v>
      </c>
      <c r="FT113">
        <v>25.5412</v>
      </c>
      <c r="FU113">
        <v>25.541599999999999</v>
      </c>
      <c r="FV113">
        <v>18.1859</v>
      </c>
      <c r="FW113">
        <v>60.242400000000004</v>
      </c>
      <c r="FX113">
        <v>97.767200000000003</v>
      </c>
      <c r="FY113">
        <v>17.6675</v>
      </c>
      <c r="FZ113">
        <v>410</v>
      </c>
      <c r="GA113">
        <v>15.5566</v>
      </c>
      <c r="GB113">
        <v>99.841300000000004</v>
      </c>
      <c r="GC113">
        <v>99.644800000000004</v>
      </c>
    </row>
    <row r="114" spans="1:185" x14ac:dyDescent="0.2">
      <c r="A114">
        <v>99</v>
      </c>
      <c r="B114">
        <v>1768580695.0999999</v>
      </c>
      <c r="C114">
        <v>2302.0999999046298</v>
      </c>
      <c r="D114" t="s">
        <v>494</v>
      </c>
      <c r="E114" t="s">
        <v>495</v>
      </c>
      <c r="F114">
        <v>15</v>
      </c>
      <c r="G114">
        <v>1768580687.03333</v>
      </c>
      <c r="H114">
        <f t="shared" si="38"/>
        <v>-4.5673988967447209E-5</v>
      </c>
      <c r="I114">
        <v>0</v>
      </c>
      <c r="J114">
        <f t="shared" si="37"/>
        <v>2.0991425350705604E-3</v>
      </c>
      <c r="K114">
        <f t="shared" si="39"/>
        <v>5.4975853762764426E-2</v>
      </c>
      <c r="L114">
        <f t="shared" si="40"/>
        <v>69.934067978789443</v>
      </c>
      <c r="M114">
        <f t="shared" si="41"/>
        <v>1.5421005596155295</v>
      </c>
      <c r="N114">
        <f t="shared" si="42"/>
        <v>2.2050777313329446</v>
      </c>
      <c r="O114">
        <v>0</v>
      </c>
      <c r="P114">
        <v>0</v>
      </c>
      <c r="Q114">
        <f t="shared" si="43"/>
        <v>1</v>
      </c>
      <c r="R114">
        <f t="shared" si="44"/>
        <v>0</v>
      </c>
      <c r="S114">
        <f t="shared" si="45"/>
        <v>26007.205345217837</v>
      </c>
      <c r="T114">
        <f t="shared" si="46"/>
        <v>999.99760000000003</v>
      </c>
      <c r="U114">
        <f t="shared" si="47"/>
        <v>842.99834479911681</v>
      </c>
      <c r="V114">
        <f t="shared" si="48"/>
        <v>0.843000368</v>
      </c>
      <c r="W114">
        <f t="shared" si="49"/>
        <v>0.15870092000000002</v>
      </c>
      <c r="X114">
        <v>1</v>
      </c>
      <c r="Y114">
        <v>1768580687.03333</v>
      </c>
      <c r="Z114">
        <v>408.74506666666701</v>
      </c>
      <c r="AA114">
        <v>408.79693333333302</v>
      </c>
      <c r="AB114">
        <v>15.5547133333333</v>
      </c>
      <c r="AC114">
        <v>15.6189466666667</v>
      </c>
      <c r="AD114">
        <v>409.58420000000001</v>
      </c>
      <c r="AE114">
        <v>15.428126666666699</v>
      </c>
      <c r="AF114">
        <v>700.00326666666695</v>
      </c>
      <c r="AG114">
        <v>99.085146666666603</v>
      </c>
      <c r="AH114">
        <v>5.5257053333333299E-2</v>
      </c>
      <c r="AI114">
        <v>18.9992533333333</v>
      </c>
      <c r="AJ114">
        <v>999.9</v>
      </c>
      <c r="AK114">
        <v>999.9</v>
      </c>
      <c r="AL114">
        <v>0</v>
      </c>
      <c r="AM114">
        <v>0</v>
      </c>
      <c r="AN114">
        <v>5004.1333333333296</v>
      </c>
      <c r="AO114">
        <v>0</v>
      </c>
      <c r="AP114">
        <v>2.35806133333333</v>
      </c>
      <c r="AQ114">
        <v>-5.1969666666666699E-2</v>
      </c>
      <c r="AR114">
        <v>415.20333333333298</v>
      </c>
      <c r="AS114">
        <v>415.28320000000002</v>
      </c>
      <c r="AT114">
        <v>-6.4233653333333293E-2</v>
      </c>
      <c r="AU114">
        <v>408.79693333333302</v>
      </c>
      <c r="AV114">
        <v>15.6189466666667</v>
      </c>
      <c r="AW114">
        <v>1.54124066666667</v>
      </c>
      <c r="AX114">
        <v>1.5476053333333299</v>
      </c>
      <c r="AY114">
        <v>13.383566666666701</v>
      </c>
      <c r="AZ114">
        <v>13.4467866666667</v>
      </c>
      <c r="BA114">
        <v>999.99760000000003</v>
      </c>
      <c r="BB114">
        <v>0.89998773333333304</v>
      </c>
      <c r="BC114">
        <v>0</v>
      </c>
      <c r="BD114">
        <v>0.100012266666667</v>
      </c>
      <c r="BE114">
        <v>0</v>
      </c>
      <c r="BF114">
        <v>26</v>
      </c>
      <c r="BG114">
        <v>16488.68</v>
      </c>
      <c r="BH114">
        <v>1768580558.0999999</v>
      </c>
      <c r="BI114" t="s">
        <v>475</v>
      </c>
      <c r="BJ114">
        <v>1768580558.0999999</v>
      </c>
      <c r="BK114">
        <v>1768580555.0999999</v>
      </c>
      <c r="BL114">
        <v>4</v>
      </c>
      <c r="BM114">
        <v>3.3000000000000002E-2</v>
      </c>
      <c r="BN114">
        <v>-7.0000000000000001E-3</v>
      </c>
      <c r="BO114">
        <v>-0.83899999999999997</v>
      </c>
      <c r="BP114">
        <v>0.127</v>
      </c>
      <c r="BQ114">
        <v>422</v>
      </c>
      <c r="BR114">
        <v>16</v>
      </c>
      <c r="BS114">
        <v>0.27</v>
      </c>
      <c r="BT114">
        <v>0.05</v>
      </c>
      <c r="BU114">
        <v>0.3077529</v>
      </c>
      <c r="BV114">
        <v>-8.4820041203007506</v>
      </c>
      <c r="BW114">
        <v>0.88695511841382901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-6.3816789999999998E-2</v>
      </c>
      <c r="CD114">
        <v>-1.1364469172932301E-2</v>
      </c>
      <c r="CE114">
        <v>1.2507190907234101E-3</v>
      </c>
      <c r="CF114">
        <v>1</v>
      </c>
      <c r="CG114">
        <v>1</v>
      </c>
      <c r="CH114">
        <v>2</v>
      </c>
      <c r="CI114" t="s">
        <v>303</v>
      </c>
      <c r="CJ114">
        <v>3.3499099999999999</v>
      </c>
      <c r="CK114">
        <v>2.6928800000000002</v>
      </c>
      <c r="CL114">
        <v>9.6781699999999998E-2</v>
      </c>
      <c r="CM114">
        <v>9.5678899999999997E-2</v>
      </c>
      <c r="CN114">
        <v>8.6772500000000002E-2</v>
      </c>
      <c r="CO114">
        <v>8.6206500000000005E-2</v>
      </c>
      <c r="CP114">
        <v>31661.4</v>
      </c>
      <c r="CQ114">
        <v>27822.2</v>
      </c>
      <c r="CR114">
        <v>32444</v>
      </c>
      <c r="CS114">
        <v>30693.1</v>
      </c>
      <c r="CT114">
        <v>40121.199999999997</v>
      </c>
      <c r="CU114">
        <v>39435.599999999999</v>
      </c>
      <c r="CV114">
        <v>47383</v>
      </c>
      <c r="CW114">
        <v>46808.2</v>
      </c>
      <c r="CX114">
        <v>2.5038399999999998</v>
      </c>
      <c r="CY114">
        <v>2.3144</v>
      </c>
      <c r="CZ114">
        <v>0</v>
      </c>
      <c r="DA114">
        <v>0</v>
      </c>
      <c r="DB114">
        <v>999.9</v>
      </c>
      <c r="DC114">
        <v>999.9</v>
      </c>
      <c r="DD114">
        <v>59.73</v>
      </c>
      <c r="DE114">
        <v>25.559000000000001</v>
      </c>
      <c r="DF114">
        <v>19.817799999999998</v>
      </c>
      <c r="DG114">
        <v>30.3</v>
      </c>
      <c r="DH114">
        <v>13.121</v>
      </c>
      <c r="DI114">
        <v>2</v>
      </c>
      <c r="DJ114">
        <v>-0.114035</v>
      </c>
      <c r="DK114">
        <v>2.6323799999999999</v>
      </c>
      <c r="DL114">
        <v>20.181699999999999</v>
      </c>
      <c r="DM114">
        <v>5.25047</v>
      </c>
      <c r="DN114">
        <v>12.033899999999999</v>
      </c>
      <c r="DO114">
        <v>4.9674399999999999</v>
      </c>
      <c r="DP114">
        <v>3.2909999999999999</v>
      </c>
      <c r="DQ114">
        <v>9999</v>
      </c>
      <c r="DR114">
        <v>9999</v>
      </c>
      <c r="DS114">
        <v>523.1</v>
      </c>
      <c r="DT114">
        <v>9999</v>
      </c>
      <c r="DU114">
        <v>1.87096</v>
      </c>
      <c r="DV114">
        <v>1.8760300000000001</v>
      </c>
      <c r="DW114">
        <v>1.87622</v>
      </c>
      <c r="DX114">
        <v>1.88276</v>
      </c>
      <c r="DY114">
        <v>1.87548</v>
      </c>
      <c r="DZ114">
        <v>1.87456</v>
      </c>
      <c r="EA114">
        <v>1.87073</v>
      </c>
      <c r="EB114">
        <v>1.8745400000000001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-0.84</v>
      </c>
      <c r="EQ114">
        <v>0.12659999999999999</v>
      </c>
      <c r="ER114">
        <v>-0.83918181818182802</v>
      </c>
      <c r="ES114">
        <v>0</v>
      </c>
      <c r="ET114">
        <v>0</v>
      </c>
      <c r="EU114">
        <v>0</v>
      </c>
      <c r="EV114">
        <v>0.12659000000000201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2.2999999999999998</v>
      </c>
      <c r="FE114">
        <v>2.2999999999999998</v>
      </c>
      <c r="FF114">
        <v>0.91064500000000004</v>
      </c>
      <c r="FG114">
        <v>2.5708000000000002</v>
      </c>
      <c r="FH114">
        <v>2.19604</v>
      </c>
      <c r="FI114">
        <v>2.67456</v>
      </c>
      <c r="FJ114">
        <v>2.4462899999999999</v>
      </c>
      <c r="FK114">
        <v>2.2888199999999999</v>
      </c>
      <c r="FL114">
        <v>31.193899999999999</v>
      </c>
      <c r="FM114">
        <v>24.14</v>
      </c>
      <c r="FN114">
        <v>19</v>
      </c>
      <c r="FO114">
        <v>760.53800000000001</v>
      </c>
      <c r="FP114">
        <v>732.55600000000004</v>
      </c>
      <c r="FQ114">
        <v>17.710699999999999</v>
      </c>
      <c r="FR114">
        <v>25.546099999999999</v>
      </c>
      <c r="FS114">
        <v>30.000299999999999</v>
      </c>
      <c r="FT114">
        <v>25.5459</v>
      </c>
      <c r="FU114">
        <v>25.5458</v>
      </c>
      <c r="FV114">
        <v>18.273700000000002</v>
      </c>
      <c r="FW114">
        <v>60.517899999999997</v>
      </c>
      <c r="FX114">
        <v>97.767200000000003</v>
      </c>
      <c r="FY114">
        <v>17.708200000000001</v>
      </c>
      <c r="FZ114">
        <v>410</v>
      </c>
      <c r="GA114">
        <v>15.5566</v>
      </c>
      <c r="GB114">
        <v>99.841700000000003</v>
      </c>
      <c r="GC114">
        <v>99.644499999999994</v>
      </c>
    </row>
    <row r="115" spans="1:185" x14ac:dyDescent="0.2">
      <c r="A115">
        <v>100</v>
      </c>
      <c r="B115">
        <v>1768580710.0999999</v>
      </c>
      <c r="C115">
        <v>2317.0999999046298</v>
      </c>
      <c r="D115" t="s">
        <v>496</v>
      </c>
      <c r="E115" t="s">
        <v>497</v>
      </c>
      <c r="F115">
        <v>15</v>
      </c>
      <c r="G115">
        <v>1768580702.03333</v>
      </c>
      <c r="H115">
        <f t="shared" si="38"/>
        <v>-3.3083453357319874E-5</v>
      </c>
      <c r="I115">
        <v>0</v>
      </c>
      <c r="J115">
        <f t="shared" si="37"/>
        <v>1.0034126251066351E-2</v>
      </c>
      <c r="K115">
        <f t="shared" si="39"/>
        <v>0.26279047191866689</v>
      </c>
      <c r="L115">
        <f t="shared" si="40"/>
        <v>69.938243080285503</v>
      </c>
      <c r="M115">
        <f t="shared" si="41"/>
        <v>1.5422157210522363</v>
      </c>
      <c r="N115">
        <f t="shared" si="42"/>
        <v>2.2051107564738968</v>
      </c>
      <c r="O115">
        <v>0</v>
      </c>
      <c r="P115">
        <v>0</v>
      </c>
      <c r="Q115">
        <f t="shared" si="43"/>
        <v>1</v>
      </c>
      <c r="R115">
        <f t="shared" si="44"/>
        <v>0</v>
      </c>
      <c r="S115">
        <f t="shared" si="45"/>
        <v>25960.066493533584</v>
      </c>
      <c r="T115">
        <f t="shared" si="46"/>
        <v>999.99839999999995</v>
      </c>
      <c r="U115">
        <f t="shared" si="47"/>
        <v>842.99897119948798</v>
      </c>
      <c r="V115">
        <f t="shared" si="48"/>
        <v>0.84300032000000003</v>
      </c>
      <c r="W115">
        <f t="shared" si="49"/>
        <v>0.15870080000000003</v>
      </c>
      <c r="X115">
        <v>1</v>
      </c>
      <c r="Y115">
        <v>1768580702.03333</v>
      </c>
      <c r="Z115">
        <v>409.34933333333299</v>
      </c>
      <c r="AA115">
        <v>409.7054</v>
      </c>
      <c r="AB115">
        <v>15.55584</v>
      </c>
      <c r="AC115">
        <v>15.6023666666667</v>
      </c>
      <c r="AD115">
        <v>410.188533333333</v>
      </c>
      <c r="AE115">
        <v>15.42924</v>
      </c>
      <c r="AF115">
        <v>700.00313333333304</v>
      </c>
      <c r="AG115">
        <v>99.085693333333296</v>
      </c>
      <c r="AH115">
        <v>5.4933019999999999E-2</v>
      </c>
      <c r="AI115">
        <v>18.999493333333302</v>
      </c>
      <c r="AJ115">
        <v>999.9</v>
      </c>
      <c r="AK115">
        <v>999.9</v>
      </c>
      <c r="AL115">
        <v>0</v>
      </c>
      <c r="AM115">
        <v>0</v>
      </c>
      <c r="AN115">
        <v>4996.2666666666701</v>
      </c>
      <c r="AO115">
        <v>0</v>
      </c>
      <c r="AP115">
        <v>2.3491040000000001</v>
      </c>
      <c r="AQ115">
        <v>-0.35607251333333301</v>
      </c>
      <c r="AR115">
        <v>415.81779999999998</v>
      </c>
      <c r="AS115">
        <v>416.19933333333302</v>
      </c>
      <c r="AT115">
        <v>-4.6529006666666699E-2</v>
      </c>
      <c r="AU115">
        <v>409.7054</v>
      </c>
      <c r="AV115">
        <v>15.6023666666667</v>
      </c>
      <c r="AW115">
        <v>1.5413606666666699</v>
      </c>
      <c r="AX115">
        <v>1.54597133333333</v>
      </c>
      <c r="AY115">
        <v>13.384726666666699</v>
      </c>
      <c r="AZ115">
        <v>13.4305733333333</v>
      </c>
      <c r="BA115">
        <v>999.99839999999995</v>
      </c>
      <c r="BB115">
        <v>0.89998933333333297</v>
      </c>
      <c r="BC115">
        <v>0</v>
      </c>
      <c r="BD115">
        <v>0.100010666666667</v>
      </c>
      <c r="BE115">
        <v>0</v>
      </c>
      <c r="BF115">
        <v>26</v>
      </c>
      <c r="BG115">
        <v>16488.733333333301</v>
      </c>
      <c r="BH115">
        <v>1768580558.0999999</v>
      </c>
      <c r="BI115" t="s">
        <v>475</v>
      </c>
      <c r="BJ115">
        <v>1768580558.0999999</v>
      </c>
      <c r="BK115">
        <v>1768580555.0999999</v>
      </c>
      <c r="BL115">
        <v>4</v>
      </c>
      <c r="BM115">
        <v>3.3000000000000002E-2</v>
      </c>
      <c r="BN115">
        <v>-7.0000000000000001E-3</v>
      </c>
      <c r="BO115">
        <v>-0.83899999999999997</v>
      </c>
      <c r="BP115">
        <v>0.127</v>
      </c>
      <c r="BQ115">
        <v>422</v>
      </c>
      <c r="BR115">
        <v>16</v>
      </c>
      <c r="BS115">
        <v>0.27</v>
      </c>
      <c r="BT115">
        <v>0.05</v>
      </c>
      <c r="BU115">
        <v>-0.51529808499999996</v>
      </c>
      <c r="BV115">
        <v>4.3177329609022497</v>
      </c>
      <c r="BW115">
        <v>0.65314297887417205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-5.2107954999999997E-2</v>
      </c>
      <c r="CD115">
        <v>9.5302624060150304E-2</v>
      </c>
      <c r="CE115">
        <v>1.04868851122473E-2</v>
      </c>
      <c r="CF115">
        <v>1</v>
      </c>
      <c r="CG115">
        <v>1</v>
      </c>
      <c r="CH115">
        <v>2</v>
      </c>
      <c r="CI115" t="s">
        <v>303</v>
      </c>
      <c r="CJ115">
        <v>3.3498600000000001</v>
      </c>
      <c r="CK115">
        <v>2.6926299999999999</v>
      </c>
      <c r="CL115">
        <v>9.6855899999999995E-2</v>
      </c>
      <c r="CM115">
        <v>9.54155E-2</v>
      </c>
      <c r="CN115">
        <v>8.6746400000000001E-2</v>
      </c>
      <c r="CO115">
        <v>8.6117899999999997E-2</v>
      </c>
      <c r="CP115">
        <v>31658.799999999999</v>
      </c>
      <c r="CQ115">
        <v>27830</v>
      </c>
      <c r="CR115">
        <v>32444</v>
      </c>
      <c r="CS115">
        <v>30692.799999999999</v>
      </c>
      <c r="CT115">
        <v>40122.9</v>
      </c>
      <c r="CU115">
        <v>39439.199999999997</v>
      </c>
      <c r="CV115">
        <v>47383.6</v>
      </c>
      <c r="CW115">
        <v>46807.9</v>
      </c>
      <c r="CX115">
        <v>2.5037400000000001</v>
      </c>
      <c r="CY115">
        <v>2.3141600000000002</v>
      </c>
      <c r="CZ115">
        <v>0</v>
      </c>
      <c r="DA115">
        <v>0</v>
      </c>
      <c r="DB115">
        <v>999.9</v>
      </c>
      <c r="DC115">
        <v>999.9</v>
      </c>
      <c r="DD115">
        <v>59.706000000000003</v>
      </c>
      <c r="DE115">
        <v>25.559000000000001</v>
      </c>
      <c r="DF115">
        <v>19.8065</v>
      </c>
      <c r="DG115">
        <v>29.85</v>
      </c>
      <c r="DH115">
        <v>13.117000000000001</v>
      </c>
      <c r="DI115">
        <v>2</v>
      </c>
      <c r="DJ115">
        <v>-0.11351</v>
      </c>
      <c r="DK115">
        <v>2.6723699999999999</v>
      </c>
      <c r="DL115">
        <v>20.181000000000001</v>
      </c>
      <c r="DM115">
        <v>5.2511900000000002</v>
      </c>
      <c r="DN115">
        <v>12.033899999999999</v>
      </c>
      <c r="DO115">
        <v>4.9674399999999999</v>
      </c>
      <c r="DP115">
        <v>3.2909999999999999</v>
      </c>
      <c r="DQ115">
        <v>9999</v>
      </c>
      <c r="DR115">
        <v>9999</v>
      </c>
      <c r="DS115">
        <v>523.1</v>
      </c>
      <c r="DT115">
        <v>9999</v>
      </c>
      <c r="DU115">
        <v>1.87093</v>
      </c>
      <c r="DV115">
        <v>1.8759999999999999</v>
      </c>
      <c r="DW115">
        <v>1.87622</v>
      </c>
      <c r="DX115">
        <v>1.88276</v>
      </c>
      <c r="DY115">
        <v>1.87548</v>
      </c>
      <c r="DZ115">
        <v>1.8745400000000001</v>
      </c>
      <c r="EA115">
        <v>1.8707400000000001</v>
      </c>
      <c r="EB115">
        <v>1.8745400000000001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-0.83899999999999997</v>
      </c>
      <c r="EQ115">
        <v>0.12659999999999999</v>
      </c>
      <c r="ER115">
        <v>-0.83918181818182802</v>
      </c>
      <c r="ES115">
        <v>0</v>
      </c>
      <c r="ET115">
        <v>0</v>
      </c>
      <c r="EU115">
        <v>0</v>
      </c>
      <c r="EV115">
        <v>0.12659000000000201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2.5</v>
      </c>
      <c r="FE115">
        <v>2.6</v>
      </c>
      <c r="FF115">
        <v>0.91430699999999998</v>
      </c>
      <c r="FG115">
        <v>2.5695800000000002</v>
      </c>
      <c r="FH115">
        <v>2.19604</v>
      </c>
      <c r="FI115">
        <v>2.67456</v>
      </c>
      <c r="FJ115">
        <v>2.4462899999999999</v>
      </c>
      <c r="FK115">
        <v>2.2900399999999999</v>
      </c>
      <c r="FL115">
        <v>31.215599999999998</v>
      </c>
      <c r="FM115">
        <v>24.14</v>
      </c>
      <c r="FN115">
        <v>19</v>
      </c>
      <c r="FO115">
        <v>760.50900000000001</v>
      </c>
      <c r="FP115">
        <v>732.38900000000001</v>
      </c>
      <c r="FQ115">
        <v>17.712399999999999</v>
      </c>
      <c r="FR115">
        <v>25.5504</v>
      </c>
      <c r="FS115">
        <v>30.000299999999999</v>
      </c>
      <c r="FT115">
        <v>25.549800000000001</v>
      </c>
      <c r="FU115">
        <v>25.549700000000001</v>
      </c>
      <c r="FV115">
        <v>18.352699999999999</v>
      </c>
      <c r="FW115">
        <v>60.517899999999997</v>
      </c>
      <c r="FX115">
        <v>97.392700000000005</v>
      </c>
      <c r="FY115">
        <v>17.711600000000001</v>
      </c>
      <c r="FZ115">
        <v>410</v>
      </c>
      <c r="GA115">
        <v>15.5566</v>
      </c>
      <c r="GB115">
        <v>99.842399999999998</v>
      </c>
      <c r="GC115">
        <v>99.643799999999999</v>
      </c>
    </row>
    <row r="116" spans="1:185" x14ac:dyDescent="0.2">
      <c r="A116">
        <v>101</v>
      </c>
      <c r="B116">
        <v>1768580725.0999999</v>
      </c>
      <c r="C116">
        <v>2332.0999999046298</v>
      </c>
      <c r="D116" t="s">
        <v>498</v>
      </c>
      <c r="E116" t="s">
        <v>499</v>
      </c>
      <c r="F116">
        <v>15</v>
      </c>
      <c r="G116">
        <v>1768580717.03333</v>
      </c>
      <c r="H116">
        <f t="shared" si="38"/>
        <v>-3.7183674721745095E-5</v>
      </c>
      <c r="I116">
        <v>0</v>
      </c>
      <c r="J116">
        <f t="shared" si="37"/>
        <v>4.8220391530718219E-3</v>
      </c>
      <c r="K116">
        <f t="shared" si="39"/>
        <v>0.12628762215458134</v>
      </c>
      <c r="L116">
        <f t="shared" si="40"/>
        <v>69.89553608191504</v>
      </c>
      <c r="M116">
        <f t="shared" si="41"/>
        <v>1.5417703443884048</v>
      </c>
      <c r="N116">
        <f t="shared" si="42"/>
        <v>2.2058209018978059</v>
      </c>
      <c r="O116">
        <v>0</v>
      </c>
      <c r="P116">
        <v>0</v>
      </c>
      <c r="Q116">
        <f t="shared" si="43"/>
        <v>1</v>
      </c>
      <c r="R116">
        <f t="shared" si="44"/>
        <v>0</v>
      </c>
      <c r="S116">
        <f t="shared" si="45"/>
        <v>25982.530911815196</v>
      </c>
      <c r="T116">
        <f t="shared" si="46"/>
        <v>999.996933333333</v>
      </c>
      <c r="U116">
        <f t="shared" si="47"/>
        <v>842.99782679873658</v>
      </c>
      <c r="V116">
        <f t="shared" si="48"/>
        <v>0.84300041200000031</v>
      </c>
      <c r="W116">
        <f t="shared" si="49"/>
        <v>0.15870051032000007</v>
      </c>
      <c r="X116">
        <v>1</v>
      </c>
      <c r="Y116">
        <v>1768580717.03333</v>
      </c>
      <c r="Z116">
        <v>409.33800000000002</v>
      </c>
      <c r="AA116">
        <v>409.49666666666701</v>
      </c>
      <c r="AB116">
        <v>15.5512933333333</v>
      </c>
      <c r="AC116">
        <v>15.6035866666667</v>
      </c>
      <c r="AD116">
        <v>410.17720000000003</v>
      </c>
      <c r="AE116">
        <v>15.424706666666699</v>
      </c>
      <c r="AF116">
        <v>700.00166666666701</v>
      </c>
      <c r="AG116">
        <v>99.086046666666704</v>
      </c>
      <c r="AH116">
        <v>5.4925813333333302E-2</v>
      </c>
      <c r="AI116">
        <v>19.004653333333302</v>
      </c>
      <c r="AJ116">
        <v>999.9</v>
      </c>
      <c r="AK116">
        <v>999.9</v>
      </c>
      <c r="AL116">
        <v>0</v>
      </c>
      <c r="AM116">
        <v>0</v>
      </c>
      <c r="AN116">
        <v>5000.0666666666702</v>
      </c>
      <c r="AO116">
        <v>0</v>
      </c>
      <c r="AP116">
        <v>2.3149253333333299</v>
      </c>
      <c r="AQ116">
        <v>-0.15866484</v>
      </c>
      <c r="AR116">
        <v>415.80439999999999</v>
      </c>
      <c r="AS116">
        <v>415.98759999999999</v>
      </c>
      <c r="AT116">
        <v>-5.2286786666666703E-2</v>
      </c>
      <c r="AU116">
        <v>409.49666666666701</v>
      </c>
      <c r="AV116">
        <v>15.6035866666667</v>
      </c>
      <c r="AW116">
        <v>1.540916</v>
      </c>
      <c r="AX116">
        <v>1.5460959999999999</v>
      </c>
      <c r="AY116">
        <v>13.3803133333333</v>
      </c>
      <c r="AZ116">
        <v>13.43182</v>
      </c>
      <c r="BA116">
        <v>999.996933333333</v>
      </c>
      <c r="BB116">
        <v>0.89999399999999996</v>
      </c>
      <c r="BC116">
        <v>0</v>
      </c>
      <c r="BD116">
        <v>0.100006266666667</v>
      </c>
      <c r="BE116">
        <v>0</v>
      </c>
      <c r="BF116">
        <v>26</v>
      </c>
      <c r="BG116">
        <v>16488.72</v>
      </c>
      <c r="BH116">
        <v>1768580558.0999999</v>
      </c>
      <c r="BI116" t="s">
        <v>475</v>
      </c>
      <c r="BJ116">
        <v>1768580558.0999999</v>
      </c>
      <c r="BK116">
        <v>1768580555.0999999</v>
      </c>
      <c r="BL116">
        <v>4</v>
      </c>
      <c r="BM116">
        <v>3.3000000000000002E-2</v>
      </c>
      <c r="BN116">
        <v>-7.0000000000000001E-3</v>
      </c>
      <c r="BO116">
        <v>-0.83899999999999997</v>
      </c>
      <c r="BP116">
        <v>0.127</v>
      </c>
      <c r="BQ116">
        <v>422</v>
      </c>
      <c r="BR116">
        <v>16</v>
      </c>
      <c r="BS116">
        <v>0.27</v>
      </c>
      <c r="BT116">
        <v>0.05</v>
      </c>
      <c r="BU116">
        <v>9.9305200000000208E-3</v>
      </c>
      <c r="BV116">
        <v>-4.8538674406015003</v>
      </c>
      <c r="BW116">
        <v>0.50763077147794899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-5.0446844999999997E-2</v>
      </c>
      <c r="CD116">
        <v>-3.9590025563909698E-2</v>
      </c>
      <c r="CE116">
        <v>3.9279350700431601E-3</v>
      </c>
      <c r="CF116">
        <v>1</v>
      </c>
      <c r="CG116">
        <v>1</v>
      </c>
      <c r="CH116">
        <v>2</v>
      </c>
      <c r="CI116" t="s">
        <v>303</v>
      </c>
      <c r="CJ116">
        <v>3.3498700000000001</v>
      </c>
      <c r="CK116">
        <v>2.6927400000000001</v>
      </c>
      <c r="CL116">
        <v>9.6890699999999996E-2</v>
      </c>
      <c r="CM116">
        <v>9.5643300000000001E-2</v>
      </c>
      <c r="CN116">
        <v>8.6743000000000001E-2</v>
      </c>
      <c r="CO116">
        <v>8.6152599999999996E-2</v>
      </c>
      <c r="CP116">
        <v>31657.599999999999</v>
      </c>
      <c r="CQ116">
        <v>27822.7</v>
      </c>
      <c r="CR116">
        <v>32444.1</v>
      </c>
      <c r="CS116">
        <v>30692.400000000001</v>
      </c>
      <c r="CT116">
        <v>40123.300000000003</v>
      </c>
      <c r="CU116">
        <v>39437.5</v>
      </c>
      <c r="CV116">
        <v>47383.8</v>
      </c>
      <c r="CW116">
        <v>46807.6</v>
      </c>
      <c r="CX116">
        <v>2.5035400000000001</v>
      </c>
      <c r="CY116">
        <v>2.31392</v>
      </c>
      <c r="CZ116">
        <v>0</v>
      </c>
      <c r="DA116">
        <v>0</v>
      </c>
      <c r="DB116">
        <v>999.9</v>
      </c>
      <c r="DC116">
        <v>999.9</v>
      </c>
      <c r="DD116">
        <v>59.680999999999997</v>
      </c>
      <c r="DE116">
        <v>25.599</v>
      </c>
      <c r="DF116">
        <v>19.846599999999999</v>
      </c>
      <c r="DG116">
        <v>29.94</v>
      </c>
      <c r="DH116">
        <v>13.052899999999999</v>
      </c>
      <c r="DI116">
        <v>2</v>
      </c>
      <c r="DJ116">
        <v>-0.11305900000000001</v>
      </c>
      <c r="DK116">
        <v>2.7111499999999999</v>
      </c>
      <c r="DL116">
        <v>20.180499999999999</v>
      </c>
      <c r="DM116">
        <v>5.2511900000000002</v>
      </c>
      <c r="DN116">
        <v>12.033899999999999</v>
      </c>
      <c r="DO116">
        <v>4.9674800000000001</v>
      </c>
      <c r="DP116">
        <v>3.2909999999999999</v>
      </c>
      <c r="DQ116">
        <v>9999</v>
      </c>
      <c r="DR116">
        <v>9999</v>
      </c>
      <c r="DS116">
        <v>523.1</v>
      </c>
      <c r="DT116">
        <v>9999</v>
      </c>
      <c r="DU116">
        <v>1.8709</v>
      </c>
      <c r="DV116">
        <v>1.87598</v>
      </c>
      <c r="DW116">
        <v>1.8762099999999999</v>
      </c>
      <c r="DX116">
        <v>1.8827100000000001</v>
      </c>
      <c r="DY116">
        <v>1.87547</v>
      </c>
      <c r="DZ116">
        <v>1.8745400000000001</v>
      </c>
      <c r="EA116">
        <v>1.87073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-0.83899999999999997</v>
      </c>
      <c r="EQ116">
        <v>0.12659999999999999</v>
      </c>
      <c r="ER116">
        <v>-0.83918181818182802</v>
      </c>
      <c r="ES116">
        <v>0</v>
      </c>
      <c r="ET116">
        <v>0</v>
      </c>
      <c r="EU116">
        <v>0</v>
      </c>
      <c r="EV116">
        <v>0.12659000000000201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2.8</v>
      </c>
      <c r="FE116">
        <v>2.8</v>
      </c>
      <c r="FF116">
        <v>0.91552699999999998</v>
      </c>
      <c r="FG116">
        <v>2.5732400000000002</v>
      </c>
      <c r="FH116">
        <v>2.19604</v>
      </c>
      <c r="FI116">
        <v>2.67578</v>
      </c>
      <c r="FJ116">
        <v>2.4462899999999999</v>
      </c>
      <c r="FK116">
        <v>2.2875999999999999</v>
      </c>
      <c r="FL116">
        <v>31.215599999999998</v>
      </c>
      <c r="FM116">
        <v>24.1313</v>
      </c>
      <c r="FN116">
        <v>19</v>
      </c>
      <c r="FO116">
        <v>760.40800000000002</v>
      </c>
      <c r="FP116">
        <v>732.23199999999997</v>
      </c>
      <c r="FQ116">
        <v>17.709599999999998</v>
      </c>
      <c r="FR116">
        <v>25.556000000000001</v>
      </c>
      <c r="FS116">
        <v>30.000299999999999</v>
      </c>
      <c r="FT116">
        <v>25.554500000000001</v>
      </c>
      <c r="FU116">
        <v>25.554400000000001</v>
      </c>
      <c r="FV116">
        <v>18.381799999999998</v>
      </c>
      <c r="FW116">
        <v>60.517899999999997</v>
      </c>
      <c r="FX116">
        <v>97.392700000000005</v>
      </c>
      <c r="FY116">
        <v>17.700199999999999</v>
      </c>
      <c r="FZ116">
        <v>410</v>
      </c>
      <c r="GA116">
        <v>15.5566</v>
      </c>
      <c r="GB116">
        <v>99.842799999999997</v>
      </c>
      <c r="GC116">
        <v>99.642899999999997</v>
      </c>
    </row>
    <row r="117" spans="1:185" x14ac:dyDescent="0.2">
      <c r="A117">
        <v>102</v>
      </c>
      <c r="B117">
        <v>1768580740.0999999</v>
      </c>
      <c r="C117">
        <v>2347.0999999046298</v>
      </c>
      <c r="D117" t="s">
        <v>500</v>
      </c>
      <c r="E117" t="s">
        <v>501</v>
      </c>
      <c r="F117">
        <v>15</v>
      </c>
      <c r="G117">
        <v>1768580732.03333</v>
      </c>
      <c r="H117">
        <f t="shared" si="38"/>
        <v>-4.1407102773305523E-5</v>
      </c>
      <c r="I117">
        <v>0</v>
      </c>
      <c r="J117">
        <f t="shared" si="37"/>
        <v>-5.5853106001581916E-4</v>
      </c>
      <c r="K117">
        <f t="shared" si="39"/>
        <v>-1.4627745074185416E-2</v>
      </c>
      <c r="L117">
        <f t="shared" si="40"/>
        <v>69.892985229542006</v>
      </c>
      <c r="M117">
        <f t="shared" si="41"/>
        <v>1.5419828271253337</v>
      </c>
      <c r="N117">
        <f t="shared" si="42"/>
        <v>2.2062054182707542</v>
      </c>
      <c r="O117">
        <v>0</v>
      </c>
      <c r="P117">
        <v>0</v>
      </c>
      <c r="Q117">
        <f t="shared" si="43"/>
        <v>1</v>
      </c>
      <c r="R117">
        <f t="shared" si="44"/>
        <v>0</v>
      </c>
      <c r="S117">
        <f t="shared" si="45"/>
        <v>25990.705104489065</v>
      </c>
      <c r="T117">
        <f t="shared" si="46"/>
        <v>999.99739999999997</v>
      </c>
      <c r="U117">
        <f t="shared" si="47"/>
        <v>842.99785819986994</v>
      </c>
      <c r="V117">
        <f t="shared" si="48"/>
        <v>0.84300005</v>
      </c>
      <c r="W117">
        <f t="shared" si="49"/>
        <v>0.15870012500000003</v>
      </c>
      <c r="X117">
        <v>1</v>
      </c>
      <c r="Y117">
        <v>1768580732.03333</v>
      </c>
      <c r="Z117">
        <v>409.72179999999997</v>
      </c>
      <c r="AA117">
        <v>409.67666666666702</v>
      </c>
      <c r="AB117">
        <v>15.5534133333333</v>
      </c>
      <c r="AC117">
        <v>15.611646666666701</v>
      </c>
      <c r="AD117">
        <v>410.56113333333298</v>
      </c>
      <c r="AE117">
        <v>15.4268133333333</v>
      </c>
      <c r="AF117">
        <v>699.99566666666703</v>
      </c>
      <c r="AG117">
        <v>99.086093333333295</v>
      </c>
      <c r="AH117">
        <v>5.50272733333333E-2</v>
      </c>
      <c r="AI117">
        <v>19.007446666666699</v>
      </c>
      <c r="AJ117">
        <v>999.9</v>
      </c>
      <c r="AK117">
        <v>999.9</v>
      </c>
      <c r="AL117">
        <v>0</v>
      </c>
      <c r="AM117">
        <v>0</v>
      </c>
      <c r="AN117">
        <v>5001.4666666666699</v>
      </c>
      <c r="AO117">
        <v>0</v>
      </c>
      <c r="AP117">
        <v>2.32953066666667</v>
      </c>
      <c r="AQ117">
        <v>4.5220946666666699E-2</v>
      </c>
      <c r="AR117">
        <v>416.1952</v>
      </c>
      <c r="AS117">
        <v>416.17373333333302</v>
      </c>
      <c r="AT117">
        <v>-5.8240126666666697E-2</v>
      </c>
      <c r="AU117">
        <v>409.67666666666702</v>
      </c>
      <c r="AV117">
        <v>15.611646666666701</v>
      </c>
      <c r="AW117">
        <v>1.5411266666666701</v>
      </c>
      <c r="AX117">
        <v>1.5468980000000001</v>
      </c>
      <c r="AY117">
        <v>13.382400000000001</v>
      </c>
      <c r="AZ117">
        <v>13.43974</v>
      </c>
      <c r="BA117">
        <v>999.99739999999997</v>
      </c>
      <c r="BB117">
        <v>0.89999833333333301</v>
      </c>
      <c r="BC117">
        <v>0</v>
      </c>
      <c r="BD117">
        <v>0.100001666666667</v>
      </c>
      <c r="BE117">
        <v>0</v>
      </c>
      <c r="BF117">
        <v>26</v>
      </c>
      <c r="BG117">
        <v>16488.740000000002</v>
      </c>
      <c r="BH117">
        <v>1768580558.0999999</v>
      </c>
      <c r="BI117" t="s">
        <v>475</v>
      </c>
      <c r="BJ117">
        <v>1768580558.0999999</v>
      </c>
      <c r="BK117">
        <v>1768580555.0999999</v>
      </c>
      <c r="BL117">
        <v>4</v>
      </c>
      <c r="BM117">
        <v>3.3000000000000002E-2</v>
      </c>
      <c r="BN117">
        <v>-7.0000000000000001E-3</v>
      </c>
      <c r="BO117">
        <v>-0.83899999999999997</v>
      </c>
      <c r="BP117">
        <v>0.127</v>
      </c>
      <c r="BQ117">
        <v>422</v>
      </c>
      <c r="BR117">
        <v>16</v>
      </c>
      <c r="BS117">
        <v>0.27</v>
      </c>
      <c r="BT117">
        <v>0.05</v>
      </c>
      <c r="BU117">
        <v>-0.139269180952381</v>
      </c>
      <c r="BV117">
        <v>5.0164649454545502</v>
      </c>
      <c r="BW117">
        <v>0.572857075475806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-5.7181761904761902E-2</v>
      </c>
      <c r="CD117">
        <v>-1.6494755844155901E-2</v>
      </c>
      <c r="CE117">
        <v>1.9132852587645901E-3</v>
      </c>
      <c r="CF117">
        <v>1</v>
      </c>
      <c r="CG117">
        <v>1</v>
      </c>
      <c r="CH117">
        <v>2</v>
      </c>
      <c r="CI117" t="s">
        <v>303</v>
      </c>
      <c r="CJ117">
        <v>3.3498800000000002</v>
      </c>
      <c r="CK117">
        <v>2.6929799999999999</v>
      </c>
      <c r="CL117">
        <v>9.6895899999999993E-2</v>
      </c>
      <c r="CM117">
        <v>9.5392500000000005E-2</v>
      </c>
      <c r="CN117">
        <v>8.6756799999999995E-2</v>
      </c>
      <c r="CO117">
        <v>8.6178099999999994E-2</v>
      </c>
      <c r="CP117">
        <v>31657.5</v>
      </c>
      <c r="CQ117">
        <v>27831.1</v>
      </c>
      <c r="CR117">
        <v>32444.1</v>
      </c>
      <c r="CS117">
        <v>30693.200000000001</v>
      </c>
      <c r="CT117">
        <v>40122.6</v>
      </c>
      <c r="CU117">
        <v>39437</v>
      </c>
      <c r="CV117">
        <v>47383.7</v>
      </c>
      <c r="CW117">
        <v>46808.4</v>
      </c>
      <c r="CX117">
        <v>2.5035799999999999</v>
      </c>
      <c r="CY117">
        <v>2.3138200000000002</v>
      </c>
      <c r="CZ117">
        <v>0</v>
      </c>
      <c r="DA117">
        <v>0</v>
      </c>
      <c r="DB117">
        <v>999.9</v>
      </c>
      <c r="DC117">
        <v>999.9</v>
      </c>
      <c r="DD117">
        <v>59.639000000000003</v>
      </c>
      <c r="DE117">
        <v>25.599</v>
      </c>
      <c r="DF117">
        <v>19.8306</v>
      </c>
      <c r="DG117">
        <v>30.24</v>
      </c>
      <c r="DH117">
        <v>13.2011</v>
      </c>
      <c r="DI117">
        <v>2</v>
      </c>
      <c r="DJ117">
        <v>-0.11243499999999999</v>
      </c>
      <c r="DK117">
        <v>2.7721300000000002</v>
      </c>
      <c r="DL117">
        <v>20.178999999999998</v>
      </c>
      <c r="DM117">
        <v>5.2510700000000003</v>
      </c>
      <c r="DN117">
        <v>12.033899999999999</v>
      </c>
      <c r="DO117">
        <v>4.9673999999999996</v>
      </c>
      <c r="DP117">
        <v>3.2909999999999999</v>
      </c>
      <c r="DQ117">
        <v>9999</v>
      </c>
      <c r="DR117">
        <v>9999</v>
      </c>
      <c r="DS117">
        <v>523.1</v>
      </c>
      <c r="DT117">
        <v>9999</v>
      </c>
      <c r="DU117">
        <v>1.8709199999999999</v>
      </c>
      <c r="DV117">
        <v>1.87601</v>
      </c>
      <c r="DW117">
        <v>1.87622</v>
      </c>
      <c r="DX117">
        <v>1.8827499999999999</v>
      </c>
      <c r="DY117">
        <v>1.87547</v>
      </c>
      <c r="DZ117">
        <v>1.8745400000000001</v>
      </c>
      <c r="EA117">
        <v>1.87073</v>
      </c>
      <c r="EB117">
        <v>1.8745400000000001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-0.83899999999999997</v>
      </c>
      <c r="EQ117">
        <v>0.1265</v>
      </c>
      <c r="ER117">
        <v>-0.83918181818182802</v>
      </c>
      <c r="ES117">
        <v>0</v>
      </c>
      <c r="ET117">
        <v>0</v>
      </c>
      <c r="EU117">
        <v>0</v>
      </c>
      <c r="EV117">
        <v>0.12659000000000201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3</v>
      </c>
      <c r="FE117">
        <v>3.1</v>
      </c>
      <c r="FF117">
        <v>0.91918900000000003</v>
      </c>
      <c r="FG117">
        <v>2.5769000000000002</v>
      </c>
      <c r="FH117">
        <v>2.19604</v>
      </c>
      <c r="FI117">
        <v>2.67456</v>
      </c>
      <c r="FJ117">
        <v>2.4462899999999999</v>
      </c>
      <c r="FK117">
        <v>2.2497600000000002</v>
      </c>
      <c r="FL117">
        <v>31.215599999999998</v>
      </c>
      <c r="FM117">
        <v>24.1313</v>
      </c>
      <c r="FN117">
        <v>19</v>
      </c>
      <c r="FO117">
        <v>760.50800000000004</v>
      </c>
      <c r="FP117">
        <v>732.21799999999996</v>
      </c>
      <c r="FQ117">
        <v>17.688400000000001</v>
      </c>
      <c r="FR117">
        <v>25.561199999999999</v>
      </c>
      <c r="FS117">
        <v>30.000299999999999</v>
      </c>
      <c r="FT117">
        <v>25.5593</v>
      </c>
      <c r="FU117">
        <v>25.56</v>
      </c>
      <c r="FV117">
        <v>18.461200000000002</v>
      </c>
      <c r="FW117">
        <v>60.517899999999997</v>
      </c>
      <c r="FX117">
        <v>97.392700000000005</v>
      </c>
      <c r="FY117">
        <v>17.677800000000001</v>
      </c>
      <c r="FZ117">
        <v>410</v>
      </c>
      <c r="GA117">
        <v>15.5566</v>
      </c>
      <c r="GB117">
        <v>99.842699999999994</v>
      </c>
      <c r="GC117">
        <v>99.644900000000007</v>
      </c>
    </row>
    <row r="118" spans="1:185" x14ac:dyDescent="0.2">
      <c r="A118">
        <v>103</v>
      </c>
      <c r="B118">
        <v>1768580755.0999999</v>
      </c>
      <c r="C118">
        <v>2362.0999999046298</v>
      </c>
      <c r="D118" t="s">
        <v>502</v>
      </c>
      <c r="E118" t="s">
        <v>503</v>
      </c>
      <c r="F118">
        <v>15</v>
      </c>
      <c r="G118">
        <v>1768580747.03333</v>
      </c>
      <c r="H118">
        <f t="shared" si="38"/>
        <v>-4.4289890360302869E-5</v>
      </c>
      <c r="I118">
        <v>0</v>
      </c>
      <c r="J118">
        <f t="shared" si="37"/>
        <v>-5.9969837944785593E-3</v>
      </c>
      <c r="K118">
        <f t="shared" si="39"/>
        <v>-0.15705903653266653</v>
      </c>
      <c r="L118">
        <f t="shared" si="40"/>
        <v>69.915820196412227</v>
      </c>
      <c r="M118">
        <f t="shared" si="41"/>
        <v>1.542355718278785</v>
      </c>
      <c r="N118">
        <f t="shared" si="42"/>
        <v>2.206018200095337</v>
      </c>
      <c r="O118">
        <v>0</v>
      </c>
      <c r="P118">
        <v>0</v>
      </c>
      <c r="Q118">
        <f t="shared" si="43"/>
        <v>1</v>
      </c>
      <c r="R118">
        <f t="shared" si="44"/>
        <v>0</v>
      </c>
      <c r="S118">
        <f t="shared" si="45"/>
        <v>25976.259720174177</v>
      </c>
      <c r="T118">
        <f t="shared" si="46"/>
        <v>999.99839999999995</v>
      </c>
      <c r="U118">
        <f t="shared" si="47"/>
        <v>842.99865379999585</v>
      </c>
      <c r="V118">
        <f t="shared" si="48"/>
        <v>0.84300000260000008</v>
      </c>
      <c r="W118">
        <f t="shared" si="49"/>
        <v>0.15870004547600003</v>
      </c>
      <c r="X118">
        <v>1</v>
      </c>
      <c r="Y118">
        <v>1768580747.03333</v>
      </c>
      <c r="Z118">
        <v>409.31420000000003</v>
      </c>
      <c r="AA118">
        <v>409.06393333333301</v>
      </c>
      <c r="AB118">
        <v>15.5568666666667</v>
      </c>
      <c r="AC118">
        <v>15.619153333333299</v>
      </c>
      <c r="AD118">
        <v>410.15333333333302</v>
      </c>
      <c r="AE118">
        <v>15.4302666666667</v>
      </c>
      <c r="AF118">
        <v>700.00340000000006</v>
      </c>
      <c r="AG118">
        <v>99.087819999999994</v>
      </c>
      <c r="AH118">
        <v>5.5262686666666699E-2</v>
      </c>
      <c r="AI118">
        <v>19.0060866666667</v>
      </c>
      <c r="AJ118">
        <v>999.9</v>
      </c>
      <c r="AK118">
        <v>999.9</v>
      </c>
      <c r="AL118">
        <v>0</v>
      </c>
      <c r="AM118">
        <v>0</v>
      </c>
      <c r="AN118">
        <v>4998.9666666666699</v>
      </c>
      <c r="AO118">
        <v>0</v>
      </c>
      <c r="AP118">
        <v>2.3713099999999998</v>
      </c>
      <c r="AQ118">
        <v>0.25033976666666702</v>
      </c>
      <c r="AR118">
        <v>415.78246666666701</v>
      </c>
      <c r="AS118">
        <v>415.554466666667</v>
      </c>
      <c r="AT118">
        <v>-6.2301126666666699E-2</v>
      </c>
      <c r="AU118">
        <v>409.06393333333301</v>
      </c>
      <c r="AV118">
        <v>15.619153333333299</v>
      </c>
      <c r="AW118">
        <v>1.541496</v>
      </c>
      <c r="AX118">
        <v>1.54766933333333</v>
      </c>
      <c r="AY118">
        <v>13.386086666666699</v>
      </c>
      <c r="AZ118">
        <v>13.4474</v>
      </c>
      <c r="BA118">
        <v>999.99839999999995</v>
      </c>
      <c r="BB118">
        <v>0.89999933333333304</v>
      </c>
      <c r="BC118">
        <v>0</v>
      </c>
      <c r="BD118">
        <v>0.100000646666667</v>
      </c>
      <c r="BE118">
        <v>0</v>
      </c>
      <c r="BF118">
        <v>26</v>
      </c>
      <c r="BG118">
        <v>16488.773333333302</v>
      </c>
      <c r="BH118">
        <v>1768580558.0999999</v>
      </c>
      <c r="BI118" t="s">
        <v>475</v>
      </c>
      <c r="BJ118">
        <v>1768580558.0999999</v>
      </c>
      <c r="BK118">
        <v>1768580555.0999999</v>
      </c>
      <c r="BL118">
        <v>4</v>
      </c>
      <c r="BM118">
        <v>3.3000000000000002E-2</v>
      </c>
      <c r="BN118">
        <v>-7.0000000000000001E-3</v>
      </c>
      <c r="BO118">
        <v>-0.83899999999999997</v>
      </c>
      <c r="BP118">
        <v>0.127</v>
      </c>
      <c r="BQ118">
        <v>422</v>
      </c>
      <c r="BR118">
        <v>16</v>
      </c>
      <c r="BS118">
        <v>0.27</v>
      </c>
      <c r="BT118">
        <v>0.05</v>
      </c>
      <c r="BU118">
        <v>0.38945312500000001</v>
      </c>
      <c r="BV118">
        <v>-4.4012200105263197</v>
      </c>
      <c r="BW118">
        <v>0.48092656666119099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-6.142297E-2</v>
      </c>
      <c r="CD118">
        <v>-1.4412027067669199E-2</v>
      </c>
      <c r="CE118">
        <v>2.08772050358758E-3</v>
      </c>
      <c r="CF118">
        <v>1</v>
      </c>
      <c r="CG118">
        <v>1</v>
      </c>
      <c r="CH118">
        <v>2</v>
      </c>
      <c r="CI118" t="s">
        <v>303</v>
      </c>
      <c r="CJ118">
        <v>3.3498199999999998</v>
      </c>
      <c r="CK118">
        <v>2.6929400000000001</v>
      </c>
      <c r="CL118">
        <v>9.6848900000000002E-2</v>
      </c>
      <c r="CM118">
        <v>9.5519900000000005E-2</v>
      </c>
      <c r="CN118">
        <v>8.6777300000000002E-2</v>
      </c>
      <c r="CO118">
        <v>8.6178199999999996E-2</v>
      </c>
      <c r="CP118">
        <v>31658.6</v>
      </c>
      <c r="CQ118">
        <v>27827.1</v>
      </c>
      <c r="CR118">
        <v>32443.599999999999</v>
      </c>
      <c r="CS118">
        <v>30693.200000000001</v>
      </c>
      <c r="CT118">
        <v>40121.1</v>
      </c>
      <c r="CU118">
        <v>39437.300000000003</v>
      </c>
      <c r="CV118">
        <v>47383.1</v>
      </c>
      <c r="CW118">
        <v>46808.800000000003</v>
      </c>
      <c r="CX118">
        <v>2.5034800000000001</v>
      </c>
      <c r="CY118">
        <v>2.3136199999999998</v>
      </c>
      <c r="CZ118">
        <v>0</v>
      </c>
      <c r="DA118">
        <v>0</v>
      </c>
      <c r="DB118">
        <v>999.9</v>
      </c>
      <c r="DC118">
        <v>999.9</v>
      </c>
      <c r="DD118">
        <v>59.601999999999997</v>
      </c>
      <c r="DE118">
        <v>25.619</v>
      </c>
      <c r="DF118">
        <v>19.841699999999999</v>
      </c>
      <c r="DG118">
        <v>30.03</v>
      </c>
      <c r="DH118">
        <v>13.209099999999999</v>
      </c>
      <c r="DI118">
        <v>2</v>
      </c>
      <c r="DJ118">
        <v>-0.11176</v>
      </c>
      <c r="DK118">
        <v>2.7902999999999998</v>
      </c>
      <c r="DL118">
        <v>20.178799999999999</v>
      </c>
      <c r="DM118">
        <v>5.2511900000000002</v>
      </c>
      <c r="DN118">
        <v>12.033899999999999</v>
      </c>
      <c r="DO118">
        <v>4.9675599999999998</v>
      </c>
      <c r="DP118">
        <v>3.2909999999999999</v>
      </c>
      <c r="DQ118">
        <v>9999</v>
      </c>
      <c r="DR118">
        <v>9999</v>
      </c>
      <c r="DS118">
        <v>523.1</v>
      </c>
      <c r="DT118">
        <v>9999</v>
      </c>
      <c r="DU118">
        <v>1.87093</v>
      </c>
      <c r="DV118">
        <v>1.8760300000000001</v>
      </c>
      <c r="DW118">
        <v>1.87622</v>
      </c>
      <c r="DX118">
        <v>1.8827499999999999</v>
      </c>
      <c r="DY118">
        <v>1.87548</v>
      </c>
      <c r="DZ118">
        <v>1.8745400000000001</v>
      </c>
      <c r="EA118">
        <v>1.87073</v>
      </c>
      <c r="EB118">
        <v>1.8745400000000001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-0.84</v>
      </c>
      <c r="EQ118">
        <v>0.12659999999999999</v>
      </c>
      <c r="ER118">
        <v>-0.83918181818182802</v>
      </c>
      <c r="ES118">
        <v>0</v>
      </c>
      <c r="ET118">
        <v>0</v>
      </c>
      <c r="EU118">
        <v>0</v>
      </c>
      <c r="EV118">
        <v>0.12659000000000201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3.3</v>
      </c>
      <c r="FE118">
        <v>3.3</v>
      </c>
      <c r="FF118">
        <v>0.924072</v>
      </c>
      <c r="FG118">
        <v>2.5720200000000002</v>
      </c>
      <c r="FH118">
        <v>2.19604</v>
      </c>
      <c r="FI118">
        <v>2.67456</v>
      </c>
      <c r="FJ118">
        <v>2.4462899999999999</v>
      </c>
      <c r="FK118">
        <v>2.3107899999999999</v>
      </c>
      <c r="FL118">
        <v>31.237400000000001</v>
      </c>
      <c r="FM118">
        <v>24.14</v>
      </c>
      <c r="FN118">
        <v>19</v>
      </c>
      <c r="FO118">
        <v>760.50199999999995</v>
      </c>
      <c r="FP118">
        <v>732.11099999999999</v>
      </c>
      <c r="FQ118">
        <v>17.665500000000002</v>
      </c>
      <c r="FR118">
        <v>25.567599999999999</v>
      </c>
      <c r="FS118">
        <v>30.000299999999999</v>
      </c>
      <c r="FT118">
        <v>25.564800000000002</v>
      </c>
      <c r="FU118">
        <v>25.5656</v>
      </c>
      <c r="FV118">
        <v>18.552700000000002</v>
      </c>
      <c r="FW118">
        <v>60.7988</v>
      </c>
      <c r="FX118">
        <v>97.0154</v>
      </c>
      <c r="FY118">
        <v>17.659700000000001</v>
      </c>
      <c r="FZ118">
        <v>410</v>
      </c>
      <c r="GA118">
        <v>15.5566</v>
      </c>
      <c r="GB118">
        <v>99.841300000000004</v>
      </c>
      <c r="GC118">
        <v>99.645399999999995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2026-01-16T11:27:04Z</dcterms:created>
  <dcterms:modified xsi:type="dcterms:W3CDTF">2026-03-31T16:13:47Z</dcterms:modified>
</cp:coreProperties>
</file>